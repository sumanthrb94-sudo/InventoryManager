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<sst xmlns="http://schemas.openxmlformats.org/spreadsheetml/2006/main" count="21217" uniqueCount="3882">
  <si>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</si>
  <si>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</si>
  <si>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</si>
  <si>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</si>
  <si>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</si>
  <si>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</si>
  <si>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</si>
  <si>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</si>
  <si>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</si>
  <si>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</si>
  <si>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</si>
  <si>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</si>
  <si>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</si>
  <si>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</si>
  <si>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</si>
  <si>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</si>
  <si>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</si>
  <si>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</si>
  <si>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</si>
  <si>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</si>
  <si>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</si>
  <si>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</si>
  <si>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</si>
  <si>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</si>
  <si>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</si>
  <si>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</si>
  <si>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</si>
  <si>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</si>
  <si>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</si>
  <si>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</si>
  <si>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</si>
  <si>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</si>
  <si>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</si>
  <si>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</si>
  <si>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</si>
  <si>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</si>
  <si>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</si>
  <si>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</si>
  <si>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</si>
  <si>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</si>
  <si>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</si>
  <si>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</si>
  <si>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</si>
  <si>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</si>
  <si>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</si>
  <si>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</si>
  <si>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</si>
  <si>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</si>
  <si>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</si>
  <si>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</si>
  <si>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</si>
  <si>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</si>
  <si>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</si>
  <si>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</si>
  <si>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</si>
  <si>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</si>
  <si>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SIM-MANUAL-UNIT-1</t>
  </si>
  <si>
    <t>350000000000016</t>
  </si>
  <si>
    <t>Z Flip5</t>
  </si>
  <si>
    <t>Graphite</t>
  </si>
  <si>
    <t>256GB</t>
  </si>
  <si>
    <t>MHL</t>
  </si>
  <si>
    <t>SIM-AMAZON-001215</t>
  </si>
  <si>
    <t>350000000000751</t>
  </si>
  <si>
    <t>X Cover 6 Pro</t>
  </si>
  <si>
    <t>128GB</t>
  </si>
  <si>
    <t>IMAX</t>
  </si>
  <si>
    <t>SIM-AMAZON-001230</t>
  </si>
  <si>
    <t>350000000000761</t>
  </si>
  <si>
    <t>S23 Ultra</t>
  </si>
  <si>
    <t>Black</t>
  </si>
  <si>
    <t>SIM-AMAZON-001247</t>
  </si>
  <si>
    <t>350000000000773</t>
  </si>
  <si>
    <t>Note 20 Ultra</t>
  </si>
  <si>
    <t>Midnight</t>
  </si>
  <si>
    <t>GLOBALTECH</t>
  </si>
  <si>
    <t>SIM-AMAZON-001263</t>
  </si>
  <si>
    <t>350000000000783</t>
  </si>
  <si>
    <t>NIHAL</t>
  </si>
  <si>
    <t>SIM-AMAZON-001281</t>
  </si>
  <si>
    <t>SN0000FV579</t>
  </si>
  <si>
    <t>iPhone 14 Pro</t>
  </si>
  <si>
    <t>SIM-AMAZON-001285</t>
  </si>
  <si>
    <t>SN0000G0AAA</t>
  </si>
  <si>
    <t>MacBook Air M2</t>
  </si>
  <si>
    <t>Green</t>
  </si>
  <si>
    <t>SIM-AMAZON-001298</t>
  </si>
  <si>
    <t>350000000000803</t>
  </si>
  <si>
    <t>White</t>
  </si>
  <si>
    <t>SIM-AMAZON-001313</t>
  </si>
  <si>
    <t>SN0000GFRKD</t>
  </si>
  <si>
    <t>Galaxy Tab A9</t>
  </si>
  <si>
    <t>SIM-AMAZON-001315</t>
  </si>
  <si>
    <t>350000000000811</t>
  </si>
  <si>
    <t>AcmeMobile ZX200</t>
  </si>
  <si>
    <t>64GB</t>
  </si>
  <si>
    <t>SIM-AMAZON-001331</t>
  </si>
  <si>
    <t>SN0000GR579</t>
  </si>
  <si>
    <t>iPhone 13</t>
  </si>
  <si>
    <t>Blue</t>
  </si>
  <si>
    <t>SIM-AMAZON-001337</t>
  </si>
  <si>
    <t>350000000000826</t>
  </si>
  <si>
    <t>PRIME MOBILE</t>
  </si>
  <si>
    <t>SIM-AMAZON-001353</t>
  </si>
  <si>
    <t>SN0000GYCQ4</t>
  </si>
  <si>
    <t>Silver</t>
  </si>
  <si>
    <t>SIM-AMAZON-001357</t>
  </si>
  <si>
    <t>SN0000H1FDB</t>
  </si>
  <si>
    <t>SIM-AMAZON-001365</t>
  </si>
  <si>
    <t>SN0000H6LGC</t>
  </si>
  <si>
    <t>SIM-AMAZON-001366</t>
  </si>
  <si>
    <t>SN0000H7MPR</t>
  </si>
  <si>
    <t>SIM-AMAZON-001382</t>
  </si>
  <si>
    <t>SN0000HEU8L</t>
  </si>
  <si>
    <t>iPad 9th Gen</t>
  </si>
  <si>
    <t>SIM-AMAZON-001385</t>
  </si>
  <si>
    <t>350000000000854</t>
  </si>
  <si>
    <t>SIM-AMAZON-001392</t>
  </si>
  <si>
    <t>350000000000858</t>
  </si>
  <si>
    <t>SIM-AMAZON-001397</t>
  </si>
  <si>
    <t>SN0000HJZBM</t>
  </si>
  <si>
    <t>SIM-AMAZON-001399</t>
  </si>
  <si>
    <t>SN0000HK2J2</t>
  </si>
  <si>
    <t>SIM-AMAZON-001410</t>
  </si>
  <si>
    <t>SN0000HQ8UG</t>
  </si>
  <si>
    <t>Watch Series 9 45mm GPS</t>
  </si>
  <si>
    <t>Not Applicable</t>
  </si>
  <si>
    <t>SIM-AMAZON-001411</t>
  </si>
  <si>
    <t>350000000000868</t>
  </si>
  <si>
    <t>SIM-AMAZON-001421</t>
  </si>
  <si>
    <t>350000000000874</t>
  </si>
  <si>
    <t>Galaxy S22</t>
  </si>
  <si>
    <t>SIM-AMAZON-001426</t>
  </si>
  <si>
    <t>350000000000878</t>
  </si>
  <si>
    <t>A14 5G</t>
  </si>
  <si>
    <t>SIM-AMAZON-001441</t>
  </si>
  <si>
    <t>350000000000888</t>
  </si>
  <si>
    <t>SIM-AMAZON-001449</t>
  </si>
  <si>
    <t>350000000000894</t>
  </si>
  <si>
    <t>Pixel 8</t>
  </si>
  <si>
    <t>SIM-AMAZON-001452</t>
  </si>
  <si>
    <t>SN0000I8SSS</t>
  </si>
  <si>
    <t>SIM-AMAZON-001454</t>
  </si>
  <si>
    <t>SN0000IAU8L</t>
  </si>
  <si>
    <t>SIM-AMAZON-001458</t>
  </si>
  <si>
    <t>350000000000898</t>
  </si>
  <si>
    <t>SIM-AMAZON-001461</t>
  </si>
  <si>
    <t>350000000000900</t>
  </si>
  <si>
    <t>SIM-AMAZON-001464</t>
  </si>
  <si>
    <t>350000000000903</t>
  </si>
  <si>
    <t>SIM-AMAZON-001470</t>
  </si>
  <si>
    <t>SN0000IEY48</t>
  </si>
  <si>
    <t>SIM-AMAZON-001474</t>
  </si>
  <si>
    <t>350000000000911</t>
  </si>
  <si>
    <t>SIM-AMAZON-001479</t>
  </si>
  <si>
    <t>350000000000916</t>
  </si>
  <si>
    <t>SIM-AMAZON-001483</t>
  </si>
  <si>
    <t>350000000000919</t>
  </si>
  <si>
    <t>SIM-AMAZON-001484</t>
  </si>
  <si>
    <t>SN0000IH3RF</t>
  </si>
  <si>
    <t>SIM-AMAZON-001495</t>
  </si>
  <si>
    <t>SN0000IN93V</t>
  </si>
  <si>
    <t>SIM-AMAZON-001505</t>
  </si>
  <si>
    <t>350000000000933</t>
  </si>
  <si>
    <t>SIM-AMAZON-001508</t>
  </si>
  <si>
    <t>350000000000936</t>
  </si>
  <si>
    <t>SIM-AMAZON-001509</t>
  </si>
  <si>
    <t>350000000000937</t>
  </si>
  <si>
    <t>SIM-AMAZON-001518</t>
  </si>
  <si>
    <t>350000000000944</t>
  </si>
  <si>
    <t>SIM-AMAZON-001521</t>
  </si>
  <si>
    <t>350000000000946</t>
  </si>
  <si>
    <t>Galaxy A54</t>
  </si>
  <si>
    <t>SIM-AMAZON-002121</t>
  </si>
  <si>
    <t>USB-C-25W</t>
  </si>
  <si>
    <t>SIM-AMAZON-002122</t>
  </si>
  <si>
    <t>SIM-AMAZON-002136</t>
  </si>
  <si>
    <t>SIM-PIN-01</t>
  </si>
  <si>
    <t>SIM-AMAZON-002138</t>
  </si>
  <si>
    <t>SIM-AMAZON-002139</t>
  </si>
  <si>
    <t>SIM-AMAZON-002141</t>
  </si>
  <si>
    <t>SIM-AMAZON-002154</t>
  </si>
  <si>
    <t>CBL-USBC-1M</t>
  </si>
  <si>
    <t>SIM-AMAZON-002162</t>
  </si>
  <si>
    <t>SIM-AMAZON-002167</t>
  </si>
  <si>
    <t>CASE-CLR-UNI</t>
  </si>
  <si>
    <t>SIM-AMAZON-001630</t>
  </si>
  <si>
    <t>SIM-AMAZON-001636</t>
  </si>
  <si>
    <t>SIM-AMAZON-002110</t>
  </si>
  <si>
    <t>USB-C-20W</t>
  </si>
  <si>
    <t>SIM-AMAZON-001127</t>
  </si>
  <si>
    <t>SN0000DSSSS</t>
  </si>
  <si>
    <t>SIM-AMAZON-001186</t>
  </si>
  <si>
    <t>350000000000735</t>
  </si>
  <si>
    <t>SIM-AMAZON-001220</t>
  </si>
  <si>
    <t>SN0000F5BHP</t>
  </si>
  <si>
    <t>SIM-AMAZON-001371</t>
  </si>
  <si>
    <t>350000000000847</t>
  </si>
  <si>
    <t>SIM-AMAZON-001422</t>
  </si>
  <si>
    <t>350000000000875</t>
  </si>
  <si>
    <t>SIM-AMAZON-002128</t>
  </si>
  <si>
    <t>SIM-AMAZON-001120</t>
  </si>
  <si>
    <t>SN0000DNMPR</t>
  </si>
  <si>
    <t>SIM-AMAZON-001193</t>
  </si>
  <si>
    <t>350000000000737</t>
  </si>
  <si>
    <t>SIM-AMAZON-001204</t>
  </si>
  <si>
    <t>350000000000745</t>
  </si>
  <si>
    <t>SIM-AMAZON-001229</t>
  </si>
  <si>
    <t>SN0000F8E6W</t>
  </si>
  <si>
    <t>SIM-AMAZON-001349</t>
  </si>
  <si>
    <t>350000000000835</t>
  </si>
  <si>
    <t>SIM-AMAZON-001606</t>
  </si>
  <si>
    <t>SIM-AMAZON-001181</t>
  </si>
  <si>
    <t>350000000000731</t>
  </si>
  <si>
    <t>SIM-AMAZON-001203</t>
  </si>
  <si>
    <t>SN0000EUY48</t>
  </si>
  <si>
    <t>SIM-AMAZON-001274</t>
  </si>
  <si>
    <t>350000000000791</t>
  </si>
  <si>
    <t>SIM-AMAZON-001398</t>
  </si>
  <si>
    <t>350000000000862</t>
  </si>
  <si>
    <t>SIM-AMAZON-002175</t>
  </si>
  <si>
    <t>SIM-AMAZON-001224</t>
  </si>
  <si>
    <t>350000000000756</t>
  </si>
  <si>
    <t>SIM-AMAZON-001302</t>
  </si>
  <si>
    <t>350000000000805</t>
  </si>
  <si>
    <t>SIM-AMAZON-001304</t>
  </si>
  <si>
    <t>350000000000806</t>
  </si>
  <si>
    <t>SIM-AMAZON-002091</t>
  </si>
  <si>
    <t>SIM-AMAZON-001629</t>
  </si>
  <si>
    <t>SIM-AMAZON-001242</t>
  </si>
  <si>
    <t>350000000000770</t>
  </si>
  <si>
    <t>SIM-AMAZON-001623</t>
  </si>
  <si>
    <t>SIM-AMAZON-001102</t>
  </si>
  <si>
    <t>350000000000689</t>
  </si>
  <si>
    <t>M53</t>
  </si>
  <si>
    <t>SIM-AMAZON-001139</t>
  </si>
  <si>
    <t>350000000000711</t>
  </si>
  <si>
    <t>SIM-AMAZON-001161</t>
  </si>
  <si>
    <t>SN0000EACQ4</t>
  </si>
  <si>
    <t>SIM-AMAZON-001310</t>
  </si>
  <si>
    <t>350000000000808</t>
  </si>
  <si>
    <t>SIM-AMAZON-001312</t>
  </si>
  <si>
    <t>350000000000810</t>
  </si>
  <si>
    <t>SIM-AMAZON-001619</t>
  </si>
  <si>
    <t>SIM-AMAZON-001040</t>
  </si>
  <si>
    <t>350000000000640</t>
  </si>
  <si>
    <t>SIM-AMAZON-002084</t>
  </si>
  <si>
    <t>SIM-AMAZON-001592</t>
  </si>
  <si>
    <t>SIM-AMAZON-001115</t>
  </si>
  <si>
    <t>SN0000DLK9X</t>
  </si>
  <si>
    <t>SIM-AMAZON-001189</t>
  </si>
  <si>
    <t>SN0000EPTZ7</t>
  </si>
  <si>
    <t>SIM-AMAZON-002028</t>
  </si>
  <si>
    <t>SIM-AMAZON-002076</t>
  </si>
  <si>
    <t>SCR-PROT-UNI</t>
  </si>
  <si>
    <t>SIM-AMAZON-001065</t>
  </si>
  <si>
    <t>350000000000665</t>
  </si>
  <si>
    <t>SIM-AMAZON-001082</t>
  </si>
  <si>
    <t>350000000000675</t>
  </si>
  <si>
    <t>SIM-AMAZON-001168</t>
  </si>
  <si>
    <t>SN0000EFHT5</t>
  </si>
  <si>
    <t>SIM-AMAZON-002078</t>
  </si>
  <si>
    <t>SIM-AMAZON-002082</t>
  </si>
  <si>
    <t>SIM-AMAZON-001058</t>
  </si>
  <si>
    <t>350000000000660</t>
  </si>
  <si>
    <t>SIM-AMAZON-001163</t>
  </si>
  <si>
    <t>SN0000EBDXH</t>
  </si>
  <si>
    <t>SIM-AMAZON-001290</t>
  </si>
  <si>
    <t>350000000000800</t>
  </si>
  <si>
    <t>SIM-AMAZON-001138</t>
  </si>
  <si>
    <t>350000000000710</t>
  </si>
  <si>
    <t>SIM-AMAZON-001196</t>
  </si>
  <si>
    <t>350000000000740</t>
  </si>
  <si>
    <t>SIM-AMAZON-000988</t>
  </si>
  <si>
    <t>350000000000609</t>
  </si>
  <si>
    <t>SIM-AMAZON-002062</t>
  </si>
  <si>
    <t>SIM-AMAZON-002063</t>
  </si>
  <si>
    <t>SIM-AMAZON-001067</t>
  </si>
  <si>
    <t>350000000000667</t>
  </si>
  <si>
    <t>SIM-AMAZON-002061</t>
  </si>
  <si>
    <t>SIM-AMAZON-000935</t>
  </si>
  <si>
    <t>350000000000583</t>
  </si>
  <si>
    <t>SIM-AMAZON-002027</t>
  </si>
  <si>
    <t>SIM-AMAZON-002033</t>
  </si>
  <si>
    <t>SIM-AMAZON-001091</t>
  </si>
  <si>
    <t>350000000000681</t>
  </si>
  <si>
    <t>SIM-AMAZON-001185</t>
  </si>
  <si>
    <t>350000000000734</t>
  </si>
  <si>
    <t>SIM-AMAZON-001206</t>
  </si>
  <si>
    <t>SN0000EW2J2</t>
  </si>
  <si>
    <t>SIM-AMAZON-001246</t>
  </si>
  <si>
    <t>SN0000FFMPR</t>
  </si>
  <si>
    <t>Watch SE 40mm GPS</t>
  </si>
  <si>
    <t>SIM-AMAZON-001150</t>
  </si>
  <si>
    <t>350000000000716</t>
  </si>
  <si>
    <t>SIM-AMAZON-002077</t>
  </si>
  <si>
    <t>SIM-AMAZON-000877</t>
  </si>
  <si>
    <t>350000000000545</t>
  </si>
  <si>
    <t>SIM-AMAZON-002039</t>
  </si>
  <si>
    <t>SIM-AMAZON-002042</t>
  </si>
  <si>
    <t>SIM-AMAZON-001195</t>
  </si>
  <si>
    <t>350000000000739</t>
  </si>
  <si>
    <t>SIM-AMAZON-001044</t>
  </si>
  <si>
    <t>350000000000646</t>
  </si>
  <si>
    <t>SIM-AMAZON-000858</t>
  </si>
  <si>
    <t>350000000000533</t>
  </si>
  <si>
    <t>SIM-AMAZON-001074</t>
  </si>
  <si>
    <t>350000000000671</t>
  </si>
  <si>
    <t>SIM-AMAZON-000847</t>
  </si>
  <si>
    <t>350000000000526</t>
  </si>
  <si>
    <t>SIM-AMAZON-000986</t>
  </si>
  <si>
    <t>350000000000608</t>
  </si>
  <si>
    <t>SIM-AMAZON-001002</t>
  </si>
  <si>
    <t>350000000000621</t>
  </si>
  <si>
    <t>SIM-AMAZON-002016</t>
  </si>
  <si>
    <t>SIM-AMAZON-002019</t>
  </si>
  <si>
    <t>SIM-AMAZON-001037</t>
  </si>
  <si>
    <t>350000000000638</t>
  </si>
  <si>
    <t>SIM-AMAZON-001076</t>
  </si>
  <si>
    <t>SN0000D3ZBM</t>
  </si>
  <si>
    <t>SIM-AMAZON-000905</t>
  </si>
  <si>
    <t>350000000000563</t>
  </si>
  <si>
    <t>SIM-AMAZON-000869</t>
  </si>
  <si>
    <t>350000000000539</t>
  </si>
  <si>
    <t>SIM-AMAZON-000908</t>
  </si>
  <si>
    <t>SN0000B2QCY</t>
  </si>
  <si>
    <t>SIM-AMAZON-001004</t>
  </si>
  <si>
    <t>350000000000623</t>
  </si>
  <si>
    <t>SIM-AMAZON-001966</t>
  </si>
  <si>
    <t>SIM-AMAZON-001049</t>
  </si>
  <si>
    <t>350000000000651</t>
  </si>
  <si>
    <t>SIM-AMAZON-001053</t>
  </si>
  <si>
    <t>SN0000CVRKD</t>
  </si>
  <si>
    <t>SIM-AMAZON-000833</t>
  </si>
  <si>
    <t>SN0000A5P5K</t>
  </si>
  <si>
    <t>SIM-AMAZON-000921</t>
  </si>
  <si>
    <t>350000000000575</t>
  </si>
  <si>
    <t>SIM-AMAZON-001596</t>
  </si>
  <si>
    <t>SIM-AMAZON-001055</t>
  </si>
  <si>
    <t>350000000000656</t>
  </si>
  <si>
    <t>SIM-AMAZON-001034</t>
  </si>
  <si>
    <t>SN0000CSNW6</t>
  </si>
  <si>
    <t>SIM-AMAZON-001996</t>
  </si>
  <si>
    <t>SIM-AMAZON-000791</t>
  </si>
  <si>
    <t>350000000000490</t>
  </si>
  <si>
    <t>SIM-AMAZON-000836</t>
  </si>
  <si>
    <t>350000000000518</t>
  </si>
  <si>
    <t>SIM-AMAZON-000872</t>
  </si>
  <si>
    <t>350000000000541</t>
  </si>
  <si>
    <t>SIM-AMAZON-001012</t>
  </si>
  <si>
    <t>SN0000CF93V</t>
  </si>
  <si>
    <t>SIM-AMAZON-000710</t>
  </si>
  <si>
    <t>SN00008GSSS</t>
  </si>
  <si>
    <t>SIM-AMAZON-000819</t>
  </si>
  <si>
    <t>350000000000507</t>
  </si>
  <si>
    <t>SIM-AMAZON-001014</t>
  </si>
  <si>
    <t>SN0000CICQ4</t>
  </si>
  <si>
    <t>SIM-AMAZON-001974</t>
  </si>
  <si>
    <t>SIM-AMAZON-001986</t>
  </si>
  <si>
    <t>SIM-AMAZON-002014</t>
  </si>
  <si>
    <t>SIM-AMAZON-000739</t>
  </si>
  <si>
    <t>350000000000464</t>
  </si>
  <si>
    <t>SIM-AMAZON-001972</t>
  </si>
  <si>
    <t>SIM-AMAZON-000940</t>
  </si>
  <si>
    <t>350000000000584</t>
  </si>
  <si>
    <t>SIM-AMAZON-000964</t>
  </si>
  <si>
    <t>SN0000BULGC</t>
  </si>
  <si>
    <t>SIM-AMAZON-001995</t>
  </si>
  <si>
    <t>SIM-AMAZON-002022</t>
  </si>
  <si>
    <t>SIM-AMAZON-000708</t>
  </si>
  <si>
    <t>SN00008FRKD</t>
  </si>
  <si>
    <t>SIM-AMAZON-000804</t>
  </si>
  <si>
    <t>350000000000495</t>
  </si>
  <si>
    <t>SIM-AMAZON-000849</t>
  </si>
  <si>
    <t>SN0000ABVFZ</t>
  </si>
  <si>
    <t>SIM-AMAZON-000927</t>
  </si>
  <si>
    <t>350000000000578</t>
  </si>
  <si>
    <t>SIM-AMAZON-000951</t>
  </si>
  <si>
    <t>SN0000BOE6W</t>
  </si>
  <si>
    <t>SIM-AMAZON-000684</t>
  </si>
  <si>
    <t>350000000000428</t>
  </si>
  <si>
    <t>SIM-AMAZON-000853</t>
  </si>
  <si>
    <t>350000000000528</t>
  </si>
  <si>
    <t>SIM-AMAZON-000874</t>
  </si>
  <si>
    <t>SN0000AN93V</t>
  </si>
  <si>
    <t>SIM-AMAZON-000922</t>
  </si>
  <si>
    <t>350000000000576</t>
  </si>
  <si>
    <t>SIM-AMAZON-000932</t>
  </si>
  <si>
    <t>SN0000BBZBM</t>
  </si>
  <si>
    <t>SIM-AMAZON-001962</t>
  </si>
  <si>
    <t>SIM-AMAZON-001993</t>
  </si>
  <si>
    <t>SIM-AMAZON-000813</t>
  </si>
  <si>
    <t>350000000000501</t>
  </si>
  <si>
    <t>SIM-AMAZON-000895</t>
  </si>
  <si>
    <t>SN0000AYLGC</t>
  </si>
  <si>
    <t>SIM-AMAZON-000963</t>
  </si>
  <si>
    <t>SN0000BTK9X</t>
  </si>
  <si>
    <t>SIM-AMAZON-001581</t>
  </si>
  <si>
    <t>SIM-AMAZON-000654</t>
  </si>
  <si>
    <t>SN00007T3RF</t>
  </si>
  <si>
    <t>SIM-AMAZON-000765</t>
  </si>
  <si>
    <t>350000000000478</t>
  </si>
  <si>
    <t>SIM-AMAZON-000947</t>
  </si>
  <si>
    <t>SN0000BMCQ4</t>
  </si>
  <si>
    <t>SIM-AMAZON-001939</t>
  </si>
  <si>
    <t>SIM-AMAZON-001948</t>
  </si>
  <si>
    <t>SIM-AMAZON-000727</t>
  </si>
  <si>
    <t>350000000000456</t>
  </si>
  <si>
    <t>SIM-AMAZON-000792</t>
  </si>
  <si>
    <t>SN00009JZBM</t>
  </si>
  <si>
    <t>SIM-AMAZON-000893</t>
  </si>
  <si>
    <t>SN0000AWJ2J</t>
  </si>
  <si>
    <t>SIM-AMAZON-001909</t>
  </si>
  <si>
    <t>SIM-AMAZON-000717</t>
  </si>
  <si>
    <t>350000000000449</t>
  </si>
  <si>
    <t>SIM-AMAZON-000892</t>
  </si>
  <si>
    <t>350000000000554</t>
  </si>
  <si>
    <t>SIM-AMAZON-001885</t>
  </si>
  <si>
    <t>SIM-AMAZON-001575</t>
  </si>
  <si>
    <t>SIM-AMAZON-000713</t>
  </si>
  <si>
    <t>350000000000447</t>
  </si>
  <si>
    <t>SIM-AMAZON-000745</t>
  </si>
  <si>
    <t>350000000000467</t>
  </si>
  <si>
    <t>SIM-AMAZON-000891</t>
  </si>
  <si>
    <t>350000000000553</t>
  </si>
  <si>
    <t>SIM-AMAZON-001918</t>
  </si>
  <si>
    <t>SIM-AMAZON-000570</t>
  </si>
  <si>
    <t>SN00006OSSS</t>
  </si>
  <si>
    <t>SIM-AMAZON-000571</t>
  </si>
  <si>
    <t>350000000000357</t>
  </si>
  <si>
    <t>SIM-AMAZON-000608</t>
  </si>
  <si>
    <t>SN00007BHT5</t>
  </si>
  <si>
    <t>SIM-AMAZON-000632</t>
  </si>
  <si>
    <t>350000000000392</t>
  </si>
  <si>
    <t>SIM-AMAZON-001946</t>
  </si>
  <si>
    <t>SIM-AMAZON-001949</t>
  </si>
  <si>
    <t>SIM-AMAZON-000555</t>
  </si>
  <si>
    <t>SN00006GJ2J</t>
  </si>
  <si>
    <t>SIM-AMAZON-000662</t>
  </si>
  <si>
    <t>350000000000412</t>
  </si>
  <si>
    <t>SIM-AMAZON-000749</t>
  </si>
  <si>
    <t>350000000000471</t>
  </si>
  <si>
    <t>SIM-AMAZON-000755</t>
  </si>
  <si>
    <t>350000000000473</t>
  </si>
  <si>
    <t>SIM-AMAZON-000865</t>
  </si>
  <si>
    <t>350000000000538</t>
  </si>
  <si>
    <t>SIM-AMAZON-000499</t>
  </si>
  <si>
    <t>350000000000312</t>
  </si>
  <si>
    <t>SIM-AMAZON-000548</t>
  </si>
  <si>
    <t>SN00006ACQ4</t>
  </si>
  <si>
    <t>SIM-AMAZON-000594</t>
  </si>
  <si>
    <t>SN00007393V</t>
  </si>
  <si>
    <t>SIM-AMAZON-000645</t>
  </si>
  <si>
    <t>SN00007NVFZ</t>
  </si>
  <si>
    <t>SIM-AMAZON-000800</t>
  </si>
  <si>
    <t>SN00009O6EN</t>
  </si>
  <si>
    <t>SIM-AMAZON-001927</t>
  </si>
  <si>
    <t>SIM-AMAZON-001930</t>
  </si>
  <si>
    <t>SIM-AMAZON-001935</t>
  </si>
  <si>
    <t>SIM-AMAZON-000530</t>
  </si>
  <si>
    <t>SN000063579</t>
  </si>
  <si>
    <t>SIM-AMAZON-000697</t>
  </si>
  <si>
    <t>SN00008ALGC</t>
  </si>
  <si>
    <t>SIM-AMAZON-000829</t>
  </si>
  <si>
    <t>350000000000514</t>
  </si>
  <si>
    <t>SIM-AMAZON-000757</t>
  </si>
  <si>
    <t>350000000000474</t>
  </si>
  <si>
    <t>SIM-AMAZON-000790</t>
  </si>
  <si>
    <t>SN00009IY48</t>
  </si>
  <si>
    <t>SIM-AMAZON-000805</t>
  </si>
  <si>
    <t>SN00009R93V</t>
  </si>
  <si>
    <t>SIM-AMAZON-001555</t>
  </si>
  <si>
    <t>SIM-AMAZON-000628</t>
  </si>
  <si>
    <t>350000000000389</t>
  </si>
  <si>
    <t>SIM-AMAZON-000704</t>
  </si>
  <si>
    <t>SN00008CNW6</t>
  </si>
  <si>
    <t>SIM-AMAZON-000529</t>
  </si>
  <si>
    <t>350000000000334</t>
  </si>
  <si>
    <t>SIM-AMAZON-000551</t>
  </si>
  <si>
    <t>SN00006DFDB</t>
  </si>
  <si>
    <t>SIM-AMAZON-000617</t>
  </si>
  <si>
    <t>SN00007FMPR</t>
  </si>
  <si>
    <t>SIM-AMAZON-000741</t>
  </si>
  <si>
    <t>SN00008R579</t>
  </si>
  <si>
    <t>SIM-AMAZON-000656</t>
  </si>
  <si>
    <t>SN00007U4YU</t>
  </si>
  <si>
    <t>SIM-AMAZON-000675</t>
  </si>
  <si>
    <t>SN000082CQ4</t>
  </si>
  <si>
    <t>SIM-AMAZON-000477</t>
  </si>
  <si>
    <t>SN00005FDXH</t>
  </si>
  <si>
    <t>SIM-AMAZON-000681</t>
  </si>
  <si>
    <t>350000000000425</t>
  </si>
  <si>
    <t>SIM-AMAZON-000702</t>
  </si>
  <si>
    <t>350000000000439</t>
  </si>
  <si>
    <t>SIM-AMAZON-001932</t>
  </si>
  <si>
    <t>SIM-AMAZON-000494</t>
  </si>
  <si>
    <t>350000000000310</t>
  </si>
  <si>
    <t>SIM-AMAZON-000566</t>
  </si>
  <si>
    <t>350000000000355</t>
  </si>
  <si>
    <t>SIM-AMAZON-000696</t>
  </si>
  <si>
    <t>350000000000435</t>
  </si>
  <si>
    <t>SIM-AMAZON-000376</t>
  </si>
  <si>
    <t>SN0000493RF</t>
  </si>
  <si>
    <t>SIM-AMAZON-000429</t>
  </si>
  <si>
    <t>350000000000269</t>
  </si>
  <si>
    <t>SIM-AMAZON-001908</t>
  </si>
  <si>
    <t>SIM-AMAZON-001936</t>
  </si>
  <si>
    <t>SIM-AMAZON-000606</t>
  </si>
  <si>
    <t>SN000079FDB</t>
  </si>
  <si>
    <t>SIM-AMAZON-000639</t>
  </si>
  <si>
    <t>350000000000396</t>
  </si>
  <si>
    <t>SIM-AMAZON-000425</t>
  </si>
  <si>
    <t>350000000000265</t>
  </si>
  <si>
    <t>SIM-AMAZON-000451</t>
  </si>
  <si>
    <t>350000000000283</t>
  </si>
  <si>
    <t>SIM-AMAZON-001810</t>
  </si>
  <si>
    <t>SIM-AMAZON-000528</t>
  </si>
  <si>
    <t>SN0000624YU</t>
  </si>
  <si>
    <t>SIM-AMAZON-000562</t>
  </si>
  <si>
    <t>350000000000351</t>
  </si>
  <si>
    <t>SIM-AMAZON-000395</t>
  </si>
  <si>
    <t>SN00004LFDB</t>
  </si>
  <si>
    <t>SIM-AMAZON-001805</t>
  </si>
  <si>
    <t>SIM-AMAZON-001807</t>
  </si>
  <si>
    <t>SIM-AMAZON-000615</t>
  </si>
  <si>
    <t>350000000000379</t>
  </si>
  <si>
    <t>SIM-AMAZON-000392</t>
  </si>
  <si>
    <t>SN00004KE6W</t>
  </si>
  <si>
    <t>SIM-AMAZON-000434</t>
  </si>
  <si>
    <t>350000000000274</t>
  </si>
  <si>
    <t>SIM-AMAZON-000479</t>
  </si>
  <si>
    <t>350000000000302</t>
  </si>
  <si>
    <t>SIM-AMAZON-001826</t>
  </si>
  <si>
    <t>SIM-AMAZON-001830</t>
  </si>
  <si>
    <t>SIM-AMAZON-001823</t>
  </si>
  <si>
    <t>SIM-AMAZON-001835</t>
  </si>
  <si>
    <t>SIM-AMAZON-000519</t>
  </si>
  <si>
    <t>350000000000327</t>
  </si>
  <si>
    <t>SIM-AMAZON-000569</t>
  </si>
  <si>
    <t>350000000000356</t>
  </si>
  <si>
    <t>SIM-AMAZON-000641</t>
  </si>
  <si>
    <t>350000000000398</t>
  </si>
  <si>
    <t>SIM-AMAZON-000348</t>
  </si>
  <si>
    <t>350000000000223</t>
  </si>
  <si>
    <t>SIM-AMAZON-000387</t>
  </si>
  <si>
    <t>350000000000239</t>
  </si>
  <si>
    <t>SIM-AMAZON-001833</t>
  </si>
  <si>
    <t>SIM-AMAZON-000498</t>
  </si>
  <si>
    <t>SN00005RRKD</t>
  </si>
  <si>
    <t>SIM-AMAZON-000602</t>
  </si>
  <si>
    <t>SN000077DXH</t>
  </si>
  <si>
    <t>SIM-AMAZON-000619</t>
  </si>
  <si>
    <t>350000000000381</t>
  </si>
  <si>
    <t>SIM-AMAZON-000402</t>
  </si>
  <si>
    <t>SN00004OJ2J</t>
  </si>
  <si>
    <t>SIM-AMAZON-000404</t>
  </si>
  <si>
    <t>350000000000252</t>
  </si>
  <si>
    <t>SIM-AMAZON-001851</t>
  </si>
  <si>
    <t>SIM-AMAZON-000610</t>
  </si>
  <si>
    <t>350000000000375</t>
  </si>
  <si>
    <t>SIM-AMAZON-000286</t>
  </si>
  <si>
    <t>350000000000190</t>
  </si>
  <si>
    <t>SIM-AMAZON-000513</t>
  </si>
  <si>
    <t>350000000000324</t>
  </si>
  <si>
    <t>SIM-AMAZON-000272</t>
  </si>
  <si>
    <t>350000000000180</t>
  </si>
  <si>
    <t>SIM-AMAZON-000290</t>
  </si>
  <si>
    <t>SN000030NW6</t>
  </si>
  <si>
    <t>SIM-AMAZON-000424</t>
  </si>
  <si>
    <t>350000000000264</t>
  </si>
  <si>
    <t>SIM-AMAZON-000444</t>
  </si>
  <si>
    <t>SN000051XVT</t>
  </si>
  <si>
    <t>SIM-AMAZON-001860</t>
  </si>
  <si>
    <t>SIM-AMAZON-000492</t>
  </si>
  <si>
    <t>350000000000309</t>
  </si>
  <si>
    <t>SIM-AMAZON-000541</t>
  </si>
  <si>
    <t>SN0000668UG</t>
  </si>
  <si>
    <t>SIM-AMAZON-000545</t>
  </si>
  <si>
    <t>SN000069BHP</t>
  </si>
  <si>
    <t>SIM-AMAZON-000576</t>
  </si>
  <si>
    <t>350000000000359</t>
  </si>
  <si>
    <t>SIM-AMAZON-001870</t>
  </si>
  <si>
    <t>SIM-AMAZON-000407</t>
  </si>
  <si>
    <t>SN00004QLGC</t>
  </si>
  <si>
    <t>SIM-AMAZON-000393</t>
  </si>
  <si>
    <t>350000000000244</t>
  </si>
  <si>
    <t>SIM-AMAZON-000438</t>
  </si>
  <si>
    <t>350000000000277</t>
  </si>
  <si>
    <t>SIM-AMAZON-000473</t>
  </si>
  <si>
    <t>SN00005CAAA</t>
  </si>
  <si>
    <t>SIM-AMAZON-000525</t>
  </si>
  <si>
    <t>SN0000602J2</t>
  </si>
  <si>
    <t>SIM-AMAZON-000333</t>
  </si>
  <si>
    <t>350000000000216</t>
  </si>
  <si>
    <t>SIM-AMAZON-001804</t>
  </si>
  <si>
    <t>SIM-AMAZON-001843</t>
  </si>
  <si>
    <t>SIM-AMAZON-000227</t>
  </si>
  <si>
    <t>SN000028SSS</t>
  </si>
  <si>
    <t>SIM-AMAZON-000161</t>
  </si>
  <si>
    <t>350000000000114</t>
  </si>
  <si>
    <t>SIM-AMAZON-000381</t>
  </si>
  <si>
    <t>SN00004C6EN</t>
  </si>
  <si>
    <t>SIM-AMAZON-000463</t>
  </si>
  <si>
    <t>SN0000586EN</t>
  </si>
  <si>
    <t>SIM-AMAZON-001853</t>
  </si>
  <si>
    <t>SIM-AMAZON-001540</t>
  </si>
  <si>
    <t>SIM-AMAZON-000259</t>
  </si>
  <si>
    <t>SN00002L7M3</t>
  </si>
  <si>
    <t>SIM-AMAZON-000302</t>
  </si>
  <si>
    <t>350000000000199</t>
  </si>
  <si>
    <t>SIM-AMAZON-000310</t>
  </si>
  <si>
    <t>SN00003AY48</t>
  </si>
  <si>
    <t>SIM-AMAZON-000357</t>
  </si>
  <si>
    <t>350000000000226</t>
  </si>
  <si>
    <t>SIM-AMAZON-000423</t>
  </si>
  <si>
    <t>SN00004WSSS</t>
  </si>
  <si>
    <t>SIM-AMAZON-000441</t>
  </si>
  <si>
    <t>350000000000279</t>
  </si>
  <si>
    <t>SIM-AMAZON-001784</t>
  </si>
  <si>
    <t>SIM-AMAZON-001531</t>
  </si>
  <si>
    <t>SIM-AMAZON-000243</t>
  </si>
  <si>
    <t>350000000000166</t>
  </si>
  <si>
    <t>SIM-AMAZON-000359</t>
  </si>
  <si>
    <t>SN00003ZRKD</t>
  </si>
  <si>
    <t>SIM-AMAZON-001749</t>
  </si>
  <si>
    <t>SIM-AMAZON-001797</t>
  </si>
  <si>
    <t>SIM-AMAZON-001743</t>
  </si>
  <si>
    <t>SIM-AMAZON-000191</t>
  </si>
  <si>
    <t>SN00001UCQ4</t>
  </si>
  <si>
    <t>SIM-AMAZON-000089</t>
  </si>
  <si>
    <t>350000000000059</t>
  </si>
  <si>
    <t>SIM-AMAZON-000225</t>
  </si>
  <si>
    <t>SN000027RKD</t>
  </si>
  <si>
    <t>SIM-AMAZON-001793</t>
  </si>
  <si>
    <t>SIM-AMAZON-001536</t>
  </si>
  <si>
    <t>SIM-AMAZON-001730</t>
  </si>
  <si>
    <t>SIM-AMAZON-000197</t>
  </si>
  <si>
    <t>350000000000136</t>
  </si>
  <si>
    <t>SIM-AMAZON-000349</t>
  </si>
  <si>
    <t>350000000000224</t>
  </si>
  <si>
    <t>SIM-AMAZON-001524</t>
  </si>
  <si>
    <t>SIM-AMAZON-001551</t>
  </si>
  <si>
    <t>SIM-AMAZON-000314</t>
  </si>
  <si>
    <t>SN00003C2J2</t>
  </si>
  <si>
    <t>SIM-AMAZON-000019</t>
  </si>
  <si>
    <t>350000000000012</t>
  </si>
  <si>
    <t>SIM-AMAZON-001763</t>
  </si>
  <si>
    <t>SIM-AMAZON-000250</t>
  </si>
  <si>
    <t>SN00002G2J2</t>
  </si>
  <si>
    <t>SIM-AMAZON-000256</t>
  </si>
  <si>
    <t>SN00002K6EN</t>
  </si>
  <si>
    <t>SIM-AMAZON-000263</t>
  </si>
  <si>
    <t>SN00002N93V</t>
  </si>
  <si>
    <t>SIM-AMAZON-000291</t>
  </si>
  <si>
    <t>SN000031P5K</t>
  </si>
  <si>
    <t>SIM-AMAZON-001765</t>
  </si>
  <si>
    <t>SIM-AMAZON-001727</t>
  </si>
  <si>
    <t>SIM-AMAZON-000094</t>
  </si>
  <si>
    <t>350000000000063</t>
  </si>
  <si>
    <t>SIM-AMAZON-001744</t>
  </si>
  <si>
    <t>SIM-AMAZON-000039</t>
  </si>
  <si>
    <t>350000000000024</t>
  </si>
  <si>
    <t>SIM-AMAZON-000085</t>
  </si>
  <si>
    <t>350000000000055</t>
  </si>
  <si>
    <t>SIM-AMAZON-000101</t>
  </si>
  <si>
    <t>350000000000067</t>
  </si>
  <si>
    <t>SIM-AMAZON-000207</t>
  </si>
  <si>
    <t>SN000020J2J</t>
  </si>
  <si>
    <t>SIM-AMAZON-000078</t>
  </si>
  <si>
    <t>350000000000049</t>
  </si>
  <si>
    <t>SIM-AMAZON-000143</t>
  </si>
  <si>
    <t>SN00001BRKD</t>
  </si>
  <si>
    <t>SIM-AMAZON-000152</t>
  </si>
  <si>
    <t>350000000000108</t>
  </si>
  <si>
    <t>SIM-AMAZON-000154</t>
  </si>
  <si>
    <t>350000000000110</t>
  </si>
  <si>
    <t>SIM-AMAZON-000008</t>
  </si>
  <si>
    <t>350000000000006</t>
  </si>
  <si>
    <t>Refund</t>
  </si>
  <si>
    <t>Refund — Customer changed their mind</t>
  </si>
  <si>
    <t>SIM-AMAZON-000245</t>
  </si>
  <si>
    <t>350000000000168</t>
  </si>
  <si>
    <t>SIM-AMAZON-000012</t>
  </si>
  <si>
    <t>350000000000008</t>
  </si>
  <si>
    <t>SIM-AMAZON-001764</t>
  </si>
  <si>
    <t>SIM-AMAZON-001775</t>
  </si>
  <si>
    <t>SIM-AMAZON-001724</t>
  </si>
  <si>
    <t>SIM-AMAZON-000184</t>
  </si>
  <si>
    <t>350000000000128</t>
  </si>
  <si>
    <t>SIM-AMAZON-000002</t>
  </si>
  <si>
    <t>350000000000001</t>
  </si>
  <si>
    <t>SIM-AMAZON-000021</t>
  </si>
  <si>
    <t>SN000007HT5</t>
  </si>
  <si>
    <t>SIM-AMAZON-001754</t>
  </si>
  <si>
    <t>SIM-AMAZON-000141</t>
  </si>
  <si>
    <t>SN00001AQCY</t>
  </si>
  <si>
    <t>SIM-AMAZON-000011</t>
  </si>
  <si>
    <t>350000000000007</t>
  </si>
  <si>
    <t>SIM-AMAZON-000035</t>
  </si>
  <si>
    <t>SN00000EQCY</t>
  </si>
  <si>
    <t>SIM-AMAZON-000054</t>
  </si>
  <si>
    <t>350000000000032</t>
  </si>
  <si>
    <t>SIM-AMAZON-000124</t>
  </si>
  <si>
    <t>350000000000087</t>
  </si>
  <si>
    <t>SIM-AMAZON-001538</t>
  </si>
  <si>
    <t>SIM-AMAZON-001660</t>
  </si>
  <si>
    <t>SIM-AMAZON-001700</t>
  </si>
  <si>
    <t>SIM-AMAZON-000041</t>
  </si>
  <si>
    <t>SN00000HTZ7</t>
  </si>
  <si>
    <t>SIM-AMAZON-000060</t>
  </si>
  <si>
    <t>350000000000037</t>
  </si>
  <si>
    <t>SIM-AMAZON-000088</t>
  </si>
  <si>
    <t>350000000000058</t>
  </si>
  <si>
    <t>SIM-AMAZON-000114</t>
  </si>
  <si>
    <t>350000000000077</t>
  </si>
  <si>
    <t>SIM-AMAZON-001684</t>
  </si>
  <si>
    <t>SIM-AMAZON-000048</t>
  </si>
  <si>
    <t>SN00000MY48</t>
  </si>
  <si>
    <t>SIM-AMAZON-000074</t>
  </si>
  <si>
    <t>350000000000046</t>
  </si>
  <si>
    <t>SIM-AMAZON-001664</t>
  </si>
  <si>
    <t>SIM-AMAZON-001709</t>
  </si>
  <si>
    <t>SIM-AMAZON-001645</t>
  </si>
  <si>
    <t>SIM-AMAZON-000111</t>
  </si>
  <si>
    <t>350000000000074</t>
  </si>
  <si>
    <t>SIM-AMAZON-000025</t>
  </si>
  <si>
    <t>SN000009K9X</t>
  </si>
  <si>
    <t>SIM-AMAZON-001652</t>
  </si>
  <si>
    <t>SIM-AMAZON-000052</t>
  </si>
  <si>
    <t>350000000000030</t>
  </si>
  <si>
    <t>SIM-AMAZON-000049</t>
  </si>
  <si>
    <t>350000000000028</t>
  </si>
  <si>
    <t>SIM-AMAZON-000007</t>
  </si>
  <si>
    <t>350000000000005</t>
  </si>
  <si>
    <t>SIM-AMAZON-001697</t>
  </si>
  <si>
    <t>SIM-AMAZON-001647</t>
  </si>
  <si>
    <t>SIM-AMAZON-001699</t>
  </si>
  <si>
    <t>SIM-AMAZON-000017</t>
  </si>
  <si>
    <t>350000000000010</t>
  </si>
  <si>
    <t>SIM-AMAZON-001661</t>
  </si>
  <si>
    <t>SIM-AMAZON-001701</t>
  </si>
  <si>
    <t>Customer Care Fees</t>
  </si>
  <si>
    <t>SIM-BM-001520</t>
  </si>
  <si>
    <t>350000000000945</t>
  </si>
  <si>
    <t>SIM-BM-001219</t>
  </si>
  <si>
    <t>SN0000F4AAA</t>
  </si>
  <si>
    <t>SIM-BM-001295</t>
  </si>
  <si>
    <t>SN0000G6GLQ</t>
  </si>
  <si>
    <t>SIM-BM-001301</t>
  </si>
  <si>
    <t>SN0000G9K9X</t>
  </si>
  <si>
    <t>SIM-BM-001307</t>
  </si>
  <si>
    <t>SN0000GDP5K</t>
  </si>
  <si>
    <t>SIM-BM-001309</t>
  </si>
  <si>
    <t>350000000000807</t>
  </si>
  <si>
    <t>SIM-BM-001317</t>
  </si>
  <si>
    <t>SN0000GIU8L</t>
  </si>
  <si>
    <t>SIM-BM-001338</t>
  </si>
  <si>
    <t>350000000000827</t>
  </si>
  <si>
    <t>SIM-BM-001340</t>
  </si>
  <si>
    <t>SN0000GU8UG</t>
  </si>
  <si>
    <t>SIM-BM-001378</t>
  </si>
  <si>
    <t>350000000000850</t>
  </si>
  <si>
    <t>SIM-BM-001383</t>
  </si>
  <si>
    <t>350000000000852</t>
  </si>
  <si>
    <t>SIM-BM-001384</t>
  </si>
  <si>
    <t>350000000000853</t>
  </si>
  <si>
    <t>SIM-BM-001386</t>
  </si>
  <si>
    <t>350000000000855</t>
  </si>
  <si>
    <t>SIM-BM-001387</t>
  </si>
  <si>
    <t>SN0000HFVFZ</t>
  </si>
  <si>
    <t>SIM-BM-001396</t>
  </si>
  <si>
    <t>350000000000861</t>
  </si>
  <si>
    <t>SIM-BM-001401</t>
  </si>
  <si>
    <t>350000000000864</t>
  </si>
  <si>
    <t>SIM-BM-001405</t>
  </si>
  <si>
    <t>SN0000HL3RF</t>
  </si>
  <si>
    <t>SIM-BM-001409</t>
  </si>
  <si>
    <t>SN0000HP7M3</t>
  </si>
  <si>
    <t>SIM-BM-001418</t>
  </si>
  <si>
    <t>350000000000872</t>
  </si>
  <si>
    <t>SIM-BM-001420</t>
  </si>
  <si>
    <t>350000000000873</t>
  </si>
  <si>
    <t>SIM-BM-001424</t>
  </si>
  <si>
    <t>350000000000876</t>
  </si>
  <si>
    <t>SIM-BM-001425</t>
  </si>
  <si>
    <t>350000000000877</t>
  </si>
  <si>
    <t>SIM-BM-001435</t>
  </si>
  <si>
    <t>350000000000884</t>
  </si>
  <si>
    <t>SIM-BM-001439</t>
  </si>
  <si>
    <t>SN0000I2LGC</t>
  </si>
  <si>
    <t>SIM-BM-001440</t>
  </si>
  <si>
    <t>350000000000887</t>
  </si>
  <si>
    <t>SIM-BM-001443</t>
  </si>
  <si>
    <t>350000000000890</t>
  </si>
  <si>
    <t>SIM-BM-001451</t>
  </si>
  <si>
    <t>350000000000895</t>
  </si>
  <si>
    <t>SIM-BM-001472</t>
  </si>
  <si>
    <t>SN0000IFZBM</t>
  </si>
  <si>
    <t>SIM-BM-001475</t>
  </si>
  <si>
    <t>350000000000912</t>
  </si>
  <si>
    <t>SIM-BM-001477</t>
  </si>
  <si>
    <t>350000000000914</t>
  </si>
  <si>
    <t>SIM-BM-001478</t>
  </si>
  <si>
    <t>350000000000915</t>
  </si>
  <si>
    <t>SIM-BM-001481</t>
  </si>
  <si>
    <t>SN0000IG2J2</t>
  </si>
  <si>
    <t>SIM-BM-001490</t>
  </si>
  <si>
    <t>350000000000923</t>
  </si>
  <si>
    <t>SIM-BM-001496</t>
  </si>
  <si>
    <t>350000000000927</t>
  </si>
  <si>
    <t>SIM-BM-001507</t>
  </si>
  <si>
    <t>350000000000935</t>
  </si>
  <si>
    <t>SIM-BM-001510</t>
  </si>
  <si>
    <t>350000000000938</t>
  </si>
  <si>
    <t>SIM-BM-001514</t>
  </si>
  <si>
    <t>SN0000ISE6W</t>
  </si>
  <si>
    <t>SIM-BM-002105</t>
  </si>
  <si>
    <t>SIM-BM-002107</t>
  </si>
  <si>
    <t>SIM-BM-002126</t>
  </si>
  <si>
    <t>SIM-BM-002143</t>
  </si>
  <si>
    <t>SIM-BM-002146</t>
  </si>
  <si>
    <t>SIM-BM-002149</t>
  </si>
  <si>
    <t>SIM-BM-002151</t>
  </si>
  <si>
    <t>SIM-BM-002155</t>
  </si>
  <si>
    <t>SIM-BM-002159</t>
  </si>
  <si>
    <t>SIM-BM-002171</t>
  </si>
  <si>
    <t>SIM-BM-002177</t>
  </si>
  <si>
    <t>SIM-BM-001638</t>
  </si>
  <si>
    <t>SIM-BM-001639</t>
  </si>
  <si>
    <t>SIM-BM-001644</t>
  </si>
  <si>
    <t>SIM-BM-001628</t>
  </si>
  <si>
    <t>SIM-BM-001633</t>
  </si>
  <si>
    <t>SIM-BM-001621</t>
  </si>
  <si>
    <t>SIM-BM-001624</t>
  </si>
  <si>
    <t>SIM-BM-001627</t>
  </si>
  <si>
    <t>SIM-BM-001489</t>
  </si>
  <si>
    <t>350000000000922</t>
  </si>
  <si>
    <t>SIM-BM-001625</t>
  </si>
  <si>
    <t>SIM-BM-001423</t>
  </si>
  <si>
    <t>SN0000HWE6W</t>
  </si>
  <si>
    <t>SIM-BM-001444</t>
  </si>
  <si>
    <t>350000000000891</t>
  </si>
  <si>
    <t>SIM-BM-002112</t>
  </si>
  <si>
    <t>SIM-BM-001190</t>
  </si>
  <si>
    <t>SN0000EQU8L</t>
  </si>
  <si>
    <t>SIM-BM-001268</t>
  </si>
  <si>
    <t>SN0000FNVFZ</t>
  </si>
  <si>
    <t>SIM-BM-001347</t>
  </si>
  <si>
    <t>SN0000GWAAA</t>
  </si>
  <si>
    <t>SIM-BM-001394</t>
  </si>
  <si>
    <t>350000000000860</t>
  </si>
  <si>
    <t>SIM-BM-001431</t>
  </si>
  <si>
    <t>SN0000HZHT5</t>
  </si>
  <si>
    <t>SIM-BM-002117</t>
  </si>
  <si>
    <t>SIM-BM-002119</t>
  </si>
  <si>
    <t>SIM-BM-002161</t>
  </si>
  <si>
    <t>SIM-BM-001622</t>
  </si>
  <si>
    <t>SIM-BM-001135</t>
  </si>
  <si>
    <t>350000000000707</t>
  </si>
  <si>
    <t>SIM-BM-001194</t>
  </si>
  <si>
    <t>350000000000738</t>
  </si>
  <si>
    <t>SIM-BM-001212</t>
  </si>
  <si>
    <t>SN0000F06EN</t>
  </si>
  <si>
    <t>SIM-BM-001214</t>
  </si>
  <si>
    <t>SN0000F17M3</t>
  </si>
  <si>
    <t>SIM-BM-001235</t>
  </si>
  <si>
    <t>350000000000764</t>
  </si>
  <si>
    <t>SIM-BM-001300</t>
  </si>
  <si>
    <t>SN0000G8J2J</t>
  </si>
  <si>
    <t>SIM-BM-002172</t>
  </si>
  <si>
    <t>SIM-BM-001631</t>
  </si>
  <si>
    <t>SIM-BM-001604</t>
  </si>
  <si>
    <t>SIM-BM-001322</t>
  </si>
  <si>
    <t>SN0000GLXVT</t>
  </si>
  <si>
    <t>SIM-BM-001412</t>
  </si>
  <si>
    <t>350000000000869</t>
  </si>
  <si>
    <t>SIM-BM-002133</t>
  </si>
  <si>
    <t>SIM-BM-001118</t>
  </si>
  <si>
    <t>350000000000699</t>
  </si>
  <si>
    <t>SIM-BM-001141</t>
  </si>
  <si>
    <t>350000000000713</t>
  </si>
  <si>
    <t>SIM-BM-001267</t>
  </si>
  <si>
    <t>350000000000786</t>
  </si>
  <si>
    <t>SIM-BM-001395</t>
  </si>
  <si>
    <t>SN0000HIY48</t>
  </si>
  <si>
    <t>SIM-BM-001406</t>
  </si>
  <si>
    <t>SN0000HM4YU</t>
  </si>
  <si>
    <t>SIM-BM-002041</t>
  </si>
  <si>
    <t>SIM-BM-002049</t>
  </si>
  <si>
    <t>SIM-BM-001626</t>
  </si>
  <si>
    <t>SIM-BM-001114</t>
  </si>
  <si>
    <t>350000000000696</t>
  </si>
  <si>
    <t>SIM-BM-001287</t>
  </si>
  <si>
    <t>350000000000798</t>
  </si>
  <si>
    <t>SIM-BM-002034</t>
  </si>
  <si>
    <t>SIM-BM-002069</t>
  </si>
  <si>
    <t>SIM-BM-001045</t>
  </si>
  <si>
    <t>350000000000647</t>
  </si>
  <si>
    <t>SIM-BM-001046</t>
  </si>
  <si>
    <t>350000000000648</t>
  </si>
  <si>
    <t>SIM-BM-002029</t>
  </si>
  <si>
    <t>SIM-BM-001100</t>
  </si>
  <si>
    <t>SN0000DFDXH</t>
  </si>
  <si>
    <t>SIM-BM-001129</t>
  </si>
  <si>
    <t>SN0000DUU8L</t>
  </si>
  <si>
    <t>SIM-BM-001136</t>
  </si>
  <si>
    <t>350000000000708</t>
  </si>
  <si>
    <t>SIM-BM-001264</t>
  </si>
  <si>
    <t>350000000000784</t>
  </si>
  <si>
    <t>SIM-BM-001273</t>
  </si>
  <si>
    <t>350000000000790</t>
  </si>
  <si>
    <t>SIM-BM-002056</t>
  </si>
  <si>
    <t>SIM-BM-001087</t>
  </si>
  <si>
    <t>SN0000D86EN</t>
  </si>
  <si>
    <t>SIM-BM-001103</t>
  </si>
  <si>
    <t>SN0000DGE6W</t>
  </si>
  <si>
    <t>SIM-BM-001107</t>
  </si>
  <si>
    <t>350000000000690</t>
  </si>
  <si>
    <t>SIM-BM-001111</t>
  </si>
  <si>
    <t>350000000000693</t>
  </si>
  <si>
    <t>SIM-BM-001236</t>
  </si>
  <si>
    <t>350000000000765</t>
  </si>
  <si>
    <t>SIM-BM-001611</t>
  </si>
  <si>
    <t>SIM-BM-001059</t>
  </si>
  <si>
    <t>SN0000CWSSS</t>
  </si>
  <si>
    <t>SIM-BM-001097</t>
  </si>
  <si>
    <t>350000000000686</t>
  </si>
  <si>
    <t>SIM-BM-001202</t>
  </si>
  <si>
    <t>350000000000744</t>
  </si>
  <si>
    <t>SIM-BM-001284</t>
  </si>
  <si>
    <t>SN0000FZ93V</t>
  </si>
  <si>
    <t>SIM-BM-001013</t>
  </si>
  <si>
    <t>SN0000CHBHP</t>
  </si>
  <si>
    <t>SIM-BM-002057</t>
  </si>
  <si>
    <t>SIM-BM-002086</t>
  </si>
  <si>
    <t>SIM-BM-001090</t>
  </si>
  <si>
    <t>350000000000680</t>
  </si>
  <si>
    <t>SIM-BM-001165</t>
  </si>
  <si>
    <t>SN0000EDFDB</t>
  </si>
  <si>
    <t>SIM-BM-001172</t>
  </si>
  <si>
    <t>350000000000727</t>
  </si>
  <si>
    <t>SIM-BM-001258</t>
  </si>
  <si>
    <t>350000000000780</t>
  </si>
  <si>
    <t>SIM-BM-000955</t>
  </si>
  <si>
    <t>350000000000591</t>
  </si>
  <si>
    <t>SIM-BM-001616</t>
  </si>
  <si>
    <t>SIM-BM-001152</t>
  </si>
  <si>
    <t>SN0000E46EN</t>
  </si>
  <si>
    <t>SIM-BM-001207</t>
  </si>
  <si>
    <t>350000000000747</t>
  </si>
  <si>
    <t>SIM-BM-001249</t>
  </si>
  <si>
    <t>SN0000FGNW6</t>
  </si>
  <si>
    <t>SIM-BM-001030</t>
  </si>
  <si>
    <t>350000000000633</t>
  </si>
  <si>
    <t>SIM-BM-000984</t>
  </si>
  <si>
    <t>350000000000607</t>
  </si>
  <si>
    <t>SIM-BM-002098</t>
  </si>
  <si>
    <t>SIM-BM-001601</t>
  </si>
  <si>
    <t>SIM-BM-001061</t>
  </si>
  <si>
    <t>SN0000CXTZ7</t>
  </si>
  <si>
    <t>SIM-BM-001106</t>
  </si>
  <si>
    <t>SN0000DJHT5</t>
  </si>
  <si>
    <t>SIM-BM-002045</t>
  </si>
  <si>
    <t>SIM-BM-002092</t>
  </si>
  <si>
    <t>SIM-BM-001043</t>
  </si>
  <si>
    <t>350000000000645</t>
  </si>
  <si>
    <t>SIM-BM-000907</t>
  </si>
  <si>
    <t>SN0000B1P5K</t>
  </si>
  <si>
    <t>SIM-BM-000959</t>
  </si>
  <si>
    <t>SN0000BSJ2J</t>
  </si>
  <si>
    <t>SIM-BM-000968</t>
  </si>
  <si>
    <t>SN0000BWNW6</t>
  </si>
  <si>
    <t>SIM-BM-000998</t>
  </si>
  <si>
    <t>350000000000617</t>
  </si>
  <si>
    <t>SIM-BM-002099</t>
  </si>
  <si>
    <t>SIM-BM-001210</t>
  </si>
  <si>
    <t>SN0000EZ579</t>
  </si>
  <si>
    <t>SIM-BM-000915</t>
  </si>
  <si>
    <t>SN0000B5TZ7</t>
  </si>
  <si>
    <t>SIM-BM-001021</t>
  </si>
  <si>
    <t>SN0000CMGLQ</t>
  </si>
  <si>
    <t>SIM-BM-002053</t>
  </si>
  <si>
    <t>SIM-BM-002065</t>
  </si>
  <si>
    <t>SIM-BM-002080</t>
  </si>
  <si>
    <t>SIM-BM-001583</t>
  </si>
  <si>
    <t>SIM-BM-001176</t>
  </si>
  <si>
    <t>SN0000EJMPR</t>
  </si>
  <si>
    <t>SIM-BM-001126</t>
  </si>
  <si>
    <t>SN0000DQQCY</t>
  </si>
  <si>
    <t>SIM-BM-001162</t>
  </si>
  <si>
    <t>350000000000722</t>
  </si>
  <si>
    <t>SIM-BM-000945</t>
  </si>
  <si>
    <t>SN0000BKAAA</t>
  </si>
  <si>
    <t>SIM-BM-001019</t>
  </si>
  <si>
    <t>SN0000CKE6W</t>
  </si>
  <si>
    <t>SIM-BM-000852</t>
  </si>
  <si>
    <t>350000000000527</t>
  </si>
  <si>
    <t>SIM-BM-000856</t>
  </si>
  <si>
    <t>350000000000530</t>
  </si>
  <si>
    <t>SIM-BM-000946</t>
  </si>
  <si>
    <t>SN0000BLBHP</t>
  </si>
  <si>
    <t>SIM-BM-000953</t>
  </si>
  <si>
    <t>350000000000590</t>
  </si>
  <si>
    <t>SIM-BM-001022</t>
  </si>
  <si>
    <t>SN0000CNHT5</t>
  </si>
  <si>
    <t>SIM-BM-000820</t>
  </si>
  <si>
    <t>350000000000508</t>
  </si>
  <si>
    <t>SIM-BM-002013</t>
  </si>
  <si>
    <t>SIM-BM-002018</t>
  </si>
  <si>
    <t>SIM-BM-000884</t>
  </si>
  <si>
    <t>350000000000549</t>
  </si>
  <si>
    <t>SIM-BM-000958</t>
  </si>
  <si>
    <t>350000000000593</t>
  </si>
  <si>
    <t>SIM-BM-001003</t>
  </si>
  <si>
    <t>350000000000622</t>
  </si>
  <si>
    <t>SIM-BM-001026</t>
  </si>
  <si>
    <t>SN0000CQLGC</t>
  </si>
  <si>
    <t>SIM-BM-001952</t>
  </si>
  <si>
    <t>SIM-BM-001109</t>
  </si>
  <si>
    <t>350000000000692</t>
  </si>
  <si>
    <t>SIM-BM-000871</t>
  </si>
  <si>
    <t>SN0000AM8UG</t>
  </si>
  <si>
    <t>SIM-BM-000985</t>
  </si>
  <si>
    <t>SN0000C4WNE</t>
  </si>
  <si>
    <t>SIM-BM-000881</t>
  </si>
  <si>
    <t>SN0000ARDXH</t>
  </si>
  <si>
    <t>SIM-BM-000883</t>
  </si>
  <si>
    <t>SN0000ASE6W</t>
  </si>
  <si>
    <t>SIM-BM-000887</t>
  </si>
  <si>
    <t>SN0000ATFDB</t>
  </si>
  <si>
    <t>SIM-BM-001023</t>
  </si>
  <si>
    <t>350000000000629</t>
  </si>
  <si>
    <t>SIM-BM-000809</t>
  </si>
  <si>
    <t>350000000000498</t>
  </si>
  <si>
    <t>SIM-BM-000831</t>
  </si>
  <si>
    <t>SN0000A1K9X</t>
  </si>
  <si>
    <t>SIM-BM-000854</t>
  </si>
  <si>
    <t>SN0000AEY48</t>
  </si>
  <si>
    <t>SIM-BM-000933</t>
  </si>
  <si>
    <t>SN0000BC2J2</t>
  </si>
  <si>
    <t>SIM-BM-001963</t>
  </si>
  <si>
    <t>SIM-BM-001594</t>
  </si>
  <si>
    <t>SIM-BM-000882</t>
  </si>
  <si>
    <t>350000000000548</t>
  </si>
  <si>
    <t>SIM-BM-001009</t>
  </si>
  <si>
    <t>SN0000CC6EN</t>
  </si>
  <si>
    <t>SIM-BM-000885</t>
  </si>
  <si>
    <t>350000000000550</t>
  </si>
  <si>
    <t>SIM-BM-000886</t>
  </si>
  <si>
    <t>350000000000551</t>
  </si>
  <si>
    <t>SIM-BM-001028</t>
  </si>
  <si>
    <t>350000000000631</t>
  </si>
  <si>
    <t>SIM-BM-000844</t>
  </si>
  <si>
    <t>350000000000524</t>
  </si>
  <si>
    <t>SIM-BM-001977</t>
  </si>
  <si>
    <t>SIM-BM-002002</t>
  </si>
  <si>
    <t>SIM-BM-000979</t>
  </si>
  <si>
    <t>350000000000603</t>
  </si>
  <si>
    <t>SIM-BM-001016</t>
  </si>
  <si>
    <t>350000000000627</t>
  </si>
  <si>
    <t>SIM-BM-002024</t>
  </si>
  <si>
    <t>SIM-BM-000711</t>
  </si>
  <si>
    <t>350000000000444</t>
  </si>
  <si>
    <t>SIM-BM-000725</t>
  </si>
  <si>
    <t>SN00008LXVT</t>
  </si>
  <si>
    <t>SIM-BM-000814</t>
  </si>
  <si>
    <t>SN00009VDXH</t>
  </si>
  <si>
    <t>SIM-BM-001998</t>
  </si>
  <si>
    <t>SIM-BM-001599</t>
  </si>
  <si>
    <t>SIM-BM-000941</t>
  </si>
  <si>
    <t>350000000000585</t>
  </si>
  <si>
    <t>SIM-BM-000709</t>
  </si>
  <si>
    <t>350000000000443</t>
  </si>
  <si>
    <t>SIM-BM-000769</t>
  </si>
  <si>
    <t>SN000095K9X</t>
  </si>
  <si>
    <t>SIM-BM-000796</t>
  </si>
  <si>
    <t>350000000000493</t>
  </si>
  <si>
    <t>SIM-BM-000901</t>
  </si>
  <si>
    <t>350000000000560</t>
  </si>
  <si>
    <t>SIM-BM-000934</t>
  </si>
  <si>
    <t>350000000000582</t>
  </si>
  <si>
    <t>SIM-BM-000943</t>
  </si>
  <si>
    <t>SN0000BI8UG</t>
  </si>
  <si>
    <t>SIM-BM-000978</t>
  </si>
  <si>
    <t>SN0000C2U8L</t>
  </si>
  <si>
    <t>SIM-BM-000734</t>
  </si>
  <si>
    <t>350000000000461</t>
  </si>
  <si>
    <t>SIM-BM-000754</t>
  </si>
  <si>
    <t>SN00008XBHP</t>
  </si>
  <si>
    <t>SIM-BM-001976</t>
  </si>
  <si>
    <t>SIM-BM-002026</t>
  </si>
  <si>
    <t>SIM-BM-000642</t>
  </si>
  <si>
    <t>350000000000399</t>
  </si>
  <si>
    <t>SIM-BM-000802</t>
  </si>
  <si>
    <t>SN00009Q8UG</t>
  </si>
  <si>
    <t>SIM-BM-001945</t>
  </si>
  <si>
    <t>SIM-BM-000834</t>
  </si>
  <si>
    <t>350000000000516</t>
  </si>
  <si>
    <t>SIM-BM-001878</t>
  </si>
  <si>
    <t>SIM-BM-001889</t>
  </si>
  <si>
    <t>SIM-BM-001589</t>
  </si>
  <si>
    <t>SIM-BM-000870</t>
  </si>
  <si>
    <t>SN0000AL7M3</t>
  </si>
  <si>
    <t>SIM-BM-000595</t>
  </si>
  <si>
    <t>350000000000369</t>
  </si>
  <si>
    <t>SIM-BM-000830</t>
  </si>
  <si>
    <t>350000000000515</t>
  </si>
  <si>
    <t>SIM-BM-000554</t>
  </si>
  <si>
    <t>SN00006FHT5</t>
  </si>
  <si>
    <t>SIM-BM-000651</t>
  </si>
  <si>
    <t>350000000000404</t>
  </si>
  <si>
    <t>SIM-BM-000735</t>
  </si>
  <si>
    <t>350000000000462</t>
  </si>
  <si>
    <t>SIM-BM-000835</t>
  </si>
  <si>
    <t>350000000000517</t>
  </si>
  <si>
    <t>SIM-BM-000841</t>
  </si>
  <si>
    <t>SN0000A6QCY</t>
  </si>
  <si>
    <t>SIM-BM-000752</t>
  </si>
  <si>
    <t>350000000000472</t>
  </si>
  <si>
    <t>SIM-BM-001916</t>
  </si>
  <si>
    <t>SIM-BM-001933</t>
  </si>
  <si>
    <t>SIM-BM-001573</t>
  </si>
  <si>
    <t>SIM-BM-000860</t>
  </si>
  <si>
    <t>SN0000AG2J2</t>
  </si>
  <si>
    <t>SIM-BM-000544</t>
  </si>
  <si>
    <t>350000000000344</t>
  </si>
  <si>
    <t>SIM-BM-000560</t>
  </si>
  <si>
    <t>SN00006JMPR</t>
  </si>
  <si>
    <t>SIM-BM-000584</t>
  </si>
  <si>
    <t>350000000000362</t>
  </si>
  <si>
    <t>SIM-BM-000637</t>
  </si>
  <si>
    <t>SN00007LTZ7</t>
  </si>
  <si>
    <t>SIM-BM-000665</t>
  </si>
  <si>
    <t>350000000000413</t>
  </si>
  <si>
    <t>SIM-BM-000775</t>
  </si>
  <si>
    <t>SN00009AQCY</t>
  </si>
  <si>
    <t>SIM-BM-000821</t>
  </si>
  <si>
    <t>SN00009YGLQ</t>
  </si>
  <si>
    <t>SIM-BM-000511</t>
  </si>
  <si>
    <t>350000000000322</t>
  </si>
  <si>
    <t>SIM-BM-000567</t>
  </si>
  <si>
    <t>SN00006MQCY</t>
  </si>
  <si>
    <t>SIM-BM-000827</t>
  </si>
  <si>
    <t>SN0000A0J2J</t>
  </si>
  <si>
    <t>SIM-BM-001922</t>
  </si>
  <si>
    <t>SIM-BM-000691</t>
  </si>
  <si>
    <t>SN000086GLQ</t>
  </si>
  <si>
    <t>SIM-BM-000728</t>
  </si>
  <si>
    <t>350000000000457</t>
  </si>
  <si>
    <t>SIM-BM-000786</t>
  </si>
  <si>
    <t>350000000000487</t>
  </si>
  <si>
    <t>SIM-BM-000521</t>
  </si>
  <si>
    <t>350000000000330</t>
  </si>
  <si>
    <t>SIM-BM-000546</t>
  </si>
  <si>
    <t>350000000000345</t>
  </si>
  <si>
    <t>SIM-BM-000643</t>
  </si>
  <si>
    <t>350000000000400</t>
  </si>
  <si>
    <t>SIM-BM-000676</t>
  </si>
  <si>
    <t>350000000000420</t>
  </si>
  <si>
    <t>SIM-BM-000503</t>
  </si>
  <si>
    <t>350000000000316</t>
  </si>
  <si>
    <t>SIM-BM-000506</t>
  </si>
  <si>
    <t>350000000000319</t>
  </si>
  <si>
    <t>SIM-BM-001880</t>
  </si>
  <si>
    <t>SIM-BM-001893</t>
  </si>
  <si>
    <t>SIM-BM-001925</t>
  </si>
  <si>
    <t>SIM-BM-001929</t>
  </si>
  <si>
    <t>SIM-BM-001940</t>
  </si>
  <si>
    <t>SIM-BM-000540</t>
  </si>
  <si>
    <t>SN0000657M3</t>
  </si>
  <si>
    <t>SIM-BM-000603</t>
  </si>
  <si>
    <t>350000000000373</t>
  </si>
  <si>
    <t>SIM-BM-000694</t>
  </si>
  <si>
    <t>SN000088J2J</t>
  </si>
  <si>
    <t>SIM-BM-000493</t>
  </si>
  <si>
    <t>SN00005NMPR</t>
  </si>
  <si>
    <t>SIM-BM-001884</t>
  </si>
  <si>
    <t>SIM-BM-001897</t>
  </si>
  <si>
    <t>SIM-BM-001552</t>
  </si>
  <si>
    <t>SIM-BM-000539</t>
  </si>
  <si>
    <t>350000000000342</t>
  </si>
  <si>
    <t>SIM-BM-000588</t>
  </si>
  <si>
    <t>SN0000706EN</t>
  </si>
  <si>
    <t>SIM-BM-001903</t>
  </si>
  <si>
    <t>SIM-BM-000706</t>
  </si>
  <si>
    <t>SN00008EQCY</t>
  </si>
  <si>
    <t>SIM-BM-000721</t>
  </si>
  <si>
    <t>350000000000452</t>
  </si>
  <si>
    <t>SIM-BM-000406</t>
  </si>
  <si>
    <t>350000000000253</t>
  </si>
  <si>
    <t>SIM-BM-000431</t>
  </si>
  <si>
    <t>350000000000271</t>
  </si>
  <si>
    <t>SIM-BM-001881</t>
  </si>
  <si>
    <t>SIM-BM-000668</t>
  </si>
  <si>
    <t>350000000000415</t>
  </si>
  <si>
    <t>SIM-BM-000669</t>
  </si>
  <si>
    <t>SN000080AAA</t>
  </si>
  <si>
    <t>SIM-BM-000695</t>
  </si>
  <si>
    <t>SN000089K9X</t>
  </si>
  <si>
    <t>SIM-BM-000472</t>
  </si>
  <si>
    <t>350000000000300</t>
  </si>
  <si>
    <t>SIM-BM-001891</t>
  </si>
  <si>
    <t>SIM-BM-001892</t>
  </si>
  <si>
    <t>SIM-BM-000600</t>
  </si>
  <si>
    <t>350000000000372</t>
  </si>
  <si>
    <t>SIM-BM-000466</t>
  </si>
  <si>
    <t>350000000000296</t>
  </si>
  <si>
    <t>SIM-BM-001934</t>
  </si>
  <si>
    <t>SIM-BM-001553</t>
  </si>
  <si>
    <t>SIM-BM-000627</t>
  </si>
  <si>
    <t>350000000000387</t>
  </si>
  <si>
    <t>SIM-BM-000688</t>
  </si>
  <si>
    <t>350000000000431</t>
  </si>
  <si>
    <t>SIM-BM-000714</t>
  </si>
  <si>
    <t>SN00008HTZ7</t>
  </si>
  <si>
    <t>SIM-BM-000389</t>
  </si>
  <si>
    <t>350000000000240</t>
  </si>
  <si>
    <t>SIM-BM-000433</t>
  </si>
  <si>
    <t>350000000000273</t>
  </si>
  <si>
    <t>SIM-BM-000450</t>
  </si>
  <si>
    <t>SN0000542J2</t>
  </si>
  <si>
    <t>SIM-BM-000515</t>
  </si>
  <si>
    <t>SN00005XXVT</t>
  </si>
  <si>
    <t>SIM-BM-001802</t>
  </si>
  <si>
    <t>SIM-BM-001869</t>
  </si>
  <si>
    <t>SIM-BM-000549</t>
  </si>
  <si>
    <t>350000000000347</t>
  </si>
  <si>
    <t>SIM-BM-000363</t>
  </si>
  <si>
    <t>SN000042U8L</t>
  </si>
  <si>
    <t>SIM-BM-000391</t>
  </si>
  <si>
    <t>350000000000243</t>
  </si>
  <si>
    <t>SIM-BM-000453</t>
  </si>
  <si>
    <t>SN0000553RF</t>
  </si>
  <si>
    <t>SIM-BM-000520</t>
  </si>
  <si>
    <t>350000000000329</t>
  </si>
  <si>
    <t>SIM-BM-001828</t>
  </si>
  <si>
    <t>SIM-BM-001831</t>
  </si>
  <si>
    <t>SIM-BM-000573</t>
  </si>
  <si>
    <t>SN00006QU8L</t>
  </si>
  <si>
    <t>SIM-BM-000574</t>
  </si>
  <si>
    <t>SN00006RVFZ</t>
  </si>
  <si>
    <t>SIM-BM-000335</t>
  </si>
  <si>
    <t>SN00003KAAA</t>
  </si>
  <si>
    <t>SIM-BM-000459</t>
  </si>
  <si>
    <t>350000000000290</t>
  </si>
  <si>
    <t>SIM-BM-000465</t>
  </si>
  <si>
    <t>350000000000295</t>
  </si>
  <si>
    <t>SIM-BM-000470</t>
  </si>
  <si>
    <t>350000000000298</t>
  </si>
  <si>
    <t>SIM-BM-001839</t>
  </si>
  <si>
    <t>SIM-BM-001549</t>
  </si>
  <si>
    <t>SIM-BM-000589</t>
  </si>
  <si>
    <t>350000000000365</t>
  </si>
  <si>
    <t>SIM-BM-000596</t>
  </si>
  <si>
    <t>350000000000370</t>
  </si>
  <si>
    <t>SIM-BM-000319</t>
  </si>
  <si>
    <t>SN00003D3RF</t>
  </si>
  <si>
    <t>SIM-BM-000373</t>
  </si>
  <si>
    <t>350000000000233</t>
  </si>
  <si>
    <t>SIM-BM-001841</t>
  </si>
  <si>
    <t>SIM-BM-001855</t>
  </si>
  <si>
    <t>SIM-BM-001866</t>
  </si>
  <si>
    <t>SIM-BM-000352</t>
  </si>
  <si>
    <t>SN00003ULGC</t>
  </si>
  <si>
    <t>SIM-BM-000439</t>
  </si>
  <si>
    <t>350000000000278</t>
  </si>
  <si>
    <t>SIM-BM-000474</t>
  </si>
  <si>
    <t>SN00005DBHP</t>
  </si>
  <si>
    <t>SIM-BM-001817</t>
  </si>
  <si>
    <t>SIM-BM-001806</t>
  </si>
  <si>
    <t>SIM-BM-000543</t>
  </si>
  <si>
    <t>SN000068AAA</t>
  </si>
  <si>
    <t>SIM-BM-000369</t>
  </si>
  <si>
    <t>350000000000230</t>
  </si>
  <si>
    <t>SIM-BM-000396</t>
  </si>
  <si>
    <t>350000000000247</t>
  </si>
  <si>
    <t>SIM-BM-001825</t>
  </si>
  <si>
    <t>SIM-BM-001852</t>
  </si>
  <si>
    <t>SIM-BM-000401</t>
  </si>
  <si>
    <t>350000000000250</t>
  </si>
  <si>
    <t>SIM-BM-000422</t>
  </si>
  <si>
    <t>350000000000263</t>
  </si>
  <si>
    <t>SIM-BM-000509</t>
  </si>
  <si>
    <t>SN00005UU8L</t>
  </si>
  <si>
    <t>SIM-BM-000512</t>
  </si>
  <si>
    <t>350000000000323</t>
  </si>
  <si>
    <t>SIM-BM-000305</t>
  </si>
  <si>
    <t>350000000000202</t>
  </si>
  <si>
    <t>SIM-BM-000306</t>
  </si>
  <si>
    <t>SN000036U8L</t>
  </si>
  <si>
    <t>SIM-BM-000336</t>
  </si>
  <si>
    <t>SN00003LBHP</t>
  </si>
  <si>
    <t>SIM-BM-000411</t>
  </si>
  <si>
    <t>SN00004TP5K</t>
  </si>
  <si>
    <t>SIM-BM-000538</t>
  </si>
  <si>
    <t>350000000000341</t>
  </si>
  <si>
    <t>SIM-BM-000322</t>
  </si>
  <si>
    <t>350000000000209</t>
  </si>
  <si>
    <t>SIM-BM-000345</t>
  </si>
  <si>
    <t>350000000000222</t>
  </si>
  <si>
    <t>SIM-BM-000447</t>
  </si>
  <si>
    <t>SN000052Y48</t>
  </si>
  <si>
    <t>SIM-BM-000228</t>
  </si>
  <si>
    <t>350000000000157</t>
  </si>
  <si>
    <t>SIM-BM-001859</t>
  </si>
  <si>
    <t>SIM-BM-000455</t>
  </si>
  <si>
    <t>350000000000286</t>
  </si>
  <si>
    <t>SIM-BM-000505</t>
  </si>
  <si>
    <t>350000000000318</t>
  </si>
  <si>
    <t>SIM-BM-001867</t>
  </si>
  <si>
    <t>SIM-BM-000413</t>
  </si>
  <si>
    <t>350000000000256</t>
  </si>
  <si>
    <t>SIM-BM-000523</t>
  </si>
  <si>
    <t>350000000000332</t>
  </si>
  <si>
    <t>SIM-BM-000182</t>
  </si>
  <si>
    <t>350000000000126</t>
  </si>
  <si>
    <t>SIM-BM-000255</t>
  </si>
  <si>
    <t>SN00002J579</t>
  </si>
  <si>
    <t>SIM-BM-000292</t>
  </si>
  <si>
    <t>350000000000193</t>
  </si>
  <si>
    <t>SIM-BM-000296</t>
  </si>
  <si>
    <t>SN000033RKD</t>
  </si>
  <si>
    <t>SIM-BM-000320</t>
  </si>
  <si>
    <t>SN00003E4YU</t>
  </si>
  <si>
    <t>SIM-BM-000351</t>
  </si>
  <si>
    <t>SN00003TK9X</t>
  </si>
  <si>
    <t>SIM-BM-000385</t>
  </si>
  <si>
    <t>SN00004GAAA</t>
  </si>
  <si>
    <t>SIM-BM-000149</t>
  </si>
  <si>
    <t>350000000000105</t>
  </si>
  <si>
    <t>SIM-BM-000181</t>
  </si>
  <si>
    <t>SN00001SAAA</t>
  </si>
  <si>
    <t>SIM-BM-001840</t>
  </si>
  <si>
    <t>SIM-BM-001525</t>
  </si>
  <si>
    <t>SIM-BM-001537</t>
  </si>
  <si>
    <t>SIM-BM-000338</t>
  </si>
  <si>
    <t>SN00003NDXH</t>
  </si>
  <si>
    <t>SIM-BM-000400</t>
  </si>
  <si>
    <t>SN00004NHT5</t>
  </si>
  <si>
    <t>SIM-BM-000403</t>
  </si>
  <si>
    <t>350000000000251</t>
  </si>
  <si>
    <t>SIM-BM-000458</t>
  </si>
  <si>
    <t>350000000000289</t>
  </si>
  <si>
    <t>SIM-BM-000195</t>
  </si>
  <si>
    <t>350000000000135</t>
  </si>
  <si>
    <t>SIM-BM-001809</t>
  </si>
  <si>
    <t>SIM-BM-001818</t>
  </si>
  <si>
    <t>SIM-BM-000409</t>
  </si>
  <si>
    <t>SN00004RMPR</t>
  </si>
  <si>
    <t>SIM-BM-000140</t>
  </si>
  <si>
    <t>350000000000099</t>
  </si>
  <si>
    <t>SIM-BM-001729</t>
  </si>
  <si>
    <t>SIM-BM-001554</t>
  </si>
  <si>
    <t>SIM-BM-001529</t>
  </si>
  <si>
    <t>SIM-BM-000408</t>
  </si>
  <si>
    <t>350000000000254</t>
  </si>
  <si>
    <t>SIM-BM-000137</t>
  </si>
  <si>
    <t>350000000000096</t>
  </si>
  <si>
    <t>SIM-BM-000218</t>
  </si>
  <si>
    <t>350000000000152</t>
  </si>
  <si>
    <t>SIM-BM-001738</t>
  </si>
  <si>
    <t>SIM-BM-001770</t>
  </si>
  <si>
    <t>SIM-BM-000327</t>
  </si>
  <si>
    <t>350000000000212</t>
  </si>
  <si>
    <t>SIM-BM-000281</t>
  </si>
  <si>
    <t>SN00002XK9X</t>
  </si>
  <si>
    <t>SIM-BM-000183</t>
  </si>
  <si>
    <t>350000000000127</t>
  </si>
  <si>
    <t>SIM-BM-000036</t>
  </si>
  <si>
    <t>SN00000FRKD</t>
  </si>
  <si>
    <t>SIM-BM-001757</t>
  </si>
  <si>
    <t>SIM-BM-001761</t>
  </si>
  <si>
    <t>SIM-BM-001795</t>
  </si>
  <si>
    <t>SIM-BM-000260</t>
  </si>
  <si>
    <t>SN00002M8UG</t>
  </si>
  <si>
    <t>SIM-BM-000308</t>
  </si>
  <si>
    <t>SN000038WNE</t>
  </si>
  <si>
    <t>SIM-BM-000339</t>
  </si>
  <si>
    <t>350000000000218</t>
  </si>
  <si>
    <t>SIM-BM-000208</t>
  </si>
  <si>
    <t>SN000021K9X</t>
  </si>
  <si>
    <t>SIM-BM-000222</t>
  </si>
  <si>
    <t>350000000000153</t>
  </si>
  <si>
    <t>SIM-BM-000342</t>
  </si>
  <si>
    <t>350000000000221</t>
  </si>
  <si>
    <t>SIM-BM-000343</t>
  </si>
  <si>
    <t>SN00003OE6W</t>
  </si>
  <si>
    <t>SIM-BM-000086</t>
  </si>
  <si>
    <t>350000000000056</t>
  </si>
  <si>
    <t>SIM-BM-000241</t>
  </si>
  <si>
    <t>SN00002EY48</t>
  </si>
  <si>
    <t>SIM-BM-000064</t>
  </si>
  <si>
    <t>SN00000Q4YU</t>
  </si>
  <si>
    <t>SIM-BM-000072</t>
  </si>
  <si>
    <t>350000000000044</t>
  </si>
  <si>
    <t>SIM-BM-001766</t>
  </si>
  <si>
    <t>SIM-BM-001772</t>
  </si>
  <si>
    <t>SIM-BM-001774</t>
  </si>
  <si>
    <t>SIM-BM-001794</t>
  </si>
  <si>
    <t>SIM-BM-000328</t>
  </si>
  <si>
    <t>SN00003I8UG</t>
  </si>
  <si>
    <t>SIM-BM-000131</t>
  </si>
  <si>
    <t>SN000018NW6</t>
  </si>
  <si>
    <t>SIM-BM-000309</t>
  </si>
  <si>
    <t>SN000039XVT</t>
  </si>
  <si>
    <t>SIM-BM-000186</t>
  </si>
  <si>
    <t>SN00001TBHP</t>
  </si>
  <si>
    <t>SIM-BM-001791</t>
  </si>
  <si>
    <t>SIM-BM-000299</t>
  </si>
  <si>
    <t>SN000035TZ7</t>
  </si>
  <si>
    <t>SIM-BM-000118</t>
  </si>
  <si>
    <t>350000000000081</t>
  </si>
  <si>
    <t>SIM-BM-000144</t>
  </si>
  <si>
    <t>SN00001CSSS</t>
  </si>
  <si>
    <t>SIM-BM-000209</t>
  </si>
  <si>
    <t>350000000000144</t>
  </si>
  <si>
    <t>SIM-BM-000038</t>
  </si>
  <si>
    <t>350000000000023</t>
  </si>
  <si>
    <t>SIM-BM-000079</t>
  </si>
  <si>
    <t>350000000000050</t>
  </si>
  <si>
    <t>SIM-BM-001734</t>
  </si>
  <si>
    <t>SIM-BM-000249</t>
  </si>
  <si>
    <t>SN00002FZBM</t>
  </si>
  <si>
    <t>SIM-BM-000121</t>
  </si>
  <si>
    <t>350000000000084</t>
  </si>
  <si>
    <t>SIM-BM-000159</t>
  </si>
  <si>
    <t>350000000000113</t>
  </si>
  <si>
    <t>SIM-BM-001787</t>
  </si>
  <si>
    <t>SIM-BM-000148</t>
  </si>
  <si>
    <t>350000000000104</t>
  </si>
  <si>
    <t>SIM-BM-000199</t>
  </si>
  <si>
    <t>350000000000138</t>
  </si>
  <si>
    <t>SIM-BM-000219</t>
  </si>
  <si>
    <t>SN000023MPR</t>
  </si>
  <si>
    <t>SIM-BM-000223</t>
  </si>
  <si>
    <t>350000000000154</t>
  </si>
  <si>
    <t>SIM-BM-000076</t>
  </si>
  <si>
    <t>350000000000048</t>
  </si>
  <si>
    <t>SIM-BM-001796</t>
  </si>
  <si>
    <t>SIM-BM-000205</t>
  </si>
  <si>
    <t>SN00001ZHT5</t>
  </si>
  <si>
    <t>SIM-BM-000236</t>
  </si>
  <si>
    <t>SN00002BVFZ</t>
  </si>
  <si>
    <t>SIM-BM-001731</t>
  </si>
  <si>
    <t>SIM-BM-001767</t>
  </si>
  <si>
    <t>SIM-BM-001773</t>
  </si>
  <si>
    <t>SIM-BM-000213</t>
  </si>
  <si>
    <t>350000000000147</t>
  </si>
  <si>
    <t>SIM-BM-001686</t>
  </si>
  <si>
    <t>SIM-BM-000100</t>
  </si>
  <si>
    <t>350000000000066</t>
  </si>
  <si>
    <t>SIM-BM-000177</t>
  </si>
  <si>
    <t>SN00001P7M3</t>
  </si>
  <si>
    <t>SIM-BM-000081</t>
  </si>
  <si>
    <t>350000000000051</t>
  </si>
  <si>
    <t>SIM-BM-000099</t>
  </si>
  <si>
    <t>350000000000065</t>
  </si>
  <si>
    <t>SIM-BM-001668</t>
  </si>
  <si>
    <t>SIM-BM-000106</t>
  </si>
  <si>
    <t>SN000013HT5</t>
  </si>
  <si>
    <t>SIM-BM-001689</t>
  </si>
  <si>
    <t>SIM-BM-000006</t>
  </si>
  <si>
    <t>SN000001BHP</t>
  </si>
  <si>
    <t>SIM-BM-001653</t>
  </si>
  <si>
    <t>SIM-BM-001655</t>
  </si>
  <si>
    <t>SIM-BM-001707</t>
  </si>
  <si>
    <t>SIM-BM-001717</t>
  </si>
  <si>
    <t>SIM-BM-000108</t>
  </si>
  <si>
    <t>SN000014J2J</t>
  </si>
  <si>
    <t>SIM-BM-001715</t>
  </si>
  <si>
    <t>SIM-BM-001710</t>
  </si>
  <si>
    <t>SIM-BM-001711</t>
  </si>
  <si>
    <t>SIM-BM-001716</t>
  </si>
  <si>
    <t>SIM-BM-001648</t>
  </si>
  <si>
    <t>SIM-BM-000047</t>
  </si>
  <si>
    <t>SN00000LXVT</t>
  </si>
  <si>
    <t>SIM-BM-000069</t>
  </si>
  <si>
    <t>350000000000042</t>
  </si>
  <si>
    <t>SIM-BM-001675</t>
  </si>
  <si>
    <t>SIM-BM-001677</t>
  </si>
  <si>
    <t>SIM-BM-000031</t>
  </si>
  <si>
    <t>350000000000020</t>
  </si>
  <si>
    <t>SIM-BM-001667</t>
  </si>
  <si>
    <t>SIM-BM-001702</t>
  </si>
  <si>
    <t>SIM-BM-000010</t>
  </si>
  <si>
    <t>SN000003DXH</t>
  </si>
  <si>
    <t>SIM-BM-001687</t>
  </si>
  <si>
    <t>SIM-BM-001691</t>
  </si>
  <si>
    <t>Units</t>
  </si>
  <si>
    <t>ROF</t>
  </si>
  <si>
    <t>FVF</t>
  </si>
  <si>
    <t>VAT</t>
  </si>
  <si>
    <t>T.COM</t>
  </si>
  <si>
    <t>Marketing</t>
  </si>
  <si>
    <t>M. VAT</t>
  </si>
  <si>
    <t>SIM-MANUAL-ACC-1</t>
  </si>
  <si>
    <t>SIM-EBAY-001346</t>
  </si>
  <si>
    <t>350000000000833</t>
  </si>
  <si>
    <t>SIM-EBAY-001350</t>
  </si>
  <si>
    <t>350000000000836</t>
  </si>
  <si>
    <t>SIM-EBAY-001362</t>
  </si>
  <si>
    <t>SN0000H4J2J</t>
  </si>
  <si>
    <t>SIM-EBAY-001367</t>
  </si>
  <si>
    <t>350000000000843</t>
  </si>
  <si>
    <t>SIM-EBAY-001373</t>
  </si>
  <si>
    <t>SN0000H8NW6</t>
  </si>
  <si>
    <t>SIM-EBAY-001374</t>
  </si>
  <si>
    <t>SN0000H9P5K</t>
  </si>
  <si>
    <t>SIM-EBAY-001376</t>
  </si>
  <si>
    <t>SN0000HBRKD</t>
  </si>
  <si>
    <t>SIM-EBAY-001393</t>
  </si>
  <si>
    <t>350000000000859</t>
  </si>
  <si>
    <t>SIM-EBAY-001400</t>
  </si>
  <si>
    <t>350000000000863</t>
  </si>
  <si>
    <t>SIM-EBAY-001414</t>
  </si>
  <si>
    <t>SN0000HSAAA</t>
  </si>
  <si>
    <t>SIM-EBAY-001434</t>
  </si>
  <si>
    <t>SN0000I0J2J</t>
  </si>
  <si>
    <t>SIM-EBAY-001437</t>
  </si>
  <si>
    <t>SN0000I1K9X</t>
  </si>
  <si>
    <t>SIM-EBAY-001450</t>
  </si>
  <si>
    <t>SN0000I7RKD</t>
  </si>
  <si>
    <t>SIM-EBAY-001453</t>
  </si>
  <si>
    <t>SN0000I9TZ7</t>
  </si>
  <si>
    <t>SIM-EBAY-001460</t>
  </si>
  <si>
    <t>350000000000899</t>
  </si>
  <si>
    <t>SIM-EBAY-001462</t>
  </si>
  <si>
    <t>350000000000901</t>
  </si>
  <si>
    <t>SIM-EBAY-001463</t>
  </si>
  <si>
    <t>350000000000902</t>
  </si>
  <si>
    <t>SIM-EBAY-001465</t>
  </si>
  <si>
    <t>350000000000904</t>
  </si>
  <si>
    <t>SIM-EBAY-001466</t>
  </si>
  <si>
    <t>350000000000905</t>
  </si>
  <si>
    <t>SIM-EBAY-001467</t>
  </si>
  <si>
    <t>350000000000906</t>
  </si>
  <si>
    <t>SIM-EBAY-001471</t>
  </si>
  <si>
    <t>350000000000909</t>
  </si>
  <si>
    <t>SIM-EBAY-001485</t>
  </si>
  <si>
    <t>350000000000920</t>
  </si>
  <si>
    <t>SIM-EBAY-001487</t>
  </si>
  <si>
    <t>350000000000921</t>
  </si>
  <si>
    <t>SIM-EBAY-001492</t>
  </si>
  <si>
    <t>350000000000925</t>
  </si>
  <si>
    <t>SIM-EBAY-001493</t>
  </si>
  <si>
    <t>350000000000926</t>
  </si>
  <si>
    <t>SIM-EBAY-001497</t>
  </si>
  <si>
    <t>350000000000928</t>
  </si>
  <si>
    <t>SIM-EBAY-001512</t>
  </si>
  <si>
    <t>350000000000940</t>
  </si>
  <si>
    <t>SIM-EBAY-001513</t>
  </si>
  <si>
    <t>350000000000941</t>
  </si>
  <si>
    <t>SIM-EBAY-001515</t>
  </si>
  <si>
    <t>350000000000942</t>
  </si>
  <si>
    <t>SIM-EBAY-001519</t>
  </si>
  <si>
    <t>SN0000IUGLQ</t>
  </si>
  <si>
    <t>SIM-EBAY-001522</t>
  </si>
  <si>
    <t>SN0000IVHT5</t>
  </si>
  <si>
    <t>SIM-EBAY-001523</t>
  </si>
  <si>
    <t>350000000000947</t>
  </si>
  <si>
    <t>SIM-EBAY-001250</t>
  </si>
  <si>
    <t>350000000000775</t>
  </si>
  <si>
    <t>SIM-EBAY-001254</t>
  </si>
  <si>
    <t>SN0000FIQCY</t>
  </si>
  <si>
    <t>SIM-EBAY-001259</t>
  </si>
  <si>
    <t>SN0000FKSSS</t>
  </si>
  <si>
    <t>SIM-EBAY-001266</t>
  </si>
  <si>
    <t>SN0000FMU8L</t>
  </si>
  <si>
    <t>SIM-EBAY-001270</t>
  </si>
  <si>
    <t>SN0000FOWNE</t>
  </si>
  <si>
    <t>SIM-EBAY-001276</t>
  </si>
  <si>
    <t>SN0000FRZBM</t>
  </si>
  <si>
    <t>SIM-EBAY-001277</t>
  </si>
  <si>
    <t>350000000000793</t>
  </si>
  <si>
    <t>SIM-EBAY-001293</t>
  </si>
  <si>
    <t>350000000000801</t>
  </si>
  <si>
    <t>SIM-EBAY-001297</t>
  </si>
  <si>
    <t>350000000000802</t>
  </si>
  <si>
    <t>SIM-EBAY-001299</t>
  </si>
  <si>
    <t>350000000000804</t>
  </si>
  <si>
    <t>SIM-EBAY-001320</t>
  </si>
  <si>
    <t>SN0000GKWNE</t>
  </si>
  <si>
    <t>SIM-EBAY-001333</t>
  </si>
  <si>
    <t>SN0000GS6EN</t>
  </si>
  <si>
    <t>SIM-EBAY-001334</t>
  </si>
  <si>
    <t>350000000000823</t>
  </si>
  <si>
    <t>SIM-EBAY-001201</t>
  </si>
  <si>
    <t>350000000000743</t>
  </si>
  <si>
    <t>SIM-EBAY-002169</t>
  </si>
  <si>
    <t>SIM-EBAY-002173</t>
  </si>
  <si>
    <t>SIM-EBAY-002130</t>
  </si>
  <si>
    <t>SIM-EBAY-002142</t>
  </si>
  <si>
    <t>SIM-EBAY-002145</t>
  </si>
  <si>
    <t>SIM-EBAY-002157</t>
  </si>
  <si>
    <t>SIM-EBAY-002158</t>
  </si>
  <si>
    <t>SIM-EBAY-002160</t>
  </si>
  <si>
    <t>SIM-EBAY-002164</t>
  </si>
  <si>
    <t>SIM-EBAY-002165</t>
  </si>
  <si>
    <t>SIM-EBAY-002166</t>
  </si>
  <si>
    <t>SIM-EBAY-002113</t>
  </si>
  <si>
    <t>SIM-EBAY-002115</t>
  </si>
  <si>
    <t>SIM-EBAY-001614</t>
  </si>
  <si>
    <t>SIM-EBAY-001632</t>
  </si>
  <si>
    <t>SIM-EBAY-001634</t>
  </si>
  <si>
    <t>SIM-EBAY-001635</t>
  </si>
  <si>
    <t>SIM-EBAY-001643</t>
  </si>
  <si>
    <t>SIM-EBAY-001352</t>
  </si>
  <si>
    <t>SN0000GXBHP</t>
  </si>
  <si>
    <t>SIM-EBAY-001379</t>
  </si>
  <si>
    <t>SN0000HCSSS</t>
  </si>
  <si>
    <t>SIM-EBAY-001429</t>
  </si>
  <si>
    <t>350000000000880</t>
  </si>
  <si>
    <t>SIM-EBAY-002153</t>
  </si>
  <si>
    <t>SIM-EBAY-002116</t>
  </si>
  <si>
    <t>SIM-EBAY-001359</t>
  </si>
  <si>
    <t>SN0000H3HT5</t>
  </si>
  <si>
    <t>SIM-EBAY-001369</t>
  </si>
  <si>
    <t>350000000000845</t>
  </si>
  <si>
    <t>SIM-EBAY-001457</t>
  </si>
  <si>
    <t>350000000000897</t>
  </si>
  <si>
    <t>SIM-EBAY-001283</t>
  </si>
  <si>
    <t>350000000000796</t>
  </si>
  <si>
    <t>SIM-EBAY-002174</t>
  </si>
  <si>
    <t>SIM-EBAY-001620</t>
  </si>
  <si>
    <t>SIM-EBAY-001303</t>
  </si>
  <si>
    <t>SN0000GALGC</t>
  </si>
  <si>
    <t>SIM-EBAY-001329</t>
  </si>
  <si>
    <t>350000000000819</t>
  </si>
  <si>
    <t>SIM-EBAY-001128</t>
  </si>
  <si>
    <t>SN0000DTTZ7</t>
  </si>
  <si>
    <t>SIM-EBAY-001279</t>
  </si>
  <si>
    <t>350000000000795</t>
  </si>
  <si>
    <t>SIM-EBAY-001157</t>
  </si>
  <si>
    <t>350000000000721</t>
  </si>
  <si>
    <t>SIM-EBAY-001225</t>
  </si>
  <si>
    <t>SN0000F7DXH</t>
  </si>
  <si>
    <t>SIM-EBAY-002176</t>
  </si>
  <si>
    <t>SIM-EBAY-001607</t>
  </si>
  <si>
    <t>SIM-EBAY-001306</t>
  </si>
  <si>
    <t>SN0000GCNW6</t>
  </si>
  <si>
    <t>SIM-EBAY-001324</t>
  </si>
  <si>
    <t>SN0000GMY48</t>
  </si>
  <si>
    <t>SIM-EBAY-001112</t>
  </si>
  <si>
    <t>350000000000694</t>
  </si>
  <si>
    <t>SIM-EBAY-001123</t>
  </si>
  <si>
    <t>350000000000701</t>
  </si>
  <si>
    <t>SIM-EBAY-001140</t>
  </si>
  <si>
    <t>350000000000712</t>
  </si>
  <si>
    <t>SIM-EBAY-001167</t>
  </si>
  <si>
    <t>350000000000724</t>
  </si>
  <si>
    <t>SIM-EBAY-001228</t>
  </si>
  <si>
    <t>350000000000759</t>
  </si>
  <si>
    <t>SIM-EBAY-002048</t>
  </si>
  <si>
    <t>SIM-EBAY-001286</t>
  </si>
  <si>
    <t>SN0000G1BHP</t>
  </si>
  <si>
    <t>SIM-EBAY-001292</t>
  </si>
  <si>
    <t>SN0000G4E6W</t>
  </si>
  <si>
    <t>SIM-EBAY-001336</t>
  </si>
  <si>
    <t>SN0000GT7M3</t>
  </si>
  <si>
    <t>SIM-EBAY-001291</t>
  </si>
  <si>
    <t>SN0000G3DXH</t>
  </si>
  <si>
    <t>SIM-EBAY-002100</t>
  </si>
  <si>
    <t>SIM-EBAY-001251</t>
  </si>
  <si>
    <t>SN0000FHP5K</t>
  </si>
  <si>
    <t>SIM-EBAY-001197</t>
  </si>
  <si>
    <t>SN0000ESWNE</t>
  </si>
  <si>
    <t>SIM-EBAY-001209</t>
  </si>
  <si>
    <t>350000000000748</t>
  </si>
  <si>
    <t>SIM-EBAY-002094</t>
  </si>
  <si>
    <t>SIM-EBAY-001253</t>
  </si>
  <si>
    <t>350000000000777</t>
  </si>
  <si>
    <t>SIM-EBAY-001256</t>
  </si>
  <si>
    <t>SN0000FJRKD</t>
  </si>
  <si>
    <t>SIM-EBAY-001280</t>
  </si>
  <si>
    <t>SN0000FU4YU</t>
  </si>
  <si>
    <t>SIM-EBAY-001289</t>
  </si>
  <si>
    <t>350000000000799</t>
  </si>
  <si>
    <t>SIM-EBAY-001071</t>
  </si>
  <si>
    <t>SN0000D1XVT</t>
  </si>
  <si>
    <t>SIM-EBAY-001085</t>
  </si>
  <si>
    <t>350000000000677</t>
  </si>
  <si>
    <t>SIM-EBAY-001170</t>
  </si>
  <si>
    <t>SN0000EGJ2J</t>
  </si>
  <si>
    <t>SIM-EBAY-001187</t>
  </si>
  <si>
    <t>SN0000ENRKD</t>
  </si>
  <si>
    <t>SIM-EBAY-002070</t>
  </si>
  <si>
    <t>SIM-EBAY-001248</t>
  </si>
  <si>
    <t>350000000000774</t>
  </si>
  <si>
    <t>SIM-EBAY-001255</t>
  </si>
  <si>
    <t>350000000000778</t>
  </si>
  <si>
    <t>SIM-EBAY-001078</t>
  </si>
  <si>
    <t>SN0000D53RF</t>
  </si>
  <si>
    <t>SIM-EBAY-001105</t>
  </si>
  <si>
    <t>SN0000DIGLQ</t>
  </si>
  <si>
    <t>SIM-EBAY-001154</t>
  </si>
  <si>
    <t>350000000000717</t>
  </si>
  <si>
    <t>SIM-EBAY-001265</t>
  </si>
  <si>
    <t>350000000000785</t>
  </si>
  <si>
    <t>SIM-EBAY-001075</t>
  </si>
  <si>
    <t>350000000000672</t>
  </si>
  <si>
    <t>SIM-EBAY-001080</t>
  </si>
  <si>
    <t>350000000000673</t>
  </si>
  <si>
    <t>SIM-EBAY-001171</t>
  </si>
  <si>
    <t>350000000000726</t>
  </si>
  <si>
    <t>SIM-EBAY-002036</t>
  </si>
  <si>
    <t>SIM-EBAY-002072</t>
  </si>
  <si>
    <t>SIM-EBAY-002081</t>
  </si>
  <si>
    <t>SIM-EBAY-000992</t>
  </si>
  <si>
    <t>350000000000613</t>
  </si>
  <si>
    <t>SIM-EBAY-001007</t>
  </si>
  <si>
    <t>SN0000CB579</t>
  </si>
  <si>
    <t>SIM-EBAY-001057</t>
  </si>
  <si>
    <t>350000000000658</t>
  </si>
  <si>
    <t>SIM-EBAY-001070</t>
  </si>
  <si>
    <t>SN0000D0WNE</t>
  </si>
  <si>
    <t>SIM-EBAY-001184</t>
  </si>
  <si>
    <t>350000000000733</t>
  </si>
  <si>
    <t>SIM-EBAY-002030</t>
  </si>
  <si>
    <t>SIM-EBAY-002073</t>
  </si>
  <si>
    <t>SIM-EBAY-001240</t>
  </si>
  <si>
    <t>350000000000768</t>
  </si>
  <si>
    <t>SIM-EBAY-001205</t>
  </si>
  <si>
    <t>350000000000746</t>
  </si>
  <si>
    <t>SIM-EBAY-002064</t>
  </si>
  <si>
    <t>SIM-EBAY-001252</t>
  </si>
  <si>
    <t>350000000000776</t>
  </si>
  <si>
    <t>SIM-EBAY-000928</t>
  </si>
  <si>
    <t>350000000000579</t>
  </si>
  <si>
    <t>SIM-EBAY-000944</t>
  </si>
  <si>
    <t>SN0000BJ93V</t>
  </si>
  <si>
    <t>SIM-EBAY-000962</t>
  </si>
  <si>
    <t>350000000000596</t>
  </si>
  <si>
    <t>SIM-EBAY-000974</t>
  </si>
  <si>
    <t>350000000000601</t>
  </si>
  <si>
    <t>SIM-EBAY-000989</t>
  </si>
  <si>
    <t>350000000000610</t>
  </si>
  <si>
    <t>SIM-EBAY-001145</t>
  </si>
  <si>
    <t>350000000000715</t>
  </si>
  <si>
    <t>SIM-EBAY-001178</t>
  </si>
  <si>
    <t>350000000000729</t>
  </si>
  <si>
    <t>SIM-EBAY-001226</t>
  </si>
  <si>
    <t>350000000000757</t>
  </si>
  <si>
    <t>SIM-EBAY-002032</t>
  </si>
  <si>
    <t>SIM-EBAY-002055</t>
  </si>
  <si>
    <t>SIM-EBAY-002059</t>
  </si>
  <si>
    <t>SIM-EBAY-000952</t>
  </si>
  <si>
    <t>350000000000589</t>
  </si>
  <si>
    <t>SIM-EBAY-001072</t>
  </si>
  <si>
    <t>350000000000669</t>
  </si>
  <si>
    <t>SIM-EBAY-001222</t>
  </si>
  <si>
    <t>SN0000F6CQ4</t>
  </si>
  <si>
    <t>SIM-EBAY-001588</t>
  </si>
  <si>
    <t>SIM-EBAY-001005</t>
  </si>
  <si>
    <t>350000000000624</t>
  </si>
  <si>
    <t>SIM-EBAY-001093</t>
  </si>
  <si>
    <t>350000000000683</t>
  </si>
  <si>
    <t>SIM-EBAY-001200</t>
  </si>
  <si>
    <t>350000000000742</t>
  </si>
  <si>
    <t>SIM-EBAY-000898</t>
  </si>
  <si>
    <t>350000000000557</t>
  </si>
  <si>
    <t>SIM-EBAY-002038</t>
  </si>
  <si>
    <t>SIM-EBAY-002052</t>
  </si>
  <si>
    <t>SIM-EBAY-002083</t>
  </si>
  <si>
    <t>SIM-EBAY-000942</t>
  </si>
  <si>
    <t>SN0000BH7M3</t>
  </si>
  <si>
    <t>SIM-EBAY-001147</t>
  </si>
  <si>
    <t>SN0000E02J2</t>
  </si>
  <si>
    <t>SIM-EBAY-001031</t>
  </si>
  <si>
    <t>SN0000CRMPR</t>
  </si>
  <si>
    <t>SIM-EBAY-001050</t>
  </si>
  <si>
    <t>350000000000652</t>
  </si>
  <si>
    <t>SIM-EBAY-001169</t>
  </si>
  <si>
    <t>350000000000725</t>
  </si>
  <si>
    <t>SIM-EBAY-001098</t>
  </si>
  <si>
    <t>350000000000687</t>
  </si>
  <si>
    <t>SIM-EBAY-000868</t>
  </si>
  <si>
    <t>SN0000AK6EN</t>
  </si>
  <si>
    <t>SIM-EBAY-001992</t>
  </si>
  <si>
    <t>SIM-EBAY-002008</t>
  </si>
  <si>
    <t>SIM-EBAY-000929</t>
  </si>
  <si>
    <t>SN0000BAY48</t>
  </si>
  <si>
    <t>SIM-EBAY-001010</t>
  </si>
  <si>
    <t>SN0000CD7M3</t>
  </si>
  <si>
    <t>SIM-EBAY-001094</t>
  </si>
  <si>
    <t>SN0000DB93V</t>
  </si>
  <si>
    <t>SIM-EBAY-000838</t>
  </si>
  <si>
    <t>350000000000520</t>
  </si>
  <si>
    <t>SIM-EBAY-001958</t>
  </si>
  <si>
    <t>SIM-EBAY-000863</t>
  </si>
  <si>
    <t>350000000000537</t>
  </si>
  <si>
    <t>SIM-EBAY-001580</t>
  </si>
  <si>
    <t>SIM-EBAY-001008</t>
  </si>
  <si>
    <t>350000000000625</t>
  </si>
  <si>
    <t>SIM-EBAY-001095</t>
  </si>
  <si>
    <t>350000000000684</t>
  </si>
  <si>
    <t>SIM-EBAY-001959</t>
  </si>
  <si>
    <t>SIM-EBAY-001960</t>
  </si>
  <si>
    <t>SIM-EBAY-001970</t>
  </si>
  <si>
    <t>SIM-EBAY-001980</t>
  </si>
  <si>
    <t>SIM-EBAY-001081</t>
  </si>
  <si>
    <t>350000000000674</t>
  </si>
  <si>
    <t>SIM-EBAY-001096</t>
  </si>
  <si>
    <t>350000000000685</t>
  </si>
  <si>
    <t>SIM-EBAY-000822</t>
  </si>
  <si>
    <t>SN00009ZHT5</t>
  </si>
  <si>
    <t>SIM-EBAY-000910</t>
  </si>
  <si>
    <t>350000000000566</t>
  </si>
  <si>
    <t>SIM-EBAY-001006</t>
  </si>
  <si>
    <t>SN0000CA4YU</t>
  </si>
  <si>
    <t>SIM-EBAY-001035</t>
  </si>
  <si>
    <t>350000000000636</t>
  </si>
  <si>
    <t>SIM-EBAY-001990</t>
  </si>
  <si>
    <t>SIM-EBAY-001997</t>
  </si>
  <si>
    <t>SIM-EBAY-002003</t>
  </si>
  <si>
    <t>SIM-EBAY-002005</t>
  </si>
  <si>
    <t>SIM-EBAY-002007</t>
  </si>
  <si>
    <t>SIM-EBAY-000903</t>
  </si>
  <si>
    <t>350000000000561</t>
  </si>
  <si>
    <t>SIM-EBAY-000904</t>
  </si>
  <si>
    <t>350000000000562</t>
  </si>
  <si>
    <t>SIM-EBAY-000957</t>
  </si>
  <si>
    <t>SN0000BRHT5</t>
  </si>
  <si>
    <t>SIM-EBAY-000759</t>
  </si>
  <si>
    <t>SN00008ZDXH</t>
  </si>
  <si>
    <t>SIM-EBAY-000826</t>
  </si>
  <si>
    <t>350000000000512</t>
  </si>
  <si>
    <t>SIM-EBAY-001985</t>
  </si>
  <si>
    <t>SIM-EBAY-001042</t>
  </si>
  <si>
    <t>350000000000642</t>
  </si>
  <si>
    <t>SIM-EBAY-001060</t>
  </si>
  <si>
    <t>350000000000661</t>
  </si>
  <si>
    <t>SIM-EBAY-000899</t>
  </si>
  <si>
    <t>350000000000558</t>
  </si>
  <si>
    <t>SIM-EBAY-001982</t>
  </si>
  <si>
    <t>SIM-EBAY-000705</t>
  </si>
  <si>
    <t>SN00008DP5K</t>
  </si>
  <si>
    <t>SIM-EBAY-000751</t>
  </si>
  <si>
    <t>SN00008V93V</t>
  </si>
  <si>
    <t>SIM-EBAY-000753</t>
  </si>
  <si>
    <t>SN00008WAAA</t>
  </si>
  <si>
    <t>SIM-EBAY-000810</t>
  </si>
  <si>
    <t>SN00009UCQ4</t>
  </si>
  <si>
    <t>SIM-EBAY-000842</t>
  </si>
  <si>
    <t>SN0000A7RKD</t>
  </si>
  <si>
    <t>SIM-EBAY-000971</t>
  </si>
  <si>
    <t>SN0000BYQCY</t>
  </si>
  <si>
    <t>SIM-EBAY-000799</t>
  </si>
  <si>
    <t>SN00009N579</t>
  </si>
  <si>
    <t>SIM-EBAY-000806</t>
  </si>
  <si>
    <t>350000000000496</t>
  </si>
  <si>
    <t>SIM-EBAY-001994</t>
  </si>
  <si>
    <t>SIM-EBAY-000923</t>
  </si>
  <si>
    <t>SN0000B7VFZ</t>
  </si>
  <si>
    <t>SIM-EBAY-000897</t>
  </si>
  <si>
    <t>SN0000AZMPR</t>
  </si>
  <si>
    <t>SIM-EBAY-000712</t>
  </si>
  <si>
    <t>350000000000445</t>
  </si>
  <si>
    <t>SIM-EBAY-000767</t>
  </si>
  <si>
    <t>SN000093HT5</t>
  </si>
  <si>
    <t>SIM-EBAY-001965</t>
  </si>
  <si>
    <t>SIM-EBAY-001562</t>
  </si>
  <si>
    <t>SIM-EBAY-001590</t>
  </si>
  <si>
    <t>SIM-EBAY-000900</t>
  </si>
  <si>
    <t>350000000000559</t>
  </si>
  <si>
    <t>SIM-EBAY-000930</t>
  </si>
  <si>
    <t>350000000000580</t>
  </si>
  <si>
    <t>SIM-EBAY-000674</t>
  </si>
  <si>
    <t>350000000000419</t>
  </si>
  <si>
    <t>SIM-EBAY-000756</t>
  </si>
  <si>
    <t>SN00008YCQ4</t>
  </si>
  <si>
    <t>SIM-EBAY-000876</t>
  </si>
  <si>
    <t>350000000000544</t>
  </si>
  <si>
    <t>SIM-EBAY-001967</t>
  </si>
  <si>
    <t>SIM-EBAY-001968</t>
  </si>
  <si>
    <t>SIM-EBAY-000956</t>
  </si>
  <si>
    <t>SN0000BQGLQ</t>
  </si>
  <si>
    <t>SIM-EBAY-000701</t>
  </si>
  <si>
    <t>350000000000438</t>
  </si>
  <si>
    <t>SIM-EBAY-000747</t>
  </si>
  <si>
    <t>350000000000469</t>
  </si>
  <si>
    <t>SIM-EBAY-000850</t>
  </si>
  <si>
    <t>SN0000ACWNE</t>
  </si>
  <si>
    <t>SIM-EBAY-000862</t>
  </si>
  <si>
    <t>350000000000536</t>
  </si>
  <si>
    <t>SIM-EBAY-001983</t>
  </si>
  <si>
    <t>SIM-EBAY-000612</t>
  </si>
  <si>
    <t>350000000000377</t>
  </si>
  <si>
    <t>SIM-EBAY-000624</t>
  </si>
  <si>
    <t>350000000000386</t>
  </si>
  <si>
    <t>SIM-EBAY-000626</t>
  </si>
  <si>
    <t>SN00007HP5K</t>
  </si>
  <si>
    <t>SIM-EBAY-000680</t>
  </si>
  <si>
    <t>350000000000424</t>
  </si>
  <si>
    <t>SIM-EBAY-000731</t>
  </si>
  <si>
    <t>350000000000459</t>
  </si>
  <si>
    <t>SIM-EBAY-000738</t>
  </si>
  <si>
    <t>350000000000463</t>
  </si>
  <si>
    <t>SIM-EBAY-000825</t>
  </si>
  <si>
    <t>350000000000511</t>
  </si>
  <si>
    <t>SIM-EBAY-001883</t>
  </si>
  <si>
    <t>SIM-EBAY-001900</t>
  </si>
  <si>
    <t>SIM-EBAY-001565</t>
  </si>
  <si>
    <t>SIM-EBAY-001593</t>
  </si>
  <si>
    <t>SIM-EBAY-000609</t>
  </si>
  <si>
    <t>SN00007CJ2J</t>
  </si>
  <si>
    <t>SIM-EBAY-000634</t>
  </si>
  <si>
    <t>SN00007JRKD</t>
  </si>
  <si>
    <t>SIM-EBAY-000818</t>
  </si>
  <si>
    <t>350000000000506</t>
  </si>
  <si>
    <t>SIM-EBAY-001874</t>
  </si>
  <si>
    <t>SIM-EBAY-001917</t>
  </si>
  <si>
    <t>SIM-EBAY-000732</t>
  </si>
  <si>
    <t>350000000000460</t>
  </si>
  <si>
    <t>SIM-EBAY-000875</t>
  </si>
  <si>
    <t>SN0000APBHP</t>
  </si>
  <si>
    <t>SIM-EBAY-001586</t>
  </si>
  <si>
    <t>SIM-EBAY-000679</t>
  </si>
  <si>
    <t>350000000000423</t>
  </si>
  <si>
    <t>SIM-EBAY-000719</t>
  </si>
  <si>
    <t>350000000000450</t>
  </si>
  <si>
    <t>SIM-EBAY-000839</t>
  </si>
  <si>
    <t>350000000000521</t>
  </si>
  <si>
    <t>SIM-EBAY-000766</t>
  </si>
  <si>
    <t>350000000000479</t>
  </si>
  <si>
    <t>SIM-EBAY-000770</t>
  </si>
  <si>
    <t>SN000096LGC</t>
  </si>
  <si>
    <t>SIM-EBAY-001910</t>
  </si>
  <si>
    <t>SIM-EBAY-001941</t>
  </si>
  <si>
    <t>SIM-EBAY-000682</t>
  </si>
  <si>
    <t>350000000000426</t>
  </si>
  <si>
    <t>SIM-EBAY-000808</t>
  </si>
  <si>
    <t>SN00009TBHP</t>
  </si>
  <si>
    <t>SIM-EBAY-000843</t>
  </si>
  <si>
    <t>350000000000523</t>
  </si>
  <si>
    <t>SIM-EBAY-001924</t>
  </si>
  <si>
    <t>SIM-EBAY-000672</t>
  </si>
  <si>
    <t>350000000000417</t>
  </si>
  <si>
    <t>SIM-EBAY-000707</t>
  </si>
  <si>
    <t>350000000000442</t>
  </si>
  <si>
    <t>SIM-EBAY-000758</t>
  </si>
  <si>
    <t>350000000000475</t>
  </si>
  <si>
    <t>SIM-EBAY-000824</t>
  </si>
  <si>
    <t>350000000000510</t>
  </si>
  <si>
    <t>SIM-EBAY-000832</t>
  </si>
  <si>
    <t>SN0000A3MPR</t>
  </si>
  <si>
    <t>SIM-EBAY-001584</t>
  </si>
  <si>
    <t>SIM-EBAY-000478</t>
  </si>
  <si>
    <t>SN00005GE6W</t>
  </si>
  <si>
    <t>SIM-EBAY-000620</t>
  </si>
  <si>
    <t>350000000000382</t>
  </si>
  <si>
    <t>SIM-EBAY-000785</t>
  </si>
  <si>
    <t>SN00009GWNE</t>
  </si>
  <si>
    <t>SIM-EBAY-000471</t>
  </si>
  <si>
    <t>350000000000299</t>
  </si>
  <si>
    <t>SIM-EBAY-000778</t>
  </si>
  <si>
    <t>SN00009BRKD</t>
  </si>
  <si>
    <t>SIM-EBAY-000816</t>
  </si>
  <si>
    <t>350000000000504</t>
  </si>
  <si>
    <t>SIM-EBAY-001905</t>
  </si>
  <si>
    <t>SIM-EBAY-001911</t>
  </si>
  <si>
    <t>SIM-EBAY-001938</t>
  </si>
  <si>
    <t>SIM-EBAY-001547</t>
  </si>
  <si>
    <t>SIM-EBAY-000591</t>
  </si>
  <si>
    <t>SN0000717M3</t>
  </si>
  <si>
    <t>SIM-EBAY-000646</t>
  </si>
  <si>
    <t>SN00007OWNE</t>
  </si>
  <si>
    <t>SIM-EBAY-000652</t>
  </si>
  <si>
    <t>SN00007S2J2</t>
  </si>
  <si>
    <t>SIM-EBAY-001920</t>
  </si>
  <si>
    <t>SIM-EBAY-001571</t>
  </si>
  <si>
    <t>SIM-EBAY-000657</t>
  </si>
  <si>
    <t>350000000000407</t>
  </si>
  <si>
    <t>SIM-EBAY-001915</t>
  </si>
  <si>
    <t>SIM-EBAY-001921</t>
  </si>
  <si>
    <t>SIM-EBAY-001931</t>
  </si>
  <si>
    <t>SIM-EBAY-001578</t>
  </si>
  <si>
    <t>SIM-EBAY-000516</t>
  </si>
  <si>
    <t>350000000000325</t>
  </si>
  <si>
    <t>SIM-EBAY-000547</t>
  </si>
  <si>
    <t>350000000000346</t>
  </si>
  <si>
    <t>SIM-EBAY-000647</t>
  </si>
  <si>
    <t>SN00007PXVT</t>
  </si>
  <si>
    <t>SIM-EBAY-000660</t>
  </si>
  <si>
    <t>350000000000409</t>
  </si>
  <si>
    <t>SIM-EBAY-000666</t>
  </si>
  <si>
    <t>350000000000414</t>
  </si>
  <si>
    <t>SIM-EBAY-001904</t>
  </si>
  <si>
    <t>SIM-EBAY-000490</t>
  </si>
  <si>
    <t>350000000000307</t>
  </si>
  <si>
    <t>SIM-EBAY-000586</t>
  </si>
  <si>
    <t>SN00006Z579</t>
  </si>
  <si>
    <t>SIM-EBAY-000593</t>
  </si>
  <si>
    <t>350000000000368</t>
  </si>
  <si>
    <t>SIM-EBAY-000650</t>
  </si>
  <si>
    <t>SN00007RZBM</t>
  </si>
  <si>
    <t>SIM-EBAY-000716</t>
  </si>
  <si>
    <t>350000000000448</t>
  </si>
  <si>
    <t>SIM-EBAY-000724</t>
  </si>
  <si>
    <t>SN00008KWNE</t>
  </si>
  <si>
    <t>SIM-EBAY-001912</t>
  </si>
  <si>
    <t>SIM-EBAY-001947</t>
  </si>
  <si>
    <t>SIM-EBAY-000445</t>
  </si>
  <si>
    <t>350000000000280</t>
  </si>
  <si>
    <t>SIM-EBAY-000484</t>
  </si>
  <si>
    <t>350000000000304</t>
  </si>
  <si>
    <t>SIM-EBAY-000488</t>
  </si>
  <si>
    <t>350000000000305</t>
  </si>
  <si>
    <t>SIM-EBAY-000687</t>
  </si>
  <si>
    <t>350000000000430</t>
  </si>
  <si>
    <t>SIM-EBAY-000698</t>
  </si>
  <si>
    <t>350000000000436</t>
  </si>
  <si>
    <t>SIM-EBAY-001888</t>
  </si>
  <si>
    <t>SIM-EBAY-000670</t>
  </si>
  <si>
    <t>350000000000416</t>
  </si>
  <si>
    <t>SIM-EBAY-000382</t>
  </si>
  <si>
    <t>350000000000237</t>
  </si>
  <si>
    <t>SIM-EBAY-000377</t>
  </si>
  <si>
    <t>350000000000235</t>
  </si>
  <si>
    <t>SIM-EBAY-000587</t>
  </si>
  <si>
    <t>350000000000364</t>
  </si>
  <si>
    <t>SIM-EBAY-000334</t>
  </si>
  <si>
    <t>350000000000217</t>
  </si>
  <si>
    <t>SIM-EBAY-001834</t>
  </si>
  <si>
    <t>SIM-EBAY-000500</t>
  </si>
  <si>
    <t>350000000000313</t>
  </si>
  <si>
    <t>SIM-EBAY-000599</t>
  </si>
  <si>
    <t>SN000075BHP</t>
  </si>
  <si>
    <t>SIM-EBAY-000667</t>
  </si>
  <si>
    <t>SN00007Z93V</t>
  </si>
  <si>
    <t>SIM-EBAY-000410</t>
  </si>
  <si>
    <t>SN00004SNW6</t>
  </si>
  <si>
    <t>SIM-EBAY-000321</t>
  </si>
  <si>
    <t>SN00003F579</t>
  </si>
  <si>
    <t>SIM-EBAY-001821</t>
  </si>
  <si>
    <t>SIM-EBAY-001861</t>
  </si>
  <si>
    <t>SIM-EBAY-000504</t>
  </si>
  <si>
    <t>350000000000317</t>
  </si>
  <si>
    <t>SIM-EBAY-000378</t>
  </si>
  <si>
    <t>SN00004A4YU</t>
  </si>
  <si>
    <t>SIM-EBAY-000330</t>
  </si>
  <si>
    <t>SN00003J93V</t>
  </si>
  <si>
    <t>SIM-EBAY-001544</t>
  </si>
  <si>
    <t>SIM-EBAY-000426</t>
  </si>
  <si>
    <t>350000000000266</t>
  </si>
  <si>
    <t>SIM-EBAY-000558</t>
  </si>
  <si>
    <t>SN00006ILGC</t>
  </si>
  <si>
    <t>SIM-EBAY-001803</t>
  </si>
  <si>
    <t>SIM-EBAY-001822</t>
  </si>
  <si>
    <t>SIM-EBAY-000572</t>
  </si>
  <si>
    <t>SN00006PTZ7</t>
  </si>
  <si>
    <t>SIM-EBAY-000416</t>
  </si>
  <si>
    <t>350000000000259</t>
  </si>
  <si>
    <t>SIM-EBAY-000405</t>
  </si>
  <si>
    <t>SN00004PK9X</t>
  </si>
  <si>
    <t>SIM-EBAY-000251</t>
  </si>
  <si>
    <t>SN00002H3RF</t>
  </si>
  <si>
    <t>SIM-EBAY-000350</t>
  </si>
  <si>
    <t>SN00003SJ2J</t>
  </si>
  <si>
    <t>SIM-EBAY-001837</t>
  </si>
  <si>
    <t>SIM-EBAY-000419</t>
  </si>
  <si>
    <t>350000000000261</t>
  </si>
  <si>
    <t>SIM-EBAY-000233</t>
  </si>
  <si>
    <t>350000000000161</t>
  </si>
  <si>
    <t>SIM-EBAY-000266</t>
  </si>
  <si>
    <t>350000000000178</t>
  </si>
  <si>
    <t>SIM-EBAY-000346</t>
  </si>
  <si>
    <t>SN00003QGLQ</t>
  </si>
  <si>
    <t>SIM-EBAY-000374</t>
  </si>
  <si>
    <t>350000000000234</t>
  </si>
  <si>
    <t>SIM-EBAY-001816</t>
  </si>
  <si>
    <t>SIM-EBAY-001865</t>
  </si>
  <si>
    <t>SIM-EBAY-000508</t>
  </si>
  <si>
    <t>350000000000321</t>
  </si>
  <si>
    <t>SIM-EBAY-000437</t>
  </si>
  <si>
    <t>350000000000276</t>
  </si>
  <si>
    <t>SIM-EBAY-000440</t>
  </si>
  <si>
    <t>SN00004YU8L</t>
  </si>
  <si>
    <t>SIM-EBAY-000448</t>
  </si>
  <si>
    <t>SN000053ZBM</t>
  </si>
  <si>
    <t>SIM-EBAY-000507</t>
  </si>
  <si>
    <t>350000000000320</t>
  </si>
  <si>
    <t>SIM-EBAY-000527</t>
  </si>
  <si>
    <t>350000000000333</t>
  </si>
  <si>
    <t>SIM-EBAY-000564</t>
  </si>
  <si>
    <t>SN00006LP5K</t>
  </si>
  <si>
    <t>SIM-EBAY-000533</t>
  </si>
  <si>
    <t>SN0000646EN</t>
  </si>
  <si>
    <t>SIM-EBAY-000230</t>
  </si>
  <si>
    <t>SN000029TZ7</t>
  </si>
  <si>
    <t>SIM-EBAY-000331</t>
  </si>
  <si>
    <t>350000000000214</t>
  </si>
  <si>
    <t>SIM-EBAY-001844</t>
  </si>
  <si>
    <t>SIM-EBAY-000375</t>
  </si>
  <si>
    <t>SN0000482J2</t>
  </si>
  <si>
    <t>SIM-EBAY-000192</t>
  </si>
  <si>
    <t>SN00001VDXH</t>
  </si>
  <si>
    <t>SIM-EBAY-000254</t>
  </si>
  <si>
    <t>SN00002I4YU</t>
  </si>
  <si>
    <t>SIM-EBAY-000268</t>
  </si>
  <si>
    <t>SN00002RDXH</t>
  </si>
  <si>
    <t>SIM-EBAY-000273</t>
  </si>
  <si>
    <t>SN00002VHT5</t>
  </si>
  <si>
    <t>SIM-EBAY-000295</t>
  </si>
  <si>
    <t>SN000032QCY</t>
  </si>
  <si>
    <t>SIM-EBAY-000297</t>
  </si>
  <si>
    <t>SN000034SSS</t>
  </si>
  <si>
    <t>SIM-EBAY-000315</t>
  </si>
  <si>
    <t>350000000000205</t>
  </si>
  <si>
    <t>SIM-EBAY-000360</t>
  </si>
  <si>
    <t>SN000040SSS</t>
  </si>
  <si>
    <t>SIM-EBAY-001539</t>
  </si>
  <si>
    <t>SIM-EBAY-000420</t>
  </si>
  <si>
    <t>350000000000262</t>
  </si>
  <si>
    <t>SIM-EBAY-000485</t>
  </si>
  <si>
    <t>SN00005KJ2J</t>
  </si>
  <si>
    <t>SIM-EBAY-000340</t>
  </si>
  <si>
    <t>350000000000219</t>
  </si>
  <si>
    <t>SIM-EBAY-001827</t>
  </si>
  <si>
    <t>SIM-EBAY-001838</t>
  </si>
  <si>
    <t>SIM-EBAY-001545</t>
  </si>
  <si>
    <t>SIM-EBAY-000132</t>
  </si>
  <si>
    <t>350000000000092</t>
  </si>
  <si>
    <t>SIM-EBAY-000146</t>
  </si>
  <si>
    <t>SN00001EU8L</t>
  </si>
  <si>
    <t>SIM-EBAY-000189</t>
  </si>
  <si>
    <t>350000000000132</t>
  </si>
  <si>
    <t>SIM-EBAY-000316</t>
  </si>
  <si>
    <t>350000000000206</t>
  </si>
  <si>
    <t>SIM-EBAY-000353</t>
  </si>
  <si>
    <t>SN00003VMPR</t>
  </si>
  <si>
    <t>SIM-EBAY-000367</t>
  </si>
  <si>
    <t>350000000000229</t>
  </si>
  <si>
    <t>SIM-EBAY-001814</t>
  </si>
  <si>
    <t>SIM-EBAY-001849</t>
  </si>
  <si>
    <t>SIM-EBAY-001548</t>
  </si>
  <si>
    <t>SIM-EBAY-000430</t>
  </si>
  <si>
    <t>350000000000270</t>
  </si>
  <si>
    <t>SIM-EBAY-000454</t>
  </si>
  <si>
    <t>350000000000285</t>
  </si>
  <si>
    <t>SIM-EBAY-000172</t>
  </si>
  <si>
    <t>SN00001N579</t>
  </si>
  <si>
    <t>SIM-EBAY-000275</t>
  </si>
  <si>
    <t>350000000000182</t>
  </si>
  <si>
    <t>SIM-EBAY-000312</t>
  </si>
  <si>
    <t>350000000000203</t>
  </si>
  <si>
    <t>SIM-EBAY-001789</t>
  </si>
  <si>
    <t>SIM-EBAY-000456</t>
  </si>
  <si>
    <t>SN0000564YU</t>
  </si>
  <si>
    <t>SIM-EBAY-000104</t>
  </si>
  <si>
    <t>350000000000070</t>
  </si>
  <si>
    <t>SIM-EBAY-000175</t>
  </si>
  <si>
    <t>350000000000123</t>
  </si>
  <si>
    <t>SIM-EBAY-000261</t>
  </si>
  <si>
    <t>350000000000176</t>
  </si>
  <si>
    <t>SIM-EBAY-000293</t>
  </si>
  <si>
    <t>350000000000194</t>
  </si>
  <si>
    <t>SIM-EBAY-000231</t>
  </si>
  <si>
    <t>350000000000159</t>
  </si>
  <si>
    <t>SIM-EBAY-001755</t>
  </si>
  <si>
    <t>SIM-EBAY-001781</t>
  </si>
  <si>
    <t>SIM-EBAY-000384</t>
  </si>
  <si>
    <t>SN00004F93V</t>
  </si>
  <si>
    <t>SIM-EBAY-000087</t>
  </si>
  <si>
    <t>350000000000057</t>
  </si>
  <si>
    <t>SIM-EBAY-000112</t>
  </si>
  <si>
    <t>350000000000075</t>
  </si>
  <si>
    <t>SIM-EBAY-000122</t>
  </si>
  <si>
    <t>350000000000085</t>
  </si>
  <si>
    <t>SIM-EBAY-000156</t>
  </si>
  <si>
    <t>350000000000111</t>
  </si>
  <si>
    <t>SIM-EBAY-000206</t>
  </si>
  <si>
    <t>350000000000143</t>
  </si>
  <si>
    <t>SIM-EBAY-000356</t>
  </si>
  <si>
    <t>350000000000225</t>
  </si>
  <si>
    <t>SIM-EBAY-000371</t>
  </si>
  <si>
    <t>350000000000231</t>
  </si>
  <si>
    <t>SIM-EBAY-000057</t>
  </si>
  <si>
    <t>350000000000035</t>
  </si>
  <si>
    <t>SIM-EBAY-000217</t>
  </si>
  <si>
    <t>350000000000151</t>
  </si>
  <si>
    <t>SIM-EBAY-001792</t>
  </si>
  <si>
    <t>SIM-EBAY-000109</t>
  </si>
  <si>
    <t>350000000000072</t>
  </si>
  <si>
    <t>SIM-EBAY-000110</t>
  </si>
  <si>
    <t>350000000000073</t>
  </si>
  <si>
    <t>SIM-EBAY-000248</t>
  </si>
  <si>
    <t>350000000000171</t>
  </si>
  <si>
    <t>SIM-EBAY-001736</t>
  </si>
  <si>
    <t>SIM-EBAY-000028</t>
  </si>
  <si>
    <t>350000000000018</t>
  </si>
  <si>
    <t>SIM-EBAY-001747</t>
  </si>
  <si>
    <t>SIM-EBAY-000034</t>
  </si>
  <si>
    <t>350000000000022</t>
  </si>
  <si>
    <t>SIM-EBAY-000155</t>
  </si>
  <si>
    <t>SN00001FVFZ</t>
  </si>
  <si>
    <t>SIM-EBAY-000264</t>
  </si>
  <si>
    <t>SN00002PBHP</t>
  </si>
  <si>
    <t>SIM-EBAY-000355</t>
  </si>
  <si>
    <t>SN00003XP5K</t>
  </si>
  <si>
    <t>SIM-EBAY-000090</t>
  </si>
  <si>
    <t>SN00000XBHP</t>
  </si>
  <si>
    <t>SIM-EBAY-000091</t>
  </si>
  <si>
    <t>350000000000060</t>
  </si>
  <si>
    <t>SIM-EBAY-000022</t>
  </si>
  <si>
    <t>350000000000014</t>
  </si>
  <si>
    <t>SIM-EBAY-001741</t>
  </si>
  <si>
    <t>SIM-EBAY-001786</t>
  </si>
  <si>
    <t>SIM-EBAY-001532</t>
  </si>
  <si>
    <t>SIM-EBAY-000040</t>
  </si>
  <si>
    <t>350000000000025</t>
  </si>
  <si>
    <t>SIM-EBAY-000120</t>
  </si>
  <si>
    <t>SN000015K9X</t>
  </si>
  <si>
    <t>SIM-EBAY-000145</t>
  </si>
  <si>
    <t>SN00001DTZ7</t>
  </si>
  <si>
    <t>SIM-EBAY-000153</t>
  </si>
  <si>
    <t>350000000000109</t>
  </si>
  <si>
    <t>SIM-EBAY-000160</t>
  </si>
  <si>
    <t>SN00001HXVT</t>
  </si>
  <si>
    <t>SIM-EBAY-000180</t>
  </si>
  <si>
    <t>350000000000125</t>
  </si>
  <si>
    <t>SIM-EBAY-000190</t>
  </si>
  <si>
    <t>350000000000133</t>
  </si>
  <si>
    <t>SIM-EBAY-001739</t>
  </si>
  <si>
    <t>SIM-EBAY-001748</t>
  </si>
  <si>
    <t>SIM-EBAY-000130</t>
  </si>
  <si>
    <t>SN000017MPR</t>
  </si>
  <si>
    <t>SIM-EBAY-000179</t>
  </si>
  <si>
    <t>SN00001R93V</t>
  </si>
  <si>
    <t>SIM-EBAY-000214</t>
  </si>
  <si>
    <t>350000000000148</t>
  </si>
  <si>
    <t>SIM-EBAY-000246</t>
  </si>
  <si>
    <t>350000000000169</t>
  </si>
  <si>
    <t>SIM-EBAY-001758</t>
  </si>
  <si>
    <t>SIM-EBAY-001782</t>
  </si>
  <si>
    <t>SIM-EBAY-001790</t>
  </si>
  <si>
    <t>SIM-EBAY-000138</t>
  </si>
  <si>
    <t>350000000000097</t>
  </si>
  <si>
    <t>SIM-EBAY-000147</t>
  </si>
  <si>
    <t>350000000000103</t>
  </si>
  <si>
    <t>SIM-EBAY-000193</t>
  </si>
  <si>
    <t>SN00001WE6W</t>
  </si>
  <si>
    <t>SIM-EBAY-001751</t>
  </si>
  <si>
    <t>SIM-EBAY-001777</t>
  </si>
  <si>
    <t>SIM-EBAY-000043</t>
  </si>
  <si>
    <t>350000000000026</t>
  </si>
  <si>
    <t>SIM-EBAY-000093</t>
  </si>
  <si>
    <t>SN00000YCQ4</t>
  </si>
  <si>
    <t>SIM-EBAY-000098</t>
  </si>
  <si>
    <t>SN000011FDB</t>
  </si>
  <si>
    <t>SIM-EBAY-000018</t>
  </si>
  <si>
    <t>350000000000011</t>
  </si>
  <si>
    <t>SIM-EBAY-001721</t>
  </si>
  <si>
    <t>SIM-EBAY-001778</t>
  </si>
  <si>
    <t>SIM-EBAY-000045</t>
  </si>
  <si>
    <t>SN00000KWNE</t>
  </si>
  <si>
    <t>SIM-EBAY-000115</t>
  </si>
  <si>
    <t>350000000000078</t>
  </si>
  <si>
    <t>SIM-EBAY-000196</t>
  </si>
  <si>
    <t>SN00001XFDB</t>
  </si>
  <si>
    <t>SIM-EBAY-000198</t>
  </si>
  <si>
    <t>350000000000137</t>
  </si>
  <si>
    <t>SIM-EBAY-000239</t>
  </si>
  <si>
    <t>SN00002CWNE</t>
  </si>
  <si>
    <t>SIM-EBAY-001760</t>
  </si>
  <si>
    <t>SIM-EBAY-000162</t>
  </si>
  <si>
    <t>SN00001IY48</t>
  </si>
  <si>
    <t>SIM-EBAY-000164</t>
  </si>
  <si>
    <t>350000000000115</t>
  </si>
  <si>
    <t>SIM-EBAY-000176</t>
  </si>
  <si>
    <t>350000000000124</t>
  </si>
  <si>
    <t>SIM-EBAY-001533</t>
  </si>
  <si>
    <t>SIM-EBAY-000044</t>
  </si>
  <si>
    <t>SN00000JVFZ</t>
  </si>
  <si>
    <t>SIM-EBAY-000051</t>
  </si>
  <si>
    <t>SN00000NZBM</t>
  </si>
  <si>
    <t>SIM-EBAY-000134</t>
  </si>
  <si>
    <t>350000000000093</t>
  </si>
  <si>
    <t>SIM-EBAY-000170</t>
  </si>
  <si>
    <t>SN00001M4YU</t>
  </si>
  <si>
    <t>SIM-EBAY-000029</t>
  </si>
  <si>
    <t>SN00000BMPR</t>
  </si>
  <si>
    <t>SIM-EBAY-000062</t>
  </si>
  <si>
    <t>350000000000039</t>
  </si>
  <si>
    <t>SIM-EBAY-000063</t>
  </si>
  <si>
    <t>SN00000P3RF</t>
  </si>
  <si>
    <t>SIM-EBAY-001720</t>
  </si>
  <si>
    <t>SIM-EBAY-001659</t>
  </si>
  <si>
    <t>SIM-EBAY-001680</t>
  </si>
  <si>
    <t>SIM-EBAY-000030</t>
  </si>
  <si>
    <t>350000000000019</t>
  </si>
  <si>
    <t>SIM-EBAY-000157</t>
  </si>
  <si>
    <t>350000000000112</t>
  </si>
  <si>
    <t>SIM-EBAY-000046</t>
  </si>
  <si>
    <t>350000000000027</t>
  </si>
  <si>
    <t>SIM-EBAY-000059</t>
  </si>
  <si>
    <t>350000000000036</t>
  </si>
  <si>
    <t>SIM-EBAY-000127</t>
  </si>
  <si>
    <t>350000000000089</t>
  </si>
  <si>
    <t>SIM-EBAY-000014</t>
  </si>
  <si>
    <t>350000000000009</t>
  </si>
  <si>
    <t>SIM-EBAY-000020</t>
  </si>
  <si>
    <t>350000000000013</t>
  </si>
  <si>
    <t>SIM-EBAY-001714</t>
  </si>
  <si>
    <t>SIM-EBAY-000032</t>
  </si>
  <si>
    <t>350000000000021</t>
  </si>
  <si>
    <t>SIM-EBAY-000027</t>
  </si>
  <si>
    <t>350000000000017</t>
  </si>
  <si>
    <t>SIM-EBAY-000055</t>
  </si>
  <si>
    <t>350000000000033</t>
  </si>
  <si>
    <t>SIM-EBAY-000077</t>
  </si>
  <si>
    <t>SN00000V93V</t>
  </si>
  <si>
    <t>SIM-EBAY-000009</t>
  </si>
  <si>
    <t>SN000002CQ4</t>
  </si>
  <si>
    <t>SIM-EBAY-000026</t>
  </si>
  <si>
    <t>SN00000ALGC</t>
  </si>
  <si>
    <t>SIM-EBAY-001528</t>
  </si>
  <si>
    <t>SIM-EBAY-001673</t>
  </si>
  <si>
    <t>SIM-EBAY-001708</t>
  </si>
  <si>
    <t>SIM-EBAY-001670</t>
  </si>
  <si>
    <t>SIM-EBAY-000024</t>
  </si>
  <si>
    <t>SN000008J2J</t>
  </si>
  <si>
    <t>SIM-EBAY-001704</t>
  </si>
  <si>
    <t>SIM-EBAY-001663</t>
  </si>
  <si>
    <t>SIM-EBAY-001669</t>
  </si>
  <si>
    <t>SIM-EBAY-001713</t>
  </si>
  <si>
    <t>SIM-EBAY-001678</t>
  </si>
  <si>
    <t>SIM-EBAY-001694</t>
  </si>
  <si>
    <t>SIM-EBAY-001696</t>
  </si>
  <si>
    <t>VAT 20%</t>
  </si>
  <si>
    <t>SIM-ONBUY-001389</t>
  </si>
  <si>
    <t>350000000000856</t>
  </si>
  <si>
    <t>SIM-ONBUY-001403</t>
  </si>
  <si>
    <t>350000000000866</t>
  </si>
  <si>
    <t>SIM-ONBUY-001419</t>
  </si>
  <si>
    <t>SN0000HVDXH</t>
  </si>
  <si>
    <t>SIM-ONBUY-001428</t>
  </si>
  <si>
    <t>350000000000879</t>
  </si>
  <si>
    <t>SIM-ONBUY-001445</t>
  </si>
  <si>
    <t>SN0000I3MPR</t>
  </si>
  <si>
    <t>SIM-ONBUY-001446</t>
  </si>
  <si>
    <t>350000000000892</t>
  </si>
  <si>
    <t>SIM-ONBUY-001447</t>
  </si>
  <si>
    <t>SN0000I4NW6</t>
  </si>
  <si>
    <t>SIM-ONBUY-001448</t>
  </si>
  <si>
    <t>SN0000I5P5K</t>
  </si>
  <si>
    <t>SIM-ONBUY-001456</t>
  </si>
  <si>
    <t>350000000000896</t>
  </si>
  <si>
    <t>SIM-ONBUY-001468</t>
  </si>
  <si>
    <t>350000000000907</t>
  </si>
  <si>
    <t>SIM-ONBUY-001476</t>
  </si>
  <si>
    <t>350000000000913</t>
  </si>
  <si>
    <t>SIM-ONBUY-001480</t>
  </si>
  <si>
    <t>350000000000917</t>
  </si>
  <si>
    <t>SIM-ONBUY-001486</t>
  </si>
  <si>
    <t>SN0000II4YU</t>
  </si>
  <si>
    <t>SIM-ONBUY-001494</t>
  </si>
  <si>
    <t>SN0000IL7M3</t>
  </si>
  <si>
    <t>SIM-ONBUY-001500</t>
  </si>
  <si>
    <t>SN0000IQCQ4</t>
  </si>
  <si>
    <t>SIM-ONBUY-001501</t>
  </si>
  <si>
    <t>350000000000930</t>
  </si>
  <si>
    <t>SIM-ONBUY-001502</t>
  </si>
  <si>
    <t>350000000000931</t>
  </si>
  <si>
    <t>SIM-ONBUY-001506</t>
  </si>
  <si>
    <t>350000000000934</t>
  </si>
  <si>
    <t>SIM-ONBUY-001316</t>
  </si>
  <si>
    <t>SN0000GHTZ7</t>
  </si>
  <si>
    <t>SIM-ONBUY-001319</t>
  </si>
  <si>
    <t>350000000000812</t>
  </si>
  <si>
    <t>SIM-ONBUY-001335</t>
  </si>
  <si>
    <t>350000000000825</t>
  </si>
  <si>
    <t>SIM-ONBUY-001341</t>
  </si>
  <si>
    <t>350000000000829</t>
  </si>
  <si>
    <t>SIM-ONBUY-001345</t>
  </si>
  <si>
    <t>350000000000832</t>
  </si>
  <si>
    <t>SIM-ONBUY-001360</t>
  </si>
  <si>
    <t>350000000000839</t>
  </si>
  <si>
    <t>SIM-ONBUY-001363</t>
  </si>
  <si>
    <t>350000000000841</t>
  </si>
  <si>
    <t>SIM-ONBUY-001372</t>
  </si>
  <si>
    <t>350000000000848</t>
  </si>
  <si>
    <t>SIM-ONBUY-001375</t>
  </si>
  <si>
    <t>SN0000HAQCY</t>
  </si>
  <si>
    <t>SIM-ONBUY-001180</t>
  </si>
  <si>
    <t>350000000000730</t>
  </si>
  <si>
    <t>SIM-ONBUY-001232</t>
  </si>
  <si>
    <t>SN0000FAGLQ</t>
  </si>
  <si>
    <t>SIM-ONBUY-001272</t>
  </si>
  <si>
    <t>350000000000789</t>
  </si>
  <si>
    <t>SIM-ONBUY-001282</t>
  </si>
  <si>
    <t>SN0000FW6EN</t>
  </si>
  <si>
    <t>SIM-ONBUY-001308</t>
  </si>
  <si>
    <t>SN0000GEQCY</t>
  </si>
  <si>
    <t>SIM-ONBUY-002104</t>
  </si>
  <si>
    <t>SIM-ONBUY-002111</t>
  </si>
  <si>
    <t>SIM-ONBUY-002114</t>
  </si>
  <si>
    <t>SIM-ONBUY-002123</t>
  </si>
  <si>
    <t>SIM-ONBUY-002144</t>
  </si>
  <si>
    <t>SIM-ONBUY-002152</t>
  </si>
  <si>
    <t>SIM-ONBUY-002156</t>
  </si>
  <si>
    <t>SIM-ONBUY-002170</t>
  </si>
  <si>
    <t>SIM-ONBUY-001637</t>
  </si>
  <si>
    <t>SIM-ONBUY-001641</t>
  </si>
  <si>
    <t>SIM-ONBUY-001182</t>
  </si>
  <si>
    <t>SN0000EMQCY</t>
  </si>
  <si>
    <t>SIM-ONBUY-001238</t>
  </si>
  <si>
    <t>350000000000767</t>
  </si>
  <si>
    <t>SIM-ONBUY-002125</t>
  </si>
  <si>
    <t>SIM-ONBUY-001613</t>
  </si>
  <si>
    <t>SIM-ONBUY-001404</t>
  </si>
  <si>
    <t>350000000000867</t>
  </si>
  <si>
    <t>SIM-ONBUY-001311</t>
  </si>
  <si>
    <t>350000000000809</t>
  </si>
  <si>
    <t>SIM-ONBUY-001328</t>
  </si>
  <si>
    <t>350000000000817</t>
  </si>
  <si>
    <t>SIM-ONBUY-001174</t>
  </si>
  <si>
    <t>SN0000EILGC</t>
  </si>
  <si>
    <t>SIM-ONBUY-001271</t>
  </si>
  <si>
    <t>SN0000FPXVT</t>
  </si>
  <si>
    <t>SIM-ONBUY-002109</t>
  </si>
  <si>
    <t>SIM-ONBUY-001402</t>
  </si>
  <si>
    <t>350000000000865</t>
  </si>
  <si>
    <t>SIM-ONBUY-001339</t>
  </si>
  <si>
    <t>350000000000828</t>
  </si>
  <si>
    <t>SIM-ONBUY-001343</t>
  </si>
  <si>
    <t>SN0000GV93V</t>
  </si>
  <si>
    <t>SIM-ONBUY-001355</t>
  </si>
  <si>
    <t>350000000000838</t>
  </si>
  <si>
    <t>SIM-ONBUY-001121</t>
  </si>
  <si>
    <t>SN0000DONW6</t>
  </si>
  <si>
    <t>SIM-ONBUY-001131</t>
  </si>
  <si>
    <t>SN0000DWWNE</t>
  </si>
  <si>
    <t>SIM-ONBUY-002132</t>
  </si>
  <si>
    <t>SIM-ONBUY-001415</t>
  </si>
  <si>
    <t>SN0000HTBHP</t>
  </si>
  <si>
    <t>SIM-ONBUY-001155</t>
  </si>
  <si>
    <t>SN0000E68UG</t>
  </si>
  <si>
    <t>SIM-ONBUY-001173</t>
  </si>
  <si>
    <t>SN0000EHK9X</t>
  </si>
  <si>
    <t>SIM-ONBUY-001275</t>
  </si>
  <si>
    <t>350000000000792</t>
  </si>
  <si>
    <t>SIM-ONBUY-001380</t>
  </si>
  <si>
    <t>350000000000851</t>
  </si>
  <si>
    <t>SIM-ONBUY-001370</t>
  </si>
  <si>
    <t>350000000000846</t>
  </si>
  <si>
    <t>SIM-ONBUY-001119</t>
  </si>
  <si>
    <t>SN0000DMLGC</t>
  </si>
  <si>
    <t>SIM-ONBUY-001269</t>
  </si>
  <si>
    <t>350000000000788</t>
  </si>
  <si>
    <t>SIM-ONBUY-002058</t>
  </si>
  <si>
    <t>SIM-ONBUY-002060</t>
  </si>
  <si>
    <t>SIM-ONBUY-001381</t>
  </si>
  <si>
    <t>SN0000HDTZ7</t>
  </si>
  <si>
    <t>SIM-ONBUY-001054</t>
  </si>
  <si>
    <t>350000000000655</t>
  </si>
  <si>
    <t>SIM-ONBUY-001086</t>
  </si>
  <si>
    <t>350000000000678</t>
  </si>
  <si>
    <t>SIM-ONBUY-001132</t>
  </si>
  <si>
    <t>350000000000704</t>
  </si>
  <si>
    <t>SIM-ONBUY-001192</t>
  </si>
  <si>
    <t>350000000000736</t>
  </si>
  <si>
    <t>SIM-ONBUY-001217</t>
  </si>
  <si>
    <t>SN0000F28UG</t>
  </si>
  <si>
    <t>SIM-ONBUY-001262</t>
  </si>
  <si>
    <t>350000000000782</t>
  </si>
  <si>
    <t>SIM-ONBUY-001314</t>
  </si>
  <si>
    <t>SN0000GGSSS</t>
  </si>
  <si>
    <t>SIM-ONBUY-001321</t>
  </si>
  <si>
    <t>350000000000814</t>
  </si>
  <si>
    <t>SIM-ONBUY-001156</t>
  </si>
  <si>
    <t>350000000000719</t>
  </si>
  <si>
    <t>SIM-ONBUY-001130</t>
  </si>
  <si>
    <t>SN0000DVVFZ</t>
  </si>
  <si>
    <t>SIM-ONBUY-001159</t>
  </si>
  <si>
    <t>SN0000E8AAA</t>
  </si>
  <si>
    <t>SIM-ONBUY-001288</t>
  </si>
  <si>
    <t>SN0000G2CQ4</t>
  </si>
  <si>
    <t>SIM-ONBUY-001603</t>
  </si>
  <si>
    <t>SIM-ONBUY-001318</t>
  </si>
  <si>
    <t>SN0000GJVFZ</t>
  </si>
  <si>
    <t>SIM-ONBUY-001326</t>
  </si>
  <si>
    <t>SN0000GO2J2</t>
  </si>
  <si>
    <t>SIM-ONBUY-002085</t>
  </si>
  <si>
    <t>SIM-ONBUY-001124</t>
  </si>
  <si>
    <t>SN0000DPP5K</t>
  </si>
  <si>
    <t>SIM-ONBUY-001216</t>
  </si>
  <si>
    <t>350000000000752</t>
  </si>
  <si>
    <t>SIM-ONBUY-001218</t>
  </si>
  <si>
    <t>SN0000F393V</t>
  </si>
  <si>
    <t>SIM-ONBUY-001610</t>
  </si>
  <si>
    <t>SIM-ONBUY-001017</t>
  </si>
  <si>
    <t>350000000000628</t>
  </si>
  <si>
    <t>SIM-ONBUY-001153</t>
  </si>
  <si>
    <t>SN0000E57M3</t>
  </si>
  <si>
    <t>SIM-ONBUY-001000</t>
  </si>
  <si>
    <t>350000000000620</t>
  </si>
  <si>
    <t>SIM-ONBUY-001227</t>
  </si>
  <si>
    <t>350000000000758</t>
  </si>
  <si>
    <t>SIM-ONBUY-002101</t>
  </si>
  <si>
    <t>SIM-ONBUY-002066</t>
  </si>
  <si>
    <t>SIM-ONBUY-002068</t>
  </si>
  <si>
    <t>SIM-ONBUY-001029</t>
  </si>
  <si>
    <t>350000000000632</t>
  </si>
  <si>
    <t>SIM-ONBUY-001064</t>
  </si>
  <si>
    <t>350000000000664</t>
  </si>
  <si>
    <t>SIM-ONBUY-001116</t>
  </si>
  <si>
    <t>350000000000697</t>
  </si>
  <si>
    <t>SIM-ONBUY-001257</t>
  </si>
  <si>
    <t>350000000000779</t>
  </si>
  <si>
    <t>SIM-ONBUY-002096</t>
  </si>
  <si>
    <t>SIM-ONBUY-002046</t>
  </si>
  <si>
    <t>SIM-ONBUY-002067</t>
  </si>
  <si>
    <t>SIM-ONBUY-000937</t>
  </si>
  <si>
    <t>SN0000BE4YU</t>
  </si>
  <si>
    <t>SIM-ONBUY-000996</t>
  </si>
  <si>
    <t>350000000000616</t>
  </si>
  <si>
    <t>SIM-ONBUY-001032</t>
  </si>
  <si>
    <t>350000000000634</t>
  </si>
  <si>
    <t>SIM-ONBUY-001183</t>
  </si>
  <si>
    <t>350000000000732</t>
  </si>
  <si>
    <t>SIM-ONBUY-001245</t>
  </si>
  <si>
    <t>SN0000FELGC</t>
  </si>
  <si>
    <t>SIM-ONBUY-001261</t>
  </si>
  <si>
    <t>SN0000FLTZ7</t>
  </si>
  <si>
    <t>SIM-ONBUY-002095</t>
  </si>
  <si>
    <t>SIM-ONBUY-002031</t>
  </si>
  <si>
    <t>SIM-ONBUY-002040</t>
  </si>
  <si>
    <t>SIM-ONBUY-002090</t>
  </si>
  <si>
    <t>SIM-ONBUY-001015</t>
  </si>
  <si>
    <t>350000000000626</t>
  </si>
  <si>
    <t>SIM-ONBUY-001020</t>
  </si>
  <si>
    <t>SN0000CLFDB</t>
  </si>
  <si>
    <t>SIM-ONBUY-001039</t>
  </si>
  <si>
    <t>SN0000CUQCY</t>
  </si>
  <si>
    <t>SIM-ONBUY-001084</t>
  </si>
  <si>
    <t>SN0000D7579</t>
  </si>
  <si>
    <t>SIM-ONBUY-000894</t>
  </si>
  <si>
    <t>SN0000AXK9X</t>
  </si>
  <si>
    <t>SIM-ONBUY-000966</t>
  </si>
  <si>
    <t>350000000000598</t>
  </si>
  <si>
    <t>SIM-ONBUY-000970</t>
  </si>
  <si>
    <t>SN0000BXP5K</t>
  </si>
  <si>
    <t>SIM-ONBUY-000987</t>
  </si>
  <si>
    <t>SN0000C5XVT</t>
  </si>
  <si>
    <t>SIM-ONBUY-001110</t>
  </si>
  <si>
    <t>SN0000DKJ2J</t>
  </si>
  <si>
    <t>SIM-ONBUY-001144</t>
  </si>
  <si>
    <t>SN0000DYY48</t>
  </si>
  <si>
    <t>SIM-ONBUY-001148</t>
  </si>
  <si>
    <t>SN0000E13RF</t>
  </si>
  <si>
    <t>SIM-ONBUY-002043</t>
  </si>
  <si>
    <t>SIM-ONBUY-001582</t>
  </si>
  <si>
    <t>SIM-ONBUY-000919</t>
  </si>
  <si>
    <t>SN0000B6U8L</t>
  </si>
  <si>
    <t>SIM-ONBUY-000936</t>
  </si>
  <si>
    <t>SN0000BD3RF</t>
  </si>
  <si>
    <t>SIM-ONBUY-000938</t>
  </si>
  <si>
    <t>SN0000BF579</t>
  </si>
  <si>
    <t>SIM-ONBUY-000954</t>
  </si>
  <si>
    <t>SN0000BPFDB</t>
  </si>
  <si>
    <t>SIM-ONBUY-001164</t>
  </si>
  <si>
    <t>350000000000723</t>
  </si>
  <si>
    <t>SIM-ONBUY-002035</t>
  </si>
  <si>
    <t>SIM-ONBUY-001024</t>
  </si>
  <si>
    <t>SN0000COJ2J</t>
  </si>
  <si>
    <t>SIM-ONBUY-001047</t>
  </si>
  <si>
    <t>350000000000649</t>
  </si>
  <si>
    <t>SIM-ONBUY-001092</t>
  </si>
  <si>
    <t>350000000000682</t>
  </si>
  <si>
    <t>SIM-ONBUY-001609</t>
  </si>
  <si>
    <t>SIM-ONBUY-000926</t>
  </si>
  <si>
    <t>SN0000B9XVT</t>
  </si>
  <si>
    <t>SIM-ONBUY-001051</t>
  </si>
  <si>
    <t>350000000000653</t>
  </si>
  <si>
    <t>SIM-ONBUY-001984</t>
  </si>
  <si>
    <t>SIM-ONBUY-000855</t>
  </si>
  <si>
    <t>350000000000529</t>
  </si>
  <si>
    <t>SIM-ONBUY-000866</t>
  </si>
  <si>
    <t>SN0000AI4YU</t>
  </si>
  <si>
    <t>SIM-ONBUY-000972</t>
  </si>
  <si>
    <t>350000000000600</t>
  </si>
  <si>
    <t>SIM-ONBUY-001041</t>
  </si>
  <si>
    <t>350000000000641</t>
  </si>
  <si>
    <t>SIM-ONBUY-001089</t>
  </si>
  <si>
    <t>SN0000DA8UG</t>
  </si>
  <si>
    <t>SIM-ONBUY-001137</t>
  </si>
  <si>
    <t>350000000000709</t>
  </si>
  <si>
    <t>SIM-ONBUY-000848</t>
  </si>
  <si>
    <t>SN0000AAU8L</t>
  </si>
  <si>
    <t>SIM-ONBUY-000914</t>
  </si>
  <si>
    <t>SN0000B4SSS</t>
  </si>
  <si>
    <t>SIM-ONBUY-000948</t>
  </si>
  <si>
    <t>SN0000BNDXH</t>
  </si>
  <si>
    <t>SIM-ONBUY-001969</t>
  </si>
  <si>
    <t>SIM-ONBUY-001979</t>
  </si>
  <si>
    <t>SIM-ONBUY-001981</t>
  </si>
  <si>
    <t>SIM-ONBUY-001999</t>
  </si>
  <si>
    <t>SIM-ONBUY-000911</t>
  </si>
  <si>
    <t>350000000000567</t>
  </si>
  <si>
    <t>SIM-ONBUY-000931</t>
  </si>
  <si>
    <t>350000000000581</t>
  </si>
  <si>
    <t>SIM-ONBUY-000950</t>
  </si>
  <si>
    <t>350000000000588</t>
  </si>
  <si>
    <t>SIM-ONBUY-000965</t>
  </si>
  <si>
    <t>350000000000597</t>
  </si>
  <si>
    <t>SIM-ONBUY-000975</t>
  </si>
  <si>
    <t>SN0000C0SSS</t>
  </si>
  <si>
    <t>SIM-ONBUY-001056</t>
  </si>
  <si>
    <t>350000000000657</t>
  </si>
  <si>
    <t>SIM-ONBUY-002004</t>
  </si>
  <si>
    <t>SIM-ONBUY-001038</t>
  </si>
  <si>
    <t>350000000000639</t>
  </si>
  <si>
    <t>SIM-ONBUY-001954</t>
  </si>
  <si>
    <t>SIM-ONBUY-001048</t>
  </si>
  <si>
    <t>350000000000650</t>
  </si>
  <si>
    <t>SIM-ONBUY-002011</t>
  </si>
  <si>
    <t>SIM-ONBUY-000723</t>
  </si>
  <si>
    <t>350000000000454</t>
  </si>
  <si>
    <t>SIM-ONBUY-000729</t>
  </si>
  <si>
    <t>SN00008MY48</t>
  </si>
  <si>
    <t>SIM-ONBUY-000750</t>
  </si>
  <si>
    <t>SN00008U8UG</t>
  </si>
  <si>
    <t>SIM-ONBUY-000773</t>
  </si>
  <si>
    <t>SN000098NW6</t>
  </si>
  <si>
    <t>SIM-ONBUY-002017</t>
  </si>
  <si>
    <t>SIM-ONBUY-001951</t>
  </si>
  <si>
    <t>SIM-ONBUY-000859</t>
  </si>
  <si>
    <t>350000000000534</t>
  </si>
  <si>
    <t>SIM-ONBUY-000715</t>
  </si>
  <si>
    <t>SN00008IU8L</t>
  </si>
  <si>
    <t>SIM-ONBUY-002021</t>
  </si>
  <si>
    <t>SIM-ONBUY-001572</t>
  </si>
  <si>
    <t>SIM-ONBUY-001579</t>
  </si>
  <si>
    <t>SIM-ONBUY-000840</t>
  </si>
  <si>
    <t>350000000000522</t>
  </si>
  <si>
    <t>SIM-ONBUY-000913</t>
  </si>
  <si>
    <t>350000000000569</t>
  </si>
  <si>
    <t>SIM-ONBUY-000983</t>
  </si>
  <si>
    <t>350000000000606</t>
  </si>
  <si>
    <t>SIM-ONBUY-001001</t>
  </si>
  <si>
    <t>SN0000C93RF</t>
  </si>
  <si>
    <t>SIM-ONBUY-001018</t>
  </si>
  <si>
    <t>SN0000CJDXH</t>
  </si>
  <si>
    <t>SIM-ONBUY-001027</t>
  </si>
  <si>
    <t>350000000000630</t>
  </si>
  <si>
    <t>SIM-ONBUY-001955</t>
  </si>
  <si>
    <t>SIM-ONBUY-001975</t>
  </si>
  <si>
    <t>SIM-ONBUY-001602</t>
  </si>
  <si>
    <t>SIM-ONBUY-000764</t>
  </si>
  <si>
    <t>350000000000477</t>
  </si>
  <si>
    <t>SIM-ONBUY-001956</t>
  </si>
  <si>
    <t>SIM-ONBUY-000867</t>
  </si>
  <si>
    <t>SN0000AJ579</t>
  </si>
  <si>
    <t>SIM-ONBUY-000981</t>
  </si>
  <si>
    <t>SN0000C3VFZ</t>
  </si>
  <si>
    <t>SIM-ONBUY-000995</t>
  </si>
  <si>
    <t>350000000000615</t>
  </si>
  <si>
    <t>SIM-ONBUY-000699</t>
  </si>
  <si>
    <t>SN00008BMPR</t>
  </si>
  <si>
    <t>SIM-ONBUY-000880</t>
  </si>
  <si>
    <t>350000000000547</t>
  </si>
  <si>
    <t>SIM-ONBUY-000939</t>
  </si>
  <si>
    <t>SN0000BG6EN</t>
  </si>
  <si>
    <t>SIM-ONBUY-000690</t>
  </si>
  <si>
    <t>350000000000432</t>
  </si>
  <si>
    <t>SIM-ONBUY-001953</t>
  </si>
  <si>
    <t>SIM-ONBUY-001961</t>
  </si>
  <si>
    <t>SIM-ONBUY-001971</t>
  </si>
  <si>
    <t>SIM-ONBUY-001978</t>
  </si>
  <si>
    <t>SIM-ONBUY-000788</t>
  </si>
  <si>
    <t>SN00009HXVT</t>
  </si>
  <si>
    <t>SIM-ONBUY-000803</t>
  </si>
  <si>
    <t>350000000000494</t>
  </si>
  <si>
    <t>SIM-ONBUY-000961</t>
  </si>
  <si>
    <t>350000000000595</t>
  </si>
  <si>
    <t>SIM-ONBUY-002006</t>
  </si>
  <si>
    <t>SIM-ONBUY-000797</t>
  </si>
  <si>
    <t>SN00009L3RF</t>
  </si>
  <si>
    <t>SIM-ONBUY-000611</t>
  </si>
  <si>
    <t>350000000000376</t>
  </si>
  <si>
    <t>SIM-ONBUY-000655</t>
  </si>
  <si>
    <t>350000000000406</t>
  </si>
  <si>
    <t>SIM-ONBUY-000689</t>
  </si>
  <si>
    <t>SN000085FDB</t>
  </si>
  <si>
    <t>SIM-ONBUY-000720</t>
  </si>
  <si>
    <t>350000000000451</t>
  </si>
  <si>
    <t>SIM-ONBUY-000644</t>
  </si>
  <si>
    <t>350000000000401</t>
  </si>
  <si>
    <t>SIM-ONBUY-001564</t>
  </si>
  <si>
    <t>SIM-ONBUY-001577</t>
  </si>
  <si>
    <t>SIM-ONBUY-001898</t>
  </si>
  <si>
    <t>SIM-ONBUY-000794</t>
  </si>
  <si>
    <t>350000000000491</t>
  </si>
  <si>
    <t>SIM-ONBUY-000812</t>
  </si>
  <si>
    <t>350000000000500</t>
  </si>
  <si>
    <t>SIM-ONBUY-000577</t>
  </si>
  <si>
    <t>SN00006TXVT</t>
  </si>
  <si>
    <t>SIM-ONBUY-000762</t>
  </si>
  <si>
    <t>SN000092GLQ</t>
  </si>
  <si>
    <t>SIM-ONBUY-000783</t>
  </si>
  <si>
    <t>SN00009EU8L</t>
  </si>
  <si>
    <t>SIM-ONBUY-000517</t>
  </si>
  <si>
    <t>SN00005YY48</t>
  </si>
  <si>
    <t>SIM-ONBUY-000631</t>
  </si>
  <si>
    <t>350000000000391</t>
  </si>
  <si>
    <t>SIM-ONBUY-000718</t>
  </si>
  <si>
    <t>SN00008JVFZ</t>
  </si>
  <si>
    <t>SIM-ONBUY-001876</t>
  </si>
  <si>
    <t>SIM-ONBUY-001895</t>
  </si>
  <si>
    <t>SIM-ONBUY-001899</t>
  </si>
  <si>
    <t>SIM-ONBUY-000581</t>
  </si>
  <si>
    <t>SN00006X3RF</t>
  </si>
  <si>
    <t>SIM-ONBUY-000776</t>
  </si>
  <si>
    <t>350000000000482</t>
  </si>
  <si>
    <t>SIM-ONBUY-001890</t>
  </si>
  <si>
    <t>SIM-ONBUY-000789</t>
  </si>
  <si>
    <t>350000000000489</t>
  </si>
  <si>
    <t>SIM-ONBUY-000496</t>
  </si>
  <si>
    <t>350000000000311</t>
  </si>
  <si>
    <t>SIM-ONBUY-000514</t>
  </si>
  <si>
    <t>SN00005WWNE</t>
  </si>
  <si>
    <t>SIM-ONBUY-000563</t>
  </si>
  <si>
    <t>350000000000352</t>
  </si>
  <si>
    <t>SIM-ONBUY-000578</t>
  </si>
  <si>
    <t>SN00006UY48</t>
  </si>
  <si>
    <t>SIM-ONBUY-000780</t>
  </si>
  <si>
    <t>SN00009DTZ7</t>
  </si>
  <si>
    <t>SIM-ONBUY-001907</t>
  </si>
  <si>
    <t>SIM-ONBUY-001550</t>
  </si>
  <si>
    <t>SIM-ONBUY-001563</t>
  </si>
  <si>
    <t>SIM-ONBUY-000559</t>
  </si>
  <si>
    <t>350000000000350</t>
  </si>
  <si>
    <t>SIM-ONBUY-000598</t>
  </si>
  <si>
    <t>350000000000371</t>
  </si>
  <si>
    <t>SIM-ONBUY-001875</t>
  </si>
  <si>
    <t>SIM-ONBUY-000537</t>
  </si>
  <si>
    <t>350000000000340</t>
  </si>
  <si>
    <t>SIM-ONBUY-000561</t>
  </si>
  <si>
    <t>SN00006KNW6</t>
  </si>
  <si>
    <t>SIM-ONBUY-000636</t>
  </si>
  <si>
    <t>350000000000395</t>
  </si>
  <si>
    <t>SIM-ONBUY-000648</t>
  </si>
  <si>
    <t>SN00007QY48</t>
  </si>
  <si>
    <t>SIM-ONBUY-000746</t>
  </si>
  <si>
    <t>350000000000468</t>
  </si>
  <si>
    <t>SIM-ONBUY-000777</t>
  </si>
  <si>
    <t>350000000000483</t>
  </si>
  <si>
    <t>SIM-ONBUY-001919</t>
  </si>
  <si>
    <t>SIM-ONBUY-001558</t>
  </si>
  <si>
    <t>SIM-ONBUY-000518</t>
  </si>
  <si>
    <t>350000000000326</t>
  </si>
  <si>
    <t>SIM-ONBUY-000601</t>
  </si>
  <si>
    <t>SN000076CQ4</t>
  </si>
  <si>
    <t>SIM-ONBUY-000630</t>
  </si>
  <si>
    <t>350000000000390</t>
  </si>
  <si>
    <t>SIM-ONBUY-000635</t>
  </si>
  <si>
    <t>SN00007KSSS</t>
  </si>
  <si>
    <t>SIM-ONBUY-001882</t>
  </si>
  <si>
    <t>SIM-ONBUY-001926</t>
  </si>
  <si>
    <t>SIM-ONBUY-000556</t>
  </si>
  <si>
    <t>SN00006HK9X</t>
  </si>
  <si>
    <t>SIM-ONBUY-000638</t>
  </si>
  <si>
    <t>SN00007MU8L</t>
  </si>
  <si>
    <t>SIM-ONBUY-000737</t>
  </si>
  <si>
    <t>SN00008Q4YU</t>
  </si>
  <si>
    <t>SIM-ONBUY-000476</t>
  </si>
  <si>
    <t>SN00005ECQ4</t>
  </si>
  <si>
    <t>SIM-ONBUY-000568</t>
  </si>
  <si>
    <t>SN00006NRKD</t>
  </si>
  <si>
    <t>SIM-ONBUY-001902</t>
  </si>
  <si>
    <t>SIM-ONBUY-001943</t>
  </si>
  <si>
    <t>SIM-ONBUY-000553</t>
  </si>
  <si>
    <t>SN00006EGLQ</t>
  </si>
  <si>
    <t>SIM-ONBUY-000692</t>
  </si>
  <si>
    <t>350000000000433</t>
  </si>
  <si>
    <t>SIM-ONBUY-001937</t>
  </si>
  <si>
    <t>SIM-ONBUY-000486</t>
  </si>
  <si>
    <t>SN00005LK9X</t>
  </si>
  <si>
    <t>SIM-ONBUY-000510</t>
  </si>
  <si>
    <t>SN00005VVFZ</t>
  </si>
  <si>
    <t>SIM-ONBUY-001864</t>
  </si>
  <si>
    <t>SIM-ONBUY-000481</t>
  </si>
  <si>
    <t>SN00005IGLQ</t>
  </si>
  <si>
    <t>SIM-ONBUY-000597</t>
  </si>
  <si>
    <t>SN000074AAA</t>
  </si>
  <si>
    <t>SIM-ONBUY-000661</t>
  </si>
  <si>
    <t>350000000000411</t>
  </si>
  <si>
    <t>SIM-ONBUY-000686</t>
  </si>
  <si>
    <t>SN000084E6W</t>
  </si>
  <si>
    <t>SIM-ONBUY-001820</t>
  </si>
  <si>
    <t>SIM-ONBUY-001836</t>
  </si>
  <si>
    <t>SIM-ONBUY-001574</t>
  </si>
  <si>
    <t>SIM-ONBUY-000557</t>
  </si>
  <si>
    <t>350000000000349</t>
  </si>
  <si>
    <t>SIM-ONBUY-000664</t>
  </si>
  <si>
    <t>SN00007X7M3</t>
  </si>
  <si>
    <t>SIM-ONBUY-000323</t>
  </si>
  <si>
    <t>350000000000210</t>
  </si>
  <si>
    <t>SIM-ONBUY-001850</t>
  </si>
  <si>
    <t>SIM-ONBUY-001557</t>
  </si>
  <si>
    <t>SIM-ONBUY-000452</t>
  </si>
  <si>
    <t>350000000000284</t>
  </si>
  <si>
    <t>SIM-ONBUY-000522</t>
  </si>
  <si>
    <t>350000000000331</t>
  </si>
  <si>
    <t>SIM-ONBUY-000534</t>
  </si>
  <si>
    <t>350000000000337</t>
  </si>
  <si>
    <t>SIM-ONBUY-000565</t>
  </si>
  <si>
    <t>350000000000354</t>
  </si>
  <si>
    <t>SIM-ONBUY-000365</t>
  </si>
  <si>
    <t>SN000044WNE</t>
  </si>
  <si>
    <t>SIM-ONBUY-000370</t>
  </si>
  <si>
    <t>SN000046Y48</t>
  </si>
  <si>
    <t>SIM-ONBUY-000461</t>
  </si>
  <si>
    <t>350000000000292</t>
  </si>
  <si>
    <t>SIM-ONBUY-000532</t>
  </si>
  <si>
    <t>350000000000336</t>
  </si>
  <si>
    <t>SIM-ONBUY-000604</t>
  </si>
  <si>
    <t>350000000000374</t>
  </si>
  <si>
    <t>SIM-ONBUY-001824</t>
  </si>
  <si>
    <t>SIM-ONBUY-001842</t>
  </si>
  <si>
    <t>SIM-ONBUY-000460</t>
  </si>
  <si>
    <t>350000000000291</t>
  </si>
  <si>
    <t>SIM-ONBUY-000580</t>
  </si>
  <si>
    <t>SN00006W2J2</t>
  </si>
  <si>
    <t>SIM-ONBUY-000582</t>
  </si>
  <si>
    <t>SN00006Y4YU</t>
  </si>
  <si>
    <t>SIM-ONBUY-000324</t>
  </si>
  <si>
    <t>SN00003G6EN</t>
  </si>
  <si>
    <t>SIM-ONBUY-000325</t>
  </si>
  <si>
    <t>350000000000211</t>
  </si>
  <si>
    <t>SIM-ONBUY-001556</t>
  </si>
  <si>
    <t>SIM-ONBUY-000443</t>
  </si>
  <si>
    <t>SN000050WNE</t>
  </si>
  <si>
    <t>SIM-ONBUY-000583</t>
  </si>
  <si>
    <t>350000000000361</t>
  </si>
  <si>
    <t>SIM-ONBUY-000341</t>
  </si>
  <si>
    <t>350000000000220</t>
  </si>
  <si>
    <t>SIM-ONBUY-000358</t>
  </si>
  <si>
    <t>SN00003YQCY</t>
  </si>
  <si>
    <t>SIM-ONBUY-000280</t>
  </si>
  <si>
    <t>350000000000186</t>
  </si>
  <si>
    <t>SIM-ONBUY-000282</t>
  </si>
  <si>
    <t>350000000000187</t>
  </si>
  <si>
    <t>SIM-ONBUY-001560</t>
  </si>
  <si>
    <t>SIM-ONBUY-000415</t>
  </si>
  <si>
    <t>350000000000258</t>
  </si>
  <si>
    <t>SIM-ONBUY-000449</t>
  </si>
  <si>
    <t>350000000000282</t>
  </si>
  <si>
    <t>SIM-ONBUY-001812</t>
  </si>
  <si>
    <t>SIM-ONBUY-001543</t>
  </si>
  <si>
    <t>SIM-ONBUY-000390</t>
  </si>
  <si>
    <t>350000000000241</t>
  </si>
  <si>
    <t>SIM-ONBUY-000497</t>
  </si>
  <si>
    <t>SN00005QQCY</t>
  </si>
  <si>
    <t>SIM-ONBUY-001847</t>
  </si>
  <si>
    <t>SIM-ONBUY-001535</t>
  </si>
  <si>
    <t>SIM-ONBUY-001546</t>
  </si>
  <si>
    <t>SIM-ONBUY-000428</t>
  </si>
  <si>
    <t>350000000000268</t>
  </si>
  <si>
    <t>SIM-ONBUY-000432</t>
  </si>
  <si>
    <t>350000000000272</t>
  </si>
  <si>
    <t>SIM-ONBUY-000483</t>
  </si>
  <si>
    <t>350000000000303</t>
  </si>
  <si>
    <t>SIM-ONBUY-000489</t>
  </si>
  <si>
    <t>350000000000306</t>
  </si>
  <si>
    <t>SIM-ONBUY-000501</t>
  </si>
  <si>
    <t>350000000000314</t>
  </si>
  <si>
    <t>SIM-ONBUY-000202</t>
  </si>
  <si>
    <t>350000000000140</t>
  </si>
  <si>
    <t>SIM-ONBUY-000204</t>
  </si>
  <si>
    <t>350000000000142</t>
  </si>
  <si>
    <t>SIM-ONBUY-001858</t>
  </si>
  <si>
    <t>SIM-ONBUY-001530</t>
  </si>
  <si>
    <t>SIM-ONBUY-000379</t>
  </si>
  <si>
    <t>350000000000236</t>
  </si>
  <si>
    <t>SIM-ONBUY-000399</t>
  </si>
  <si>
    <t>350000000000249</t>
  </si>
  <si>
    <t>SIM-ONBUY-000467</t>
  </si>
  <si>
    <t>SN0000597M3</t>
  </si>
  <si>
    <t>SIM-ONBUY-000526</t>
  </si>
  <si>
    <t>SN0000613RF</t>
  </si>
  <si>
    <t>SIM-ONBUY-000188</t>
  </si>
  <si>
    <t>350000000000131</t>
  </si>
  <si>
    <t>SIM-ONBUY-000271</t>
  </si>
  <si>
    <t>SN00002UGLQ</t>
  </si>
  <si>
    <t>SIM-ONBUY-000274</t>
  </si>
  <si>
    <t>350000000000181</t>
  </si>
  <si>
    <t>SIM-ONBUY-000283</t>
  </si>
  <si>
    <t>350000000000188</t>
  </si>
  <si>
    <t>SIM-ONBUY-000435</t>
  </si>
  <si>
    <t>SN00004XTZ7</t>
  </si>
  <si>
    <t>SIM-ONBUY-000442</t>
  </si>
  <si>
    <t>SN00004ZVFZ</t>
  </si>
  <si>
    <t>SIM-ONBUY-000502</t>
  </si>
  <si>
    <t>350000000000315</t>
  </si>
  <si>
    <t>SIM-ONBUY-000326</t>
  </si>
  <si>
    <t>SN00003H7M3</t>
  </si>
  <si>
    <t>SIM-ONBUY-000194</t>
  </si>
  <si>
    <t>350000000000134</t>
  </si>
  <si>
    <t>SIM-ONBUY-001800</t>
  </si>
  <si>
    <t>SIM-ONBUY-001811</t>
  </si>
  <si>
    <t>SIM-ONBUY-000212</t>
  </si>
  <si>
    <t>350000000000146</t>
  </si>
  <si>
    <t>SIM-ONBUY-000224</t>
  </si>
  <si>
    <t>SN000026QCY</t>
  </si>
  <si>
    <t>SIM-ONBUY-000289</t>
  </si>
  <si>
    <t>SN00002ZMPR</t>
  </si>
  <si>
    <t>SIM-ONBUY-001813</t>
  </si>
  <si>
    <t>SIM-ONBUY-001819</t>
  </si>
  <si>
    <t>SIM-ONBUY-001863</t>
  </si>
  <si>
    <t>SIM-ONBUY-000298</t>
  </si>
  <si>
    <t>350000000000196</t>
  </si>
  <si>
    <t>SIM-ONBUY-000210</t>
  </si>
  <si>
    <t>SN000022LGC</t>
  </si>
  <si>
    <t>SIM-ONBUY-000216</t>
  </si>
  <si>
    <t>350000000000150</t>
  </si>
  <si>
    <t>SIM-ONBUY-000468</t>
  </si>
  <si>
    <t>SN00005A8UG</t>
  </si>
  <si>
    <t>SIM-ONBUY-000318</t>
  </si>
  <si>
    <t>350000000000208</t>
  </si>
  <si>
    <t>SIM-ONBUY-000178</t>
  </si>
  <si>
    <t>SN00001Q8UG</t>
  </si>
  <si>
    <t>SIM-ONBUY-000238</t>
  </si>
  <si>
    <t>350000000000164</t>
  </si>
  <si>
    <t>SIM-ONBUY-000388</t>
  </si>
  <si>
    <t>SN00004HBHP</t>
  </si>
  <si>
    <t>SIM-ONBUY-000235</t>
  </si>
  <si>
    <t>SN00002AU8L</t>
  </si>
  <si>
    <t>SIM-ONBUY-001726</t>
  </si>
  <si>
    <t>SIM-ONBUY-000421</t>
  </si>
  <si>
    <t>SN00004VRKD</t>
  </si>
  <si>
    <t>SIM-ONBUY-000332</t>
  </si>
  <si>
    <t>350000000000215</t>
  </si>
  <si>
    <t>SIM-ONBUY-000364</t>
  </si>
  <si>
    <t>SN000043VFZ</t>
  </si>
  <si>
    <t>SIM-ONBUY-000102</t>
  </si>
  <si>
    <t>350000000000068</t>
  </si>
  <si>
    <t>SIM-ONBUY-000126</t>
  </si>
  <si>
    <t>SN000016LGC</t>
  </si>
  <si>
    <t>SIM-ONBUY-000232</t>
  </si>
  <si>
    <t>350000000000160</t>
  </si>
  <si>
    <t>SIM-ONBUY-001534</t>
  </si>
  <si>
    <t>SIM-ONBUY-000125</t>
  </si>
  <si>
    <t>350000000000088</t>
  </si>
  <si>
    <t>SIM-ONBUY-000185</t>
  </si>
  <si>
    <t>350000000000129</t>
  </si>
  <si>
    <t>SIM-ONBUY-001783</t>
  </si>
  <si>
    <t>SIM-ONBUY-001750</t>
  </si>
  <si>
    <t>SIM-ONBUY-000061</t>
  </si>
  <si>
    <t>350000000000038</t>
  </si>
  <si>
    <t>SIM-ONBUY-000071</t>
  </si>
  <si>
    <t>SN00000T7M3</t>
  </si>
  <si>
    <t>SIM-ONBUY-000113</t>
  </si>
  <si>
    <t>350000000000076</t>
  </si>
  <si>
    <t>SIM-ONBUY-001759</t>
  </si>
  <si>
    <t>SIM-ONBUY-000362</t>
  </si>
  <si>
    <t>SN000041TZ7</t>
  </si>
  <si>
    <t>SIM-ONBUY-000097</t>
  </si>
  <si>
    <t>350000000000064</t>
  </si>
  <si>
    <t>SIM-ONBUY-000151</t>
  </si>
  <si>
    <t>350000000000107</t>
  </si>
  <si>
    <t>SIM-ONBUY-001798</t>
  </si>
  <si>
    <t>SIM-ONBUY-000372</t>
  </si>
  <si>
    <t>350000000000232</t>
  </si>
  <si>
    <t>SIM-ONBUY-000037</t>
  </si>
  <si>
    <t>SN00000GSSS</t>
  </si>
  <si>
    <t>SIM-ONBUY-000136</t>
  </si>
  <si>
    <t>350000000000095</t>
  </si>
  <si>
    <t>SIM-ONBUY-000013</t>
  </si>
  <si>
    <t>SN000004E6W</t>
  </si>
  <si>
    <t>SIM-ONBUY-000311</t>
  </si>
  <si>
    <t>SN00003BZBM</t>
  </si>
  <si>
    <t>SIM-ONBUY-000220</t>
  </si>
  <si>
    <t>SN000024NW6</t>
  </si>
  <si>
    <t>SIM-ONBUY-001779</t>
  </si>
  <si>
    <t>SIM-ONBUY-000067</t>
  </si>
  <si>
    <t>SN00000R579</t>
  </si>
  <si>
    <t>SIM-ONBUY-000133</t>
  </si>
  <si>
    <t>SN000019P5K</t>
  </si>
  <si>
    <t>SIM-ONBUY-000142</t>
  </si>
  <si>
    <t>350000000000101</t>
  </si>
  <si>
    <t>SIM-ONBUY-000234</t>
  </si>
  <si>
    <t>350000000000162</t>
  </si>
  <si>
    <t>SIM-ONBUY-000252</t>
  </si>
  <si>
    <t>350000000000172</t>
  </si>
  <si>
    <t>SIM-ONBUY-000265</t>
  </si>
  <si>
    <t>SN00002QCQ4</t>
  </si>
  <si>
    <t>SIM-ONBUY-000279</t>
  </si>
  <si>
    <t>SN00002WJ2J</t>
  </si>
  <si>
    <t>SIM-ONBUY-001735</t>
  </si>
  <si>
    <t>SIM-ONBUY-000313</t>
  </si>
  <si>
    <t>350000000000204</t>
  </si>
  <si>
    <t>SIM-ONBUY-000123</t>
  </si>
  <si>
    <t>350000000000086</t>
  </si>
  <si>
    <t>SIM-ONBUY-000257</t>
  </si>
  <si>
    <t>350000000000174</t>
  </si>
  <si>
    <t>SIM-ONBUY-000135</t>
  </si>
  <si>
    <t>350000000000094</t>
  </si>
  <si>
    <t>SIM-ONBUY-000168</t>
  </si>
  <si>
    <t>350000000000118</t>
  </si>
  <si>
    <t>SIM-ONBUY-000201</t>
  </si>
  <si>
    <t>350000000000139</t>
  </si>
  <si>
    <t>SIM-ONBUY-000270</t>
  </si>
  <si>
    <t>SN00002TFDB</t>
  </si>
  <si>
    <t>SIM-ONBUY-000277</t>
  </si>
  <si>
    <t>350000000000184</t>
  </si>
  <si>
    <t>SIM-ONBUY-001780</t>
  </si>
  <si>
    <t>SIM-ONBUY-000129</t>
  </si>
  <si>
    <t>350000000000091</t>
  </si>
  <si>
    <t>SIM-ONBUY-000269</t>
  </si>
  <si>
    <t>SN00002SE6W</t>
  </si>
  <si>
    <t>SIM-ONBUY-001753</t>
  </si>
  <si>
    <t>SIM-ONBUY-001769</t>
  </si>
  <si>
    <t>SIM-ONBUY-000058</t>
  </si>
  <si>
    <t>SN00000O2J2</t>
  </si>
  <si>
    <t>SIM-ONBUY-000073</t>
  </si>
  <si>
    <t>350000000000045</t>
  </si>
  <si>
    <t>SIM-ONBUY-001756</t>
  </si>
  <si>
    <t>SIM-ONBUY-001776</t>
  </si>
  <si>
    <t>SIM-ONBUY-000016</t>
  </si>
  <si>
    <t>SN000006GLQ</t>
  </si>
  <si>
    <t>SIM-ONBUY-001706</t>
  </si>
  <si>
    <t>SIM-ONBUY-000095</t>
  </si>
  <si>
    <t>SN00000ZDXH</t>
  </si>
  <si>
    <t>SIM-ONBUY-000200</t>
  </si>
  <si>
    <t>SN00001YGLQ</t>
  </si>
  <si>
    <t>SIM-ONBUY-000084</t>
  </si>
  <si>
    <t>350000000000054</t>
  </si>
  <si>
    <t>SIM-ONBUY-000103</t>
  </si>
  <si>
    <t>350000000000069</t>
  </si>
  <si>
    <t>SIM-ONBUY-000004</t>
  </si>
  <si>
    <t>350000000000003</t>
  </si>
  <si>
    <t>SIM-ONBUY-001692</t>
  </si>
  <si>
    <t>SIM-ONBUY-000050</t>
  </si>
  <si>
    <t>350000000000029</t>
  </si>
  <si>
    <t>SIM-ONBUY-000107</t>
  </si>
  <si>
    <t>350000000000071</t>
  </si>
  <si>
    <t>SIM-ONBUY-001656</t>
  </si>
  <si>
    <t>SIM-ONBUY-001671</t>
  </si>
  <si>
    <t>SIM-ONBUY-000023</t>
  </si>
  <si>
    <t>350000000000015</t>
  </si>
  <si>
    <t>SIM-ONBUY-000015</t>
  </si>
  <si>
    <t>SN000005FDB</t>
  </si>
  <si>
    <t>SIM-ONBUY-001690</t>
  </si>
  <si>
    <t>SIM-ONBUY-000082</t>
  </si>
  <si>
    <t>350000000000052</t>
  </si>
  <si>
    <t>SIM-ONBUY-000083</t>
  </si>
  <si>
    <t>350000000000053</t>
  </si>
  <si>
    <t>SIM-ONBUY-001672</t>
  </si>
  <si>
    <t>SIM-ONBUY-001698</t>
  </si>
  <si>
    <t>SIM-ONBUY-000065</t>
  </si>
  <si>
    <t>350000000000040</t>
  </si>
  <si>
    <t>SIM-ONBUY-001657</t>
  </si>
  <si>
    <t>SIM-ONBUY-001526</t>
  </si>
  <si>
    <t>SIM-ONBUY-001695</t>
  </si>
  <si>
    <t>SIM-ONBUY-001676</t>
  </si>
  <si>
    <t>SIM-ONBUY-001650</t>
  </si>
  <si>
    <t>SIM-ONBUY-001646</t>
  </si>
  <si>
    <t>SIM-ONBUY-001649</t>
  </si>
  <si>
    <t>SIM-ONBUY-001658</t>
  </si>
  <si>
    <t>Commission VAT</t>
  </si>
  <si>
    <t>SIM-TEMU-001354</t>
  </si>
  <si>
    <t>SN0000GZDXH</t>
  </si>
  <si>
    <t>SIM-TEMU-001356</t>
  </si>
  <si>
    <t>SN0000H0E6W</t>
  </si>
  <si>
    <t>SIM-TEMU-001361</t>
  </si>
  <si>
    <t>350000000000840</t>
  </si>
  <si>
    <t>SIM-TEMU-001364</t>
  </si>
  <si>
    <t>350000000000842</t>
  </si>
  <si>
    <t>SIM-TEMU-001368</t>
  </si>
  <si>
    <t>350000000000844</t>
  </si>
  <si>
    <t>SIM-TEMU-001377</t>
  </si>
  <si>
    <t>350000000000849</t>
  </si>
  <si>
    <t>SIM-TEMU-001390</t>
  </si>
  <si>
    <t>350000000000857</t>
  </si>
  <si>
    <t>SIM-TEMU-001391</t>
  </si>
  <si>
    <t>SN0000HHXVT</t>
  </si>
  <si>
    <t>SIM-TEMU-001407</t>
  </si>
  <si>
    <t>SN0000HN579</t>
  </si>
  <si>
    <t>SIM-TEMU-001408</t>
  </si>
  <si>
    <t>SN0000HO6EN</t>
  </si>
  <si>
    <t>SIM-TEMU-001413</t>
  </si>
  <si>
    <t>SN0000HR93V</t>
  </si>
  <si>
    <t>SIM-TEMU-001416</t>
  </si>
  <si>
    <t>350000000000870</t>
  </si>
  <si>
    <t>SIM-TEMU-001417</t>
  </si>
  <si>
    <t>350000000000871</t>
  </si>
  <si>
    <t>SIM-TEMU-001427</t>
  </si>
  <si>
    <t>SN0000HYGLQ</t>
  </si>
  <si>
    <t>SIM-TEMU-001430</t>
  </si>
  <si>
    <t>350000000000881</t>
  </si>
  <si>
    <t>SIM-TEMU-001432</t>
  </si>
  <si>
    <t>350000000000882</t>
  </si>
  <si>
    <t>SIM-TEMU-001433</t>
  </si>
  <si>
    <t>350000000000883</t>
  </si>
  <si>
    <t>SIM-TEMU-001436</t>
  </si>
  <si>
    <t>350000000000885</t>
  </si>
  <si>
    <t>SIM-TEMU-001438</t>
  </si>
  <si>
    <t>350000000000886</t>
  </si>
  <si>
    <t>SIM-TEMU-001459</t>
  </si>
  <si>
    <t>SN0000ICWNE</t>
  </si>
  <si>
    <t>SIM-TEMU-001469</t>
  </si>
  <si>
    <t>350000000000908</t>
  </si>
  <si>
    <t>SIM-TEMU-001473</t>
  </si>
  <si>
    <t>350000000000910</t>
  </si>
  <si>
    <t>SIM-TEMU-001482</t>
  </si>
  <si>
    <t>350000000000918</t>
  </si>
  <si>
    <t>SIM-TEMU-001488</t>
  </si>
  <si>
    <t>SN0000IJ579</t>
  </si>
  <si>
    <t>SIM-TEMU-001491</t>
  </si>
  <si>
    <t>350000000000924</t>
  </si>
  <si>
    <t>SIM-TEMU-001498</t>
  </si>
  <si>
    <t>SN0000IOAAA</t>
  </si>
  <si>
    <t>SIM-TEMU-001499</t>
  </si>
  <si>
    <t>SN0000IPBHP</t>
  </si>
  <si>
    <t>SIM-TEMU-001503</t>
  </si>
  <si>
    <t>SN0000IRDXH</t>
  </si>
  <si>
    <t>SIM-TEMU-001504</t>
  </si>
  <si>
    <t>350000000000932</t>
  </si>
  <si>
    <t>SIM-TEMU-001511</t>
  </si>
  <si>
    <t>350000000000939</t>
  </si>
  <si>
    <t>SIM-TEMU-001516</t>
  </si>
  <si>
    <t>SN0000ITFDB</t>
  </si>
  <si>
    <t>SIM-TEMU-001517</t>
  </si>
  <si>
    <t>350000000000943</t>
  </si>
  <si>
    <t>SIM-TEMU-001325</t>
  </si>
  <si>
    <t>SN0000GNZBM</t>
  </si>
  <si>
    <t>SIM-TEMU-001330</t>
  </si>
  <si>
    <t>350000000000820</t>
  </si>
  <si>
    <t>SIM-TEMU-001342</t>
  </si>
  <si>
    <t>350000000000830</t>
  </si>
  <si>
    <t>SIM-TEMU-001344</t>
  </si>
  <si>
    <t>350000000000831</t>
  </si>
  <si>
    <t>SIM-TEMU-001351</t>
  </si>
  <si>
    <t>350000000000837</t>
  </si>
  <si>
    <t>SIM-TEMU-001260</t>
  </si>
  <si>
    <t>350000000000781</t>
  </si>
  <si>
    <t>SIM-TEMU-001296</t>
  </si>
  <si>
    <t>SN0000G7HT5</t>
  </si>
  <si>
    <t>SIM-TEMU-001177</t>
  </si>
  <si>
    <t>SN0000EKNW6</t>
  </si>
  <si>
    <t>SIM-TEMU-001231</t>
  </si>
  <si>
    <t>350000000000762</t>
  </si>
  <si>
    <t>SIM-TEMU-001233</t>
  </si>
  <si>
    <t>SN0000FBHT5</t>
  </si>
  <si>
    <t>SIM-TEMU-001241</t>
  </si>
  <si>
    <t>350000000000769</t>
  </si>
  <si>
    <t>SIM-TEMU-001243</t>
  </si>
  <si>
    <t>350000000000771</t>
  </si>
  <si>
    <t>SIM-TEMU-002140</t>
  </si>
  <si>
    <t>SIM-TEMU-002150</t>
  </si>
  <si>
    <t>SIM-TEMU-002163</t>
  </si>
  <si>
    <t>SIM-TEMU-002108</t>
  </si>
  <si>
    <t>SIM-TEMU-002118</t>
  </si>
  <si>
    <t>SIM-TEMU-002124</t>
  </si>
  <si>
    <t>SIM-TEMU-002131</t>
  </si>
  <si>
    <t>SIM-TEMU-002134</t>
  </si>
  <si>
    <t>SIM-TEMU-002135</t>
  </si>
  <si>
    <t>SIM-TEMU-002137</t>
  </si>
  <si>
    <t>SIM-TEMU-001640</t>
  </si>
  <si>
    <t>SIM-TEMU-001642</t>
  </si>
  <si>
    <t>SIM-TEMU-002147</t>
  </si>
  <si>
    <t>SIM-TEMU-002168</t>
  </si>
  <si>
    <t>SIM-TEMU-002103</t>
  </si>
  <si>
    <t>SIM-TEMU-001455</t>
  </si>
  <si>
    <t>SN0000IBVFZ</t>
  </si>
  <si>
    <t>SIM-TEMU-001146</t>
  </si>
  <si>
    <t>SN0000DZZBM</t>
  </si>
  <si>
    <t>SIM-TEMU-001199</t>
  </si>
  <si>
    <t>SN0000ETXVT</t>
  </si>
  <si>
    <t>SIM-TEMU-001223</t>
  </si>
  <si>
    <t>350000000000755</t>
  </si>
  <si>
    <t>SIM-TEMU-002148</t>
  </si>
  <si>
    <t>SIM-TEMU-002127</t>
  </si>
  <si>
    <t>SIM-TEMU-002129</t>
  </si>
  <si>
    <t>SIM-TEMU-001388</t>
  </si>
  <si>
    <t>SN0000HGWNE</t>
  </si>
  <si>
    <t>SIM-TEMU-001442</t>
  </si>
  <si>
    <t>350000000000889</t>
  </si>
  <si>
    <t>SIM-TEMU-001305</t>
  </si>
  <si>
    <t>SN0000GBMPR</t>
  </si>
  <si>
    <t>SIM-TEMU-001142</t>
  </si>
  <si>
    <t>SN0000DXXVT</t>
  </si>
  <si>
    <t>SIM-TEMU-001160</t>
  </si>
  <si>
    <t>SN0000E9BHP</t>
  </si>
  <si>
    <t>SIM-TEMU-001244</t>
  </si>
  <si>
    <t>350000000000772</t>
  </si>
  <si>
    <t>SIM-TEMU-002106</t>
  </si>
  <si>
    <t>SIM-TEMU-001149</t>
  </si>
  <si>
    <t>SN0000E24YU</t>
  </si>
  <si>
    <t>SIM-TEMU-001179</t>
  </si>
  <si>
    <t>SN0000ELP5K</t>
  </si>
  <si>
    <t>SIM-TEMU-002120</t>
  </si>
  <si>
    <t>SIM-TEMU-001617</t>
  </si>
  <si>
    <t>SIM-TEMU-001348</t>
  </si>
  <si>
    <t>350000000000834</t>
  </si>
  <si>
    <t>SIM-TEMU-001104</t>
  </si>
  <si>
    <t>SN0000DHFDB</t>
  </si>
  <si>
    <t>SIM-TEMU-001358</t>
  </si>
  <si>
    <t>SN0000H2GLQ</t>
  </si>
  <si>
    <t>SIM-TEMU-001083</t>
  </si>
  <si>
    <t>350000000000676</t>
  </si>
  <si>
    <t>SIM-TEMU-001191</t>
  </si>
  <si>
    <t>SN0000ERVFZ</t>
  </si>
  <si>
    <t>SIM-TEMU-001323</t>
  </si>
  <si>
    <t>350000000000815</t>
  </si>
  <si>
    <t>SIM-TEMU-001237</t>
  </si>
  <si>
    <t>SN0000FCJ2J</t>
  </si>
  <si>
    <t>SIM-TEMU-001332</t>
  </si>
  <si>
    <t>350000000000821</t>
  </si>
  <si>
    <t>SIM-TEMU-001278</t>
  </si>
  <si>
    <t>SN0000FT3RF</t>
  </si>
  <si>
    <t>SIM-TEMU-001294</t>
  </si>
  <si>
    <t>SN0000G5FDB</t>
  </si>
  <si>
    <t>SIM-TEMU-001052</t>
  </si>
  <si>
    <t>350000000000654</t>
  </si>
  <si>
    <t>SIM-TEMU-001117</t>
  </si>
  <si>
    <t>350000000000698</t>
  </si>
  <si>
    <t>SIM-TEMU-001208</t>
  </si>
  <si>
    <t>SN0000EX3RF</t>
  </si>
  <si>
    <t>SIM-TEMU-002089</t>
  </si>
  <si>
    <t>SIM-TEMU-001327</t>
  </si>
  <si>
    <t>SN0000GP3RF</t>
  </si>
  <si>
    <t>SIM-TEMU-001073</t>
  </si>
  <si>
    <t>350000000000670</t>
  </si>
  <si>
    <t>SIM-TEMU-001166</t>
  </si>
  <si>
    <t>SN0000EEGLQ</t>
  </si>
  <si>
    <t>SIM-TEMU-001221</t>
  </si>
  <si>
    <t>350000000000753</t>
  </si>
  <si>
    <t>SIM-TEMU-002044</t>
  </si>
  <si>
    <t>SIM-TEMU-001143</t>
  </si>
  <si>
    <t>350000000000714</t>
  </si>
  <si>
    <t>SIM-TEMU-002047</t>
  </si>
  <si>
    <t>SIM-TEMU-000969</t>
  </si>
  <si>
    <t>350000000000599</t>
  </si>
  <si>
    <t>SIM-TEMU-001033</t>
  </si>
  <si>
    <t>350000000000635</t>
  </si>
  <si>
    <t>SIM-TEMU-002051</t>
  </si>
  <si>
    <t>SIM-TEMU-001618</t>
  </si>
  <si>
    <t>SIM-TEMU-000982</t>
  </si>
  <si>
    <t>350000000000605</t>
  </si>
  <si>
    <t>SIM-TEMU-001079</t>
  </si>
  <si>
    <t>SN0000D64YU</t>
  </si>
  <si>
    <t>SIM-TEMU-001158</t>
  </si>
  <si>
    <t>SN0000E793V</t>
  </si>
  <si>
    <t>SIM-TEMU-001213</t>
  </si>
  <si>
    <t>350000000000750</t>
  </si>
  <si>
    <t>SIM-TEMU-001234</t>
  </si>
  <si>
    <t>350000000000763</t>
  </si>
  <si>
    <t>SIM-TEMU-002088</t>
  </si>
  <si>
    <t>SIM-TEMU-001605</t>
  </si>
  <si>
    <t>SIM-TEMU-001036</t>
  </si>
  <si>
    <t>SN0000CTP5K</t>
  </si>
  <si>
    <t>SIM-TEMU-001101</t>
  </si>
  <si>
    <t>350000000000688</t>
  </si>
  <si>
    <t>SIM-TEMU-001133</t>
  </si>
  <si>
    <t>350000000000705</t>
  </si>
  <si>
    <t>SIM-TEMU-001198</t>
  </si>
  <si>
    <t>350000000000741</t>
  </si>
  <si>
    <t>SIM-TEMU-001211</t>
  </si>
  <si>
    <t>350000000000749</t>
  </si>
  <si>
    <t>SIM-TEMU-001239</t>
  </si>
  <si>
    <t>SN0000FDK9X</t>
  </si>
  <si>
    <t>SIM-TEMU-002050</t>
  </si>
  <si>
    <t>SIM-TEMU-002075</t>
  </si>
  <si>
    <t>SIM-TEMU-002087</t>
  </si>
  <si>
    <t>SIM-TEMU-001615</t>
  </si>
  <si>
    <t>SIM-TEMU-000976</t>
  </si>
  <si>
    <t>SN0000C1TZ7</t>
  </si>
  <si>
    <t>SIM-TEMU-001134</t>
  </si>
  <si>
    <t>350000000000706</t>
  </si>
  <si>
    <t>SIM-TEMU-002037</t>
  </si>
  <si>
    <t>SIM-TEMU-002097</t>
  </si>
  <si>
    <t>SIM-TEMU-001600</t>
  </si>
  <si>
    <t>SIM-TEMU-000949</t>
  </si>
  <si>
    <t>350000000000587</t>
  </si>
  <si>
    <t>SIM-TEMU-001062</t>
  </si>
  <si>
    <t>350000000000662</t>
  </si>
  <si>
    <t>SIM-TEMU-001151</t>
  </si>
  <si>
    <t>SN0000E3579</t>
  </si>
  <si>
    <t>SIM-TEMU-001188</t>
  </si>
  <si>
    <t>SN0000EOSSS</t>
  </si>
  <si>
    <t>SIM-TEMU-002074</t>
  </si>
  <si>
    <t>SIM-TEMU-001585</t>
  </si>
  <si>
    <t>SIM-TEMU-001108</t>
  </si>
  <si>
    <t>350000000000691</t>
  </si>
  <si>
    <t>SIM-TEMU-001113</t>
  </si>
  <si>
    <t>350000000000695</t>
  </si>
  <si>
    <t>SIM-TEMU-001122</t>
  </si>
  <si>
    <t>350000000000700</t>
  </si>
  <si>
    <t>SIM-TEMU-002071</t>
  </si>
  <si>
    <t>SIM-TEMU-002079</t>
  </si>
  <si>
    <t>SIM-TEMU-002093</t>
  </si>
  <si>
    <t>SIM-TEMU-002102</t>
  </si>
  <si>
    <t>SIM-TEMU-001598</t>
  </si>
  <si>
    <t>SIM-TEMU-000917</t>
  </si>
  <si>
    <t>350000000000572</t>
  </si>
  <si>
    <t>SIM-TEMU-000997</t>
  </si>
  <si>
    <t>SN0000C82J2</t>
  </si>
  <si>
    <t>SIM-TEMU-001069</t>
  </si>
  <si>
    <t>SN0000CZVFZ</t>
  </si>
  <si>
    <t>SIM-TEMU-002054</t>
  </si>
  <si>
    <t>SIM-TEMU-000980</t>
  </si>
  <si>
    <t>350000000000604</t>
  </si>
  <si>
    <t>SIM-TEMU-001025</t>
  </si>
  <si>
    <t>SN0000CPK9X</t>
  </si>
  <si>
    <t>SIM-TEMU-001063</t>
  </si>
  <si>
    <t>SN0000CYU8L</t>
  </si>
  <si>
    <t>SIM-TEMU-001077</t>
  </si>
  <si>
    <t>SN0000D42J2</t>
  </si>
  <si>
    <t>SIM-TEMU-001125</t>
  </si>
  <si>
    <t>350000000000702</t>
  </si>
  <si>
    <t>SIM-TEMU-001175</t>
  </si>
  <si>
    <t>350000000000728</t>
  </si>
  <si>
    <t>SIM-TEMU-001991</t>
  </si>
  <si>
    <t>SIM-TEMU-002012</t>
  </si>
  <si>
    <t>SIM-TEMU-001597</t>
  </si>
  <si>
    <t>SIM-TEMU-000857</t>
  </si>
  <si>
    <t>SN0000AFZBM</t>
  </si>
  <si>
    <t>SIM-TEMU-000924</t>
  </si>
  <si>
    <t>350000000000577</t>
  </si>
  <si>
    <t>SIM-TEMU-000873</t>
  </si>
  <si>
    <t>350000000000543</t>
  </si>
  <si>
    <t>SIM-TEMU-000920</t>
  </si>
  <si>
    <t>350000000000574</t>
  </si>
  <si>
    <t>SIM-TEMU-001608</t>
  </si>
  <si>
    <t>SIM-TEMU-000861</t>
  </si>
  <si>
    <t>350000000000535</t>
  </si>
  <si>
    <t>SIM-TEMU-000967</t>
  </si>
  <si>
    <t>SN0000BVMPR</t>
  </si>
  <si>
    <t>SIM-TEMU-001099</t>
  </si>
  <si>
    <t>SN0000DECQ4</t>
  </si>
  <si>
    <t>SIM-TEMU-000807</t>
  </si>
  <si>
    <t>350000000000497</t>
  </si>
  <si>
    <t>SIM-TEMU-001957</t>
  </si>
  <si>
    <t>SIM-TEMU-002001</t>
  </si>
  <si>
    <t>SIM-TEMU-000878</t>
  </si>
  <si>
    <t>350000000000546</t>
  </si>
  <si>
    <t>SIM-TEMU-000912</t>
  </si>
  <si>
    <t>350000000000568</t>
  </si>
  <si>
    <t>SIM-TEMU-000994</t>
  </si>
  <si>
    <t>SN0000C7ZBM</t>
  </si>
  <si>
    <t>SIM-TEMU-001066</t>
  </si>
  <si>
    <t>350000000000666</t>
  </si>
  <si>
    <t>SIM-TEMU-001088</t>
  </si>
  <si>
    <t>SN0000D97M3</t>
  </si>
  <si>
    <t>SIM-TEMU-001612</t>
  </si>
  <si>
    <t>SIM-TEMU-000864</t>
  </si>
  <si>
    <t>SN0000AH3RF</t>
  </si>
  <si>
    <t>SIM-TEMU-000888</t>
  </si>
  <si>
    <t>SN0000AUGLQ</t>
  </si>
  <si>
    <t>SIM-TEMU-000918</t>
  </si>
  <si>
    <t>350000000000573</t>
  </si>
  <si>
    <t>SIM-TEMU-000990</t>
  </si>
  <si>
    <t>SN0000C6Y48</t>
  </si>
  <si>
    <t>SIM-TEMU-000993</t>
  </si>
  <si>
    <t>350000000000614</t>
  </si>
  <si>
    <t>SIM-TEMU-000999</t>
  </si>
  <si>
    <t>350000000000619</t>
  </si>
  <si>
    <t>SIM-TEMU-001068</t>
  </si>
  <si>
    <t>350000000000668</t>
  </si>
  <si>
    <t>SIM-TEMU-000772</t>
  </si>
  <si>
    <t>350000000000481</t>
  </si>
  <si>
    <t>SIM-TEMU-000771</t>
  </si>
  <si>
    <t>350000000000480</t>
  </si>
  <si>
    <t>SIM-TEMU-000811</t>
  </si>
  <si>
    <t>350000000000499</t>
  </si>
  <si>
    <t>SIM-TEMU-001950</t>
  </si>
  <si>
    <t>SIM-TEMU-001973</t>
  </si>
  <si>
    <t>SIM-TEMU-002015</t>
  </si>
  <si>
    <t>SIM-TEMU-000991</t>
  </si>
  <si>
    <t>350000000000612</t>
  </si>
  <si>
    <t>SIM-TEMU-000744</t>
  </si>
  <si>
    <t>SN00008T7M3</t>
  </si>
  <si>
    <t>SIM-TEMU-000760</t>
  </si>
  <si>
    <t>SN000090E6W</t>
  </si>
  <si>
    <t>SIM-TEMU-000782</t>
  </si>
  <si>
    <t>350000000000486</t>
  </si>
  <si>
    <t>SIM-TEMU-000795</t>
  </si>
  <si>
    <t>350000000000492</t>
  </si>
  <si>
    <t>SIM-TEMU-000817</t>
  </si>
  <si>
    <t>350000000000505</t>
  </si>
  <si>
    <t>SIM-TEMU-001964</t>
  </si>
  <si>
    <t>SIM-TEMU-001989</t>
  </si>
  <si>
    <t>SIM-TEMU-000890</t>
  </si>
  <si>
    <t>SN0000AVHT5</t>
  </si>
  <si>
    <t>SIM-TEMU-000916</t>
  </si>
  <si>
    <t>350000000000571</t>
  </si>
  <si>
    <t>SIM-TEMU-000973</t>
  </si>
  <si>
    <t>SN0000BZRKD</t>
  </si>
  <si>
    <t>SIM-TEMU-002000</t>
  </si>
  <si>
    <t>SIM-TEMU-001576</t>
  </si>
  <si>
    <t>SIM-TEMU-001587</t>
  </si>
  <si>
    <t>SIM-TEMU-000837</t>
  </si>
  <si>
    <t>350000000000519</t>
  </si>
  <si>
    <t>SIM-TEMU-000700</t>
  </si>
  <si>
    <t>350000000000437</t>
  </si>
  <si>
    <t>SIM-TEMU-001987</t>
  </si>
  <si>
    <t>SIM-TEMU-001591</t>
  </si>
  <si>
    <t>SIM-TEMU-000823</t>
  </si>
  <si>
    <t>350000000000509</t>
  </si>
  <si>
    <t>SIM-TEMU-000977</t>
  </si>
  <si>
    <t>350000000000602</t>
  </si>
  <si>
    <t>SIM-TEMU-001011</t>
  </si>
  <si>
    <t>SN0000CE8UG</t>
  </si>
  <si>
    <t>SIM-TEMU-000722</t>
  </si>
  <si>
    <t>350000000000453</t>
  </si>
  <si>
    <t>SIM-TEMU-000779</t>
  </si>
  <si>
    <t>350000000000484</t>
  </si>
  <si>
    <t>SIM-TEMU-002023</t>
  </si>
  <si>
    <t>SIM-TEMU-000909</t>
  </si>
  <si>
    <t>350000000000565</t>
  </si>
  <si>
    <t>SIM-TEMU-000781</t>
  </si>
  <si>
    <t>350000000000485</t>
  </si>
  <si>
    <t>SIM-TEMU-002009</t>
  </si>
  <si>
    <t>SIM-TEMU-002010</t>
  </si>
  <si>
    <t>SIM-TEMU-002025</t>
  </si>
  <si>
    <t>SIM-TEMU-001595</t>
  </si>
  <si>
    <t>SIM-TEMU-000896</t>
  </si>
  <si>
    <t>350000000000556</t>
  </si>
  <si>
    <t>SIM-TEMU-000733</t>
  </si>
  <si>
    <t>SN00008NZBM</t>
  </si>
  <si>
    <t>SIM-TEMU-000740</t>
  </si>
  <si>
    <t>350000000000465</t>
  </si>
  <si>
    <t>SIM-TEMU-000763</t>
  </si>
  <si>
    <t>350000000000476</t>
  </si>
  <si>
    <t>SIM-TEMU-001988</t>
  </si>
  <si>
    <t>SIM-TEMU-002020</t>
  </si>
  <si>
    <t>SIM-TEMU-000906</t>
  </si>
  <si>
    <t>350000000000564</t>
  </si>
  <si>
    <t>SIM-TEMU-000925</t>
  </si>
  <si>
    <t>SN0000B8WNE</t>
  </si>
  <si>
    <t>SIM-TEMU-000960</t>
  </si>
  <si>
    <t>350000000000594</t>
  </si>
  <si>
    <t>SIM-TEMU-000625</t>
  </si>
  <si>
    <t>SN00007GNW6</t>
  </si>
  <si>
    <t>SIM-TEMU-000768</t>
  </si>
  <si>
    <t>SN000094J2J</t>
  </si>
  <si>
    <t>SIM-TEMU-000845</t>
  </si>
  <si>
    <t>SN0000A8SSS</t>
  </si>
  <si>
    <t>SIM-TEMU-000640</t>
  </si>
  <si>
    <t>350000000000397</t>
  </si>
  <si>
    <t>SIM-TEMU-000683</t>
  </si>
  <si>
    <t>350000000000427</t>
  </si>
  <si>
    <t>SIM-TEMU-000726</t>
  </si>
  <si>
    <t>350000000000455</t>
  </si>
  <si>
    <t>SIM-TEMU-000851</t>
  </si>
  <si>
    <t>SN0000ADXVT</t>
  </si>
  <si>
    <t>SIM-TEMU-000902</t>
  </si>
  <si>
    <t>SN0000B0NW6</t>
  </si>
  <si>
    <t>SIM-TEMU-000605</t>
  </si>
  <si>
    <t>SN000078E6W</t>
  </si>
  <si>
    <t>SIM-TEMU-000621</t>
  </si>
  <si>
    <t>350000000000383</t>
  </si>
  <si>
    <t>SIM-TEMU-000663</t>
  </si>
  <si>
    <t>SN00007W6EN</t>
  </si>
  <si>
    <t>SIM-TEMU-000703</t>
  </si>
  <si>
    <t>350000000000440</t>
  </si>
  <si>
    <t>SIM-TEMU-000774</t>
  </si>
  <si>
    <t>SN000099P5K</t>
  </si>
  <si>
    <t>SIM-TEMU-000793</t>
  </si>
  <si>
    <t>SN00009K2J2</t>
  </si>
  <si>
    <t>SIM-TEMU-000828</t>
  </si>
  <si>
    <t>350000000000513</t>
  </si>
  <si>
    <t>SIM-TEMU-000889</t>
  </si>
  <si>
    <t>350000000000552</t>
  </si>
  <si>
    <t>SIM-TEMU-000677</t>
  </si>
  <si>
    <t>350000000000421</t>
  </si>
  <si>
    <t>SIM-TEMU-001567</t>
  </si>
  <si>
    <t>SIM-TEMU-000879</t>
  </si>
  <si>
    <t>SN0000AQCQ4</t>
  </si>
  <si>
    <t>SIM-TEMU-000579</t>
  </si>
  <si>
    <t>350000000000360</t>
  </si>
  <si>
    <t>SIM-TEMU-000659</t>
  </si>
  <si>
    <t>SN00007V579</t>
  </si>
  <si>
    <t>SIM-TEMU-000736</t>
  </si>
  <si>
    <t>SN00008P3RF</t>
  </si>
  <si>
    <t>SIM-TEMU-000784</t>
  </si>
  <si>
    <t>SN00009FVFZ</t>
  </si>
  <si>
    <t>SIM-TEMU-001568</t>
  </si>
  <si>
    <t>SIM-TEMU-000846</t>
  </si>
  <si>
    <t>350000000000525</t>
  </si>
  <si>
    <t>SIM-TEMU-000607</t>
  </si>
  <si>
    <t>SN00007AGLQ</t>
  </si>
  <si>
    <t>SIM-TEMU-000671</t>
  </si>
  <si>
    <t>SN000081BHP</t>
  </si>
  <si>
    <t>SIM-TEMU-000742</t>
  </si>
  <si>
    <t>350000000000466</t>
  </si>
  <si>
    <t>SIM-TEMU-000787</t>
  </si>
  <si>
    <t>350000000000488</t>
  </si>
  <si>
    <t>SIM-TEMU-001886</t>
  </si>
  <si>
    <t>SIM-TEMU-001896</t>
  </si>
  <si>
    <t>SIM-TEMU-001906</t>
  </si>
  <si>
    <t>SIM-TEMU-001923</t>
  </si>
  <si>
    <t>SIM-TEMU-001942</t>
  </si>
  <si>
    <t>SIM-TEMU-000815</t>
  </si>
  <si>
    <t>350000000000503</t>
  </si>
  <si>
    <t>SIM-TEMU-001901</t>
  </si>
  <si>
    <t>SIM-TEMU-001928</t>
  </si>
  <si>
    <t>SIM-TEMU-001944</t>
  </si>
  <si>
    <t>SIM-TEMU-000535</t>
  </si>
  <si>
    <t>350000000000338</t>
  </si>
  <si>
    <t>SIM-TEMU-000542</t>
  </si>
  <si>
    <t>SN00006793V</t>
  </si>
  <si>
    <t>SIM-TEMU-000623</t>
  </si>
  <si>
    <t>350000000000385</t>
  </si>
  <si>
    <t>SIM-TEMU-000761</t>
  </si>
  <si>
    <t>SN000091FDB</t>
  </si>
  <si>
    <t>SIM-TEMU-000801</t>
  </si>
  <si>
    <t>SN00009P7M3</t>
  </si>
  <si>
    <t>SIM-TEMU-000469</t>
  </si>
  <si>
    <t>SN00005B93V</t>
  </si>
  <si>
    <t>SIM-TEMU-000524</t>
  </si>
  <si>
    <t>SN00005ZZBM</t>
  </si>
  <si>
    <t>SIM-TEMU-000613</t>
  </si>
  <si>
    <t>350000000000378</t>
  </si>
  <si>
    <t>SIM-TEMU-000487</t>
  </si>
  <si>
    <t>SN00005MLGC</t>
  </si>
  <si>
    <t>SIM-TEMU-000730</t>
  </si>
  <si>
    <t>350000000000458</t>
  </si>
  <si>
    <t>SIM-TEMU-000743</t>
  </si>
  <si>
    <t>SN00008S6EN</t>
  </si>
  <si>
    <t>SIM-TEMU-000798</t>
  </si>
  <si>
    <t>SN00009M4YU</t>
  </si>
  <si>
    <t>SIM-TEMU-001914</t>
  </si>
  <si>
    <t>SIM-TEMU-000550</t>
  </si>
  <si>
    <t>SN00006CE6W</t>
  </si>
  <si>
    <t>SIM-TEMU-000673</t>
  </si>
  <si>
    <t>350000000000418</t>
  </si>
  <si>
    <t>SIM-TEMU-001879</t>
  </si>
  <si>
    <t>SIM-TEMU-000575</t>
  </si>
  <si>
    <t>350000000000358</t>
  </si>
  <si>
    <t>SIM-TEMU-000685</t>
  </si>
  <si>
    <t>350000000000429</t>
  </si>
  <si>
    <t>SIM-TEMU-000748</t>
  </si>
  <si>
    <t>350000000000470</t>
  </si>
  <si>
    <t>SIM-TEMU-001569</t>
  </si>
  <si>
    <t>SIM-TEMU-000457</t>
  </si>
  <si>
    <t>350000000000287</t>
  </si>
  <si>
    <t>SIM-TEMU-000629</t>
  </si>
  <si>
    <t>SN00007IQCY</t>
  </si>
  <si>
    <t>SIM-TEMU-001887</t>
  </si>
  <si>
    <t>SIM-TEMU-001894</t>
  </si>
  <si>
    <t>SIM-TEMU-001913</t>
  </si>
  <si>
    <t>SIM-TEMU-000383</t>
  </si>
  <si>
    <t>SN00004D7M3</t>
  </si>
  <si>
    <t>SIM-TEMU-000531</t>
  </si>
  <si>
    <t>350000000000335</t>
  </si>
  <si>
    <t>SIM-TEMU-000633</t>
  </si>
  <si>
    <t>350000000000393</t>
  </si>
  <si>
    <t>SIM-TEMU-000693</t>
  </si>
  <si>
    <t>SN000087HT5</t>
  </si>
  <si>
    <t>SIM-TEMU-001877</t>
  </si>
  <si>
    <t>SIM-TEMU-000678</t>
  </si>
  <si>
    <t>350000000000422</t>
  </si>
  <si>
    <t>SIM-TEMU-001846</t>
  </si>
  <si>
    <t>SIM-TEMU-001808</t>
  </si>
  <si>
    <t>SIM-TEMU-000412</t>
  </si>
  <si>
    <t>350000000000255</t>
  </si>
  <si>
    <t>SIM-TEMU-000464</t>
  </si>
  <si>
    <t>350000000000294</t>
  </si>
  <si>
    <t>SIM-TEMU-000614</t>
  </si>
  <si>
    <t>SN00007DK9X</t>
  </si>
  <si>
    <t>SIM-TEMU-000653</t>
  </si>
  <si>
    <t>350000000000405</t>
  </si>
  <si>
    <t>SIM-TEMU-000658</t>
  </si>
  <si>
    <t>350000000000408</t>
  </si>
  <si>
    <t>SIM-TEMU-001561</t>
  </si>
  <si>
    <t>SIM-TEMU-000590</t>
  </si>
  <si>
    <t>350000000000366</t>
  </si>
  <si>
    <t>SIM-TEMU-000622</t>
  </si>
  <si>
    <t>350000000000384</t>
  </si>
  <si>
    <t>SIM-TEMU-001570</t>
  </si>
  <si>
    <t>SIM-TEMU-000344</t>
  </si>
  <si>
    <t>SN00003PFDB</t>
  </si>
  <si>
    <t>SIM-TEMU-000380</t>
  </si>
  <si>
    <t>SN00004B579</t>
  </si>
  <si>
    <t>SIM-TEMU-000462</t>
  </si>
  <si>
    <t>350000000000293</t>
  </si>
  <si>
    <t>SIM-TEMU-000649</t>
  </si>
  <si>
    <t>350000000000402</t>
  </si>
  <si>
    <t>SIM-TEMU-000347</t>
  </si>
  <si>
    <t>SN00003RHT5</t>
  </si>
  <si>
    <t>SIM-TEMU-000368</t>
  </si>
  <si>
    <t>SN000045XVT</t>
  </si>
  <si>
    <t>SIM-TEMU-000475</t>
  </si>
  <si>
    <t>350000000000301</t>
  </si>
  <si>
    <t>SIM-TEMU-000491</t>
  </si>
  <si>
    <t>350000000000308</t>
  </si>
  <si>
    <t>SIM-TEMU-000301</t>
  </si>
  <si>
    <t>350000000000198</t>
  </si>
  <si>
    <t>SIM-TEMU-000304</t>
  </si>
  <si>
    <t>350000000000201</t>
  </si>
  <si>
    <t>SIM-TEMU-001848</t>
  </si>
  <si>
    <t>SIM-TEMU-001868</t>
  </si>
  <si>
    <t>SIM-TEMU-001541</t>
  </si>
  <si>
    <t>SIM-TEMU-001566</t>
  </si>
  <si>
    <t>SIM-TEMU-001799</t>
  </si>
  <si>
    <t>SIM-TEMU-000427</t>
  </si>
  <si>
    <t>350000000000267</t>
  </si>
  <si>
    <t>SIM-TEMU-000552</t>
  </si>
  <si>
    <t>350000000000348</t>
  </si>
  <si>
    <t>SIM-TEMU-000585</t>
  </si>
  <si>
    <t>350000000000363</t>
  </si>
  <si>
    <t>SIM-TEMU-000592</t>
  </si>
  <si>
    <t>SN0000728UG</t>
  </si>
  <si>
    <t>SIM-TEMU-000618</t>
  </si>
  <si>
    <t>350000000000380</t>
  </si>
  <si>
    <t>SIM-TEMU-001845</t>
  </si>
  <si>
    <t>SIM-TEMU-001862</t>
  </si>
  <si>
    <t>SIM-TEMU-001873</t>
  </si>
  <si>
    <t>SIM-TEMU-000616</t>
  </si>
  <si>
    <t>SN00007ELGC</t>
  </si>
  <si>
    <t>SIM-TEMU-000285</t>
  </si>
  <si>
    <t>SN00002YLGC</t>
  </si>
  <si>
    <t>SIM-TEMU-000294</t>
  </si>
  <si>
    <t>350000000000195</t>
  </si>
  <si>
    <t>SIM-TEMU-000307</t>
  </si>
  <si>
    <t>SN000037VFZ</t>
  </si>
  <si>
    <t>SIM-TEMU-001872</t>
  </si>
  <si>
    <t>SIM-TEMU-000436</t>
  </si>
  <si>
    <t>350000000000275</t>
  </si>
  <si>
    <t>SIM-TEMU-000276</t>
  </si>
  <si>
    <t>350000000000183</t>
  </si>
  <si>
    <t>SIM-TEMU-000386</t>
  </si>
  <si>
    <t>350000000000238</t>
  </si>
  <si>
    <t>SIM-TEMU-000398</t>
  </si>
  <si>
    <t>350000000000248</t>
  </si>
  <si>
    <t>SIM-TEMU-000446</t>
  </si>
  <si>
    <t>350000000000281</t>
  </si>
  <si>
    <t>SIM-TEMU-000536</t>
  </si>
  <si>
    <t>350000000000339</t>
  </si>
  <si>
    <t>SIM-TEMU-000258</t>
  </si>
  <si>
    <t>350000000000175</t>
  </si>
  <si>
    <t>SIM-TEMU-001856</t>
  </si>
  <si>
    <t>SIM-TEMU-001832</t>
  </si>
  <si>
    <t>SIM-TEMU-000361</t>
  </si>
  <si>
    <t>350000000000227</t>
  </si>
  <si>
    <t>SIM-TEMU-000366</t>
  </si>
  <si>
    <t>350000000000228</t>
  </si>
  <si>
    <t>SIM-TEMU-000240</t>
  </si>
  <si>
    <t>SN00002DXVT</t>
  </si>
  <si>
    <t>SIM-TEMU-000253</t>
  </si>
  <si>
    <t>350000000000173</t>
  </si>
  <si>
    <t>SIM-TEMU-001854</t>
  </si>
  <si>
    <t>SIM-TEMU-001559</t>
  </si>
  <si>
    <t>SIM-TEMU-001829</t>
  </si>
  <si>
    <t>SIM-TEMU-000354</t>
  </si>
  <si>
    <t>SN00003WNW6</t>
  </si>
  <si>
    <t>SIM-TEMU-000397</t>
  </si>
  <si>
    <t>SN00004MGLQ</t>
  </si>
  <si>
    <t>SIM-TEMU-000414</t>
  </si>
  <si>
    <t>350000000000257</t>
  </si>
  <si>
    <t>SIM-TEMU-000495</t>
  </si>
  <si>
    <t>SN00005PP5K</t>
  </si>
  <si>
    <t>SIM-TEMU-000174</t>
  </si>
  <si>
    <t>SN00001O6EN</t>
  </si>
  <si>
    <t>SIM-TEMU-000278</t>
  </si>
  <si>
    <t>350000000000185</t>
  </si>
  <si>
    <t>SIM-TEMU-001801</t>
  </si>
  <si>
    <t>SIM-TEMU-000480</t>
  </si>
  <si>
    <t>SN00005HFDB</t>
  </si>
  <si>
    <t>SIM-TEMU-000482</t>
  </si>
  <si>
    <t>SN00005JHT5</t>
  </si>
  <si>
    <t>SIM-TEMU-000284</t>
  </si>
  <si>
    <t>350000000000189</t>
  </si>
  <si>
    <t>SIM-TEMU-001857</t>
  </si>
  <si>
    <t>SIM-TEMU-001871</t>
  </si>
  <si>
    <t>SIM-TEMU-001815</t>
  </si>
  <si>
    <t>SIM-TEMU-000139</t>
  </si>
  <si>
    <t>350000000000098</t>
  </si>
  <si>
    <t>SIM-TEMU-000229</t>
  </si>
  <si>
    <t>350000000000158</t>
  </si>
  <si>
    <t>SIM-TEMU-000394</t>
  </si>
  <si>
    <t>350000000000246</t>
  </si>
  <si>
    <t>SIM-TEMU-000417</t>
  </si>
  <si>
    <t>SN00004UQCY</t>
  </si>
  <si>
    <t>SIM-TEMU-001722</t>
  </si>
  <si>
    <t>SIM-TEMU-001771</t>
  </si>
  <si>
    <t>SIM-TEMU-001788</t>
  </si>
  <si>
    <t>SIM-TEMU-000418</t>
  </si>
  <si>
    <t>350000000000260</t>
  </si>
  <si>
    <t>SIM-TEMU-000128</t>
  </si>
  <si>
    <t>350000000000090</t>
  </si>
  <si>
    <t>SIM-TEMU-000226</t>
  </si>
  <si>
    <t>350000000000155</t>
  </si>
  <si>
    <t>SIM-TEMU-000337</t>
  </si>
  <si>
    <t>SN00003MCQ4</t>
  </si>
  <si>
    <t>SIM-TEMU-000187</t>
  </si>
  <si>
    <t>350000000000130</t>
  </si>
  <si>
    <t>SIM-TEMU-000317</t>
  </si>
  <si>
    <t>350000000000207</t>
  </si>
  <si>
    <t>SIM-TEMU-001732</t>
  </si>
  <si>
    <t>SIM-TEMU-001733</t>
  </si>
  <si>
    <t>SIM-TEMU-001752</t>
  </si>
  <si>
    <t>SIM-TEMU-000329</t>
  </si>
  <si>
    <t>350000000000213</t>
  </si>
  <si>
    <t>SIM-TEMU-000066</t>
  </si>
  <si>
    <t>350000000000041</t>
  </si>
  <si>
    <t>SIM-TEMU-000150</t>
  </si>
  <si>
    <t>350000000000106</t>
  </si>
  <si>
    <t>SIM-TEMU-000221</t>
  </si>
  <si>
    <t>SN000025P5K</t>
  </si>
  <si>
    <t>SIM-TEMU-000080</t>
  </si>
  <si>
    <t>SN00000WAAA</t>
  </si>
  <si>
    <t>SIM-TEMU-000163</t>
  </si>
  <si>
    <t>SN00001JZBM</t>
  </si>
  <si>
    <t>SIM-TEMU-000242</t>
  </si>
  <si>
    <t>350000000000165</t>
  </si>
  <si>
    <t>SIM-TEMU-000288</t>
  </si>
  <si>
    <t>350000000000192</t>
  </si>
  <si>
    <t>SIM-TEMU-001728</t>
  </si>
  <si>
    <t>SIM-TEMU-001746</t>
  </si>
  <si>
    <t>SIM-TEMU-000171</t>
  </si>
  <si>
    <t>350000000000121</t>
  </si>
  <si>
    <t>SIM-TEMU-001723</t>
  </si>
  <si>
    <t>SIM-TEMU-000116</t>
  </si>
  <si>
    <t>350000000000079</t>
  </si>
  <si>
    <t>SIM-TEMU-000165</t>
  </si>
  <si>
    <t>350000000000116</t>
  </si>
  <si>
    <t>SIM-TEMU-000300</t>
  </si>
  <si>
    <t>350000000000197</t>
  </si>
  <si>
    <t>SIM-TEMU-001742</t>
  </si>
  <si>
    <t>SIM-TEMU-000247</t>
  </si>
  <si>
    <t>350000000000170</t>
  </si>
  <si>
    <t>SIM-TEMU-000267</t>
  </si>
  <si>
    <t>350000000000179</t>
  </si>
  <si>
    <t>SIM-TEMU-000287</t>
  </si>
  <si>
    <t>350000000000191</t>
  </si>
  <si>
    <t>SIM-TEMU-001768</t>
  </si>
  <si>
    <t>SIM-TEMU-001785</t>
  </si>
  <si>
    <t>SIM-TEMU-000158</t>
  </si>
  <si>
    <t>SN00001GWNE</t>
  </si>
  <si>
    <t>SIM-TEMU-000203</t>
  </si>
  <si>
    <t>350000000000141</t>
  </si>
  <si>
    <t>SIM-TEMU-000244</t>
  </si>
  <si>
    <t>350000000000167</t>
  </si>
  <si>
    <t>SIM-TEMU-000303</t>
  </si>
  <si>
    <t>350000000000200</t>
  </si>
  <si>
    <t>SIM-TEMU-001740</t>
  </si>
  <si>
    <t>SIM-TEMU-001762</t>
  </si>
  <si>
    <t>SIM-TEMU-000211</t>
  </si>
  <si>
    <t>350000000000145</t>
  </si>
  <si>
    <t>SIM-TEMU-000262</t>
  </si>
  <si>
    <t>350000000000177</t>
  </si>
  <si>
    <t>SIM-TEMU-001737</t>
  </si>
  <si>
    <t>SIM-TEMU-000003</t>
  </si>
  <si>
    <t>350000000000002</t>
  </si>
  <si>
    <t>SIM-TEMU-000167</t>
  </si>
  <si>
    <t>SN00001L3RF</t>
  </si>
  <si>
    <t>SIM-TEMU-000042</t>
  </si>
  <si>
    <t>SN00000IU8L</t>
  </si>
  <si>
    <t>SIM-TEMU-000237</t>
  </si>
  <si>
    <t>350000000000163</t>
  </si>
  <si>
    <t>SIM-TEMU-001542</t>
  </si>
  <si>
    <t>SIM-TEMU-001745</t>
  </si>
  <si>
    <t>SIM-TEMU-000105</t>
  </si>
  <si>
    <t>SN000012GLQ</t>
  </si>
  <si>
    <t>SIM-TEMU-001725</t>
  </si>
  <si>
    <t>SIM-TEMU-000033</t>
  </si>
  <si>
    <t>SN00000DP5K</t>
  </si>
  <si>
    <t>SIM-TEMU-000056</t>
  </si>
  <si>
    <t>350000000000034</t>
  </si>
  <si>
    <t>SIM-TEMU-000070</t>
  </si>
  <si>
    <t>350000000000043</t>
  </si>
  <si>
    <t>SIM-TEMU-000166</t>
  </si>
  <si>
    <t>SN00001K2J2</t>
  </si>
  <si>
    <t>SIM-TEMU-000173</t>
  </si>
  <si>
    <t>350000000000122</t>
  </si>
  <si>
    <t>SIM-TEMU-000215</t>
  </si>
  <si>
    <t>350000000000149</t>
  </si>
  <si>
    <t>SIM-TEMU-001654</t>
  </si>
  <si>
    <t>SIM-TEMU-001679</t>
  </si>
  <si>
    <t>SIM-TEMU-001527</t>
  </si>
  <si>
    <t>SIM-TEMU-001685</t>
  </si>
  <si>
    <t>SIM-TEMU-001719</t>
  </si>
  <si>
    <t>SIM-TEMU-000169</t>
  </si>
  <si>
    <t>350000000000119</t>
  </si>
  <si>
    <t>SIM-TEMU-001674</t>
  </si>
  <si>
    <t>SIM-TEMU-000117</t>
  </si>
  <si>
    <t>350000000000080</t>
  </si>
  <si>
    <t>SIM-TEMU-000119</t>
  </si>
  <si>
    <t>350000000000082</t>
  </si>
  <si>
    <t>SIM-TEMU-001681</t>
  </si>
  <si>
    <t>SIM-TEMU-000053</t>
  </si>
  <si>
    <t>350000000000031</t>
  </si>
  <si>
    <t>SIM-TEMU-000068</t>
  </si>
  <si>
    <t>SN00000S6EN</t>
  </si>
  <si>
    <t>SIM-TEMU-001651</t>
  </si>
  <si>
    <t>SIM-TEMU-000096</t>
  </si>
  <si>
    <t>SN000010E6W</t>
  </si>
  <si>
    <t>SIM-TEMU-000075</t>
  </si>
  <si>
    <t>350000000000047</t>
  </si>
  <si>
    <t>SIM-TEMU-001666</t>
  </si>
  <si>
    <t>SIM-TEMU-001703</t>
  </si>
  <si>
    <t>SIM-TEMU-001712</t>
  </si>
  <si>
    <t>SIM-TEMU-000092</t>
  </si>
  <si>
    <t>350000000000062</t>
  </si>
  <si>
    <t>SIM-TEMU-001705</t>
  </si>
  <si>
    <t>SIM-TEMU-001693</t>
  </si>
  <si>
    <t>SIM-TEMU-001718</t>
  </si>
  <si>
    <t>SIM-TEMU-000005</t>
  </si>
  <si>
    <t>350000000000004</t>
  </si>
  <si>
    <t>In Repair</t>
  </si>
  <si>
    <t>In Repair — Faulty charging port — sent for bench repair</t>
  </si>
  <si>
    <t>SIM-TEMU-001665</t>
  </si>
  <si>
    <t>SIM-TEMU-001682</t>
  </si>
  <si>
    <t>SIM-TEMU-001683</t>
  </si>
  <si>
    <t>SIM-TEMU-001662</t>
  </si>
  <si>
    <t>SIM-TEMU-001688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</si>
  <si>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</si>
  <si>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</si>
  <si>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</si>
  <si>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</si>
  <si>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</si>
  <si>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</si>
  <si>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</si>
  <si>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</si>
  <si>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</si>
  <si>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</si>
  <si>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</si>
  <si>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</si>
  <si>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</si>
  <si>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USB-C 25W Charger</t>
  </si>
  <si>
    <t>SIM Eject Pin</t>
  </si>
  <si>
    <t>USB-C to USB-C Cable 1m</t>
  </si>
  <si>
    <t>Clear Silicone Case</t>
  </si>
  <si>
    <t>Universal Screen Protector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</si>
  <si>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</si>
  <si>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</si>
  <si>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</si>
  <si>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</si>
  <si>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</si>
  <si>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</si>
  <si>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</si>
  <si>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5 · £0.00</t>
  </si>
  <si>
    <t>1 · £0.00</t>
  </si>
  <si>
    <t>4 · £0.00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</si>
  <si>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</si>
  <si>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</si>
  <si>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</si>
  <si>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</si>
  <si>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</si>
  <si>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</si>
  <si>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</si>
  <si>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</si>
  <si>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</si>
  <si>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</si>
  <si>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</si>
  <si>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Note</t>
  </si>
  <si>
    <t>11 returns predate carriage tracking and contribute £0 — lifetime loss understates these.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</si>
  <si>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</si>
  <si>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</si>
  <si>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</si>
  <si>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</si>
  <si>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</si>
  <si>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</si>
  <si>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</si>
  <si>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charging port — sent for bench repair</t>
  </si>
  <si>
    <t>Customer: Customer reports the device stopped charging reliably. · Tech QC: Bench inspection: charging port fault confirmed. IMEI matches. Sending for repair.</t>
  </si>
  <si>
    <t>Customer changed their mind</t>
  </si>
  <si>
    <t>Customer: Customer reports the device stopped charging reliably. · Tech QC: Bench inspection: fault confirmed, IMEI matches, no repair viable — processing refund.</t>
  </si>
  <si>
    <t>Event Date</t>
  </si>
  <si>
    <t>Event</t>
  </si>
  <si>
    <t>Detail</t>
  </si>
  <si>
    <t>Amount £</t>
  </si>
  <si>
    <t>STOCK IN</t>
  </si>
  <si>
    <t>SOLD</t>
  </si>
  <si>
    <t>TEMU · SIM-TEMU-000005</t>
  </si>
  <si>
    <t>RETURNED</t>
  </si>
  <si>
    <t>In Repair · In Repair — Faulty charging port — sent for bench repair</t>
  </si>
  <si>
    <t>AMAZON · SIM-AMAZON-000008</t>
  </si>
  <si>
    <t>Refund · Refund — Customer changed their mind</t>
  </si>
  <si>
    <t>AMAZON · SIM-AMAZON-000012</t>
  </si>
  <si>
    <t>EBAY · SIM-EBAY-000018</t>
  </si>
  <si>
    <t>EBAY · SIM-EBAY-000034</t>
  </si>
  <si>
    <t>EBAY · SIM-EBAY-000043</t>
  </si>
  <si>
    <t>EBAY · SIM-EBAY-000046</t>
  </si>
  <si>
    <t>AMAZON · SIM-AMAZON-000052</t>
  </si>
  <si>
    <t>BM · SIM-BM-000072</t>
  </si>
  <si>
    <t>AMAZON · SIM-AMAZON-000025</t>
  </si>
  <si>
    <t>AMAZON · SIM-AMAZON-000041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</si>
</sst>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6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  <font>
      <b/>
      <color rgb="FFB4530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371+COUNT('AMAZON'!$H$378:$H$577)</f>
      </c>
      <c r="C6">
        <v>5</v>
      </c>
      <c r="D6">
        <v>0</v>
      </c>
      <c r="E6">
        <v>0</v>
      </c>
      <c r="F6" s="4">
        <f>11514.02+SUM('AMAZON'!$V$378:$V$577)</f>
      </c>
      <c r="G6" s="4">
        <v>0</v>
      </c>
      <c r="H6" s="4">
        <f>F6-G6</f>
      </c>
      <c r="I6" s="4">
        <f>IFERROR((F6-G6)/(85326.45+SUM('AMAZON'!$G$378:$G$577))*100,0)</f>
      </c>
    </row>
    <row r="7" spans="1:9" x14ac:dyDescent="0.25">
      <c r="A7" t="s">
        <v>14</v>
      </c>
      <c r="B7">
        <f>442+COUNT('BM'!$H$445:$H$644)</f>
      </c>
      <c r="C7">
        <v>1</v>
      </c>
      <c r="D7">
        <v>0</v>
      </c>
      <c r="E7">
        <v>0</v>
      </c>
      <c r="F7" s="4">
        <f>6578.77+SUM('BM'!$S$445:$S$644)</f>
      </c>
      <c r="G7" s="4">
        <v>0</v>
      </c>
      <c r="H7" s="4">
        <f>F7-G7</f>
      </c>
      <c r="I7" s="4">
        <f>IFERROR((F7-G7)/(101073.50+SUM('BM'!$G$445:$G$644))*100,0)</f>
      </c>
    </row>
    <row r="8" spans="1:9" x14ac:dyDescent="0.25">
      <c r="A8" t="s">
        <v>15</v>
      </c>
      <c r="B8">
        <f>483+COUNT('EBAY'!$H$489:$H$688)</f>
      </c>
      <c r="C8">
        <v>4</v>
      </c>
      <c r="D8">
        <v>0</v>
      </c>
      <c r="E8">
        <v>0</v>
      </c>
      <c r="F8" s="4">
        <f>14945.46+SUM('EBAY'!$Y$489:$Y$688)</f>
      </c>
      <c r="G8" s="4">
        <v>0</v>
      </c>
      <c r="H8" s="4">
        <f>F8-G8</f>
      </c>
      <c r="I8" s="4">
        <f>IFERROR((F8-G8)/(110433.90+SUM('EBAY'!$G$489:$G$688))*100,0)</f>
      </c>
    </row>
    <row r="9" spans="1:9" x14ac:dyDescent="0.25">
      <c r="A9" t="s">
        <v>16</v>
      </c>
      <c r="B9">
        <f>427+COUNT('ONBUY'!$G$429:$G$628)</f>
      </c>
      <c r="C9">
        <v>0</v>
      </c>
      <c r="D9">
        <v>0</v>
      </c>
      <c r="E9">
        <v>0</v>
      </c>
      <c r="F9" s="4">
        <f>14098.30+SUM('ONBUY'!$S$429:$S$628)</f>
      </c>
      <c r="G9" s="4">
        <v>0</v>
      </c>
      <c r="H9" s="4">
        <f>F9-G9</f>
      </c>
      <c r="I9" s="4">
        <f>IFERROR((F9-G9)/(103074.75+SUM('ONBUY'!$F$429:$F$628))*100,0)</f>
      </c>
    </row>
    <row r="10" spans="1:9" x14ac:dyDescent="0.25">
      <c r="A10" t="s">
        <v>17</v>
      </c>
      <c r="B10">
        <f>444+COUNT('TEMU'!$H$447:$H$646)</f>
      </c>
      <c r="C10">
        <v>0</v>
      </c>
      <c r="D10">
        <v>0</v>
      </c>
      <c r="E10">
        <v>1</v>
      </c>
      <c r="F10" s="4">
        <f>18877.07+SUM('TEMU'!$T$447:$T$646)</f>
      </c>
      <c r="G10" s="4">
        <v>0</v>
      </c>
      <c r="H10" s="4">
        <f>F10-G10</f>
      </c>
      <c r="I10" s="4">
        <f>IFERROR((F10-G10)/(98106.60+SUM('TEMU'!$G$447:$G$646))*100,0)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IFERROR((F11-G11)/(498015.20+SUM('AMAZON'!$G$378:$G$577)+SUM('BM'!$G$445:$G$644)+SUM('EBAY'!$G$489:$G$688)+SUM('ONBUY'!$F$429:$F$628)+SUM('TEMU'!$G$447:$G$646))*100,0)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78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46241.5</v>
      </c>
      <c r="B2" t="s">
        <v>56</v>
      </c>
      <c r="C2" t="s">
        <v>1</v>
      </c>
      <c r="D2" s="9" t="s">
        <v>57</v>
      </c>
      <c r="E2" t="s">
        <v>58</v>
      </c>
      <c r="F2" t="s">
        <v>59</v>
      </c>
      <c r="G2" t="s">
        <v>60</v>
      </c>
      <c r="H2" t="s">
        <v>61</v>
      </c>
      <c r="I2">
        <v>1</v>
      </c>
      <c r="J2" s="4">
        <v>467</v>
      </c>
      <c r="K2" s="4">
        <v>450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6.3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8">
        <v>46231.5</v>
      </c>
      <c r="B3" t="s">
        <v>62</v>
      </c>
      <c r="C3" t="s">
        <v>1</v>
      </c>
      <c r="D3" s="9" t="s">
        <v>63</v>
      </c>
      <c r="E3" t="s">
        <v>64</v>
      </c>
      <c r="F3" t="s">
        <v>59</v>
      </c>
      <c r="G3" t="s">
        <v>65</v>
      </c>
      <c r="H3" t="s">
        <v>66</v>
      </c>
      <c r="I3">
        <v>1</v>
      </c>
      <c r="J3" s="4">
        <v>245</v>
      </c>
      <c r="K3" s="4">
        <v>350.35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0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(V3-Y3)/J3*100</f>
      </c>
      <c r="X3" s="4">
        <f>M3-U3</f>
      </c>
      <c r="Z3" s="4">
        <f>V3-Y3</f>
      </c>
      <c r="AE3" t="s">
        <v>1</v>
      </c>
    </row>
    <row r="4" spans="1:31" x14ac:dyDescent="0.25">
      <c r="A4" s="8">
        <v>46231.5</v>
      </c>
      <c r="B4" t="s">
        <v>67</v>
      </c>
      <c r="C4" t="s">
        <v>1</v>
      </c>
      <c r="D4" s="9" t="s">
        <v>68</v>
      </c>
      <c r="E4" t="s">
        <v>69</v>
      </c>
      <c r="F4" t="s">
        <v>70</v>
      </c>
      <c r="G4" t="s">
        <v>60</v>
      </c>
      <c r="H4" t="s">
        <v>66</v>
      </c>
      <c r="I4">
        <v>1</v>
      </c>
      <c r="J4" s="4">
        <v>533</v>
      </c>
      <c r="K4" s="4">
        <v>746.2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0</v>
      </c>
      <c r="S4" s="4">
        <f>R4*20%</f>
      </c>
      <c r="T4" s="4">
        <v>1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8">
        <v>46231.5</v>
      </c>
      <c r="B5" t="s">
        <v>71</v>
      </c>
      <c r="C5" t="s">
        <v>1</v>
      </c>
      <c r="D5" s="9" t="s">
        <v>72</v>
      </c>
      <c r="E5" t="s">
        <v>73</v>
      </c>
      <c r="F5" t="s">
        <v>74</v>
      </c>
      <c r="G5" t="s">
        <v>60</v>
      </c>
      <c r="H5" t="s">
        <v>75</v>
      </c>
      <c r="I5">
        <v>1</v>
      </c>
      <c r="J5" s="4">
        <v>349</v>
      </c>
      <c r="K5" s="4">
        <v>429.27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0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(V5-Y5)/J5*100</f>
      </c>
      <c r="X5" s="4">
        <f>M5-U5</f>
      </c>
      <c r="Z5" s="4">
        <f>V5-Y5</f>
      </c>
      <c r="AE5" t="s">
        <v>1</v>
      </c>
    </row>
    <row r="6" spans="1:31" x14ac:dyDescent="0.25">
      <c r="A6" s="8">
        <v>46231.5</v>
      </c>
      <c r="B6" t="s">
        <v>76</v>
      </c>
      <c r="C6" t="s">
        <v>1</v>
      </c>
      <c r="D6" s="9" t="s">
        <v>77</v>
      </c>
      <c r="E6" t="s">
        <v>69</v>
      </c>
      <c r="F6" t="s">
        <v>70</v>
      </c>
      <c r="G6" t="s">
        <v>60</v>
      </c>
      <c r="H6" t="s">
        <v>78</v>
      </c>
      <c r="I6">
        <v>1</v>
      </c>
      <c r="J6" s="4">
        <v>537</v>
      </c>
      <c r="K6" s="4">
        <v>746.43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0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(V6-Y6)/J6*100</f>
      </c>
      <c r="X6" s="4">
        <f>M6-U6</f>
      </c>
      <c r="Z6" s="4">
        <f>V6-Y6</f>
      </c>
      <c r="AE6" t="s">
        <v>1</v>
      </c>
    </row>
    <row r="7" spans="1:31" x14ac:dyDescent="0.25">
      <c r="A7" s="8">
        <v>46231.5</v>
      </c>
      <c r="B7" t="s">
        <v>79</v>
      </c>
      <c r="C7" t="s">
        <v>1</v>
      </c>
      <c r="D7" s="9" t="s">
        <v>80</v>
      </c>
      <c r="E7" t="s">
        <v>81</v>
      </c>
      <c r="F7" t="s">
        <v>59</v>
      </c>
      <c r="G7" t="s">
        <v>65</v>
      </c>
      <c r="H7" t="s">
        <v>75</v>
      </c>
      <c r="I7">
        <v>1</v>
      </c>
      <c r="J7" s="4">
        <v>619</v>
      </c>
      <c r="K7" s="4">
        <v>866.6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0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(V7-Y7)/J7*100</f>
      </c>
      <c r="X7" s="4">
        <f>M7-U7</f>
      </c>
      <c r="Z7" s="4">
        <f>V7-Y7</f>
      </c>
      <c r="AE7" t="s">
        <v>1</v>
      </c>
    </row>
    <row r="8" spans="1:31" x14ac:dyDescent="0.25">
      <c r="A8" s="8">
        <v>46231.5</v>
      </c>
      <c r="B8" t="s">
        <v>82</v>
      </c>
      <c r="C8" t="s">
        <v>1</v>
      </c>
      <c r="D8" s="9" t="s">
        <v>83</v>
      </c>
      <c r="E8" t="s">
        <v>84</v>
      </c>
      <c r="F8" t="s">
        <v>85</v>
      </c>
      <c r="G8" t="s">
        <v>60</v>
      </c>
      <c r="H8" t="s">
        <v>66</v>
      </c>
      <c r="I8">
        <v>1</v>
      </c>
      <c r="J8" s="4">
        <v>768</v>
      </c>
      <c r="K8" s="4">
        <v>1082.88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0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>
        <v>46231.5</v>
      </c>
      <c r="B9" t="s">
        <v>86</v>
      </c>
      <c r="C9" t="s">
        <v>1</v>
      </c>
      <c r="D9" s="9" t="s">
        <v>87</v>
      </c>
      <c r="E9" t="s">
        <v>64</v>
      </c>
      <c r="F9" t="s">
        <v>88</v>
      </c>
      <c r="G9" t="s">
        <v>65</v>
      </c>
      <c r="H9" t="s">
        <v>78</v>
      </c>
      <c r="I9">
        <v>1</v>
      </c>
      <c r="J9" s="4">
        <v>247</v>
      </c>
      <c r="K9" s="4">
        <v>345.8</v>
      </c>
      <c r="L9" s="4">
        <f>K9-J9</f>
      </c>
      <c r="M9" s="4">
        <f>L9*16.67%</f>
      </c>
      <c r="N9" s="4">
        <f>K9/100*7</f>
      </c>
      <c r="O9" s="4">
        <f>N9*20%</f>
      </c>
      <c r="P9" s="4">
        <f>N9*2%</f>
      </c>
      <c r="Q9" s="4">
        <f>P9*20%</f>
      </c>
      <c r="R9" s="4">
        <v>0</v>
      </c>
      <c r="S9" s="4">
        <f>R9*20%</f>
      </c>
      <c r="T9" s="4">
        <v>1</v>
      </c>
      <c r="U9" s="4">
        <f>O9+Q9+S9</f>
      </c>
      <c r="V9" s="4">
        <f>L9-M9-N9-O9-P9-Q9-R9-S9-T9</f>
      </c>
      <c r="W9" s="4">
        <f>(V9-Y9)/J9*100</f>
      </c>
      <c r="X9" s="4">
        <f>M9-U9</f>
      </c>
      <c r="Z9" s="4">
        <f>V9-Y9</f>
      </c>
      <c r="AE9" t="s">
        <v>1</v>
      </c>
    </row>
    <row r="10" spans="1:31" x14ac:dyDescent="0.25">
      <c r="A10" s="8">
        <v>46231.5</v>
      </c>
      <c r="B10" t="s">
        <v>89</v>
      </c>
      <c r="C10" t="s">
        <v>1</v>
      </c>
      <c r="D10" s="9" t="s">
        <v>90</v>
      </c>
      <c r="E10" t="s">
        <v>91</v>
      </c>
      <c r="F10" t="s">
        <v>59</v>
      </c>
      <c r="G10" t="s">
        <v>65</v>
      </c>
      <c r="H10" t="s">
        <v>61</v>
      </c>
      <c r="I10">
        <v>1</v>
      </c>
      <c r="J10" s="4">
        <v>134</v>
      </c>
      <c r="K10" s="4">
        <v>171.52</v>
      </c>
      <c r="L10" s="4">
        <f>K10-J10</f>
      </c>
      <c r="M10" s="4">
        <f>L10*16.67%</f>
      </c>
      <c r="N10" s="4">
        <f>K10/100*7</f>
      </c>
      <c r="O10" s="4">
        <f>N10*20%</f>
      </c>
      <c r="P10" s="4">
        <f>N10*2%</f>
      </c>
      <c r="Q10" s="4">
        <f>P10*20%</f>
      </c>
      <c r="R10" s="4">
        <v>0</v>
      </c>
      <c r="S10" s="4">
        <f>R10*20%</f>
      </c>
      <c r="T10" s="4">
        <v>1</v>
      </c>
      <c r="U10" s="4">
        <f>O10+Q10+S10</f>
      </c>
      <c r="V10" s="4">
        <f>L10-M10-N10-O10-P10-Q10-R10-S10-T10</f>
      </c>
      <c r="W10" s="4">
        <f>(V10-Y10)/J10*100</f>
      </c>
      <c r="X10" s="4">
        <f>M10-U10</f>
      </c>
      <c r="Z10" s="4">
        <f>V10-Y10</f>
      </c>
      <c r="AE10" t="s">
        <v>1</v>
      </c>
    </row>
    <row r="11" spans="1:31" x14ac:dyDescent="0.25">
      <c r="A11" s="8">
        <v>46231.5</v>
      </c>
      <c r="B11" t="s">
        <v>92</v>
      </c>
      <c r="C11" t="s">
        <v>1</v>
      </c>
      <c r="D11" s="9" t="s">
        <v>93</v>
      </c>
      <c r="E11" t="s">
        <v>94</v>
      </c>
      <c r="F11" t="s">
        <v>88</v>
      </c>
      <c r="G11" t="s">
        <v>95</v>
      </c>
      <c r="H11" t="s">
        <v>75</v>
      </c>
      <c r="I11">
        <v>1</v>
      </c>
      <c r="J11" s="4">
        <v>78</v>
      </c>
      <c r="K11" s="4">
        <v>94.38</v>
      </c>
      <c r="L11" s="4">
        <f>K11-J11</f>
      </c>
      <c r="M11" s="4">
        <f>L11*16.67%</f>
      </c>
      <c r="N11" s="4">
        <f>K11/100*7</f>
      </c>
      <c r="O11" s="4">
        <f>N11*20%</f>
      </c>
      <c r="P11" s="4">
        <f>N11*2%</f>
      </c>
      <c r="Q11" s="4">
        <f>P11*20%</f>
      </c>
      <c r="R11" s="4">
        <v>0</v>
      </c>
      <c r="S11" s="4">
        <f>R11*20%</f>
      </c>
      <c r="T11" s="4">
        <v>1</v>
      </c>
      <c r="U11" s="4">
        <f>O11+Q11+S11</f>
      </c>
      <c r="V11" s="4">
        <f>L11-M11-N11-O11-P11-Q11-R11-S11-T11</f>
      </c>
      <c r="W11" s="4">
        <f>(V11-Y11)/J11*100</f>
      </c>
      <c r="X11" s="4">
        <f>M11-U11</f>
      </c>
      <c r="Z11" s="4">
        <f>V11-Y11</f>
      </c>
      <c r="AE11" t="s">
        <v>1</v>
      </c>
    </row>
    <row r="12" spans="1:31" x14ac:dyDescent="0.25">
      <c r="A12" s="8">
        <v>46231.5</v>
      </c>
      <c r="B12" t="s">
        <v>96</v>
      </c>
      <c r="C12" t="s">
        <v>1</v>
      </c>
      <c r="D12" s="9" t="s">
        <v>97</v>
      </c>
      <c r="E12" t="s">
        <v>98</v>
      </c>
      <c r="F12" t="s">
        <v>99</v>
      </c>
      <c r="G12" t="s">
        <v>65</v>
      </c>
      <c r="H12" t="s">
        <v>75</v>
      </c>
      <c r="I12">
        <v>1</v>
      </c>
      <c r="J12" s="4">
        <v>298</v>
      </c>
      <c r="K12" s="4">
        <v>411.24</v>
      </c>
      <c r="L12" s="4">
        <f>K12-J12</f>
      </c>
      <c r="M12" s="4">
        <f>L12*16.67%</f>
      </c>
      <c r="N12" s="4">
        <f>K12/100*7</f>
      </c>
      <c r="O12" s="4">
        <f>N12*20%</f>
      </c>
      <c r="P12" s="4">
        <f>N12*2%</f>
      </c>
      <c r="Q12" s="4">
        <f>P12*20%</f>
      </c>
      <c r="R12" s="4">
        <v>0</v>
      </c>
      <c r="S12" s="4">
        <f>R12*20%</f>
      </c>
      <c r="T12" s="4">
        <v>1</v>
      </c>
      <c r="U12" s="4">
        <f>O12+Q12+S12</f>
      </c>
      <c r="V12" s="4">
        <f>L12-M12-N12-O12-P12-Q12-R12-S12-T12</f>
      </c>
      <c r="W12" s="4">
        <f>(V12-Y12)/J12*100</f>
      </c>
      <c r="X12" s="4">
        <f>M12-U12</f>
      </c>
      <c r="Z12" s="4">
        <f>V12-Y12</f>
      </c>
      <c r="AE12" t="s">
        <v>1</v>
      </c>
    </row>
    <row r="13" spans="1:31" x14ac:dyDescent="0.25">
      <c r="A13" s="8">
        <v>46231.5</v>
      </c>
      <c r="B13" t="s">
        <v>100</v>
      </c>
      <c r="C13" t="s">
        <v>1</v>
      </c>
      <c r="D13" s="9" t="s">
        <v>101</v>
      </c>
      <c r="E13" t="s">
        <v>64</v>
      </c>
      <c r="F13" t="s">
        <v>59</v>
      </c>
      <c r="G13" t="s">
        <v>65</v>
      </c>
      <c r="H13" t="s">
        <v>102</v>
      </c>
      <c r="I13">
        <v>1</v>
      </c>
      <c r="J13" s="4">
        <v>250</v>
      </c>
      <c r="K13" s="4">
        <v>320</v>
      </c>
      <c r="L13" s="4">
        <f>K13-J13</f>
      </c>
      <c r="M13" s="4">
        <f>L13*16.67%</f>
      </c>
      <c r="N13" s="4">
        <f>K13/100*7</f>
      </c>
      <c r="O13" s="4">
        <f>N13*20%</f>
      </c>
      <c r="P13" s="4">
        <f>N13*2%</f>
      </c>
      <c r="Q13" s="4">
        <f>P13*20%</f>
      </c>
      <c r="R13" s="4">
        <v>0</v>
      </c>
      <c r="S13" s="4">
        <f>R13*20%</f>
      </c>
      <c r="T13" s="4">
        <v>1</v>
      </c>
      <c r="U13" s="4">
        <f>O13+Q13+S13</f>
      </c>
      <c r="V13" s="4">
        <f>L13-M13-N13-O13-P13-Q13-R13-S13-T13</f>
      </c>
      <c r="W13" s="4">
        <f>(V13-Y13)/J13*100</f>
      </c>
      <c r="X13" s="4">
        <f>M13-U13</f>
      </c>
      <c r="Z13" s="4">
        <f>V13-Y13</f>
      </c>
      <c r="AE13" t="s">
        <v>1</v>
      </c>
    </row>
    <row r="14" spans="1:31" x14ac:dyDescent="0.25">
      <c r="A14" s="8">
        <v>46231.5</v>
      </c>
      <c r="B14" t="s">
        <v>103</v>
      </c>
      <c r="C14" t="s">
        <v>1</v>
      </c>
      <c r="D14" s="9" t="s">
        <v>104</v>
      </c>
      <c r="E14" t="s">
        <v>81</v>
      </c>
      <c r="F14" t="s">
        <v>105</v>
      </c>
      <c r="G14" t="s">
        <v>65</v>
      </c>
      <c r="H14" t="s">
        <v>78</v>
      </c>
      <c r="I14">
        <v>1</v>
      </c>
      <c r="J14" s="4">
        <v>618</v>
      </c>
      <c r="K14" s="4">
        <v>852.84</v>
      </c>
      <c r="L14" s="4">
        <f>K14-J14</f>
      </c>
      <c r="M14" s="4">
        <f>L14*16.67%</f>
      </c>
      <c r="N14" s="4">
        <f>K14/100*7</f>
      </c>
      <c r="O14" s="4">
        <f>N14*20%</f>
      </c>
      <c r="P14" s="4">
        <f>N14*2%</f>
      </c>
      <c r="Q14" s="4">
        <f>P14*20%</f>
      </c>
      <c r="R14" s="4">
        <v>0</v>
      </c>
      <c r="S14" s="4">
        <f>R14*20%</f>
      </c>
      <c r="T14" s="4">
        <v>1</v>
      </c>
      <c r="U14" s="4">
        <f>O14+Q14+S14</f>
      </c>
      <c r="V14" s="4">
        <f>L14-M14-N14-O14-P14-Q14-R14-S14-T14</f>
      </c>
      <c r="W14" s="4">
        <f>(V14-Y14)/J14*100</f>
      </c>
      <c r="X14" s="4">
        <f>M14-U14</f>
      </c>
      <c r="Z14" s="4">
        <f>V14-Y14</f>
      </c>
      <c r="AE14" t="s">
        <v>1</v>
      </c>
    </row>
    <row r="15" spans="1:31" x14ac:dyDescent="0.25">
      <c r="A15" s="8">
        <v>46231.5</v>
      </c>
      <c r="B15" t="s">
        <v>106</v>
      </c>
      <c r="C15" t="s">
        <v>1</v>
      </c>
      <c r="D15" s="9" t="s">
        <v>107</v>
      </c>
      <c r="E15" t="s">
        <v>81</v>
      </c>
      <c r="F15" t="s">
        <v>99</v>
      </c>
      <c r="G15" t="s">
        <v>60</v>
      </c>
      <c r="H15" t="s">
        <v>75</v>
      </c>
      <c r="I15">
        <v>1</v>
      </c>
      <c r="J15" s="4">
        <v>592</v>
      </c>
      <c r="K15" s="4">
        <v>828.8</v>
      </c>
      <c r="L15" s="4">
        <f>K15-J15</f>
      </c>
      <c r="M15" s="4">
        <f>L15*16.67%</f>
      </c>
      <c r="N15" s="4">
        <f>K15/100*7</f>
      </c>
      <c r="O15" s="4">
        <f>N15*20%</f>
      </c>
      <c r="P15" s="4">
        <f>N15*2%</f>
      </c>
      <c r="Q15" s="4">
        <f>P15*20%</f>
      </c>
      <c r="R15" s="4">
        <v>0</v>
      </c>
      <c r="S15" s="4">
        <f>R15*20%</f>
      </c>
      <c r="T15" s="4">
        <v>1</v>
      </c>
      <c r="U15" s="4">
        <f>O15+Q15+S15</f>
      </c>
      <c r="V15" s="4">
        <f>L15-M15-N15-O15-P15-Q15-R15-S15-T15</f>
      </c>
      <c r="W15" s="4">
        <f>(V15-Y15)/J15*100</f>
      </c>
      <c r="X15" s="4">
        <f>M15-U15</f>
      </c>
      <c r="Z15" s="4">
        <f>V15-Y15</f>
      </c>
      <c r="AE15" t="s">
        <v>1</v>
      </c>
    </row>
    <row r="16" spans="1:31" x14ac:dyDescent="0.25">
      <c r="A16" s="8">
        <v>46231.5</v>
      </c>
      <c r="B16" t="s">
        <v>108</v>
      </c>
      <c r="C16" t="s">
        <v>1</v>
      </c>
      <c r="D16" s="9" t="s">
        <v>109</v>
      </c>
      <c r="E16" t="s">
        <v>84</v>
      </c>
      <c r="F16" t="s">
        <v>74</v>
      </c>
      <c r="G16" t="s">
        <v>60</v>
      </c>
      <c r="H16" t="s">
        <v>61</v>
      </c>
      <c r="I16">
        <v>1</v>
      </c>
      <c r="J16" s="4">
        <v>714</v>
      </c>
      <c r="K16" s="4">
        <v>849.66</v>
      </c>
      <c r="L16" s="4">
        <f>K16-J16</f>
      </c>
      <c r="M16" s="4">
        <f>L16*16.67%</f>
      </c>
      <c r="N16" s="4">
        <f>K16/100*7</f>
      </c>
      <c r="O16" s="4">
        <f>N16*20%</f>
      </c>
      <c r="P16" s="4">
        <f>N16*2%</f>
      </c>
      <c r="Q16" s="4">
        <f>P16*20%</f>
      </c>
      <c r="R16" s="4">
        <v>0</v>
      </c>
      <c r="S16" s="4">
        <f>R16*20%</f>
      </c>
      <c r="T16" s="4">
        <v>1</v>
      </c>
      <c r="U16" s="4">
        <f>O16+Q16+S16</f>
      </c>
      <c r="V16" s="4">
        <f>L16-M16-N16-O16-P16-Q16-R16-S16-T16</f>
      </c>
      <c r="W16" s="4">
        <f>(V16-Y16)/J16*100</f>
      </c>
      <c r="X16" s="4">
        <f>M16-U16</f>
      </c>
      <c r="Z16" s="4">
        <f>V16-Y16</f>
      </c>
      <c r="AE16" t="s">
        <v>1</v>
      </c>
    </row>
    <row r="17" spans="1:31" x14ac:dyDescent="0.25">
      <c r="A17" s="8">
        <v>46231.5</v>
      </c>
      <c r="B17" t="s">
        <v>110</v>
      </c>
      <c r="C17" t="s">
        <v>1</v>
      </c>
      <c r="D17" s="9" t="s">
        <v>111</v>
      </c>
      <c r="E17" t="s">
        <v>98</v>
      </c>
      <c r="F17" t="s">
        <v>99</v>
      </c>
      <c r="G17" t="s">
        <v>65</v>
      </c>
      <c r="H17" t="s">
        <v>102</v>
      </c>
      <c r="I17">
        <v>1</v>
      </c>
      <c r="J17" s="4">
        <v>332</v>
      </c>
      <c r="K17" s="4">
        <v>431.6</v>
      </c>
      <c r="L17" s="4">
        <f>K17-J17</f>
      </c>
      <c r="M17" s="4">
        <f>L17*16.67%</f>
      </c>
      <c r="N17" s="4">
        <f>K17/100*7</f>
      </c>
      <c r="O17" s="4">
        <f>N17*20%</f>
      </c>
      <c r="P17" s="4">
        <f>N17*2%</f>
      </c>
      <c r="Q17" s="4">
        <f>P17*20%</f>
      </c>
      <c r="R17" s="4">
        <v>0</v>
      </c>
      <c r="S17" s="4">
        <f>R17*20%</f>
      </c>
      <c r="T17" s="4">
        <v>1</v>
      </c>
      <c r="U17" s="4">
        <f>O17+Q17+S17</f>
      </c>
      <c r="V17" s="4">
        <f>L17-M17-N17-O17-P17-Q17-R17-S17-T17</f>
      </c>
      <c r="W17" s="4">
        <f>(V17-Y17)/J17*100</f>
      </c>
      <c r="X17" s="4">
        <f>M17-U17</f>
      </c>
      <c r="Z17" s="4">
        <f>V17-Y17</f>
      </c>
      <c r="AE17" t="s">
        <v>1</v>
      </c>
    </row>
    <row r="18" spans="1:31" x14ac:dyDescent="0.25">
      <c r="A18" s="8">
        <v>46231.5</v>
      </c>
      <c r="B18" t="s">
        <v>112</v>
      </c>
      <c r="C18" t="s">
        <v>1</v>
      </c>
      <c r="D18" s="9" t="s">
        <v>113</v>
      </c>
      <c r="E18" t="s">
        <v>114</v>
      </c>
      <c r="F18" t="s">
        <v>85</v>
      </c>
      <c r="G18" t="s">
        <v>60</v>
      </c>
      <c r="H18" t="s">
        <v>66</v>
      </c>
      <c r="I18">
        <v>1</v>
      </c>
      <c r="J18" s="4">
        <v>187</v>
      </c>
      <c r="K18" s="4">
        <v>224.4</v>
      </c>
      <c r="L18" s="4">
        <f>K18-J18</f>
      </c>
      <c r="M18" s="4">
        <f>L18*16.67%</f>
      </c>
      <c r="N18" s="4">
        <f>K18/100*7</f>
      </c>
      <c r="O18" s="4">
        <f>N18*20%</f>
      </c>
      <c r="P18" s="4">
        <f>N18*2%</f>
      </c>
      <c r="Q18" s="4">
        <f>P18*20%</f>
      </c>
      <c r="R18" s="4">
        <v>0</v>
      </c>
      <c r="S18" s="4">
        <f>R18*20%</f>
      </c>
      <c r="T18" s="4">
        <v>1</v>
      </c>
      <c r="U18" s="4">
        <f>O18+Q18+S18</f>
      </c>
      <c r="V18" s="4">
        <f>L18-M18-N18-O18-P18-Q18-R18-S18-T18</f>
      </c>
      <c r="W18" s="4">
        <f>(V18-Y18)/J18*100</f>
      </c>
      <c r="X18" s="4">
        <f>M18-U18</f>
      </c>
      <c r="Z18" s="4">
        <f>V18-Y18</f>
      </c>
      <c r="AE18" t="s">
        <v>1</v>
      </c>
    </row>
    <row r="19" spans="1:31" x14ac:dyDescent="0.25">
      <c r="A19" s="8">
        <v>46231.5</v>
      </c>
      <c r="B19" t="s">
        <v>115</v>
      </c>
      <c r="C19" t="s">
        <v>1</v>
      </c>
      <c r="D19" s="9" t="s">
        <v>116</v>
      </c>
      <c r="E19" t="s">
        <v>94</v>
      </c>
      <c r="F19" t="s">
        <v>70</v>
      </c>
      <c r="G19" t="s">
        <v>95</v>
      </c>
      <c r="H19" t="s">
        <v>61</v>
      </c>
      <c r="I19">
        <v>1</v>
      </c>
      <c r="J19" s="4">
        <v>72</v>
      </c>
      <c r="K19" s="4">
        <v>97.2</v>
      </c>
      <c r="L19" s="4">
        <f>K19-J19</f>
      </c>
      <c r="M19" s="4">
        <f>L19*16.67%</f>
      </c>
      <c r="N19" s="4">
        <f>K19/100*7</f>
      </c>
      <c r="O19" s="4">
        <f>N19*20%</f>
      </c>
      <c r="P19" s="4">
        <f>N19*2%</f>
      </c>
      <c r="Q19" s="4">
        <f>P19*20%</f>
      </c>
      <c r="R19" s="4">
        <v>0</v>
      </c>
      <c r="S19" s="4">
        <f>R19*20%</f>
      </c>
      <c r="T19" s="4">
        <v>1</v>
      </c>
      <c r="U19" s="4">
        <f>O19+Q19+S19</f>
      </c>
      <c r="V19" s="4">
        <f>L19-M19-N19-O19-P19-Q19-R19-S19-T19</f>
      </c>
      <c r="W19" s="4">
        <f>(V19-Y19)/J19*100</f>
      </c>
      <c r="X19" s="4">
        <f>M19-U19</f>
      </c>
      <c r="Z19" s="4">
        <f>V19-Y19</f>
      </c>
      <c r="AE19" t="s">
        <v>1</v>
      </c>
    </row>
    <row r="20" spans="1:31" x14ac:dyDescent="0.25">
      <c r="A20" s="8">
        <v>46231.5</v>
      </c>
      <c r="B20" t="s">
        <v>117</v>
      </c>
      <c r="C20" t="s">
        <v>1</v>
      </c>
      <c r="D20" s="9" t="s">
        <v>118</v>
      </c>
      <c r="E20" t="s">
        <v>94</v>
      </c>
      <c r="F20" t="s">
        <v>88</v>
      </c>
      <c r="G20" t="s">
        <v>95</v>
      </c>
      <c r="H20" t="s">
        <v>102</v>
      </c>
      <c r="I20">
        <v>1</v>
      </c>
      <c r="J20" s="4">
        <v>72</v>
      </c>
      <c r="K20" s="4">
        <v>102.24</v>
      </c>
      <c r="L20" s="4">
        <f>K20-J20</f>
      </c>
      <c r="M20" s="4">
        <f>L20*16.67%</f>
      </c>
      <c r="N20" s="4">
        <f>K20/100*7</f>
      </c>
      <c r="O20" s="4">
        <f>N20*20%</f>
      </c>
      <c r="P20" s="4">
        <f>N20*2%</f>
      </c>
      <c r="Q20" s="4">
        <f>P20*20%</f>
      </c>
      <c r="R20" s="4">
        <v>0</v>
      </c>
      <c r="S20" s="4">
        <f>R20*20%</f>
      </c>
      <c r="T20" s="4">
        <v>1</v>
      </c>
      <c r="U20" s="4">
        <f>O20+Q20+S20</f>
      </c>
      <c r="V20" s="4">
        <f>L20-M20-N20-O20-P20-Q20-R20-S20-T20</f>
      </c>
      <c r="W20" s="4">
        <f>(V20-Y20)/J20*100</f>
      </c>
      <c r="X20" s="4">
        <f>M20-U20</f>
      </c>
      <c r="Z20" s="4">
        <f>V20-Y20</f>
      </c>
      <c r="AE20" t="s">
        <v>1</v>
      </c>
    </row>
    <row r="21" spans="1:31" x14ac:dyDescent="0.25">
      <c r="A21" s="8">
        <v>46231.5</v>
      </c>
      <c r="B21" t="s">
        <v>119</v>
      </c>
      <c r="C21" t="s">
        <v>1</v>
      </c>
      <c r="D21" s="9" t="s">
        <v>120</v>
      </c>
      <c r="E21" t="s">
        <v>91</v>
      </c>
      <c r="F21" t="s">
        <v>99</v>
      </c>
      <c r="G21" t="s">
        <v>95</v>
      </c>
      <c r="H21" t="s">
        <v>102</v>
      </c>
      <c r="I21">
        <v>1</v>
      </c>
      <c r="J21" s="4">
        <v>121</v>
      </c>
      <c r="K21" s="4">
        <v>171.82</v>
      </c>
      <c r="L21" s="4">
        <f>K21-J21</f>
      </c>
      <c r="M21" s="4">
        <f>L21*16.67%</f>
      </c>
      <c r="N21" s="4">
        <f>K21/100*7</f>
      </c>
      <c r="O21" s="4">
        <f>N21*20%</f>
      </c>
      <c r="P21" s="4">
        <f>N21*2%</f>
      </c>
      <c r="Q21" s="4">
        <f>P21*20%</f>
      </c>
      <c r="R21" s="4">
        <v>0</v>
      </c>
      <c r="S21" s="4">
        <f>R21*20%</f>
      </c>
      <c r="T21" s="4">
        <v>1</v>
      </c>
      <c r="U21" s="4">
        <f>O21+Q21+S21</f>
      </c>
      <c r="V21" s="4">
        <f>L21-M21-N21-O21-P21-Q21-R21-S21-T21</f>
      </c>
      <c r="W21" s="4">
        <f>(V21-Y21)/J21*100</f>
      </c>
      <c r="X21" s="4">
        <f>M21-U21</f>
      </c>
      <c r="Z21" s="4">
        <f>V21-Y21</f>
      </c>
      <c r="AE21" t="s">
        <v>1</v>
      </c>
    </row>
    <row r="22" spans="1:31" x14ac:dyDescent="0.25">
      <c r="A22" s="8">
        <v>46231.5</v>
      </c>
      <c r="B22" t="s">
        <v>121</v>
      </c>
      <c r="C22" t="s">
        <v>1</v>
      </c>
      <c r="D22" s="9" t="s">
        <v>122</v>
      </c>
      <c r="E22" t="s">
        <v>91</v>
      </c>
      <c r="F22" t="s">
        <v>105</v>
      </c>
      <c r="G22" t="s">
        <v>95</v>
      </c>
      <c r="H22" t="s">
        <v>66</v>
      </c>
      <c r="I22">
        <v>1</v>
      </c>
      <c r="J22" s="4">
        <v>100</v>
      </c>
      <c r="K22" s="4">
        <v>118</v>
      </c>
      <c r="L22" s="4">
        <f>K22-J22</f>
      </c>
      <c r="M22" s="4">
        <f>L22*16.67%</f>
      </c>
      <c r="N22" s="4">
        <f>K22/100*7</f>
      </c>
      <c r="O22" s="4">
        <f>N22*20%</f>
      </c>
      <c r="P22" s="4">
        <f>N22*2%</f>
      </c>
      <c r="Q22" s="4">
        <f>P22*20%</f>
      </c>
      <c r="R22" s="4">
        <v>0</v>
      </c>
      <c r="S22" s="4">
        <f>R22*20%</f>
      </c>
      <c r="T22" s="4">
        <v>1</v>
      </c>
      <c r="U22" s="4">
        <f>O22+Q22+S22</f>
      </c>
      <c r="V22" s="4">
        <f>L22-M22-N22-O22-P22-Q22-R22-S22-T22</f>
      </c>
      <c r="W22" s="4">
        <f>(V22-Y22)/J22*100</f>
      </c>
      <c r="X22" s="4">
        <f>M22-U22</f>
      </c>
      <c r="Z22" s="4">
        <f>V22-Y22</f>
      </c>
      <c r="AE22" t="s">
        <v>1</v>
      </c>
    </row>
    <row r="23" spans="1:31" x14ac:dyDescent="0.25">
      <c r="A23" s="8">
        <v>46231.5</v>
      </c>
      <c r="B23" t="s">
        <v>123</v>
      </c>
      <c r="C23" t="s">
        <v>1</v>
      </c>
      <c r="D23" s="9" t="s">
        <v>124</v>
      </c>
      <c r="E23" t="s">
        <v>125</v>
      </c>
      <c r="F23" t="s">
        <v>99</v>
      </c>
      <c r="G23" t="s">
        <v>126</v>
      </c>
      <c r="H23" t="s">
        <v>102</v>
      </c>
      <c r="I23">
        <v>1</v>
      </c>
      <c r="J23" s="4">
        <v>256</v>
      </c>
      <c r="K23" s="4">
        <v>366.08</v>
      </c>
      <c r="L23" s="4">
        <f>K23-J23</f>
      </c>
      <c r="M23" s="4">
        <f>L23*16.67%</f>
      </c>
      <c r="N23" s="4">
        <f>K23/100*7</f>
      </c>
      <c r="O23" s="4">
        <f>N23*20%</f>
      </c>
      <c r="P23" s="4">
        <f>N23*2%</f>
      </c>
      <c r="Q23" s="4">
        <f>P23*20%</f>
      </c>
      <c r="R23" s="4">
        <v>0</v>
      </c>
      <c r="S23" s="4">
        <f>R23*20%</f>
      </c>
      <c r="T23" s="4">
        <v>1</v>
      </c>
      <c r="U23" s="4">
        <f>O23+Q23+S23</f>
      </c>
      <c r="V23" s="4">
        <f>L23-M23-N23-O23-P23-Q23-R23-S23-T23</f>
      </c>
      <c r="W23" s="4">
        <f>(V23-Y23)/J23*100</f>
      </c>
      <c r="X23" s="4">
        <f>M23-U23</f>
      </c>
      <c r="Z23" s="4">
        <f>V23-Y23</f>
      </c>
      <c r="AE23" t="s">
        <v>1</v>
      </c>
    </row>
    <row r="24" spans="1:31" x14ac:dyDescent="0.25">
      <c r="A24" s="8">
        <v>46231.5</v>
      </c>
      <c r="B24" t="s">
        <v>127</v>
      </c>
      <c r="C24" t="s">
        <v>1</v>
      </c>
      <c r="D24" s="9" t="s">
        <v>128</v>
      </c>
      <c r="E24" t="s">
        <v>69</v>
      </c>
      <c r="F24" t="s">
        <v>74</v>
      </c>
      <c r="G24" t="s">
        <v>60</v>
      </c>
      <c r="H24" t="s">
        <v>61</v>
      </c>
      <c r="I24">
        <v>1</v>
      </c>
      <c r="J24" s="4">
        <v>538</v>
      </c>
      <c r="K24" s="4">
        <v>645.6</v>
      </c>
      <c r="L24" s="4">
        <f>K24-J24</f>
      </c>
      <c r="M24" s="4">
        <f>L24*16.67%</f>
      </c>
      <c r="N24" s="4">
        <f>K24/100*7</f>
      </c>
      <c r="O24" s="4">
        <f>N24*20%</f>
      </c>
      <c r="P24" s="4">
        <f>N24*2%</f>
      </c>
      <c r="Q24" s="4">
        <f>P24*20%</f>
      </c>
      <c r="R24" s="4">
        <v>0</v>
      </c>
      <c r="S24" s="4">
        <f>R24*20%</f>
      </c>
      <c r="T24" s="4">
        <v>1</v>
      </c>
      <c r="U24" s="4">
        <f>O24+Q24+S24</f>
      </c>
      <c r="V24" s="4">
        <f>L24-M24-N24-O24-P24-Q24-R24-S24-T24</f>
      </c>
      <c r="W24" s="4">
        <f>(V24-Y24)/J24*100</f>
      </c>
      <c r="X24" s="4">
        <f>M24-U24</f>
      </c>
      <c r="Z24" s="4">
        <f>V24-Y24</f>
      </c>
      <c r="AE24" t="s">
        <v>1</v>
      </c>
    </row>
    <row r="25" spans="1:31" x14ac:dyDescent="0.25">
      <c r="A25" s="8">
        <v>46231.5</v>
      </c>
      <c r="B25" t="s">
        <v>129</v>
      </c>
      <c r="C25" t="s">
        <v>1</v>
      </c>
      <c r="D25" s="9" t="s">
        <v>130</v>
      </c>
      <c r="E25" t="s">
        <v>131</v>
      </c>
      <c r="F25" t="s">
        <v>59</v>
      </c>
      <c r="G25" t="s">
        <v>65</v>
      </c>
      <c r="H25" t="s">
        <v>75</v>
      </c>
      <c r="I25">
        <v>1</v>
      </c>
      <c r="J25" s="4">
        <v>263</v>
      </c>
      <c r="K25" s="4">
        <v>310.34</v>
      </c>
      <c r="L25" s="4">
        <f>K25-J25</f>
      </c>
      <c r="M25" s="4">
        <f>L25*16.67%</f>
      </c>
      <c r="N25" s="4">
        <f>K25/100*7</f>
      </c>
      <c r="O25" s="4">
        <f>N25*20%</f>
      </c>
      <c r="P25" s="4">
        <f>N25*2%</f>
      </c>
      <c r="Q25" s="4">
        <f>P25*20%</f>
      </c>
      <c r="R25" s="4">
        <v>0</v>
      </c>
      <c r="S25" s="4">
        <f>R25*20%</f>
      </c>
      <c r="T25" s="4">
        <v>1</v>
      </c>
      <c r="U25" s="4">
        <f>O25+Q25+S25</f>
      </c>
      <c r="V25" s="4">
        <f>L25-M25-N25-O25-P25-Q25-R25-S25-T25</f>
      </c>
      <c r="W25" s="4">
        <f>(V25-Y25)/J25*100</f>
      </c>
      <c r="X25" s="4">
        <f>M25-U25</f>
      </c>
      <c r="Z25" s="4">
        <f>V25-Y25</f>
      </c>
      <c r="AE25" t="s">
        <v>1</v>
      </c>
    </row>
    <row r="26" spans="1:31" x14ac:dyDescent="0.25">
      <c r="A26" s="8">
        <v>46231.5</v>
      </c>
      <c r="B26" t="s">
        <v>132</v>
      </c>
      <c r="C26" t="s">
        <v>1</v>
      </c>
      <c r="D26" s="9" t="s">
        <v>133</v>
      </c>
      <c r="E26" t="s">
        <v>134</v>
      </c>
      <c r="F26" t="s">
        <v>105</v>
      </c>
      <c r="G26" t="s">
        <v>65</v>
      </c>
      <c r="H26" t="s">
        <v>78</v>
      </c>
      <c r="I26">
        <v>1</v>
      </c>
      <c r="J26" s="4">
        <v>102</v>
      </c>
      <c r="K26" s="4">
        <v>147.9</v>
      </c>
      <c r="L26" s="4">
        <f>K26-J26</f>
      </c>
      <c r="M26" s="4">
        <f>L26*16.67%</f>
      </c>
      <c r="N26" s="4">
        <f>K26/100*7</f>
      </c>
      <c r="O26" s="4">
        <f>N26*20%</f>
      </c>
      <c r="P26" s="4">
        <f>N26*2%</f>
      </c>
      <c r="Q26" s="4">
        <f>P26*20%</f>
      </c>
      <c r="R26" s="4">
        <v>0</v>
      </c>
      <c r="S26" s="4">
        <f>R26*20%</f>
      </c>
      <c r="T26" s="4">
        <v>1</v>
      </c>
      <c r="U26" s="4">
        <f>O26+Q26+S26</f>
      </c>
      <c r="V26" s="4">
        <f>L26-M26-N26-O26-P26-Q26-R26-S26-T26</f>
      </c>
      <c r="W26" s="4">
        <f>(V26-Y26)/J26*100</f>
      </c>
      <c r="X26" s="4">
        <f>M26-U26</f>
      </c>
      <c r="Z26" s="4">
        <f>V26-Y26</f>
      </c>
      <c r="AE26" t="s">
        <v>1</v>
      </c>
    </row>
    <row r="27" spans="1:31" x14ac:dyDescent="0.25">
      <c r="A27" s="8">
        <v>46231.5</v>
      </c>
      <c r="B27" t="s">
        <v>135</v>
      </c>
      <c r="C27" t="s">
        <v>1</v>
      </c>
      <c r="D27" s="9" t="s">
        <v>136</v>
      </c>
      <c r="E27" t="s">
        <v>58</v>
      </c>
      <c r="F27" t="s">
        <v>74</v>
      </c>
      <c r="G27" t="s">
        <v>60</v>
      </c>
      <c r="H27" t="s">
        <v>78</v>
      </c>
      <c r="I27">
        <v>1</v>
      </c>
      <c r="J27" s="4">
        <v>429</v>
      </c>
      <c r="K27" s="4">
        <v>596.31</v>
      </c>
      <c r="L27" s="4">
        <f>K27-J27</f>
      </c>
      <c r="M27" s="4">
        <f>L27*16.67%</f>
      </c>
      <c r="N27" s="4">
        <f>K27/100*7</f>
      </c>
      <c r="O27" s="4">
        <f>N27*20%</f>
      </c>
      <c r="P27" s="4">
        <f>N27*2%</f>
      </c>
      <c r="Q27" s="4">
        <f>P27*20%</f>
      </c>
      <c r="R27" s="4">
        <v>0</v>
      </c>
      <c r="S27" s="4">
        <f>R27*20%</f>
      </c>
      <c r="T27" s="4">
        <v>1</v>
      </c>
      <c r="U27" s="4">
        <f>O27+Q27+S27</f>
      </c>
      <c r="V27" s="4">
        <f>L27-M27-N27-O27-P27-Q27-R27-S27-T27</f>
      </c>
      <c r="W27" s="4">
        <f>(V27-Y27)/J27*100</f>
      </c>
      <c r="X27" s="4">
        <f>M27-U27</f>
      </c>
      <c r="Z27" s="4">
        <f>V27-Y27</f>
      </c>
      <c r="AE27" t="s">
        <v>1</v>
      </c>
    </row>
    <row r="28" spans="1:31" x14ac:dyDescent="0.25">
      <c r="A28" s="8">
        <v>46231.5</v>
      </c>
      <c r="B28" t="s">
        <v>137</v>
      </c>
      <c r="C28" t="s">
        <v>1</v>
      </c>
      <c r="D28" s="9" t="s">
        <v>138</v>
      </c>
      <c r="E28" t="s">
        <v>139</v>
      </c>
      <c r="F28" t="s">
        <v>74</v>
      </c>
      <c r="G28" t="s">
        <v>60</v>
      </c>
      <c r="H28" t="s">
        <v>102</v>
      </c>
      <c r="I28">
        <v>1</v>
      </c>
      <c r="J28" s="4">
        <v>318</v>
      </c>
      <c r="K28" s="4">
        <v>422.94</v>
      </c>
      <c r="L28" s="4">
        <f>K28-J28</f>
      </c>
      <c r="M28" s="4">
        <f>L28*16.67%</f>
      </c>
      <c r="N28" s="4">
        <f>K28/100*7</f>
      </c>
      <c r="O28" s="4">
        <f>N28*20%</f>
      </c>
      <c r="P28" s="4">
        <f>N28*2%</f>
      </c>
      <c r="Q28" s="4">
        <f>P28*20%</f>
      </c>
      <c r="R28" s="4">
        <v>0</v>
      </c>
      <c r="S28" s="4">
        <f>R28*20%</f>
      </c>
      <c r="T28" s="4">
        <v>1</v>
      </c>
      <c r="U28" s="4">
        <f>O28+Q28+S28</f>
      </c>
      <c r="V28" s="4">
        <f>L28-M28-N28-O28-P28-Q28-R28-S28-T28</f>
      </c>
      <c r="W28" s="4">
        <f>(V28-Y28)/J28*100</f>
      </c>
      <c r="X28" s="4">
        <f>M28-U28</f>
      </c>
      <c r="Z28" s="4">
        <f>V28-Y28</f>
      </c>
      <c r="AE28" t="s">
        <v>1</v>
      </c>
    </row>
    <row r="29" spans="1:31" x14ac:dyDescent="0.25">
      <c r="A29" s="8">
        <v>46231.5</v>
      </c>
      <c r="B29" t="s">
        <v>140</v>
      </c>
      <c r="C29" t="s">
        <v>1</v>
      </c>
      <c r="D29" s="9" t="s">
        <v>141</v>
      </c>
      <c r="E29" t="s">
        <v>84</v>
      </c>
      <c r="F29" t="s">
        <v>105</v>
      </c>
      <c r="G29" t="s">
        <v>60</v>
      </c>
      <c r="H29" t="s">
        <v>102</v>
      </c>
      <c r="I29">
        <v>1</v>
      </c>
      <c r="J29" s="4">
        <v>702</v>
      </c>
      <c r="K29" s="4">
        <v>940.68</v>
      </c>
      <c r="L29" s="4">
        <f>K29-J29</f>
      </c>
      <c r="M29" s="4">
        <f>L29*16.67%</f>
      </c>
      <c r="N29" s="4">
        <f>K29/100*7</f>
      </c>
      <c r="O29" s="4">
        <f>N29*20%</f>
      </c>
      <c r="P29" s="4">
        <f>N29*2%</f>
      </c>
      <c r="Q29" s="4">
        <f>P29*20%</f>
      </c>
      <c r="R29" s="4">
        <v>0</v>
      </c>
      <c r="S29" s="4">
        <f>R29*20%</f>
      </c>
      <c r="T29" s="4">
        <v>1</v>
      </c>
      <c r="U29" s="4">
        <f>O29+Q29+S29</f>
      </c>
      <c r="V29" s="4">
        <f>L29-M29-N29-O29-P29-Q29-R29-S29-T29</f>
      </c>
      <c r="W29" s="4">
        <f>(V29-Y29)/J29*100</f>
      </c>
      <c r="X29" s="4">
        <f>M29-U29</f>
      </c>
      <c r="Z29" s="4">
        <f>V29-Y29</f>
      </c>
      <c r="AE29" t="s">
        <v>1</v>
      </c>
    </row>
    <row r="30" spans="1:31" x14ac:dyDescent="0.25">
      <c r="A30" s="8">
        <v>46231.5</v>
      </c>
      <c r="B30" t="s">
        <v>142</v>
      </c>
      <c r="C30" t="s">
        <v>1</v>
      </c>
      <c r="D30" s="9" t="s">
        <v>143</v>
      </c>
      <c r="E30" t="s">
        <v>125</v>
      </c>
      <c r="F30" t="s">
        <v>59</v>
      </c>
      <c r="G30" t="s">
        <v>126</v>
      </c>
      <c r="H30" t="s">
        <v>61</v>
      </c>
      <c r="I30">
        <v>1</v>
      </c>
      <c r="J30" s="4">
        <v>291</v>
      </c>
      <c r="K30" s="4">
        <v>340.47</v>
      </c>
      <c r="L30" s="4">
        <f>K30-J30</f>
      </c>
      <c r="M30" s="4">
        <f>L30*16.67%</f>
      </c>
      <c r="N30" s="4">
        <f>K30/100*7</f>
      </c>
      <c r="O30" s="4">
        <f>N30*20%</f>
      </c>
      <c r="P30" s="4">
        <f>N30*2%</f>
      </c>
      <c r="Q30" s="4">
        <f>P30*20%</f>
      </c>
      <c r="R30" s="4">
        <v>0</v>
      </c>
      <c r="S30" s="4">
        <f>R30*20%</f>
      </c>
      <c r="T30" s="4">
        <v>1</v>
      </c>
      <c r="U30" s="4">
        <f>O30+Q30+S30</f>
      </c>
      <c r="V30" s="4">
        <f>L30-M30-N30-O30-P30-Q30-R30-S30-T30</f>
      </c>
      <c r="W30" s="4">
        <f>(V30-Y30)/J30*100</f>
      </c>
      <c r="X30" s="4">
        <f>M30-U30</f>
      </c>
      <c r="Z30" s="4">
        <f>V30-Y30</f>
      </c>
      <c r="AE30" t="s">
        <v>1</v>
      </c>
    </row>
    <row r="31" spans="1:31" x14ac:dyDescent="0.25">
      <c r="A31" s="8">
        <v>46231.5</v>
      </c>
      <c r="B31" t="s">
        <v>144</v>
      </c>
      <c r="C31" t="s">
        <v>1</v>
      </c>
      <c r="D31" s="9" t="s">
        <v>145</v>
      </c>
      <c r="E31" t="s">
        <v>139</v>
      </c>
      <c r="F31" t="s">
        <v>88</v>
      </c>
      <c r="G31" t="s">
        <v>60</v>
      </c>
      <c r="H31" t="s">
        <v>78</v>
      </c>
      <c r="I31">
        <v>1</v>
      </c>
      <c r="J31" s="4">
        <v>362</v>
      </c>
      <c r="K31" s="4">
        <v>517.66</v>
      </c>
      <c r="L31" s="4">
        <f>K31-J31</f>
      </c>
      <c r="M31" s="4">
        <f>L31*16.67%</f>
      </c>
      <c r="N31" s="4">
        <f>K31/100*7</f>
      </c>
      <c r="O31" s="4">
        <f>N31*20%</f>
      </c>
      <c r="P31" s="4">
        <f>N31*2%</f>
      </c>
      <c r="Q31" s="4">
        <f>P31*20%</f>
      </c>
      <c r="R31" s="4">
        <v>0</v>
      </c>
      <c r="S31" s="4">
        <f>R31*20%</f>
      </c>
      <c r="T31" s="4">
        <v>1</v>
      </c>
      <c r="U31" s="4">
        <f>O31+Q31+S31</f>
      </c>
      <c r="V31" s="4">
        <f>L31-M31-N31-O31-P31-Q31-R31-S31-T31</f>
      </c>
      <c r="W31" s="4">
        <f>(V31-Y31)/J31*100</f>
      </c>
      <c r="X31" s="4">
        <f>M31-U31</f>
      </c>
      <c r="Z31" s="4">
        <f>V31-Y31</f>
      </c>
      <c r="AE31" t="s">
        <v>1</v>
      </c>
    </row>
    <row r="32" spans="1:31" x14ac:dyDescent="0.25">
      <c r="A32" s="8">
        <v>46231.5</v>
      </c>
      <c r="B32" t="s">
        <v>146</v>
      </c>
      <c r="C32" t="s">
        <v>1</v>
      </c>
      <c r="D32" s="9" t="s">
        <v>147</v>
      </c>
      <c r="E32" t="s">
        <v>131</v>
      </c>
      <c r="F32" t="s">
        <v>105</v>
      </c>
      <c r="G32" t="s">
        <v>60</v>
      </c>
      <c r="H32" t="s">
        <v>61</v>
      </c>
      <c r="I32">
        <v>1</v>
      </c>
      <c r="J32" s="4">
        <v>276</v>
      </c>
      <c r="K32" s="4">
        <v>364.32</v>
      </c>
      <c r="L32" s="4">
        <f>K32-J32</f>
      </c>
      <c r="M32" s="4">
        <f>L32*16.67%</f>
      </c>
      <c r="N32" s="4">
        <f>K32/100*7</f>
      </c>
      <c r="O32" s="4">
        <f>N32*20%</f>
      </c>
      <c r="P32" s="4">
        <f>N32*2%</f>
      </c>
      <c r="Q32" s="4">
        <f>P32*20%</f>
      </c>
      <c r="R32" s="4">
        <v>0</v>
      </c>
      <c r="S32" s="4">
        <f>R32*20%</f>
      </c>
      <c r="T32" s="4">
        <v>1</v>
      </c>
      <c r="U32" s="4">
        <f>O32+Q32+S32</f>
      </c>
      <c r="V32" s="4">
        <f>L32-M32-N32-O32-P32-Q32-R32-S32-T32</f>
      </c>
      <c r="W32" s="4">
        <f>(V32-Y32)/J32*100</f>
      </c>
      <c r="X32" s="4">
        <f>M32-U32</f>
      </c>
      <c r="Z32" s="4">
        <f>V32-Y32</f>
      </c>
      <c r="AE32" t="s">
        <v>1</v>
      </c>
    </row>
    <row r="33" spans="1:31" x14ac:dyDescent="0.25">
      <c r="A33" s="8">
        <v>46231.5</v>
      </c>
      <c r="B33" t="s">
        <v>148</v>
      </c>
      <c r="C33" t="s">
        <v>1</v>
      </c>
      <c r="D33" s="9" t="s">
        <v>149</v>
      </c>
      <c r="E33" t="s">
        <v>131</v>
      </c>
      <c r="F33" t="s">
        <v>105</v>
      </c>
      <c r="G33" t="s">
        <v>65</v>
      </c>
      <c r="H33" t="s">
        <v>78</v>
      </c>
      <c r="I33">
        <v>1</v>
      </c>
      <c r="J33" s="4">
        <v>338</v>
      </c>
      <c r="K33" s="4">
        <v>388.7</v>
      </c>
      <c r="L33" s="4">
        <f>K33-J33</f>
      </c>
      <c r="M33" s="4">
        <f>L33*16.67%</f>
      </c>
      <c r="N33" s="4">
        <f>K33/100*7</f>
      </c>
      <c r="O33" s="4">
        <f>N33*20%</f>
      </c>
      <c r="P33" s="4">
        <f>N33*2%</f>
      </c>
      <c r="Q33" s="4">
        <f>P33*20%</f>
      </c>
      <c r="R33" s="4">
        <v>0</v>
      </c>
      <c r="S33" s="4">
        <f>R33*20%</f>
      </c>
      <c r="T33" s="4">
        <v>1</v>
      </c>
      <c r="U33" s="4">
        <f>O33+Q33+S33</f>
      </c>
      <c r="V33" s="4">
        <f>L33-M33-N33-O33-P33-Q33-R33-S33-T33</f>
      </c>
      <c r="W33" s="4">
        <f>(V33-Y33)/J33*100</f>
      </c>
      <c r="X33" s="4">
        <f>M33-U33</f>
      </c>
      <c r="Z33" s="4">
        <f>V33-Y33</f>
      </c>
      <c r="AE33" t="s">
        <v>1</v>
      </c>
    </row>
    <row r="34" spans="1:31" x14ac:dyDescent="0.25">
      <c r="A34" s="8">
        <v>46231.5</v>
      </c>
      <c r="B34" t="s">
        <v>150</v>
      </c>
      <c r="C34" t="s">
        <v>1</v>
      </c>
      <c r="D34" s="9" t="s">
        <v>151</v>
      </c>
      <c r="E34" t="s">
        <v>84</v>
      </c>
      <c r="F34" t="s">
        <v>74</v>
      </c>
      <c r="G34" t="s">
        <v>60</v>
      </c>
      <c r="H34" t="s">
        <v>61</v>
      </c>
      <c r="I34">
        <v>1</v>
      </c>
      <c r="J34" s="4">
        <v>722</v>
      </c>
      <c r="K34" s="4">
        <v>953.04</v>
      </c>
      <c r="L34" s="4">
        <f>K34-J34</f>
      </c>
      <c r="M34" s="4">
        <f>L34*16.67%</f>
      </c>
      <c r="N34" s="4">
        <f>K34/100*7</f>
      </c>
      <c r="O34" s="4">
        <f>N34*20%</f>
      </c>
      <c r="P34" s="4">
        <f>N34*2%</f>
      </c>
      <c r="Q34" s="4">
        <f>P34*20%</f>
      </c>
      <c r="R34" s="4">
        <v>0</v>
      </c>
      <c r="S34" s="4">
        <f>R34*20%</f>
      </c>
      <c r="T34" s="4">
        <v>1</v>
      </c>
      <c r="U34" s="4">
        <f>O34+Q34+S34</f>
      </c>
      <c r="V34" s="4">
        <f>L34-M34-N34-O34-P34-Q34-R34-S34-T34</f>
      </c>
      <c r="W34" s="4">
        <f>(V34-Y34)/J34*100</f>
      </c>
      <c r="X34" s="4">
        <f>M34-U34</f>
      </c>
      <c r="Z34" s="4">
        <f>V34-Y34</f>
      </c>
      <c r="AE34" t="s">
        <v>1</v>
      </c>
    </row>
    <row r="35" spans="1:31" x14ac:dyDescent="0.25">
      <c r="A35" s="8">
        <v>46231.5</v>
      </c>
      <c r="B35" t="s">
        <v>152</v>
      </c>
      <c r="C35" t="s">
        <v>1</v>
      </c>
      <c r="D35" s="9" t="s">
        <v>153</v>
      </c>
      <c r="E35" t="s">
        <v>131</v>
      </c>
      <c r="F35" t="s">
        <v>99</v>
      </c>
      <c r="G35" t="s">
        <v>60</v>
      </c>
      <c r="H35" t="s">
        <v>75</v>
      </c>
      <c r="I35">
        <v>1</v>
      </c>
      <c r="J35" s="4">
        <v>271</v>
      </c>
      <c r="K35" s="4">
        <v>371.27</v>
      </c>
      <c r="L35" s="4">
        <f>K35-J35</f>
      </c>
      <c r="M35" s="4">
        <f>L35*16.67%</f>
      </c>
      <c r="N35" s="4">
        <f>K35/100*7</f>
      </c>
      <c r="O35" s="4">
        <f>N35*20%</f>
      </c>
      <c r="P35" s="4">
        <f>N35*2%</f>
      </c>
      <c r="Q35" s="4">
        <f>P35*20%</f>
      </c>
      <c r="R35" s="4">
        <v>0</v>
      </c>
      <c r="S35" s="4">
        <f>R35*20%</f>
      </c>
      <c r="T35" s="4">
        <v>1</v>
      </c>
      <c r="U35" s="4">
        <f>O35+Q35+S35</f>
      </c>
      <c r="V35" s="4">
        <f>L35-M35-N35-O35-P35-Q35-R35-S35-T35</f>
      </c>
      <c r="W35" s="4">
        <f>(V35-Y35)/J35*100</f>
      </c>
      <c r="X35" s="4">
        <f>M35-U35</f>
      </c>
      <c r="Z35" s="4">
        <f>V35-Y35</f>
      </c>
      <c r="AE35" t="s">
        <v>1</v>
      </c>
    </row>
    <row r="36" spans="1:31" x14ac:dyDescent="0.25">
      <c r="A36" s="8">
        <v>46231.5</v>
      </c>
      <c r="B36" t="s">
        <v>154</v>
      </c>
      <c r="C36" t="s">
        <v>1</v>
      </c>
      <c r="D36" s="9" t="s">
        <v>155</v>
      </c>
      <c r="E36" t="s">
        <v>134</v>
      </c>
      <c r="F36" t="s">
        <v>59</v>
      </c>
      <c r="G36" t="s">
        <v>65</v>
      </c>
      <c r="H36" t="s">
        <v>75</v>
      </c>
      <c r="I36">
        <v>1</v>
      </c>
      <c r="J36" s="4">
        <v>139</v>
      </c>
      <c r="K36" s="4">
        <v>191.82</v>
      </c>
      <c r="L36" s="4">
        <f>K36-J36</f>
      </c>
      <c r="M36" s="4">
        <f>L36*16.67%</f>
      </c>
      <c r="N36" s="4">
        <f>K36/100*7</f>
      </c>
      <c r="O36" s="4">
        <f>N36*20%</f>
      </c>
      <c r="P36" s="4">
        <f>N36*2%</f>
      </c>
      <c r="Q36" s="4">
        <f>P36*20%</f>
      </c>
      <c r="R36" s="4">
        <v>0</v>
      </c>
      <c r="S36" s="4">
        <f>R36*20%</f>
      </c>
      <c r="T36" s="4">
        <v>1</v>
      </c>
      <c r="U36" s="4">
        <f>O36+Q36+S36</f>
      </c>
      <c r="V36" s="4">
        <f>L36-M36-N36-O36-P36-Q36-R36-S36-T36</f>
      </c>
      <c r="W36" s="4">
        <f>(V36-Y36)/J36*100</f>
      </c>
      <c r="X36" s="4">
        <f>M36-U36</f>
      </c>
      <c r="Z36" s="4">
        <f>V36-Y36</f>
      </c>
      <c r="AE36" t="s">
        <v>1</v>
      </c>
    </row>
    <row r="37" spans="1:31" x14ac:dyDescent="0.25">
      <c r="A37" s="8">
        <v>46231.5</v>
      </c>
      <c r="B37" t="s">
        <v>156</v>
      </c>
      <c r="C37" t="s">
        <v>1</v>
      </c>
      <c r="D37" s="9" t="s">
        <v>157</v>
      </c>
      <c r="E37" t="s">
        <v>69</v>
      </c>
      <c r="F37" t="s">
        <v>70</v>
      </c>
      <c r="G37" t="s">
        <v>60</v>
      </c>
      <c r="H37" t="s">
        <v>66</v>
      </c>
      <c r="I37">
        <v>1</v>
      </c>
      <c r="J37" s="4">
        <v>486</v>
      </c>
      <c r="K37" s="4">
        <v>690.12</v>
      </c>
      <c r="L37" s="4">
        <f>K37-J37</f>
      </c>
      <c r="M37" s="4">
        <f>L37*16.67%</f>
      </c>
      <c r="N37" s="4">
        <f>K37/100*7</f>
      </c>
      <c r="O37" s="4">
        <f>N37*20%</f>
      </c>
      <c r="P37" s="4">
        <f>N37*2%</f>
      </c>
      <c r="Q37" s="4">
        <f>P37*20%</f>
      </c>
      <c r="R37" s="4">
        <v>0</v>
      </c>
      <c r="S37" s="4">
        <f>R37*20%</f>
      </c>
      <c r="T37" s="4">
        <v>1</v>
      </c>
      <c r="U37" s="4">
        <f>O37+Q37+S37</f>
      </c>
      <c r="V37" s="4">
        <f>L37-M37-N37-O37-P37-Q37-R37-S37-T37</f>
      </c>
      <c r="W37" s="4">
        <f>(V37-Y37)/J37*100</f>
      </c>
      <c r="X37" s="4">
        <f>M37-U37</f>
      </c>
      <c r="Z37" s="4">
        <f>V37-Y37</f>
      </c>
      <c r="AE37" t="s">
        <v>1</v>
      </c>
    </row>
    <row r="38" spans="1:31" x14ac:dyDescent="0.25">
      <c r="A38" s="8">
        <v>46231.5</v>
      </c>
      <c r="B38" t="s">
        <v>158</v>
      </c>
      <c r="C38" t="s">
        <v>1</v>
      </c>
      <c r="D38" s="9" t="s">
        <v>159</v>
      </c>
      <c r="E38" t="s">
        <v>84</v>
      </c>
      <c r="F38" t="s">
        <v>99</v>
      </c>
      <c r="G38" t="s">
        <v>60</v>
      </c>
      <c r="H38" t="s">
        <v>61</v>
      </c>
      <c r="I38">
        <v>1</v>
      </c>
      <c r="J38" s="4">
        <v>732</v>
      </c>
      <c r="K38" s="4">
        <v>1032.12</v>
      </c>
      <c r="L38" s="4">
        <f>K38-J38</f>
      </c>
      <c r="M38" s="4">
        <f>L38*16.67%</f>
      </c>
      <c r="N38" s="4">
        <f>K38/100*7</f>
      </c>
      <c r="O38" s="4">
        <f>N38*20%</f>
      </c>
      <c r="P38" s="4">
        <f>N38*2%</f>
      </c>
      <c r="Q38" s="4">
        <f>P38*20%</f>
      </c>
      <c r="R38" s="4">
        <v>0</v>
      </c>
      <c r="S38" s="4">
        <f>R38*20%</f>
      </c>
      <c r="T38" s="4">
        <v>1</v>
      </c>
      <c r="U38" s="4">
        <f>O38+Q38+S38</f>
      </c>
      <c r="V38" s="4">
        <f>L38-M38-N38-O38-P38-Q38-R38-S38-T38</f>
      </c>
      <c r="W38" s="4">
        <f>(V38-Y38)/J38*100</f>
      </c>
      <c r="X38" s="4">
        <f>M38-U38</f>
      </c>
      <c r="Z38" s="4">
        <f>V38-Y38</f>
      </c>
      <c r="AE38" t="s">
        <v>1</v>
      </c>
    </row>
    <row r="39" spans="1:31" x14ac:dyDescent="0.25">
      <c r="A39" s="8">
        <v>46231.5</v>
      </c>
      <c r="B39" t="s">
        <v>160</v>
      </c>
      <c r="C39" t="s">
        <v>1</v>
      </c>
      <c r="D39" s="9" t="s">
        <v>161</v>
      </c>
      <c r="E39" t="s">
        <v>114</v>
      </c>
      <c r="F39" t="s">
        <v>70</v>
      </c>
      <c r="G39" t="s">
        <v>60</v>
      </c>
      <c r="H39" t="s">
        <v>66</v>
      </c>
      <c r="I39">
        <v>1</v>
      </c>
      <c r="J39" s="4">
        <v>241</v>
      </c>
      <c r="K39" s="4">
        <v>344.63</v>
      </c>
      <c r="L39" s="4">
        <f>K39-J39</f>
      </c>
      <c r="M39" s="4">
        <f>L39*16.67%</f>
      </c>
      <c r="N39" s="4">
        <f>K39/100*7</f>
      </c>
      <c r="O39" s="4">
        <f>N39*20%</f>
      </c>
      <c r="P39" s="4">
        <f>N39*2%</f>
      </c>
      <c r="Q39" s="4">
        <f>P39*20%</f>
      </c>
      <c r="R39" s="4">
        <v>0</v>
      </c>
      <c r="S39" s="4">
        <f>R39*20%</f>
      </c>
      <c r="T39" s="4">
        <v>1</v>
      </c>
      <c r="U39" s="4">
        <f>O39+Q39+S39</f>
      </c>
      <c r="V39" s="4">
        <f>L39-M39-N39-O39-P39-Q39-R39-S39-T39</f>
      </c>
      <c r="W39" s="4">
        <f>(V39-Y39)/J39*100</f>
      </c>
      <c r="X39" s="4">
        <f>M39-U39</f>
      </c>
      <c r="Z39" s="4">
        <f>V39-Y39</f>
      </c>
      <c r="AE39" t="s">
        <v>1</v>
      </c>
    </row>
    <row r="40" spans="1:31" x14ac:dyDescent="0.25">
      <c r="A40" s="8">
        <v>46231.5</v>
      </c>
      <c r="B40" t="s">
        <v>162</v>
      </c>
      <c r="C40" t="s">
        <v>1</v>
      </c>
      <c r="D40" s="9" t="s">
        <v>163</v>
      </c>
      <c r="E40" t="s">
        <v>64</v>
      </c>
      <c r="F40" t="s">
        <v>70</v>
      </c>
      <c r="G40" t="s">
        <v>65</v>
      </c>
      <c r="H40" t="s">
        <v>78</v>
      </c>
      <c r="I40">
        <v>1</v>
      </c>
      <c r="J40" s="4">
        <v>259</v>
      </c>
      <c r="K40" s="4">
        <v>336.7</v>
      </c>
      <c r="L40" s="4">
        <f>K40-J40</f>
      </c>
      <c r="M40" s="4">
        <f>L40*16.67%</f>
      </c>
      <c r="N40" s="4">
        <f>K40/100*7</f>
      </c>
      <c r="O40" s="4">
        <f>N40*20%</f>
      </c>
      <c r="P40" s="4">
        <f>N40*2%</f>
      </c>
      <c r="Q40" s="4">
        <f>P40*20%</f>
      </c>
      <c r="R40" s="4">
        <v>0</v>
      </c>
      <c r="S40" s="4">
        <f>R40*20%</f>
      </c>
      <c r="T40" s="4">
        <v>1</v>
      </c>
      <c r="U40" s="4">
        <f>O40+Q40+S40</f>
      </c>
      <c r="V40" s="4">
        <f>L40-M40-N40-O40-P40-Q40-R40-S40-T40</f>
      </c>
      <c r="W40" s="4">
        <f>(V40-Y40)/J40*100</f>
      </c>
      <c r="X40" s="4">
        <f>M40-U40</f>
      </c>
      <c r="Z40" s="4">
        <f>V40-Y40</f>
      </c>
      <c r="AE40" t="s">
        <v>1</v>
      </c>
    </row>
    <row r="41" spans="1:31" x14ac:dyDescent="0.25">
      <c r="A41" s="8">
        <v>46231.5</v>
      </c>
      <c r="B41" t="s">
        <v>164</v>
      </c>
      <c r="C41" t="s">
        <v>1</v>
      </c>
      <c r="D41" s="9" t="s">
        <v>165</v>
      </c>
      <c r="E41" t="s">
        <v>69</v>
      </c>
      <c r="F41" t="s">
        <v>105</v>
      </c>
      <c r="G41" t="s">
        <v>60</v>
      </c>
      <c r="H41" t="s">
        <v>75</v>
      </c>
      <c r="I41">
        <v>1</v>
      </c>
      <c r="J41" s="4">
        <v>488</v>
      </c>
      <c r="K41" s="4">
        <v>634.4</v>
      </c>
      <c r="L41" s="4">
        <f>K41-J41</f>
      </c>
      <c r="M41" s="4">
        <f>L41*16.67%</f>
      </c>
      <c r="N41" s="4">
        <f>K41/100*7</f>
      </c>
      <c r="O41" s="4">
        <f>N41*20%</f>
      </c>
      <c r="P41" s="4">
        <f>N41*2%</f>
      </c>
      <c r="Q41" s="4">
        <f>P41*20%</f>
      </c>
      <c r="R41" s="4">
        <v>0</v>
      </c>
      <c r="S41" s="4">
        <f>R41*20%</f>
      </c>
      <c r="T41" s="4">
        <v>1</v>
      </c>
      <c r="U41" s="4">
        <f>O41+Q41+S41</f>
      </c>
      <c r="V41" s="4">
        <f>L41-M41-N41-O41-P41-Q41-R41-S41-T41</f>
      </c>
      <c r="W41" s="4">
        <f>(V41-Y41)/J41*100</f>
      </c>
      <c r="X41" s="4">
        <f>M41-U41</f>
      </c>
      <c r="Z41" s="4">
        <f>V41-Y41</f>
      </c>
      <c r="AE41" t="s">
        <v>1</v>
      </c>
    </row>
    <row r="42" spans="1:31" x14ac:dyDescent="0.25">
      <c r="A42" s="8">
        <v>46231.5</v>
      </c>
      <c r="B42" t="s">
        <v>166</v>
      </c>
      <c r="C42" t="s">
        <v>1</v>
      </c>
      <c r="D42" s="9" t="s">
        <v>167</v>
      </c>
      <c r="E42" t="s">
        <v>139</v>
      </c>
      <c r="F42" t="s">
        <v>70</v>
      </c>
      <c r="G42" t="s">
        <v>60</v>
      </c>
      <c r="H42" t="s">
        <v>75</v>
      </c>
      <c r="I42">
        <v>1</v>
      </c>
      <c r="J42" s="4">
        <v>376</v>
      </c>
      <c r="K42" s="4">
        <v>537.68</v>
      </c>
      <c r="L42" s="4">
        <f>K42-J42</f>
      </c>
      <c r="M42" s="4">
        <f>L42*16.67%</f>
      </c>
      <c r="N42" s="4">
        <f>K42/100*7</f>
      </c>
      <c r="O42" s="4">
        <f>N42*20%</f>
      </c>
      <c r="P42" s="4">
        <f>N42*2%</f>
      </c>
      <c r="Q42" s="4">
        <f>P42*20%</f>
      </c>
      <c r="R42" s="4">
        <v>0</v>
      </c>
      <c r="S42" s="4">
        <f>R42*20%</f>
      </c>
      <c r="T42" s="4">
        <v>1</v>
      </c>
      <c r="U42" s="4">
        <f>O42+Q42+S42</f>
      </c>
      <c r="V42" s="4">
        <f>L42-M42-N42-O42-P42-Q42-R42-S42-T42</f>
      </c>
      <c r="W42" s="4">
        <f>(V42-Y42)/J42*100</f>
      </c>
      <c r="X42" s="4">
        <f>M42-U42</f>
      </c>
      <c r="Z42" s="4">
        <f>V42-Y42</f>
      </c>
      <c r="AE42" t="s">
        <v>1</v>
      </c>
    </row>
    <row r="43" spans="1:31" x14ac:dyDescent="0.25">
      <c r="A43" s="8">
        <v>46231.5</v>
      </c>
      <c r="B43" t="s">
        <v>168</v>
      </c>
      <c r="C43" t="s">
        <v>1</v>
      </c>
      <c r="D43" s="9" t="s">
        <v>169</v>
      </c>
      <c r="E43" t="s">
        <v>64</v>
      </c>
      <c r="F43" t="s">
        <v>105</v>
      </c>
      <c r="G43" t="s">
        <v>65</v>
      </c>
      <c r="H43" t="s">
        <v>102</v>
      </c>
      <c r="I43">
        <v>1</v>
      </c>
      <c r="J43" s="4">
        <v>258</v>
      </c>
      <c r="K43" s="4">
        <v>358.62</v>
      </c>
      <c r="L43" s="4">
        <f>K43-J43</f>
      </c>
      <c r="M43" s="4">
        <f>L43*16.67%</f>
      </c>
      <c r="N43" s="4">
        <f>K43/100*7</f>
      </c>
      <c r="O43" s="4">
        <f>N43*20%</f>
      </c>
      <c r="P43" s="4">
        <f>N43*2%</f>
      </c>
      <c r="Q43" s="4">
        <f>P43*20%</f>
      </c>
      <c r="R43" s="4">
        <v>0</v>
      </c>
      <c r="S43" s="4">
        <f>R43*20%</f>
      </c>
      <c r="T43" s="4">
        <v>1</v>
      </c>
      <c r="U43" s="4">
        <f>O43+Q43+S43</f>
      </c>
      <c r="V43" s="4">
        <f>L43-M43-N43-O43-P43-Q43-R43-S43-T43</f>
      </c>
      <c r="W43" s="4">
        <f>(V43-Y43)/J43*100</f>
      </c>
      <c r="X43" s="4">
        <f>M43-U43</f>
      </c>
      <c r="Z43" s="4">
        <f>V43-Y43</f>
      </c>
      <c r="AE43" t="s">
        <v>1</v>
      </c>
    </row>
    <row r="44" spans="1:31" x14ac:dyDescent="0.25">
      <c r="A44" s="8">
        <v>46231.5</v>
      </c>
      <c r="B44" t="s">
        <v>170</v>
      </c>
      <c r="C44" t="s">
        <v>1</v>
      </c>
      <c r="D44" s="9" t="s">
        <v>171</v>
      </c>
      <c r="E44" t="s">
        <v>172</v>
      </c>
      <c r="F44" t="s">
        <v>99</v>
      </c>
      <c r="G44" t="s">
        <v>65</v>
      </c>
      <c r="H44" t="s">
        <v>102</v>
      </c>
      <c r="I44">
        <v>1</v>
      </c>
      <c r="J44" s="4">
        <v>175</v>
      </c>
      <c r="K44" s="4">
        <v>225.75</v>
      </c>
      <c r="L44" s="4">
        <f>K44-J44</f>
      </c>
      <c r="M44" s="4">
        <f>L44*16.67%</f>
      </c>
      <c r="N44" s="4">
        <f>K44/100*7</f>
      </c>
      <c r="O44" s="4">
        <f>N44*20%</f>
      </c>
      <c r="P44" s="4">
        <f>N44*2%</f>
      </c>
      <c r="Q44" s="4">
        <f>P44*20%</f>
      </c>
      <c r="R44" s="4">
        <v>0</v>
      </c>
      <c r="S44" s="4">
        <f>R44*20%</f>
      </c>
      <c r="T44" s="4">
        <v>1</v>
      </c>
      <c r="U44" s="4">
        <f>O44+Q44+S44</f>
      </c>
      <c r="V44" s="4">
        <f>L44-M44-N44-O44-P44-Q44-R44-S44-T44</f>
      </c>
      <c r="W44" s="4">
        <f>(V44-Y44)/J44*100</f>
      </c>
      <c r="X44" s="4">
        <f>M44-U44</f>
      </c>
      <c r="Z44" s="4">
        <f>V44-Y44</f>
      </c>
      <c r="AE44" t="s">
        <v>1</v>
      </c>
    </row>
    <row r="45" spans="1:31" x14ac:dyDescent="0.25">
      <c r="A45" s="8">
        <v>46231.5</v>
      </c>
      <c r="B45" t="s">
        <v>173</v>
      </c>
      <c r="C45" t="s">
        <v>174</v>
      </c>
      <c r="D45" s="9" t="s">
        <v>1</v>
      </c>
      <c r="E45" t="s">
        <v>174</v>
      </c>
      <c r="F45" t="s">
        <v>1</v>
      </c>
      <c r="G45" t="s">
        <v>1</v>
      </c>
      <c r="H45" t="s">
        <v>66</v>
      </c>
      <c r="I45">
        <v>3</v>
      </c>
      <c r="J45" s="4">
        <v>12.75</v>
      </c>
      <c r="K45" s="4">
        <v>15.04</v>
      </c>
      <c r="L45" s="4">
        <f>K45-J45</f>
      </c>
      <c r="M45" s="4">
        <f>L45*16.67%</f>
      </c>
      <c r="N45" s="4">
        <f>K45/100*7</f>
      </c>
      <c r="O45" s="4">
        <f>N45*20%</f>
      </c>
      <c r="P45" s="4">
        <f>N45*2%</f>
      </c>
      <c r="Q45" s="4">
        <f>P45*20%</f>
      </c>
      <c r="R45" s="4">
        <v>0</v>
      </c>
      <c r="S45" s="4">
        <f>R45*20%</f>
      </c>
      <c r="T45" s="4">
        <v>0</v>
      </c>
      <c r="U45" s="4">
        <f>O45+Q45+S45</f>
      </c>
      <c r="V45" s="4">
        <f>L45-M45-N45-O45-P45-Q45-R45-S45-T45</f>
      </c>
      <c r="W45" s="4">
        <f>(V45-Y45)/J45*100</f>
      </c>
      <c r="X45" s="4">
        <f>M45-U45</f>
      </c>
      <c r="Z45" s="4">
        <f>V45-Y45</f>
      </c>
      <c r="AE45" t="s">
        <v>1</v>
      </c>
    </row>
    <row r="46" spans="1:31" x14ac:dyDescent="0.25">
      <c r="A46" s="8">
        <v>46231.5</v>
      </c>
      <c r="B46" t="s">
        <v>175</v>
      </c>
      <c r="C46" t="s">
        <v>174</v>
      </c>
      <c r="D46" s="9" t="s">
        <v>1</v>
      </c>
      <c r="E46" t="s">
        <v>174</v>
      </c>
      <c r="F46" t="s">
        <v>1</v>
      </c>
      <c r="G46" t="s">
        <v>1</v>
      </c>
      <c r="H46" t="s">
        <v>66</v>
      </c>
      <c r="I46">
        <v>1</v>
      </c>
      <c r="J46" s="4">
        <v>4.25</v>
      </c>
      <c r="K46" s="4">
        <v>5.4</v>
      </c>
      <c r="L46" s="4">
        <f>K46-J46</f>
      </c>
      <c r="M46" s="4">
        <f>L46*16.67%</f>
      </c>
      <c r="N46" s="4">
        <f>K46/100*7</f>
      </c>
      <c r="O46" s="4">
        <f>N46*20%</f>
      </c>
      <c r="P46" s="4">
        <f>N46*2%</f>
      </c>
      <c r="Q46" s="4">
        <f>P46*20%</f>
      </c>
      <c r="R46" s="4">
        <v>0</v>
      </c>
      <c r="S46" s="4">
        <f>R46*20%</f>
      </c>
      <c r="T46" s="4">
        <v>0</v>
      </c>
      <c r="U46" s="4">
        <f>O46+Q46+S46</f>
      </c>
      <c r="V46" s="4">
        <f>L46-M46-N46-O46-P46-Q46-R46-S46-T46</f>
      </c>
      <c r="W46" s="4">
        <f>(V46-Y46)/J46*100</f>
      </c>
      <c r="X46" s="4">
        <f>M46-U46</f>
      </c>
      <c r="Z46" s="4">
        <f>V46-Y46</f>
      </c>
      <c r="AE46" t="s">
        <v>1</v>
      </c>
    </row>
    <row r="47" spans="1:31" x14ac:dyDescent="0.25">
      <c r="A47" s="8">
        <v>46231.5</v>
      </c>
      <c r="B47" t="s">
        <v>176</v>
      </c>
      <c r="C47" t="s">
        <v>177</v>
      </c>
      <c r="D47" s="9" t="s">
        <v>1</v>
      </c>
      <c r="E47" t="s">
        <v>177</v>
      </c>
      <c r="F47" t="s">
        <v>1</v>
      </c>
      <c r="G47" t="s">
        <v>1</v>
      </c>
      <c r="H47" t="s">
        <v>78</v>
      </c>
      <c r="I47">
        <v>2</v>
      </c>
      <c r="J47" s="4">
        <v>0.3</v>
      </c>
      <c r="K47" s="4">
        <v>0.4</v>
      </c>
      <c r="L47" s="4">
        <f>K47-J47</f>
      </c>
      <c r="M47" s="4">
        <f>L47*16.67%</f>
      </c>
      <c r="N47" s="4">
        <f>K47/100*7</f>
      </c>
      <c r="O47" s="4">
        <f>N47*20%</f>
      </c>
      <c r="P47" s="4">
        <f>N47*2%</f>
      </c>
      <c r="Q47" s="4">
        <f>P47*20%</f>
      </c>
      <c r="R47" s="4">
        <v>0</v>
      </c>
      <c r="S47" s="4">
        <f>R47*20%</f>
      </c>
      <c r="T47" s="4">
        <v>0</v>
      </c>
      <c r="U47" s="4">
        <f>O47+Q47+S47</f>
      </c>
      <c r="V47" s="4">
        <f>L47-M47-N47-O47-P47-Q47-R47-S47-T47</f>
      </c>
      <c r="W47" s="4">
        <f>(V47-Y47)/J47*100</f>
      </c>
      <c r="X47" s="4">
        <f>M47-U47</f>
      </c>
      <c r="Z47" s="4">
        <f>V47-Y47</f>
      </c>
      <c r="AE47" t="s">
        <v>1</v>
      </c>
    </row>
    <row r="48" spans="1:31" x14ac:dyDescent="0.25">
      <c r="A48" s="8">
        <v>46231.5</v>
      </c>
      <c r="B48" t="s">
        <v>178</v>
      </c>
      <c r="C48" t="s">
        <v>177</v>
      </c>
      <c r="D48" s="9" t="s">
        <v>1</v>
      </c>
      <c r="E48" t="s">
        <v>177</v>
      </c>
      <c r="F48" t="s">
        <v>1</v>
      </c>
      <c r="G48" t="s">
        <v>1</v>
      </c>
      <c r="H48" t="s">
        <v>78</v>
      </c>
      <c r="I48">
        <v>2</v>
      </c>
      <c r="J48" s="4">
        <v>0.3</v>
      </c>
      <c r="K48" s="4">
        <v>0.41</v>
      </c>
      <c r="L48" s="4">
        <f>K48-J48</f>
      </c>
      <c r="M48" s="4">
        <f>L48*16.67%</f>
      </c>
      <c r="N48" s="4">
        <f>K48/100*7</f>
      </c>
      <c r="O48" s="4">
        <f>N48*20%</f>
      </c>
      <c r="P48" s="4">
        <f>N48*2%</f>
      </c>
      <c r="Q48" s="4">
        <f>P48*20%</f>
      </c>
      <c r="R48" s="4">
        <v>0</v>
      </c>
      <c r="S48" s="4">
        <f>R48*20%</f>
      </c>
      <c r="T48" s="4">
        <v>0</v>
      </c>
      <c r="U48" s="4">
        <f>O48+Q48+S48</f>
      </c>
      <c r="V48" s="4">
        <f>L48-M48-N48-O48-P48-Q48-R48-S48-T48</f>
      </c>
      <c r="W48" s="4">
        <f>(V48-Y48)/J48*100</f>
      </c>
      <c r="X48" s="4">
        <f>M48-U48</f>
      </c>
      <c r="Z48" s="4">
        <f>V48-Y48</f>
      </c>
      <c r="AE48" t="s">
        <v>1</v>
      </c>
    </row>
    <row r="49" spans="1:31" x14ac:dyDescent="0.25">
      <c r="A49" s="8">
        <v>46231.5</v>
      </c>
      <c r="B49" t="s">
        <v>179</v>
      </c>
      <c r="C49" t="s">
        <v>177</v>
      </c>
      <c r="D49" s="9" t="s">
        <v>1</v>
      </c>
      <c r="E49" t="s">
        <v>177</v>
      </c>
      <c r="F49" t="s">
        <v>1</v>
      </c>
      <c r="G49" t="s">
        <v>1</v>
      </c>
      <c r="H49" t="s">
        <v>78</v>
      </c>
      <c r="I49">
        <v>1</v>
      </c>
      <c r="J49" s="4">
        <v>0.15</v>
      </c>
      <c r="K49" s="4">
        <v>0.19</v>
      </c>
      <c r="L49" s="4">
        <f>K49-J49</f>
      </c>
      <c r="M49" s="4">
        <f>L49*16.67%</f>
      </c>
      <c r="N49" s="4">
        <f>K49/100*7</f>
      </c>
      <c r="O49" s="4">
        <f>N49*20%</f>
      </c>
      <c r="P49" s="4">
        <f>N49*2%</f>
      </c>
      <c r="Q49" s="4">
        <f>P49*20%</f>
      </c>
      <c r="R49" s="4">
        <v>0</v>
      </c>
      <c r="S49" s="4">
        <f>R49*20%</f>
      </c>
      <c r="T49" s="4">
        <v>0</v>
      </c>
      <c r="U49" s="4">
        <f>O49+Q49+S49</f>
      </c>
      <c r="V49" s="4">
        <f>L49-M49-N49-O49-P49-Q49-R49-S49-T49</f>
      </c>
      <c r="W49" s="4">
        <f>(V49-Y49)/J49*100</f>
      </c>
      <c r="X49" s="4">
        <f>M49-U49</f>
      </c>
      <c r="Z49" s="4">
        <f>V49-Y49</f>
      </c>
      <c r="AE49" t="s">
        <v>1</v>
      </c>
    </row>
    <row r="50" spans="1:31" x14ac:dyDescent="0.25">
      <c r="A50" s="8">
        <v>46231.5</v>
      </c>
      <c r="B50" t="s">
        <v>180</v>
      </c>
      <c r="C50" t="s">
        <v>177</v>
      </c>
      <c r="D50" s="9" t="s">
        <v>1</v>
      </c>
      <c r="E50" t="s">
        <v>177</v>
      </c>
      <c r="F50" t="s">
        <v>1</v>
      </c>
      <c r="G50" t="s">
        <v>1</v>
      </c>
      <c r="H50" t="s">
        <v>78</v>
      </c>
      <c r="I50">
        <v>2</v>
      </c>
      <c r="J50" s="4">
        <v>0.3</v>
      </c>
      <c r="K50" s="4">
        <v>0.4</v>
      </c>
      <c r="L50" s="4">
        <f>K50-J50</f>
      </c>
      <c r="M50" s="4">
        <f>L50*16.67%</f>
      </c>
      <c r="N50" s="4">
        <f>K50/100*7</f>
      </c>
      <c r="O50" s="4">
        <f>N50*20%</f>
      </c>
      <c r="P50" s="4">
        <f>N50*2%</f>
      </c>
      <c r="Q50" s="4">
        <f>P50*20%</f>
      </c>
      <c r="R50" s="4">
        <v>0</v>
      </c>
      <c r="S50" s="4">
        <f>R50*20%</f>
      </c>
      <c r="T50" s="4">
        <v>0</v>
      </c>
      <c r="U50" s="4">
        <f>O50+Q50+S50</f>
      </c>
      <c r="V50" s="4">
        <f>L50-M50-N50-O50-P50-Q50-R50-S50-T50</f>
      </c>
      <c r="W50" s="4">
        <f>(V50-Y50)/J50*100</f>
      </c>
      <c r="X50" s="4">
        <f>M50-U50</f>
      </c>
      <c r="Z50" s="4">
        <f>V50-Y50</f>
      </c>
      <c r="AE50" t="s">
        <v>1</v>
      </c>
    </row>
    <row r="51" spans="1:31" x14ac:dyDescent="0.25">
      <c r="A51" s="8">
        <v>46231.5</v>
      </c>
      <c r="B51" t="s">
        <v>181</v>
      </c>
      <c r="C51" t="s">
        <v>182</v>
      </c>
      <c r="D51" s="9" t="s">
        <v>1</v>
      </c>
      <c r="E51" t="s">
        <v>182</v>
      </c>
      <c r="F51" t="s">
        <v>1</v>
      </c>
      <c r="G51" t="s">
        <v>1</v>
      </c>
      <c r="H51" t="s">
        <v>75</v>
      </c>
      <c r="I51">
        <v>1</v>
      </c>
      <c r="J51" s="4">
        <v>1.9</v>
      </c>
      <c r="K51" s="4">
        <v>2.74</v>
      </c>
      <c r="L51" s="4">
        <f>K51-J51</f>
      </c>
      <c r="M51" s="4">
        <f>L51*16.67%</f>
      </c>
      <c r="N51" s="4">
        <f>K51/100*7</f>
      </c>
      <c r="O51" s="4">
        <f>N51*20%</f>
      </c>
      <c r="P51" s="4">
        <f>N51*2%</f>
      </c>
      <c r="Q51" s="4">
        <f>P51*20%</f>
      </c>
      <c r="R51" s="4">
        <v>0</v>
      </c>
      <c r="S51" s="4">
        <f>R51*20%</f>
      </c>
      <c r="T51" s="4">
        <v>0</v>
      </c>
      <c r="U51" s="4">
        <f>O51+Q51+S51</f>
      </c>
      <c r="V51" s="4">
        <f>L51-M51-N51-O51-P51-Q51-R51-S51-T51</f>
      </c>
      <c r="W51" s="4">
        <f>(V51-Y51)/J51*100</f>
      </c>
      <c r="X51" s="4">
        <f>M51-U51</f>
      </c>
      <c r="Z51" s="4">
        <f>V51-Y51</f>
      </c>
      <c r="AE51" t="s">
        <v>1</v>
      </c>
    </row>
    <row r="52" spans="1:31" x14ac:dyDescent="0.25">
      <c r="A52" s="8">
        <v>46231.5</v>
      </c>
      <c r="B52" t="s">
        <v>183</v>
      </c>
      <c r="C52" t="s">
        <v>182</v>
      </c>
      <c r="D52" s="9" t="s">
        <v>1</v>
      </c>
      <c r="E52" t="s">
        <v>182</v>
      </c>
      <c r="F52" t="s">
        <v>1</v>
      </c>
      <c r="G52" t="s">
        <v>1</v>
      </c>
      <c r="H52" t="s">
        <v>75</v>
      </c>
      <c r="I52">
        <v>4</v>
      </c>
      <c r="J52" s="4">
        <v>7.6</v>
      </c>
      <c r="K52" s="4">
        <v>10.72</v>
      </c>
      <c r="L52" s="4">
        <f>K52-J52</f>
      </c>
      <c r="M52" s="4">
        <f>L52*16.67%</f>
      </c>
      <c r="N52" s="4">
        <f>K52/100*7</f>
      </c>
      <c r="O52" s="4">
        <f>N52*20%</f>
      </c>
      <c r="P52" s="4">
        <f>N52*2%</f>
      </c>
      <c r="Q52" s="4">
        <f>P52*20%</f>
      </c>
      <c r="R52" s="4">
        <v>0</v>
      </c>
      <c r="S52" s="4">
        <f>R52*20%</f>
      </c>
      <c r="T52" s="4">
        <v>0</v>
      </c>
      <c r="U52" s="4">
        <f>O52+Q52+S52</f>
      </c>
      <c r="V52" s="4">
        <f>L52-M52-N52-O52-P52-Q52-R52-S52-T52</f>
      </c>
      <c r="W52" s="4">
        <f>(V52-Y52)/J52*100</f>
      </c>
      <c r="X52" s="4">
        <f>M52-U52</f>
      </c>
      <c r="Z52" s="4">
        <f>V52-Y52</f>
      </c>
      <c r="AE52" t="s">
        <v>1</v>
      </c>
    </row>
    <row r="53" spans="1:31" x14ac:dyDescent="0.25">
      <c r="A53" s="8">
        <v>46231.5</v>
      </c>
      <c r="B53" t="s">
        <v>184</v>
      </c>
      <c r="C53" t="s">
        <v>185</v>
      </c>
      <c r="D53" s="9" t="s">
        <v>1</v>
      </c>
      <c r="E53" t="s">
        <v>185</v>
      </c>
      <c r="F53" t="s">
        <v>1</v>
      </c>
      <c r="G53" t="s">
        <v>1</v>
      </c>
      <c r="H53" t="s">
        <v>102</v>
      </c>
      <c r="I53">
        <v>3</v>
      </c>
      <c r="J53" s="4">
        <v>3.6</v>
      </c>
      <c r="K53" s="4">
        <v>4.18</v>
      </c>
      <c r="L53" s="4">
        <f>K53-J53</f>
      </c>
      <c r="M53" s="4">
        <f>L53*16.67%</f>
      </c>
      <c r="N53" s="4">
        <f>K53/100*7</f>
      </c>
      <c r="O53" s="4">
        <f>N53*20%</f>
      </c>
      <c r="P53" s="4">
        <f>N53*2%</f>
      </c>
      <c r="Q53" s="4">
        <f>P53*20%</f>
      </c>
      <c r="R53" s="4">
        <v>0</v>
      </c>
      <c r="S53" s="4">
        <f>R53*20%</f>
      </c>
      <c r="T53" s="4">
        <v>0</v>
      </c>
      <c r="U53" s="4">
        <f>O53+Q53+S53</f>
      </c>
      <c r="V53" s="4">
        <f>L53-M53-N53-O53-P53-Q53-R53-S53-T53</f>
      </c>
      <c r="W53" s="4">
        <f>(V53-Y53)/J53*100</f>
      </c>
      <c r="X53" s="4">
        <f>M53-U53</f>
      </c>
      <c r="Z53" s="4">
        <f>V53-Y53</f>
      </c>
      <c r="AE53" t="s">
        <v>1</v>
      </c>
    </row>
    <row r="54" spans="1:31" x14ac:dyDescent="0.25">
      <c r="A54" s="8">
        <v>46231.5</v>
      </c>
      <c r="B54" t="s">
        <v>186</v>
      </c>
      <c r="C54" t="s">
        <v>1</v>
      </c>
      <c r="D54" s="9" t="s">
        <v>1</v>
      </c>
      <c r="E54" t="s">
        <v>1</v>
      </c>
      <c r="F54" t="s">
        <v>1</v>
      </c>
      <c r="G54" t="s">
        <v>1</v>
      </c>
      <c r="H54" t="s">
        <v>75</v>
      </c>
      <c r="I54">
        <v>1</v>
      </c>
      <c r="J54" s="4">
        <v>553</v>
      </c>
      <c r="K54" s="4">
        <v>707.84</v>
      </c>
      <c r="L54" s="4">
        <f>K54-J54</f>
      </c>
      <c r="M54" s="4">
        <f>L54*16.67%</f>
      </c>
      <c r="N54" s="4">
        <f>K54/100*7</f>
      </c>
      <c r="O54" s="4">
        <f>N54*20%</f>
      </c>
      <c r="P54" s="4">
        <f>N54*2%</f>
      </c>
      <c r="Q54" s="4">
        <f>P54*20%</f>
      </c>
      <c r="R54" s="4">
        <v>0</v>
      </c>
      <c r="S54" s="4">
        <f>R54*20%</f>
      </c>
      <c r="T54" s="4">
        <v>1</v>
      </c>
      <c r="U54" s="4">
        <f>O54+Q54+S54</f>
      </c>
      <c r="V54" s="4">
        <f>L54-M54-N54-O54-P54-Q54-R54-S54-T54</f>
      </c>
      <c r="W54" s="4">
        <f>(V54-Y54)/J54*100</f>
      </c>
      <c r="X54" s="4">
        <f>M54-U54</f>
      </c>
      <c r="Z54" s="4">
        <f>V54-Y54</f>
      </c>
      <c r="AE54" t="s">
        <v>1</v>
      </c>
    </row>
    <row r="55" spans="1:31" x14ac:dyDescent="0.25">
      <c r="A55" s="8">
        <v>46231.5</v>
      </c>
      <c r="B55" t="s">
        <v>187</v>
      </c>
      <c r="C55" t="s">
        <v>1</v>
      </c>
      <c r="D55" s="9" t="s">
        <v>1</v>
      </c>
      <c r="E55" t="s">
        <v>1</v>
      </c>
      <c r="F55" t="s">
        <v>1</v>
      </c>
      <c r="G55" t="s">
        <v>1</v>
      </c>
      <c r="H55" t="s">
        <v>61</v>
      </c>
      <c r="I55">
        <v>1</v>
      </c>
      <c r="J55" s="4">
        <v>142</v>
      </c>
      <c r="K55" s="4">
        <v>181.76</v>
      </c>
      <c r="L55" s="4">
        <f>K55-J55</f>
      </c>
      <c r="M55" s="4">
        <f>L55*16.67%</f>
      </c>
      <c r="N55" s="4">
        <f>K55/100*7</f>
      </c>
      <c r="O55" s="4">
        <f>N55*20%</f>
      </c>
      <c r="P55" s="4">
        <f>N55*2%</f>
      </c>
      <c r="Q55" s="4">
        <f>P55*20%</f>
      </c>
      <c r="R55" s="4">
        <v>0</v>
      </c>
      <c r="S55" s="4">
        <f>R55*20%</f>
      </c>
      <c r="T55" s="4">
        <v>1</v>
      </c>
      <c r="U55" s="4">
        <f>O55+Q55+S55</f>
      </c>
      <c r="V55" s="4">
        <f>L55-M55-N55-O55-P55-Q55-R55-S55-T55</f>
      </c>
      <c r="W55" s="4">
        <f>(V55-Y55)/J55*100</f>
      </c>
      <c r="X55" s="4">
        <f>M55-U55</f>
      </c>
      <c r="Z55" s="4">
        <f>V55-Y55</f>
      </c>
      <c r="AE55" t="s">
        <v>1</v>
      </c>
    </row>
    <row r="56" spans="1:31" x14ac:dyDescent="0.25">
      <c r="A56" s="8">
        <v>46229.5</v>
      </c>
      <c r="B56" t="s">
        <v>188</v>
      </c>
      <c r="C56" t="s">
        <v>189</v>
      </c>
      <c r="D56" s="9" t="s">
        <v>1</v>
      </c>
      <c r="E56" t="s">
        <v>189</v>
      </c>
      <c r="F56" t="s">
        <v>1</v>
      </c>
      <c r="G56" t="s">
        <v>1</v>
      </c>
      <c r="H56" t="s">
        <v>66</v>
      </c>
      <c r="I56">
        <v>1</v>
      </c>
      <c r="J56" s="4">
        <v>3.5</v>
      </c>
      <c r="K56" s="4">
        <v>4.66</v>
      </c>
      <c r="L56" s="4">
        <f>K56-J56</f>
      </c>
      <c r="M56" s="4">
        <f>L56*16.67%</f>
      </c>
      <c r="N56" s="4">
        <f>K56/100*7</f>
      </c>
      <c r="O56" s="4">
        <f>N56*20%</f>
      </c>
      <c r="P56" s="4">
        <f>N56*2%</f>
      </c>
      <c r="Q56" s="4">
        <f>P56*20%</f>
      </c>
      <c r="R56" s="4">
        <v>0</v>
      </c>
      <c r="S56" s="4">
        <f>R56*20%</f>
      </c>
      <c r="T56" s="4">
        <v>0</v>
      </c>
      <c r="U56" s="4">
        <f>O56+Q56+S56</f>
      </c>
      <c r="V56" s="4">
        <f>L56-M56-N56-O56-P56-Q56-R56-S56-T56</f>
      </c>
      <c r="W56" s="4">
        <f>(V56-Y56)/J56*100</f>
      </c>
      <c r="X56" s="4">
        <f>M56-U56</f>
      </c>
      <c r="Z56" s="4">
        <f>V56-Y56</f>
      </c>
      <c r="AE56" t="s">
        <v>1</v>
      </c>
    </row>
    <row r="57" spans="1:31" x14ac:dyDescent="0.25">
      <c r="A57" s="8">
        <v>46228.5</v>
      </c>
      <c r="B57" t="s">
        <v>190</v>
      </c>
      <c r="C57" t="s">
        <v>1</v>
      </c>
      <c r="D57" s="9" t="s">
        <v>191</v>
      </c>
      <c r="E57" t="s">
        <v>81</v>
      </c>
      <c r="F57" t="s">
        <v>88</v>
      </c>
      <c r="G57" t="s">
        <v>65</v>
      </c>
      <c r="H57" t="s">
        <v>78</v>
      </c>
      <c r="I57">
        <v>1</v>
      </c>
      <c r="J57" s="4">
        <v>575</v>
      </c>
      <c r="K57" s="4">
        <v>782</v>
      </c>
      <c r="L57" s="4">
        <f>K57-J57</f>
      </c>
      <c r="M57" s="4">
        <f>L57*16.67%</f>
      </c>
      <c r="N57" s="4">
        <f>K57/100*7</f>
      </c>
      <c r="O57" s="4">
        <f>N57*20%</f>
      </c>
      <c r="P57" s="4">
        <f>N57*2%</f>
      </c>
      <c r="Q57" s="4">
        <f>P57*20%</f>
      </c>
      <c r="R57" s="4">
        <v>0</v>
      </c>
      <c r="S57" s="4">
        <f>R57*20%</f>
      </c>
      <c r="T57" s="4">
        <v>1</v>
      </c>
      <c r="U57" s="4">
        <f>O57+Q57+S57</f>
      </c>
      <c r="V57" s="4">
        <f>L57-M57-N57-O57-P57-Q57-R57-S57-T57</f>
      </c>
      <c r="W57" s="4">
        <f>(V57-Y57)/J57*100</f>
      </c>
      <c r="X57" s="4">
        <f>M57-U57</f>
      </c>
      <c r="Z57" s="4">
        <f>V57-Y57</f>
      </c>
      <c r="AE57" t="s">
        <v>1</v>
      </c>
    </row>
    <row r="58" spans="1:31" x14ac:dyDescent="0.25">
      <c r="A58" s="8">
        <v>46228.5</v>
      </c>
      <c r="B58" t="s">
        <v>192</v>
      </c>
      <c r="C58" t="s">
        <v>1</v>
      </c>
      <c r="D58" s="9" t="s">
        <v>193</v>
      </c>
      <c r="E58" t="s">
        <v>94</v>
      </c>
      <c r="F58" t="s">
        <v>59</v>
      </c>
      <c r="G58" t="s">
        <v>95</v>
      </c>
      <c r="H58" t="s">
        <v>78</v>
      </c>
      <c r="I58">
        <v>1</v>
      </c>
      <c r="J58" s="4">
        <v>61</v>
      </c>
      <c r="K58" s="4">
        <v>73.81</v>
      </c>
      <c r="L58" s="4">
        <f>K58-J58</f>
      </c>
      <c r="M58" s="4">
        <f>L58*16.67%</f>
      </c>
      <c r="N58" s="4">
        <f>K58/100*7</f>
      </c>
      <c r="O58" s="4">
        <f>N58*20%</f>
      </c>
      <c r="P58" s="4">
        <f>N58*2%</f>
      </c>
      <c r="Q58" s="4">
        <f>P58*20%</f>
      </c>
      <c r="R58" s="4">
        <v>0</v>
      </c>
      <c r="S58" s="4">
        <f>R58*20%</f>
      </c>
      <c r="T58" s="4">
        <v>1</v>
      </c>
      <c r="U58" s="4">
        <f>O58+Q58+S58</f>
      </c>
      <c r="V58" s="4">
        <f>L58-M58-N58-O58-P58-Q58-R58-S58-T58</f>
      </c>
      <c r="W58" s="4">
        <f>(V58-Y58)/J58*100</f>
      </c>
      <c r="X58" s="4">
        <f>M58-U58</f>
      </c>
      <c r="Z58" s="4">
        <f>V58-Y58</f>
      </c>
      <c r="AE58" t="s">
        <v>1</v>
      </c>
    </row>
    <row r="59" spans="1:31" x14ac:dyDescent="0.25">
      <c r="A59" s="8">
        <v>46228.5</v>
      </c>
      <c r="B59" t="s">
        <v>194</v>
      </c>
      <c r="C59" t="s">
        <v>1</v>
      </c>
      <c r="D59" s="9" t="s">
        <v>195</v>
      </c>
      <c r="E59" t="s">
        <v>125</v>
      </c>
      <c r="F59" t="s">
        <v>88</v>
      </c>
      <c r="G59" t="s">
        <v>126</v>
      </c>
      <c r="H59" t="s">
        <v>75</v>
      </c>
      <c r="I59">
        <v>1</v>
      </c>
      <c r="J59" s="4">
        <v>282</v>
      </c>
      <c r="K59" s="4">
        <v>383.52</v>
      </c>
      <c r="L59" s="4">
        <f>K59-J59</f>
      </c>
      <c r="M59" s="4">
        <f>L59*16.67%</f>
      </c>
      <c r="N59" s="4">
        <f>K59/100*7</f>
      </c>
      <c r="O59" s="4">
        <f>N59*20%</f>
      </c>
      <c r="P59" s="4">
        <f>N59*2%</f>
      </c>
      <c r="Q59" s="4">
        <f>P59*20%</f>
      </c>
      <c r="R59" s="4">
        <v>0</v>
      </c>
      <c r="S59" s="4">
        <f>R59*20%</f>
      </c>
      <c r="T59" s="4">
        <v>1</v>
      </c>
      <c r="U59" s="4">
        <f>O59+Q59+S59</f>
      </c>
      <c r="V59" s="4">
        <f>L59-M59-N59-O59-P59-Q59-R59-S59-T59</f>
      </c>
      <c r="W59" s="4">
        <f>(V59-Y59)/J59*100</f>
      </c>
      <c r="X59" s="4">
        <f>M59-U59</f>
      </c>
      <c r="Z59" s="4">
        <f>V59-Y59</f>
      </c>
      <c r="AE59" t="s">
        <v>1</v>
      </c>
    </row>
    <row r="60" spans="1:31" x14ac:dyDescent="0.25">
      <c r="A60" s="8">
        <v>46228.5</v>
      </c>
      <c r="B60" t="s">
        <v>196</v>
      </c>
      <c r="C60" t="s">
        <v>1</v>
      </c>
      <c r="D60" s="9" t="s">
        <v>197</v>
      </c>
      <c r="E60" t="s">
        <v>73</v>
      </c>
      <c r="F60" t="s">
        <v>105</v>
      </c>
      <c r="G60" t="s">
        <v>60</v>
      </c>
      <c r="H60" t="s">
        <v>61</v>
      </c>
      <c r="I60">
        <v>1</v>
      </c>
      <c r="J60" s="4">
        <v>347</v>
      </c>
      <c r="K60" s="4">
        <v>451.1</v>
      </c>
      <c r="L60" s="4">
        <f>K60-J60</f>
      </c>
      <c r="M60" s="4">
        <f>L60*16.67%</f>
      </c>
      <c r="N60" s="4">
        <f>K60/100*7</f>
      </c>
      <c r="O60" s="4">
        <f>N60*20%</f>
      </c>
      <c r="P60" s="4">
        <f>N60*2%</f>
      </c>
      <c r="Q60" s="4">
        <f>P60*20%</f>
      </c>
      <c r="R60" s="4">
        <v>0</v>
      </c>
      <c r="S60" s="4">
        <f>R60*20%</f>
      </c>
      <c r="T60" s="4">
        <v>1</v>
      </c>
      <c r="U60" s="4">
        <f>O60+Q60+S60</f>
      </c>
      <c r="V60" s="4">
        <f>L60-M60-N60-O60-P60-Q60-R60-S60-T60</f>
      </c>
      <c r="W60" s="4">
        <f>(V60-Y60)/J60*100</f>
      </c>
      <c r="X60" s="4">
        <f>M60-U60</f>
      </c>
      <c r="Z60" s="4">
        <f>V60-Y60</f>
      </c>
      <c r="AE60" t="s">
        <v>1</v>
      </c>
    </row>
    <row r="61" spans="1:31" x14ac:dyDescent="0.25">
      <c r="A61" s="8">
        <v>46228.5</v>
      </c>
      <c r="B61" t="s">
        <v>198</v>
      </c>
      <c r="C61" t="s">
        <v>1</v>
      </c>
      <c r="D61" s="9" t="s">
        <v>199</v>
      </c>
      <c r="E61" t="s">
        <v>134</v>
      </c>
      <c r="F61" t="s">
        <v>99</v>
      </c>
      <c r="G61" t="s">
        <v>95</v>
      </c>
      <c r="H61" t="s">
        <v>75</v>
      </c>
      <c r="I61">
        <v>1</v>
      </c>
      <c r="J61" s="4">
        <v>109</v>
      </c>
      <c r="K61" s="4">
        <v>149.33</v>
      </c>
      <c r="L61" s="4">
        <f>K61-J61</f>
      </c>
      <c r="M61" s="4">
        <f>L61*16.67%</f>
      </c>
      <c r="N61" s="4">
        <f>K61/100*7</f>
      </c>
      <c r="O61" s="4">
        <f>N61*20%</f>
      </c>
      <c r="P61" s="4">
        <f>N61*2%</f>
      </c>
      <c r="Q61" s="4">
        <f>P61*20%</f>
      </c>
      <c r="R61" s="4">
        <v>0</v>
      </c>
      <c r="S61" s="4">
        <f>R61*20%</f>
      </c>
      <c r="T61" s="4">
        <v>1</v>
      </c>
      <c r="U61" s="4">
        <f>O61+Q61+S61</f>
      </c>
      <c r="V61" s="4">
        <f>L61-M61-N61-O61-P61-Q61-R61-S61-T61</f>
      </c>
      <c r="W61" s="4">
        <f>(V61-Y61)/J61*100</f>
      </c>
      <c r="X61" s="4">
        <f>M61-U61</f>
      </c>
      <c r="Z61" s="4">
        <f>V61-Y61</f>
      </c>
      <c r="AE61" t="s">
        <v>1</v>
      </c>
    </row>
    <row r="62" spans="1:31" x14ac:dyDescent="0.25">
      <c r="A62" s="8">
        <v>46228.5</v>
      </c>
      <c r="B62" t="s">
        <v>200</v>
      </c>
      <c r="C62" t="s">
        <v>174</v>
      </c>
      <c r="D62" s="9" t="s">
        <v>1</v>
      </c>
      <c r="E62" t="s">
        <v>174</v>
      </c>
      <c r="F62" t="s">
        <v>1</v>
      </c>
      <c r="G62" t="s">
        <v>1</v>
      </c>
      <c r="H62" t="s">
        <v>66</v>
      </c>
      <c r="I62">
        <v>2</v>
      </c>
      <c r="J62" s="4">
        <v>8.5</v>
      </c>
      <c r="K62" s="4">
        <v>11.56</v>
      </c>
      <c r="L62" s="4">
        <f>K62-J62</f>
      </c>
      <c r="M62" s="4">
        <f>L62*16.67%</f>
      </c>
      <c r="N62" s="4">
        <f>K62/100*7</f>
      </c>
      <c r="O62" s="4">
        <f>N62*20%</f>
      </c>
      <c r="P62" s="4">
        <f>N62*2%</f>
      </c>
      <c r="Q62" s="4">
        <f>P62*20%</f>
      </c>
      <c r="R62" s="4">
        <v>0</v>
      </c>
      <c r="S62" s="4">
        <f>R62*20%</f>
      </c>
      <c r="T62" s="4">
        <v>0</v>
      </c>
      <c r="U62" s="4">
        <f>O62+Q62+S62</f>
      </c>
      <c r="V62" s="4">
        <f>L62-M62-N62-O62-P62-Q62-R62-S62-T62</f>
      </c>
      <c r="W62" s="4">
        <f>(V62-Y62)/J62*100</f>
      </c>
      <c r="X62" s="4">
        <f>M62-U62</f>
      </c>
      <c r="Z62" s="4">
        <f>V62-Y62</f>
      </c>
      <c r="AE62" t="s">
        <v>1</v>
      </c>
    </row>
    <row r="63" spans="1:31" x14ac:dyDescent="0.25">
      <c r="A63" s="8">
        <v>46227.5</v>
      </c>
      <c r="B63" t="s">
        <v>201</v>
      </c>
      <c r="C63" t="s">
        <v>1</v>
      </c>
      <c r="D63" s="9" t="s">
        <v>202</v>
      </c>
      <c r="E63" t="s">
        <v>98</v>
      </c>
      <c r="F63" t="s">
        <v>105</v>
      </c>
      <c r="G63" t="s">
        <v>65</v>
      </c>
      <c r="H63" t="s">
        <v>66</v>
      </c>
      <c r="I63">
        <v>1</v>
      </c>
      <c r="J63" s="4">
        <v>280</v>
      </c>
      <c r="K63" s="4">
        <v>338.8</v>
      </c>
      <c r="L63" s="4">
        <f>K63-J63</f>
      </c>
      <c r="M63" s="4">
        <f>L63*16.67%</f>
      </c>
      <c r="N63" s="4">
        <f>K63/100*7</f>
      </c>
      <c r="O63" s="4">
        <f>N63*20%</f>
      </c>
      <c r="P63" s="4">
        <f>N63*2%</f>
      </c>
      <c r="Q63" s="4">
        <f>P63*20%</f>
      </c>
      <c r="R63" s="4">
        <v>0</v>
      </c>
      <c r="S63" s="4">
        <f>R63*20%</f>
      </c>
      <c r="T63" s="4">
        <v>1</v>
      </c>
      <c r="U63" s="4">
        <f>O63+Q63+S63</f>
      </c>
      <c r="V63" s="4">
        <f>L63-M63-N63-O63-P63-Q63-R63-S63-T63</f>
      </c>
      <c r="W63" s="4">
        <f>(V63-Y63)/J63*100</f>
      </c>
      <c r="X63" s="4">
        <f>M63-U63</f>
      </c>
      <c r="Z63" s="4">
        <f>V63-Y63</f>
      </c>
      <c r="AE63" t="s">
        <v>1</v>
      </c>
    </row>
    <row r="64" spans="1:31" x14ac:dyDescent="0.25">
      <c r="A64" s="8">
        <v>46227.5</v>
      </c>
      <c r="B64" t="s">
        <v>203</v>
      </c>
      <c r="C64" t="s">
        <v>1</v>
      </c>
      <c r="D64" s="9" t="s">
        <v>204</v>
      </c>
      <c r="E64" t="s">
        <v>58</v>
      </c>
      <c r="F64" t="s">
        <v>99</v>
      </c>
      <c r="G64" t="s">
        <v>60</v>
      </c>
      <c r="H64" t="s">
        <v>102</v>
      </c>
      <c r="I64">
        <v>1</v>
      </c>
      <c r="J64" s="4">
        <v>463</v>
      </c>
      <c r="K64" s="4">
        <v>560.23</v>
      </c>
      <c r="L64" s="4">
        <f>K64-J64</f>
      </c>
      <c r="M64" s="4">
        <f>L64*16.67%</f>
      </c>
      <c r="N64" s="4">
        <f>K64/100*7</f>
      </c>
      <c r="O64" s="4">
        <f>N64*20%</f>
      </c>
      <c r="P64" s="4">
        <f>N64*2%</f>
      </c>
      <c r="Q64" s="4">
        <f>P64*20%</f>
      </c>
      <c r="R64" s="4">
        <v>0</v>
      </c>
      <c r="S64" s="4">
        <f>R64*20%</f>
      </c>
      <c r="T64" s="4">
        <v>1</v>
      </c>
      <c r="U64" s="4">
        <f>O64+Q64+S64</f>
      </c>
      <c r="V64" s="4">
        <f>L64-M64-N64-O64-P64-Q64-R64-S64-T64</f>
      </c>
      <c r="W64" s="4">
        <f>(V64-Y64)/J64*100</f>
      </c>
      <c r="X64" s="4">
        <f>M64-U64</f>
      </c>
      <c r="Z64" s="4">
        <f>V64-Y64</f>
      </c>
      <c r="AE64" t="s">
        <v>1</v>
      </c>
    </row>
    <row r="65" spans="1:31" x14ac:dyDescent="0.25">
      <c r="A65" s="8">
        <v>46227.5</v>
      </c>
      <c r="B65" t="s">
        <v>205</v>
      </c>
      <c r="C65" t="s">
        <v>1</v>
      </c>
      <c r="D65" s="9" t="s">
        <v>206</v>
      </c>
      <c r="E65" t="s">
        <v>134</v>
      </c>
      <c r="F65" t="s">
        <v>85</v>
      </c>
      <c r="G65" t="s">
        <v>95</v>
      </c>
      <c r="H65" t="s">
        <v>66</v>
      </c>
      <c r="I65">
        <v>1</v>
      </c>
      <c r="J65" s="4">
        <v>139</v>
      </c>
      <c r="K65" s="4">
        <v>187.65</v>
      </c>
      <c r="L65" s="4">
        <f>K65-J65</f>
      </c>
      <c r="M65" s="4">
        <f>L65*16.67%</f>
      </c>
      <c r="N65" s="4">
        <f>K65/100*7</f>
      </c>
      <c r="O65" s="4">
        <f>N65*20%</f>
      </c>
      <c r="P65" s="4">
        <f>N65*2%</f>
      </c>
      <c r="Q65" s="4">
        <f>P65*20%</f>
      </c>
      <c r="R65" s="4">
        <v>0</v>
      </c>
      <c r="S65" s="4">
        <f>R65*20%</f>
      </c>
      <c r="T65" s="4">
        <v>1</v>
      </c>
      <c r="U65" s="4">
        <f>O65+Q65+S65</f>
      </c>
      <c r="V65" s="4">
        <f>L65-M65-N65-O65-P65-Q65-R65-S65-T65</f>
      </c>
      <c r="W65" s="4">
        <f>(V65-Y65)/J65*100</f>
      </c>
      <c r="X65" s="4">
        <f>M65-U65</f>
      </c>
      <c r="Z65" s="4">
        <f>V65-Y65</f>
      </c>
      <c r="AE65" t="s">
        <v>1</v>
      </c>
    </row>
    <row r="66" spans="1:31" x14ac:dyDescent="0.25">
      <c r="A66" s="8">
        <v>46227.5</v>
      </c>
      <c r="B66" t="s">
        <v>207</v>
      </c>
      <c r="C66" t="s">
        <v>1</v>
      </c>
      <c r="D66" s="9" t="s">
        <v>208</v>
      </c>
      <c r="E66" t="s">
        <v>84</v>
      </c>
      <c r="F66" t="s">
        <v>85</v>
      </c>
      <c r="G66" t="s">
        <v>60</v>
      </c>
      <c r="H66" t="s">
        <v>78</v>
      </c>
      <c r="I66">
        <v>1</v>
      </c>
      <c r="J66" s="4">
        <v>722</v>
      </c>
      <c r="K66" s="4">
        <v>1018.02</v>
      </c>
      <c r="L66" s="4">
        <f>K66-J66</f>
      </c>
      <c r="M66" s="4">
        <f>L66*16.67%</f>
      </c>
      <c r="N66" s="4">
        <f>K66/100*7</f>
      </c>
      <c r="O66" s="4">
        <f>N66*20%</f>
      </c>
      <c r="P66" s="4">
        <f>N66*2%</f>
      </c>
      <c r="Q66" s="4">
        <f>P66*20%</f>
      </c>
      <c r="R66" s="4">
        <v>0</v>
      </c>
      <c r="S66" s="4">
        <f>R66*20%</f>
      </c>
      <c r="T66" s="4">
        <v>1</v>
      </c>
      <c r="U66" s="4">
        <f>O66+Q66+S66</f>
      </c>
      <c r="V66" s="4">
        <f>L66-M66-N66-O66-P66-Q66-R66-S66-T66</f>
      </c>
      <c r="W66" s="4">
        <f>(V66-Y66)/J66*100</f>
      </c>
      <c r="X66" s="4">
        <f>M66-U66</f>
      </c>
      <c r="Z66" s="4">
        <f>V66-Y66</f>
      </c>
      <c r="AE66" t="s">
        <v>1</v>
      </c>
    </row>
    <row r="67" spans="1:31" x14ac:dyDescent="0.25">
      <c r="A67" s="8">
        <v>46227.5</v>
      </c>
      <c r="B67" t="s">
        <v>209</v>
      </c>
      <c r="C67" t="s">
        <v>1</v>
      </c>
      <c r="D67" s="9" t="s">
        <v>210</v>
      </c>
      <c r="E67" t="s">
        <v>94</v>
      </c>
      <c r="F67" t="s">
        <v>59</v>
      </c>
      <c r="G67" t="s">
        <v>95</v>
      </c>
      <c r="H67" t="s">
        <v>75</v>
      </c>
      <c r="I67">
        <v>1</v>
      </c>
      <c r="J67" s="4">
        <v>60</v>
      </c>
      <c r="K67" s="4">
        <v>72</v>
      </c>
      <c r="L67" s="4">
        <f>K67-J67</f>
      </c>
      <c r="M67" s="4">
        <f>L67*16.67%</f>
      </c>
      <c r="N67" s="4">
        <f>K67/100*7</f>
      </c>
      <c r="O67" s="4">
        <f>N67*20%</f>
      </c>
      <c r="P67" s="4">
        <f>N67*2%</f>
      </c>
      <c r="Q67" s="4">
        <f>P67*20%</f>
      </c>
      <c r="R67" s="4">
        <v>0</v>
      </c>
      <c r="S67" s="4">
        <f>R67*20%</f>
      </c>
      <c r="T67" s="4">
        <v>1</v>
      </c>
      <c r="U67" s="4">
        <f>O67+Q67+S67</f>
      </c>
      <c r="V67" s="4">
        <f>L67-M67-N67-O67-P67-Q67-R67-S67-T67</f>
      </c>
      <c r="W67" s="4">
        <f>(V67-Y67)/J67*100</f>
      </c>
      <c r="X67" s="4">
        <f>M67-U67</f>
      </c>
      <c r="Z67" s="4">
        <f>V67-Y67</f>
      </c>
      <c r="AE67" t="s">
        <v>1</v>
      </c>
    </row>
    <row r="68" spans="1:31" x14ac:dyDescent="0.25">
      <c r="A68" s="8">
        <v>46227.5</v>
      </c>
      <c r="B68" t="s">
        <v>211</v>
      </c>
      <c r="C68" t="s">
        <v>1</v>
      </c>
      <c r="D68" s="9" t="s">
        <v>1</v>
      </c>
      <c r="E68" t="s">
        <v>1</v>
      </c>
      <c r="F68" t="s">
        <v>1</v>
      </c>
      <c r="G68" t="s">
        <v>1</v>
      </c>
      <c r="H68" t="s">
        <v>61</v>
      </c>
      <c r="I68">
        <v>1</v>
      </c>
      <c r="J68" s="4">
        <v>533</v>
      </c>
      <c r="K68" s="4">
        <v>644.93</v>
      </c>
      <c r="L68" s="4">
        <f>K68-J68</f>
      </c>
      <c r="M68" s="4">
        <f>L68*16.67%</f>
      </c>
      <c r="N68" s="4">
        <f>K68/100*7</f>
      </c>
      <c r="O68" s="4">
        <f>N68*20%</f>
      </c>
      <c r="P68" s="4">
        <f>N68*2%</f>
      </c>
      <c r="Q68" s="4">
        <f>P68*20%</f>
      </c>
      <c r="R68" s="4">
        <v>0</v>
      </c>
      <c r="S68" s="4">
        <f>R68*20%</f>
      </c>
      <c r="T68" s="4">
        <v>1</v>
      </c>
      <c r="U68" s="4">
        <f>O68+Q68+S68</f>
      </c>
      <c r="V68" s="4">
        <f>L68-M68-N68-O68-P68-Q68-R68-S68-T68</f>
      </c>
      <c r="W68" s="4">
        <f>(V68-Y68)/J68*100</f>
      </c>
      <c r="X68" s="4">
        <f>M68-U68</f>
      </c>
      <c r="Z68" s="4">
        <f>V68-Y68</f>
      </c>
      <c r="AE68" t="s">
        <v>1</v>
      </c>
    </row>
    <row r="69" spans="1:31" x14ac:dyDescent="0.25">
      <c r="A69" s="8">
        <v>46226.5</v>
      </c>
      <c r="B69" t="s">
        <v>212</v>
      </c>
      <c r="C69" t="s">
        <v>1</v>
      </c>
      <c r="D69" s="9" t="s">
        <v>213</v>
      </c>
      <c r="E69" t="s">
        <v>58</v>
      </c>
      <c r="F69" t="s">
        <v>70</v>
      </c>
      <c r="G69" t="s">
        <v>60</v>
      </c>
      <c r="H69" t="s">
        <v>102</v>
      </c>
      <c r="I69">
        <v>1</v>
      </c>
      <c r="J69" s="4">
        <v>465</v>
      </c>
      <c r="K69" s="4">
        <v>539.4</v>
      </c>
      <c r="L69" s="4">
        <f>K69-J69</f>
      </c>
      <c r="M69" s="4">
        <f>L69*16.67%</f>
      </c>
      <c r="N69" s="4">
        <f>K69/100*7</f>
      </c>
      <c r="O69" s="4">
        <f>N69*20%</f>
      </c>
      <c r="P69" s="4">
        <f>N69*2%</f>
      </c>
      <c r="Q69" s="4">
        <f>P69*20%</f>
      </c>
      <c r="R69" s="4">
        <v>0</v>
      </c>
      <c r="S69" s="4">
        <f>R69*20%</f>
      </c>
      <c r="T69" s="4">
        <v>1</v>
      </c>
      <c r="U69" s="4">
        <f>O69+Q69+S69</f>
      </c>
      <c r="V69" s="4">
        <f>L69-M69-N69-O69-P69-Q69-R69-S69-T69</f>
      </c>
      <c r="W69" s="4">
        <f>(V69-Y69)/J69*100</f>
      </c>
      <c r="X69" s="4">
        <f>M69-U69</f>
      </c>
      <c r="Z69" s="4">
        <f>V69-Y69</f>
      </c>
      <c r="AE69" t="s">
        <v>1</v>
      </c>
    </row>
    <row r="70" spans="1:31" x14ac:dyDescent="0.25">
      <c r="A70" s="8">
        <v>46226.5</v>
      </c>
      <c r="B70" t="s">
        <v>214</v>
      </c>
      <c r="C70" t="s">
        <v>1</v>
      </c>
      <c r="D70" s="9" t="s">
        <v>215</v>
      </c>
      <c r="E70" t="s">
        <v>81</v>
      </c>
      <c r="F70" t="s">
        <v>105</v>
      </c>
      <c r="G70" t="s">
        <v>65</v>
      </c>
      <c r="H70" t="s">
        <v>102</v>
      </c>
      <c r="I70">
        <v>1</v>
      </c>
      <c r="J70" s="4">
        <v>573</v>
      </c>
      <c r="K70" s="4">
        <v>750.63</v>
      </c>
      <c r="L70" s="4">
        <f>K70-J70</f>
      </c>
      <c r="M70" s="4">
        <f>L70*16.67%</f>
      </c>
      <c r="N70" s="4">
        <f>K70/100*7</f>
      </c>
      <c r="O70" s="4">
        <f>N70*20%</f>
      </c>
      <c r="P70" s="4">
        <f>N70*2%</f>
      </c>
      <c r="Q70" s="4">
        <f>P70*20%</f>
      </c>
      <c r="R70" s="4">
        <v>0</v>
      </c>
      <c r="S70" s="4">
        <f>R70*20%</f>
      </c>
      <c r="T70" s="4">
        <v>1</v>
      </c>
      <c r="U70" s="4">
        <f>O70+Q70+S70</f>
      </c>
      <c r="V70" s="4">
        <f>L70-M70-N70-O70-P70-Q70-R70-S70-T70</f>
      </c>
      <c r="W70" s="4">
        <f>(V70-Y70)/J70*100</f>
      </c>
      <c r="X70" s="4">
        <f>M70-U70</f>
      </c>
      <c r="Z70" s="4">
        <f>V70-Y70</f>
      </c>
      <c r="AE70" t="s">
        <v>1</v>
      </c>
    </row>
    <row r="71" spans="1:31" x14ac:dyDescent="0.25">
      <c r="A71" s="8">
        <v>46226.5</v>
      </c>
      <c r="B71" t="s">
        <v>216</v>
      </c>
      <c r="C71" t="s">
        <v>1</v>
      </c>
      <c r="D71" s="9" t="s">
        <v>217</v>
      </c>
      <c r="E71" t="s">
        <v>64</v>
      </c>
      <c r="F71" t="s">
        <v>85</v>
      </c>
      <c r="G71" t="s">
        <v>65</v>
      </c>
      <c r="H71" t="s">
        <v>75</v>
      </c>
      <c r="I71">
        <v>1</v>
      </c>
      <c r="J71" s="4">
        <v>224</v>
      </c>
      <c r="K71" s="4">
        <v>280</v>
      </c>
      <c r="L71" s="4">
        <f>K71-J71</f>
      </c>
      <c r="M71" s="4">
        <f>L71*16.67%</f>
      </c>
      <c r="N71" s="4">
        <f>K71/100*7</f>
      </c>
      <c r="O71" s="4">
        <f>N71*20%</f>
      </c>
      <c r="P71" s="4">
        <f>N71*2%</f>
      </c>
      <c r="Q71" s="4">
        <f>P71*20%</f>
      </c>
      <c r="R71" s="4">
        <v>0</v>
      </c>
      <c r="S71" s="4">
        <f>R71*20%</f>
      </c>
      <c r="T71" s="4">
        <v>1</v>
      </c>
      <c r="U71" s="4">
        <f>O71+Q71+S71</f>
      </c>
      <c r="V71" s="4">
        <f>L71-M71-N71-O71-P71-Q71-R71-S71-T71</f>
      </c>
      <c r="W71" s="4">
        <f>(V71-Y71)/J71*100</f>
      </c>
      <c r="X71" s="4">
        <f>M71-U71</f>
      </c>
      <c r="Z71" s="4">
        <f>V71-Y71</f>
      </c>
      <c r="AE71" t="s">
        <v>1</v>
      </c>
    </row>
    <row r="72" spans="1:31" x14ac:dyDescent="0.25">
      <c r="A72" s="8">
        <v>46226.5</v>
      </c>
      <c r="B72" t="s">
        <v>218</v>
      </c>
      <c r="C72" t="s">
        <v>1</v>
      </c>
      <c r="D72" s="9" t="s">
        <v>219</v>
      </c>
      <c r="E72" t="s">
        <v>94</v>
      </c>
      <c r="F72" t="s">
        <v>99</v>
      </c>
      <c r="G72" t="s">
        <v>95</v>
      </c>
      <c r="H72" t="s">
        <v>61</v>
      </c>
      <c r="I72">
        <v>1</v>
      </c>
      <c r="J72" s="4">
        <v>62</v>
      </c>
      <c r="K72" s="4">
        <v>79.98</v>
      </c>
      <c r="L72" s="4">
        <f>K72-J72</f>
      </c>
      <c r="M72" s="4">
        <f>L72*16.67%</f>
      </c>
      <c r="N72" s="4">
        <f>K72/100*7</f>
      </c>
      <c r="O72" s="4">
        <f>N72*20%</f>
      </c>
      <c r="P72" s="4">
        <f>N72*2%</f>
      </c>
      <c r="Q72" s="4">
        <f>P72*20%</f>
      </c>
      <c r="R72" s="4">
        <v>0</v>
      </c>
      <c r="S72" s="4">
        <f>R72*20%</f>
      </c>
      <c r="T72" s="4">
        <v>1</v>
      </c>
      <c r="U72" s="4">
        <f>O72+Q72+S72</f>
      </c>
      <c r="V72" s="4">
        <f>L72-M72-N72-O72-P72-Q72-R72-S72-T72</f>
      </c>
      <c r="W72" s="4">
        <f>(V72-Y72)/J72*100</f>
      </c>
      <c r="X72" s="4">
        <f>M72-U72</f>
      </c>
      <c r="Z72" s="4">
        <f>V72-Y72</f>
      </c>
      <c r="AE72" t="s">
        <v>1</v>
      </c>
    </row>
    <row r="73" spans="1:31" x14ac:dyDescent="0.25">
      <c r="A73" s="8">
        <v>46226.5</v>
      </c>
      <c r="B73" t="s">
        <v>220</v>
      </c>
      <c r="C73" t="s">
        <v>185</v>
      </c>
      <c r="D73" s="9" t="s">
        <v>1</v>
      </c>
      <c r="E73" t="s">
        <v>185</v>
      </c>
      <c r="F73" t="s">
        <v>1</v>
      </c>
      <c r="G73" t="s">
        <v>1</v>
      </c>
      <c r="H73" t="s">
        <v>102</v>
      </c>
      <c r="I73">
        <v>1</v>
      </c>
      <c r="J73" s="4">
        <v>1.2</v>
      </c>
      <c r="K73" s="4">
        <v>1.39</v>
      </c>
      <c r="L73" s="4">
        <f>K73-J73</f>
      </c>
      <c r="M73" s="4">
        <f>L73*16.67%</f>
      </c>
      <c r="N73" s="4">
        <f>K73/100*7</f>
      </c>
      <c r="O73" s="4">
        <f>N73*20%</f>
      </c>
      <c r="P73" s="4">
        <f>N73*2%</f>
      </c>
      <c r="Q73" s="4">
        <f>P73*20%</f>
      </c>
      <c r="R73" s="4">
        <v>0</v>
      </c>
      <c r="S73" s="4">
        <f>R73*20%</f>
      </c>
      <c r="T73" s="4">
        <v>0</v>
      </c>
      <c r="U73" s="4">
        <f>O73+Q73+S73</f>
      </c>
      <c r="V73" s="4">
        <f>L73-M73-N73-O73-P73-Q73-R73-S73-T73</f>
      </c>
      <c r="W73" s="4">
        <f>(V73-Y73)/J73*100</f>
      </c>
      <c r="X73" s="4">
        <f>M73-U73</f>
      </c>
      <c r="Z73" s="4">
        <f>V73-Y73</f>
      </c>
      <c r="AE73" t="s">
        <v>1</v>
      </c>
    </row>
    <row r="74" spans="1:31" x14ac:dyDescent="0.25">
      <c r="A74" s="8">
        <v>46225.5</v>
      </c>
      <c r="B74" t="s">
        <v>221</v>
      </c>
      <c r="C74" t="s">
        <v>1</v>
      </c>
      <c r="D74" s="9" t="s">
        <v>222</v>
      </c>
      <c r="E74" t="s">
        <v>139</v>
      </c>
      <c r="F74" t="s">
        <v>70</v>
      </c>
      <c r="G74" t="s">
        <v>65</v>
      </c>
      <c r="H74" t="s">
        <v>102</v>
      </c>
      <c r="I74">
        <v>1</v>
      </c>
      <c r="J74" s="4">
        <v>335</v>
      </c>
      <c r="K74" s="4">
        <v>469</v>
      </c>
      <c r="L74" s="4">
        <f>K74-J74</f>
      </c>
      <c r="M74" s="4">
        <f>L74*16.67%</f>
      </c>
      <c r="N74" s="4">
        <f>K74/100*7</f>
      </c>
      <c r="O74" s="4">
        <f>N74*20%</f>
      </c>
      <c r="P74" s="4">
        <f>N74*2%</f>
      </c>
      <c r="Q74" s="4">
        <f>P74*20%</f>
      </c>
      <c r="R74" s="4">
        <v>0</v>
      </c>
      <c r="S74" s="4">
        <f>R74*20%</f>
      </c>
      <c r="T74" s="4">
        <v>1</v>
      </c>
      <c r="U74" s="4">
        <f>O74+Q74+S74</f>
      </c>
      <c r="V74" s="4">
        <f>L74-M74-N74-O74-P74-Q74-R74-S74-T74</f>
      </c>
      <c r="W74" s="4">
        <f>(V74-Y74)/J74*100</f>
      </c>
      <c r="X74" s="4">
        <f>M74-U74</f>
      </c>
      <c r="Z74" s="4">
        <f>V74-Y74</f>
      </c>
      <c r="AE74" t="s">
        <v>1</v>
      </c>
    </row>
    <row r="75" spans="1:31" x14ac:dyDescent="0.25">
      <c r="A75" s="8">
        <v>46225.5</v>
      </c>
      <c r="B75" t="s">
        <v>223</v>
      </c>
      <c r="C75" t="s">
        <v>1</v>
      </c>
      <c r="D75" s="9" t="s">
        <v>224</v>
      </c>
      <c r="E75" t="s">
        <v>134</v>
      </c>
      <c r="F75" t="s">
        <v>105</v>
      </c>
      <c r="G75" t="s">
        <v>65</v>
      </c>
      <c r="H75" t="s">
        <v>66</v>
      </c>
      <c r="I75">
        <v>1</v>
      </c>
      <c r="J75" s="4">
        <v>125</v>
      </c>
      <c r="K75" s="4">
        <v>180</v>
      </c>
      <c r="L75" s="4">
        <f>K75-J75</f>
      </c>
      <c r="M75" s="4">
        <f>L75*16.67%</f>
      </c>
      <c r="N75" s="4">
        <f>K75/100*7</f>
      </c>
      <c r="O75" s="4">
        <f>N75*20%</f>
      </c>
      <c r="P75" s="4">
        <f>N75*2%</f>
      </c>
      <c r="Q75" s="4">
        <f>P75*20%</f>
      </c>
      <c r="R75" s="4">
        <v>0</v>
      </c>
      <c r="S75" s="4">
        <f>R75*20%</f>
      </c>
      <c r="T75" s="4">
        <v>1</v>
      </c>
      <c r="U75" s="4">
        <f>O75+Q75+S75</f>
      </c>
      <c r="V75" s="4">
        <f>L75-M75-N75-O75-P75-Q75-R75-S75-T75</f>
      </c>
      <c r="W75" s="4">
        <f>(V75-Y75)/J75*100</f>
      </c>
      <c r="X75" s="4">
        <f>M75-U75</f>
      </c>
      <c r="Z75" s="4">
        <f>V75-Y75</f>
      </c>
      <c r="AE75" t="s">
        <v>1</v>
      </c>
    </row>
    <row r="76" spans="1:31" x14ac:dyDescent="0.25">
      <c r="A76" s="8">
        <v>46225.5</v>
      </c>
      <c r="B76" t="s">
        <v>225</v>
      </c>
      <c r="C76" t="s">
        <v>1</v>
      </c>
      <c r="D76" s="9" t="s">
        <v>226</v>
      </c>
      <c r="E76" t="s">
        <v>94</v>
      </c>
      <c r="F76" t="s">
        <v>105</v>
      </c>
      <c r="G76" t="s">
        <v>95</v>
      </c>
      <c r="H76" t="s">
        <v>102</v>
      </c>
      <c r="I76">
        <v>1</v>
      </c>
      <c r="J76" s="4">
        <v>72</v>
      </c>
      <c r="K76" s="4">
        <v>103.68</v>
      </c>
      <c r="L76" s="4">
        <f>K76-J76</f>
      </c>
      <c r="M76" s="4">
        <f>L76*16.67%</f>
      </c>
      <c r="N76" s="4">
        <f>K76/100*7</f>
      </c>
      <c r="O76" s="4">
        <f>N76*20%</f>
      </c>
      <c r="P76" s="4">
        <f>N76*2%</f>
      </c>
      <c r="Q76" s="4">
        <f>P76*20%</f>
      </c>
      <c r="R76" s="4">
        <v>0</v>
      </c>
      <c r="S76" s="4">
        <f>R76*20%</f>
      </c>
      <c r="T76" s="4">
        <v>1</v>
      </c>
      <c r="U76" s="4">
        <f>O76+Q76+S76</f>
      </c>
      <c r="V76" s="4">
        <f>L76-M76-N76-O76-P76-Q76-R76-S76-T76</f>
      </c>
      <c r="W76" s="4">
        <f>(V76-Y76)/J76*100</f>
      </c>
      <c r="X76" s="4">
        <f>M76-U76</f>
      </c>
      <c r="Z76" s="4">
        <f>V76-Y76</f>
      </c>
      <c r="AE76" t="s">
        <v>1</v>
      </c>
    </row>
    <row r="77" spans="1:31" x14ac:dyDescent="0.25">
      <c r="A77" s="8">
        <v>46225.5</v>
      </c>
      <c r="B77" t="s">
        <v>227</v>
      </c>
      <c r="C77" t="s">
        <v>185</v>
      </c>
      <c r="D77" s="9" t="s">
        <v>1</v>
      </c>
      <c r="E77" t="s">
        <v>185</v>
      </c>
      <c r="F77" t="s">
        <v>1</v>
      </c>
      <c r="G77" t="s">
        <v>1</v>
      </c>
      <c r="H77" t="s">
        <v>102</v>
      </c>
      <c r="I77">
        <v>3</v>
      </c>
      <c r="J77" s="4">
        <v>3.6</v>
      </c>
      <c r="K77" s="4">
        <v>4.32</v>
      </c>
      <c r="L77" s="4">
        <f>K77-J77</f>
      </c>
      <c r="M77" s="4">
        <f>L77*16.67%</f>
      </c>
      <c r="N77" s="4">
        <f>K77/100*7</f>
      </c>
      <c r="O77" s="4">
        <f>N77*20%</f>
      </c>
      <c r="P77" s="4">
        <f>N77*2%</f>
      </c>
      <c r="Q77" s="4">
        <f>P77*20%</f>
      </c>
      <c r="R77" s="4">
        <v>0</v>
      </c>
      <c r="S77" s="4">
        <f>R77*20%</f>
      </c>
      <c r="T77" s="4">
        <v>0</v>
      </c>
      <c r="U77" s="4">
        <f>O77+Q77+S77</f>
      </c>
      <c r="V77" s="4">
        <f>L77-M77-N77-O77-P77-Q77-R77-S77-T77</f>
      </c>
      <c r="W77" s="4">
        <f>(V77-Y77)/J77*100</f>
      </c>
      <c r="X77" s="4">
        <f>M77-U77</f>
      </c>
      <c r="Z77" s="4">
        <f>V77-Y77</f>
      </c>
      <c r="AE77" t="s">
        <v>1</v>
      </c>
    </row>
    <row r="78" spans="1:31" x14ac:dyDescent="0.25">
      <c r="A78" s="8">
        <v>46225.5</v>
      </c>
      <c r="B78" t="s">
        <v>228</v>
      </c>
      <c r="C78" t="s">
        <v>1</v>
      </c>
      <c r="D78" s="9" t="s">
        <v>1</v>
      </c>
      <c r="E78" t="s">
        <v>1</v>
      </c>
      <c r="F78" t="s">
        <v>1</v>
      </c>
      <c r="G78" t="s">
        <v>1</v>
      </c>
      <c r="H78" t="s">
        <v>66</v>
      </c>
      <c r="I78">
        <v>1</v>
      </c>
      <c r="J78" s="4">
        <v>281</v>
      </c>
      <c r="K78" s="4">
        <v>387.78</v>
      </c>
      <c r="L78" s="4">
        <f>K78-J78</f>
      </c>
      <c r="M78" s="4">
        <f>L78*16.67%</f>
      </c>
      <c r="N78" s="4">
        <f>K78/100*7</f>
      </c>
      <c r="O78" s="4">
        <f>N78*20%</f>
      </c>
      <c r="P78" s="4">
        <f>N78*2%</f>
      </c>
      <c r="Q78" s="4">
        <f>P78*20%</f>
      </c>
      <c r="R78" s="4">
        <v>0</v>
      </c>
      <c r="S78" s="4">
        <f>R78*20%</f>
      </c>
      <c r="T78" s="4">
        <v>1</v>
      </c>
      <c r="U78" s="4">
        <f>O78+Q78+S78</f>
      </c>
      <c r="V78" s="4">
        <f>L78-M78-N78-O78-P78-Q78-R78-S78-T78</f>
      </c>
      <c r="W78" s="4">
        <f>(V78-Y78)/J78*100</f>
      </c>
      <c r="X78" s="4">
        <f>M78-U78</f>
      </c>
      <c r="Z78" s="4">
        <f>V78-Y78</f>
      </c>
      <c r="AE78" t="s">
        <v>1</v>
      </c>
    </row>
    <row r="79" spans="1:31" x14ac:dyDescent="0.25">
      <c r="A79" s="8">
        <v>46224.5</v>
      </c>
      <c r="B79" t="s">
        <v>229</v>
      </c>
      <c r="C79" t="s">
        <v>1</v>
      </c>
      <c r="D79" s="9" t="s">
        <v>230</v>
      </c>
      <c r="E79" t="s">
        <v>139</v>
      </c>
      <c r="F79" t="s">
        <v>74</v>
      </c>
      <c r="G79" t="s">
        <v>60</v>
      </c>
      <c r="H79" t="s">
        <v>61</v>
      </c>
      <c r="I79">
        <v>1</v>
      </c>
      <c r="J79" s="4">
        <v>301</v>
      </c>
      <c r="K79" s="4">
        <v>421.4</v>
      </c>
      <c r="L79" s="4">
        <f>K79-J79</f>
      </c>
      <c r="M79" s="4">
        <f>L79*16.67%</f>
      </c>
      <c r="N79" s="4">
        <f>K79/100*7</f>
      </c>
      <c r="O79" s="4">
        <f>N79*20%</f>
      </c>
      <c r="P79" s="4">
        <f>N79*2%</f>
      </c>
      <c r="Q79" s="4">
        <f>P79*20%</f>
      </c>
      <c r="R79" s="4">
        <v>0</v>
      </c>
      <c r="S79" s="4">
        <f>R79*20%</f>
      </c>
      <c r="T79" s="4">
        <v>1</v>
      </c>
      <c r="U79" s="4">
        <f>O79+Q79+S79</f>
      </c>
      <c r="V79" s="4">
        <f>L79-M79-N79-O79-P79-Q79-R79-S79-T79</f>
      </c>
      <c r="W79" s="4">
        <f>(V79-Y79)/J79*100</f>
      </c>
      <c r="X79" s="4">
        <f>M79-U79</f>
      </c>
      <c r="Z79" s="4">
        <f>V79-Y79</f>
      </c>
      <c r="AE79" t="s">
        <v>1</v>
      </c>
    </row>
    <row r="80" spans="1:31" x14ac:dyDescent="0.25">
      <c r="A80" s="8">
        <v>46224.5</v>
      </c>
      <c r="B80" t="s">
        <v>231</v>
      </c>
      <c r="C80" t="s">
        <v>1</v>
      </c>
      <c r="D80" s="9" t="s">
        <v>1</v>
      </c>
      <c r="E80" t="s">
        <v>1</v>
      </c>
      <c r="F80" t="s">
        <v>1</v>
      </c>
      <c r="G80" t="s">
        <v>1</v>
      </c>
      <c r="H80" t="s">
        <v>75</v>
      </c>
      <c r="I80">
        <v>1</v>
      </c>
      <c r="J80" s="4">
        <v>149</v>
      </c>
      <c r="K80" s="4">
        <v>186.25</v>
      </c>
      <c r="L80" s="4">
        <f>K80-J80</f>
      </c>
      <c r="M80" s="4">
        <f>L80*16.67%</f>
      </c>
      <c r="N80" s="4">
        <f>K80/100*7</f>
      </c>
      <c r="O80" s="4">
        <f>N80*20%</f>
      </c>
      <c r="P80" s="4">
        <f>N80*2%</f>
      </c>
      <c r="Q80" s="4">
        <f>P80*20%</f>
      </c>
      <c r="R80" s="4">
        <v>0</v>
      </c>
      <c r="S80" s="4">
        <f>R80*20%</f>
      </c>
      <c r="T80" s="4">
        <v>1</v>
      </c>
      <c r="U80" s="4">
        <f>O80+Q80+S80</f>
      </c>
      <c r="V80" s="4">
        <f>L80-M80-N80-O80-P80-Q80-R80-S80-T80</f>
      </c>
      <c r="W80" s="4">
        <f>(V80-Y80)/J80*100</f>
      </c>
      <c r="X80" s="4">
        <f>M80-U80</f>
      </c>
      <c r="Z80" s="4">
        <f>V80-Y80</f>
      </c>
      <c r="AE80" t="s">
        <v>1</v>
      </c>
    </row>
    <row r="81" spans="1:31" x14ac:dyDescent="0.25">
      <c r="A81" s="8">
        <v>46223.5</v>
      </c>
      <c r="B81" t="s">
        <v>232</v>
      </c>
      <c r="C81" t="s">
        <v>1</v>
      </c>
      <c r="D81" s="9" t="s">
        <v>233</v>
      </c>
      <c r="E81" t="s">
        <v>234</v>
      </c>
      <c r="F81" t="s">
        <v>105</v>
      </c>
      <c r="G81" t="s">
        <v>65</v>
      </c>
      <c r="H81" t="s">
        <v>66</v>
      </c>
      <c r="I81">
        <v>1</v>
      </c>
      <c r="J81" s="4">
        <v>159</v>
      </c>
      <c r="K81" s="4">
        <v>192.39</v>
      </c>
      <c r="L81" s="4">
        <f>K81-J81</f>
      </c>
      <c r="M81" s="4">
        <f>L81*16.67%</f>
      </c>
      <c r="N81" s="4">
        <f>K81/100*7</f>
      </c>
      <c r="O81" s="4">
        <f>N81*20%</f>
      </c>
      <c r="P81" s="4">
        <f>N81*2%</f>
      </c>
      <c r="Q81" s="4">
        <f>P81*20%</f>
      </c>
      <c r="R81" s="4">
        <v>0</v>
      </c>
      <c r="S81" s="4">
        <f>R81*20%</f>
      </c>
      <c r="T81" s="4">
        <v>1</v>
      </c>
      <c r="U81" s="4">
        <f>O81+Q81+S81</f>
      </c>
      <c r="V81" s="4">
        <f>L81-M81-N81-O81-P81-Q81-R81-S81-T81</f>
      </c>
      <c r="W81" s="4">
        <f>(V81-Y81)/J81*100</f>
      </c>
      <c r="X81" s="4">
        <f>M81-U81</f>
      </c>
      <c r="Z81" s="4">
        <f>V81-Y81</f>
      </c>
      <c r="AE81" t="s">
        <v>1</v>
      </c>
    </row>
    <row r="82" spans="1:31" x14ac:dyDescent="0.25">
      <c r="A82" s="8">
        <v>46223.5</v>
      </c>
      <c r="B82" t="s">
        <v>235</v>
      </c>
      <c r="C82" t="s">
        <v>1</v>
      </c>
      <c r="D82" s="9" t="s">
        <v>236</v>
      </c>
      <c r="E82" t="s">
        <v>64</v>
      </c>
      <c r="F82" t="s">
        <v>59</v>
      </c>
      <c r="G82" t="s">
        <v>65</v>
      </c>
      <c r="H82" t="s">
        <v>61</v>
      </c>
      <c r="I82">
        <v>1</v>
      </c>
      <c r="J82" s="4">
        <v>238</v>
      </c>
      <c r="K82" s="4">
        <v>337.96</v>
      </c>
      <c r="L82" s="4">
        <f>K82-J82</f>
      </c>
      <c r="M82" s="4">
        <f>L82*16.67%</f>
      </c>
      <c r="N82" s="4">
        <f>K82/100*7</f>
      </c>
      <c r="O82" s="4">
        <f>N82*20%</f>
      </c>
      <c r="P82" s="4">
        <f>N82*2%</f>
      </c>
      <c r="Q82" s="4">
        <f>P82*20%</f>
      </c>
      <c r="R82" s="4">
        <v>0</v>
      </c>
      <c r="S82" s="4">
        <f>R82*20%</f>
      </c>
      <c r="T82" s="4">
        <v>1</v>
      </c>
      <c r="U82" s="4">
        <f>O82+Q82+S82</f>
      </c>
      <c r="V82" s="4">
        <f>L82-M82-N82-O82-P82-Q82-R82-S82-T82</f>
      </c>
      <c r="W82" s="4">
        <f>(V82-Y82)/J82*100</f>
      </c>
      <c r="X82" s="4">
        <f>M82-U82</f>
      </c>
      <c r="Z82" s="4">
        <f>V82-Y82</f>
      </c>
      <c r="AE82" t="s">
        <v>1</v>
      </c>
    </row>
    <row r="83" spans="1:31" x14ac:dyDescent="0.25">
      <c r="A83" s="8">
        <v>46223.5</v>
      </c>
      <c r="B83" t="s">
        <v>237</v>
      </c>
      <c r="C83" t="s">
        <v>1</v>
      </c>
      <c r="D83" s="9" t="s">
        <v>238</v>
      </c>
      <c r="E83" t="s">
        <v>98</v>
      </c>
      <c r="F83" t="s">
        <v>74</v>
      </c>
      <c r="G83" t="s">
        <v>60</v>
      </c>
      <c r="H83" t="s">
        <v>75</v>
      </c>
      <c r="I83">
        <v>1</v>
      </c>
      <c r="J83" s="4">
        <v>296</v>
      </c>
      <c r="K83" s="4">
        <v>352.24</v>
      </c>
      <c r="L83" s="4">
        <f>K83-J83</f>
      </c>
      <c r="M83" s="4">
        <f>L83*16.67%</f>
      </c>
      <c r="N83" s="4">
        <f>K83/100*7</f>
      </c>
      <c r="O83" s="4">
        <f>N83*20%</f>
      </c>
      <c r="P83" s="4">
        <f>N83*2%</f>
      </c>
      <c r="Q83" s="4">
        <f>P83*20%</f>
      </c>
      <c r="R83" s="4">
        <v>0</v>
      </c>
      <c r="S83" s="4">
        <f>R83*20%</f>
      </c>
      <c r="T83" s="4">
        <v>1</v>
      </c>
      <c r="U83" s="4">
        <f>O83+Q83+S83</f>
      </c>
      <c r="V83" s="4">
        <f>L83-M83-N83-O83-P83-Q83-R83-S83-T83</f>
      </c>
      <c r="W83" s="4">
        <f>(V83-Y83)/J83*100</f>
      </c>
      <c r="X83" s="4">
        <f>M83-U83</f>
      </c>
      <c r="Z83" s="4">
        <f>V83-Y83</f>
      </c>
      <c r="AE83" t="s">
        <v>1</v>
      </c>
    </row>
    <row r="84" spans="1:31" x14ac:dyDescent="0.25">
      <c r="A84" s="8">
        <v>46223.5</v>
      </c>
      <c r="B84" t="s">
        <v>239</v>
      </c>
      <c r="C84" t="s">
        <v>1</v>
      </c>
      <c r="D84" s="9" t="s">
        <v>240</v>
      </c>
      <c r="E84" t="s">
        <v>58</v>
      </c>
      <c r="F84" t="s">
        <v>105</v>
      </c>
      <c r="G84" t="s">
        <v>60</v>
      </c>
      <c r="H84" t="s">
        <v>102</v>
      </c>
      <c r="I84">
        <v>1</v>
      </c>
      <c r="J84" s="4">
        <v>467</v>
      </c>
      <c r="K84" s="4">
        <v>546.39</v>
      </c>
      <c r="L84" s="4">
        <f>K84-J84</f>
      </c>
      <c r="M84" s="4">
        <f>L84*16.67%</f>
      </c>
      <c r="N84" s="4">
        <f>K84/100*7</f>
      </c>
      <c r="O84" s="4">
        <f>N84*20%</f>
      </c>
      <c r="P84" s="4">
        <f>N84*2%</f>
      </c>
      <c r="Q84" s="4">
        <f>P84*20%</f>
      </c>
      <c r="R84" s="4">
        <v>0</v>
      </c>
      <c r="S84" s="4">
        <f>R84*20%</f>
      </c>
      <c r="T84" s="4">
        <v>1</v>
      </c>
      <c r="U84" s="4">
        <f>O84+Q84+S84</f>
      </c>
      <c r="V84" s="4">
        <f>L84-M84-N84-O84-P84-Q84-R84-S84-T84</f>
      </c>
      <c r="W84" s="4">
        <f>(V84-Y84)/J84*100</f>
      </c>
      <c r="X84" s="4">
        <f>M84-U84</f>
      </c>
      <c r="Z84" s="4">
        <f>V84-Y84</f>
      </c>
      <c r="AE84" t="s">
        <v>1</v>
      </c>
    </row>
    <row r="85" spans="1:31" x14ac:dyDescent="0.25">
      <c r="A85" s="8">
        <v>46223.5</v>
      </c>
      <c r="B85" t="s">
        <v>241</v>
      </c>
      <c r="C85" t="s">
        <v>1</v>
      </c>
      <c r="D85" s="9" t="s">
        <v>242</v>
      </c>
      <c r="E85" t="s">
        <v>69</v>
      </c>
      <c r="F85" t="s">
        <v>85</v>
      </c>
      <c r="G85" t="s">
        <v>60</v>
      </c>
      <c r="H85" t="s">
        <v>61</v>
      </c>
      <c r="I85">
        <v>1</v>
      </c>
      <c r="J85" s="4">
        <v>514</v>
      </c>
      <c r="K85" s="4">
        <v>632.22</v>
      </c>
      <c r="L85" s="4">
        <f>K85-J85</f>
      </c>
      <c r="M85" s="4">
        <f>L85*16.67%</f>
      </c>
      <c r="N85" s="4">
        <f>K85/100*7</f>
      </c>
      <c r="O85" s="4">
        <f>N85*20%</f>
      </c>
      <c r="P85" s="4">
        <f>N85*2%</f>
      </c>
      <c r="Q85" s="4">
        <f>P85*20%</f>
      </c>
      <c r="R85" s="4">
        <v>0</v>
      </c>
      <c r="S85" s="4">
        <f>R85*20%</f>
      </c>
      <c r="T85" s="4">
        <v>1</v>
      </c>
      <c r="U85" s="4">
        <f>O85+Q85+S85</f>
      </c>
      <c r="V85" s="4">
        <f>L85-M85-N85-O85-P85-Q85-R85-S85-T85</f>
      </c>
      <c r="W85" s="4">
        <f>(V85-Y85)/J85*100</f>
      </c>
      <c r="X85" s="4">
        <f>M85-U85</f>
      </c>
      <c r="Z85" s="4">
        <f>V85-Y85</f>
      </c>
      <c r="AE85" t="s">
        <v>1</v>
      </c>
    </row>
    <row r="86" spans="1:31" x14ac:dyDescent="0.25">
      <c r="A86" s="8">
        <v>46223.5</v>
      </c>
      <c r="B86" t="s">
        <v>243</v>
      </c>
      <c r="C86" t="s">
        <v>1</v>
      </c>
      <c r="D86" s="9" t="s">
        <v>1</v>
      </c>
      <c r="E86" t="s">
        <v>1</v>
      </c>
      <c r="F86" t="s">
        <v>1</v>
      </c>
      <c r="G86" t="s">
        <v>1</v>
      </c>
      <c r="H86" t="s">
        <v>75</v>
      </c>
      <c r="I86">
        <v>1</v>
      </c>
      <c r="J86" s="4">
        <v>279</v>
      </c>
      <c r="K86" s="4">
        <v>387.81</v>
      </c>
      <c r="L86" s="4">
        <f>K86-J86</f>
      </c>
      <c r="M86" s="4">
        <f>L86*16.67%</f>
      </c>
      <c r="N86" s="4">
        <f>K86/100*7</f>
      </c>
      <c r="O86" s="4">
        <f>N86*20%</f>
      </c>
      <c r="P86" s="4">
        <f>N86*2%</f>
      </c>
      <c r="Q86" s="4">
        <f>P86*20%</f>
      </c>
      <c r="R86" s="4">
        <v>0</v>
      </c>
      <c r="S86" s="4">
        <f>R86*20%</f>
      </c>
      <c r="T86" s="4">
        <v>1</v>
      </c>
      <c r="U86" s="4">
        <f>O86+Q86+S86</f>
      </c>
      <c r="V86" s="4">
        <f>L86-M86-N86-O86-P86-Q86-R86-S86-T86</f>
      </c>
      <c r="W86" s="4">
        <f>(V86-Y86)/J86*100</f>
      </c>
      <c r="X86" s="4">
        <f>M86-U86</f>
      </c>
      <c r="Z86" s="4">
        <f>V86-Y86</f>
      </c>
      <c r="AE86" t="s">
        <v>1</v>
      </c>
    </row>
    <row r="87" spans="1:31" x14ac:dyDescent="0.25">
      <c r="A87" s="8">
        <v>46222.5</v>
      </c>
      <c r="B87" t="s">
        <v>244</v>
      </c>
      <c r="C87" t="s">
        <v>1</v>
      </c>
      <c r="D87" s="9" t="s">
        <v>245</v>
      </c>
      <c r="E87" t="s">
        <v>139</v>
      </c>
      <c r="F87" t="s">
        <v>105</v>
      </c>
      <c r="G87" t="s">
        <v>65</v>
      </c>
      <c r="H87" t="s">
        <v>66</v>
      </c>
      <c r="I87">
        <v>1</v>
      </c>
      <c r="J87" s="4">
        <v>304</v>
      </c>
      <c r="K87" s="4">
        <v>364.8</v>
      </c>
      <c r="L87" s="4">
        <f>K87-J87</f>
      </c>
      <c r="M87" s="4">
        <f>L87*16.67%</f>
      </c>
      <c r="N87" s="4">
        <f>K87/100*7</f>
      </c>
      <c r="O87" s="4">
        <f>N87*20%</f>
      </c>
      <c r="P87" s="4">
        <f>N87*2%</f>
      </c>
      <c r="Q87" s="4">
        <f>P87*20%</f>
      </c>
      <c r="R87" s="4">
        <v>0</v>
      </c>
      <c r="S87" s="4">
        <f>R87*20%</f>
      </c>
      <c r="T87" s="4">
        <v>1</v>
      </c>
      <c r="U87" s="4">
        <f>O87+Q87+S87</f>
      </c>
      <c r="V87" s="4">
        <f>L87-M87-N87-O87-P87-Q87-R87-S87-T87</f>
      </c>
      <c r="W87" s="4">
        <f>(V87-Y87)/J87*100</f>
      </c>
      <c r="X87" s="4">
        <f>M87-U87</f>
      </c>
      <c r="Z87" s="4">
        <f>V87-Y87</f>
      </c>
      <c r="AE87" t="s">
        <v>1</v>
      </c>
    </row>
    <row r="88" spans="1:31" x14ac:dyDescent="0.25">
      <c r="A88" s="8">
        <v>46222.5</v>
      </c>
      <c r="B88" t="s">
        <v>246</v>
      </c>
      <c r="C88" t="s">
        <v>182</v>
      </c>
      <c r="D88" s="9" t="s">
        <v>1</v>
      </c>
      <c r="E88" t="s">
        <v>182</v>
      </c>
      <c r="F88" t="s">
        <v>1</v>
      </c>
      <c r="G88" t="s">
        <v>1</v>
      </c>
      <c r="H88" t="s">
        <v>75</v>
      </c>
      <c r="I88">
        <v>2</v>
      </c>
      <c r="J88" s="4">
        <v>3.8</v>
      </c>
      <c r="K88" s="4">
        <v>4.56</v>
      </c>
      <c r="L88" s="4">
        <f>K88-J88</f>
      </c>
      <c r="M88" s="4">
        <f>L88*16.67%</f>
      </c>
      <c r="N88" s="4">
        <f>K88/100*7</f>
      </c>
      <c r="O88" s="4">
        <f>N88*20%</f>
      </c>
      <c r="P88" s="4">
        <f>N88*2%</f>
      </c>
      <c r="Q88" s="4">
        <f>P88*20%</f>
      </c>
      <c r="R88" s="4">
        <v>0</v>
      </c>
      <c r="S88" s="4">
        <f>R88*20%</f>
      </c>
      <c r="T88" s="4">
        <v>0</v>
      </c>
      <c r="U88" s="4">
        <f>O88+Q88+S88</f>
      </c>
      <c r="V88" s="4">
        <f>L88-M88-N88-O88-P88-Q88-R88-S88-T88</f>
      </c>
      <c r="W88" s="4">
        <f>(V88-Y88)/J88*100</f>
      </c>
      <c r="X88" s="4">
        <f>M88-U88</f>
      </c>
      <c r="Z88" s="4">
        <f>V88-Y88</f>
      </c>
      <c r="AE88" t="s">
        <v>1</v>
      </c>
    </row>
    <row r="89" spans="1:31" x14ac:dyDescent="0.25">
      <c r="A89" s="8">
        <v>46222.5</v>
      </c>
      <c r="B89" t="s">
        <v>247</v>
      </c>
      <c r="C89" t="s">
        <v>1</v>
      </c>
      <c r="D89" s="9" t="s">
        <v>1</v>
      </c>
      <c r="E89" t="s">
        <v>1</v>
      </c>
      <c r="F89" t="s">
        <v>1</v>
      </c>
      <c r="G89" t="s">
        <v>1</v>
      </c>
      <c r="H89" t="s">
        <v>66</v>
      </c>
      <c r="I89">
        <v>1</v>
      </c>
      <c r="J89" s="4">
        <v>182</v>
      </c>
      <c r="K89" s="4">
        <v>245.7</v>
      </c>
      <c r="L89" s="4">
        <f>K89-J89</f>
      </c>
      <c r="M89" s="4">
        <f>L89*16.67%</f>
      </c>
      <c r="N89" s="4">
        <f>K89/100*7</f>
      </c>
      <c r="O89" s="4">
        <f>N89*20%</f>
      </c>
      <c r="P89" s="4">
        <f>N89*2%</f>
      </c>
      <c r="Q89" s="4">
        <f>P89*20%</f>
      </c>
      <c r="R89" s="4">
        <v>0</v>
      </c>
      <c r="S89" s="4">
        <f>R89*20%</f>
      </c>
      <c r="T89" s="4">
        <v>1</v>
      </c>
      <c r="U89" s="4">
        <f>O89+Q89+S89</f>
      </c>
      <c r="V89" s="4">
        <f>L89-M89-N89-O89-P89-Q89-R89-S89-T89</f>
      </c>
      <c r="W89" s="4">
        <f>(V89-Y89)/J89*100</f>
      </c>
      <c r="X89" s="4">
        <f>M89-U89</f>
      </c>
      <c r="Z89" s="4">
        <f>V89-Y89</f>
      </c>
      <c r="AE89" t="s">
        <v>1</v>
      </c>
    </row>
    <row r="90" spans="1:31" x14ac:dyDescent="0.25">
      <c r="A90" s="8">
        <v>46221.5</v>
      </c>
      <c r="B90" t="s">
        <v>248</v>
      </c>
      <c r="C90" t="s">
        <v>1</v>
      </c>
      <c r="D90" s="9" t="s">
        <v>249</v>
      </c>
      <c r="E90" t="s">
        <v>91</v>
      </c>
      <c r="F90" t="s">
        <v>105</v>
      </c>
      <c r="G90" t="s">
        <v>65</v>
      </c>
      <c r="H90" t="s">
        <v>66</v>
      </c>
      <c r="I90">
        <v>1</v>
      </c>
      <c r="J90" s="4">
        <v>129</v>
      </c>
      <c r="K90" s="4">
        <v>176.73</v>
      </c>
      <c r="L90" s="4">
        <f>K90-J90</f>
      </c>
      <c r="M90" s="4">
        <f>L90*16.67%</f>
      </c>
      <c r="N90" s="4">
        <f>K90/100*7</f>
      </c>
      <c r="O90" s="4">
        <f>N90*20%</f>
      </c>
      <c r="P90" s="4">
        <f>N90*2%</f>
      </c>
      <c r="Q90" s="4">
        <f>P90*20%</f>
      </c>
      <c r="R90" s="4">
        <v>0</v>
      </c>
      <c r="S90" s="4">
        <f>R90*20%</f>
      </c>
      <c r="T90" s="4">
        <v>1</v>
      </c>
      <c r="U90" s="4">
        <f>O90+Q90+S90</f>
      </c>
      <c r="V90" s="4">
        <f>L90-M90-N90-O90-P90-Q90-R90-S90-T90</f>
      </c>
      <c r="W90" s="4">
        <f>(V90-Y90)/J90*100</f>
      </c>
      <c r="X90" s="4">
        <f>M90-U90</f>
      </c>
      <c r="Z90" s="4">
        <f>V90-Y90</f>
      </c>
      <c r="AE90" t="s">
        <v>1</v>
      </c>
    </row>
    <row r="91" spans="1:31" x14ac:dyDescent="0.25">
      <c r="A91" s="8">
        <v>46221.5</v>
      </c>
      <c r="B91" t="s">
        <v>250</v>
      </c>
      <c r="C91" t="s">
        <v>1</v>
      </c>
      <c r="D91" s="9" t="s">
        <v>251</v>
      </c>
      <c r="E91" t="s">
        <v>125</v>
      </c>
      <c r="F91" t="s">
        <v>105</v>
      </c>
      <c r="G91" t="s">
        <v>126</v>
      </c>
      <c r="H91" t="s">
        <v>75</v>
      </c>
      <c r="I91">
        <v>1</v>
      </c>
      <c r="J91" s="4">
        <v>300</v>
      </c>
      <c r="K91" s="4">
        <v>357</v>
      </c>
      <c r="L91" s="4">
        <f>K91-J91</f>
      </c>
      <c r="M91" s="4">
        <f>L91*16.67%</f>
      </c>
      <c r="N91" s="4">
        <f>K91/100*7</f>
      </c>
      <c r="O91" s="4">
        <f>N91*20%</f>
      </c>
      <c r="P91" s="4">
        <f>N91*2%</f>
      </c>
      <c r="Q91" s="4">
        <f>P91*20%</f>
      </c>
      <c r="R91" s="4">
        <v>0</v>
      </c>
      <c r="S91" s="4">
        <f>R91*20%</f>
      </c>
      <c r="T91" s="4">
        <v>1</v>
      </c>
      <c r="U91" s="4">
        <f>O91+Q91+S91</f>
      </c>
      <c r="V91" s="4">
        <f>L91-M91-N91-O91-P91-Q91-R91-S91-T91</f>
      </c>
      <c r="W91" s="4">
        <f>(V91-Y91)/J91*100</f>
      </c>
      <c r="X91" s="4">
        <f>M91-U91</f>
      </c>
      <c r="Z91" s="4">
        <f>V91-Y91</f>
      </c>
      <c r="AE91" t="s">
        <v>1</v>
      </c>
    </row>
    <row r="92" spans="1:31" x14ac:dyDescent="0.25">
      <c r="A92" s="8">
        <v>46221.5</v>
      </c>
      <c r="B92" t="s">
        <v>252</v>
      </c>
      <c r="C92" t="s">
        <v>189</v>
      </c>
      <c r="D92" s="9" t="s">
        <v>1</v>
      </c>
      <c r="E92" t="s">
        <v>189</v>
      </c>
      <c r="F92" t="s">
        <v>1</v>
      </c>
      <c r="G92" t="s">
        <v>1</v>
      </c>
      <c r="H92" t="s">
        <v>66</v>
      </c>
      <c r="I92">
        <v>1</v>
      </c>
      <c r="J92" s="4">
        <v>3.5</v>
      </c>
      <c r="K92" s="4">
        <v>4.55</v>
      </c>
      <c r="L92" s="4">
        <f>K92-J92</f>
      </c>
      <c r="M92" s="4">
        <f>L92*16.67%</f>
      </c>
      <c r="N92" s="4">
        <f>K92/100*7</f>
      </c>
      <c r="O92" s="4">
        <f>N92*20%</f>
      </c>
      <c r="P92" s="4">
        <f>N92*2%</f>
      </c>
      <c r="Q92" s="4">
        <f>P92*20%</f>
      </c>
      <c r="R92" s="4">
        <v>0</v>
      </c>
      <c r="S92" s="4">
        <f>R92*20%</f>
      </c>
      <c r="T92" s="4">
        <v>0</v>
      </c>
      <c r="U92" s="4">
        <f>O92+Q92+S92</f>
      </c>
      <c r="V92" s="4">
        <f>L92-M92-N92-O92-P92-Q92-R92-S92-T92</f>
      </c>
      <c r="W92" s="4">
        <f>(V92-Y92)/J92*100</f>
      </c>
      <c r="X92" s="4">
        <f>M92-U92</f>
      </c>
      <c r="Z92" s="4">
        <f>V92-Y92</f>
      </c>
      <c r="AE92" t="s">
        <v>1</v>
      </c>
    </row>
    <row r="93" spans="1:31" x14ac:dyDescent="0.25">
      <c r="A93" s="8">
        <v>46221.5</v>
      </c>
      <c r="B93" t="s">
        <v>253</v>
      </c>
      <c r="C93" t="s">
        <v>254</v>
      </c>
      <c r="D93" s="9" t="s">
        <v>1</v>
      </c>
      <c r="E93" t="s">
        <v>254</v>
      </c>
      <c r="F93" t="s">
        <v>1</v>
      </c>
      <c r="G93" t="s">
        <v>1</v>
      </c>
      <c r="H93" t="s">
        <v>61</v>
      </c>
      <c r="I93">
        <v>3</v>
      </c>
      <c r="J93" s="4">
        <v>2.4</v>
      </c>
      <c r="K93" s="4">
        <v>2.95</v>
      </c>
      <c r="L93" s="4">
        <f>K93-J93</f>
      </c>
      <c r="M93" s="4">
        <f>L93*16.67%</f>
      </c>
      <c r="N93" s="4">
        <f>K93/100*7</f>
      </c>
      <c r="O93" s="4">
        <f>N93*20%</f>
      </c>
      <c r="P93" s="4">
        <f>N93*2%</f>
      </c>
      <c r="Q93" s="4">
        <f>P93*20%</f>
      </c>
      <c r="R93" s="4">
        <v>0</v>
      </c>
      <c r="S93" s="4">
        <f>R93*20%</f>
      </c>
      <c r="T93" s="4">
        <v>0</v>
      </c>
      <c r="U93" s="4">
        <f>O93+Q93+S93</f>
      </c>
      <c r="V93" s="4">
        <f>L93-M93-N93-O93-P93-Q93-R93-S93-T93</f>
      </c>
      <c r="W93" s="4">
        <f>(V93-Y93)/J93*100</f>
      </c>
      <c r="X93" s="4">
        <f>M93-U93</f>
      </c>
      <c r="Z93" s="4">
        <f>V93-Y93</f>
      </c>
      <c r="AE93" t="s">
        <v>1</v>
      </c>
    </row>
    <row r="94" spans="1:31" x14ac:dyDescent="0.25">
      <c r="A94" s="8">
        <v>46220.5</v>
      </c>
      <c r="B94" t="s">
        <v>255</v>
      </c>
      <c r="C94" t="s">
        <v>1</v>
      </c>
      <c r="D94" s="9" t="s">
        <v>256</v>
      </c>
      <c r="E94" t="s">
        <v>64</v>
      </c>
      <c r="F94" t="s">
        <v>70</v>
      </c>
      <c r="G94" t="s">
        <v>65</v>
      </c>
      <c r="H94" t="s">
        <v>75</v>
      </c>
      <c r="I94">
        <v>1</v>
      </c>
      <c r="J94" s="4">
        <v>225</v>
      </c>
      <c r="K94" s="4">
        <v>261</v>
      </c>
      <c r="L94" s="4">
        <f>K94-J94</f>
      </c>
      <c r="M94" s="4">
        <f>L94*16.67%</f>
      </c>
      <c r="N94" s="4">
        <f>K94/100*7</f>
      </c>
      <c r="O94" s="4">
        <f>N94*20%</f>
      </c>
      <c r="P94" s="4">
        <f>N94*2%</f>
      </c>
      <c r="Q94" s="4">
        <f>P94*20%</f>
      </c>
      <c r="R94" s="4">
        <v>0</v>
      </c>
      <c r="S94" s="4">
        <f>R94*20%</f>
      </c>
      <c r="T94" s="4">
        <v>1</v>
      </c>
      <c r="U94" s="4">
        <f>O94+Q94+S94</f>
      </c>
      <c r="V94" s="4">
        <f>L94-M94-N94-O94-P94-Q94-R94-S94-T94</f>
      </c>
      <c r="W94" s="4">
        <f>(V94-Y94)/J94*100</f>
      </c>
      <c r="X94" s="4">
        <f>M94-U94</f>
      </c>
      <c r="Z94" s="4">
        <f>V94-Y94</f>
      </c>
      <c r="AE94" t="s">
        <v>1</v>
      </c>
    </row>
    <row r="95" spans="1:31" x14ac:dyDescent="0.25">
      <c r="A95" s="8">
        <v>46220.5</v>
      </c>
      <c r="B95" t="s">
        <v>257</v>
      </c>
      <c r="C95" t="s">
        <v>1</v>
      </c>
      <c r="D95" s="9" t="s">
        <v>258</v>
      </c>
      <c r="E95" t="s">
        <v>69</v>
      </c>
      <c r="F95" t="s">
        <v>99</v>
      </c>
      <c r="G95" t="s">
        <v>60</v>
      </c>
      <c r="H95" t="s">
        <v>102</v>
      </c>
      <c r="I95">
        <v>1</v>
      </c>
      <c r="J95" s="4">
        <v>509</v>
      </c>
      <c r="K95" s="4">
        <v>697.33</v>
      </c>
      <c r="L95" s="4">
        <f>K95-J95</f>
      </c>
      <c r="M95" s="4">
        <f>L95*16.67%</f>
      </c>
      <c r="N95" s="4">
        <f>K95/100*7</f>
      </c>
      <c r="O95" s="4">
        <f>N95*20%</f>
      </c>
      <c r="P95" s="4">
        <f>N95*2%</f>
      </c>
      <c r="Q95" s="4">
        <f>P95*20%</f>
      </c>
      <c r="R95" s="4">
        <v>0</v>
      </c>
      <c r="S95" s="4">
        <f>R95*20%</f>
      </c>
      <c r="T95" s="4">
        <v>1</v>
      </c>
      <c r="U95" s="4">
        <f>O95+Q95+S95</f>
      </c>
      <c r="V95" s="4">
        <f>L95-M95-N95-O95-P95-Q95-R95-S95-T95</f>
      </c>
      <c r="W95" s="4">
        <f>(V95-Y95)/J95*100</f>
      </c>
      <c r="X95" s="4">
        <f>M95-U95</f>
      </c>
      <c r="Z95" s="4">
        <f>V95-Y95</f>
      </c>
      <c r="AE95" t="s">
        <v>1</v>
      </c>
    </row>
    <row r="96" spans="1:31" x14ac:dyDescent="0.25">
      <c r="A96" s="8">
        <v>46220.5</v>
      </c>
      <c r="B96" t="s">
        <v>259</v>
      </c>
      <c r="C96" t="s">
        <v>1</v>
      </c>
      <c r="D96" s="9" t="s">
        <v>260</v>
      </c>
      <c r="E96" t="s">
        <v>125</v>
      </c>
      <c r="F96" t="s">
        <v>59</v>
      </c>
      <c r="G96" t="s">
        <v>126</v>
      </c>
      <c r="H96" t="s">
        <v>102</v>
      </c>
      <c r="I96">
        <v>1</v>
      </c>
      <c r="J96" s="4">
        <v>245</v>
      </c>
      <c r="K96" s="4">
        <v>325.85</v>
      </c>
      <c r="L96" s="4">
        <f>K96-J96</f>
      </c>
      <c r="M96" s="4">
        <f>L96*16.67%</f>
      </c>
      <c r="N96" s="4">
        <f>K96/100*7</f>
      </c>
      <c r="O96" s="4">
        <f>N96*20%</f>
      </c>
      <c r="P96" s="4">
        <f>N96*2%</f>
      </c>
      <c r="Q96" s="4">
        <f>P96*20%</f>
      </c>
      <c r="R96" s="4">
        <v>0</v>
      </c>
      <c r="S96" s="4">
        <f>R96*20%</f>
      </c>
      <c r="T96" s="4">
        <v>1</v>
      </c>
      <c r="U96" s="4">
        <f>O96+Q96+S96</f>
      </c>
      <c r="V96" s="4">
        <f>L96-M96-N96-O96-P96-Q96-R96-S96-T96</f>
      </c>
      <c r="W96" s="4">
        <f>(V96-Y96)/J96*100</f>
      </c>
      <c r="X96" s="4">
        <f>M96-U96</f>
      </c>
      <c r="Z96" s="4">
        <f>V96-Y96</f>
      </c>
      <c r="AE96" t="s">
        <v>1</v>
      </c>
    </row>
    <row r="97" spans="1:31" x14ac:dyDescent="0.25">
      <c r="A97" s="8">
        <v>46220.5</v>
      </c>
      <c r="B97" t="s">
        <v>261</v>
      </c>
      <c r="C97" t="s">
        <v>182</v>
      </c>
      <c r="D97" s="9" t="s">
        <v>1</v>
      </c>
      <c r="E97" t="s">
        <v>182</v>
      </c>
      <c r="F97" t="s">
        <v>1</v>
      </c>
      <c r="G97" t="s">
        <v>1</v>
      </c>
      <c r="H97" t="s">
        <v>75</v>
      </c>
      <c r="I97">
        <v>4</v>
      </c>
      <c r="J97" s="4">
        <v>7.6</v>
      </c>
      <c r="K97" s="4">
        <v>8.89</v>
      </c>
      <c r="L97" s="4">
        <f>K97-J97</f>
      </c>
      <c r="M97" s="4">
        <f>L97*16.67%</f>
      </c>
      <c r="N97" s="4">
        <f>K97/100*7</f>
      </c>
      <c r="O97" s="4">
        <f>N97*20%</f>
      </c>
      <c r="P97" s="4">
        <f>N97*2%</f>
      </c>
      <c r="Q97" s="4">
        <f>P97*20%</f>
      </c>
      <c r="R97" s="4">
        <v>0</v>
      </c>
      <c r="S97" s="4">
        <f>R97*20%</f>
      </c>
      <c r="T97" s="4">
        <v>0</v>
      </c>
      <c r="U97" s="4">
        <f>O97+Q97+S97</f>
      </c>
      <c r="V97" s="4">
        <f>L97-M97-N97-O97-P97-Q97-R97-S97-T97</f>
      </c>
      <c r="W97" s="4">
        <f>(V97-Y97)/J97*100</f>
      </c>
      <c r="X97" s="4">
        <f>M97-U97</f>
      </c>
      <c r="Z97" s="4">
        <f>V97-Y97</f>
      </c>
      <c r="AE97" t="s">
        <v>1</v>
      </c>
    </row>
    <row r="98" spans="1:31" x14ac:dyDescent="0.25">
      <c r="A98" s="8">
        <v>46220.5</v>
      </c>
      <c r="B98" t="s">
        <v>262</v>
      </c>
      <c r="C98" t="s">
        <v>182</v>
      </c>
      <c r="D98" s="9" t="s">
        <v>1</v>
      </c>
      <c r="E98" t="s">
        <v>182</v>
      </c>
      <c r="F98" t="s">
        <v>1</v>
      </c>
      <c r="G98" t="s">
        <v>1</v>
      </c>
      <c r="H98" t="s">
        <v>75</v>
      </c>
      <c r="I98">
        <v>3</v>
      </c>
      <c r="J98" s="4">
        <v>5.7</v>
      </c>
      <c r="K98" s="4">
        <v>7.52</v>
      </c>
      <c r="L98" s="4">
        <f>K98-J98</f>
      </c>
      <c r="M98" s="4">
        <f>L98*16.67%</f>
      </c>
      <c r="N98" s="4">
        <f>K98/100*7</f>
      </c>
      <c r="O98" s="4">
        <f>N98*20%</f>
      </c>
      <c r="P98" s="4">
        <f>N98*2%</f>
      </c>
      <c r="Q98" s="4">
        <f>P98*20%</f>
      </c>
      <c r="R98" s="4">
        <v>0</v>
      </c>
      <c r="S98" s="4">
        <f>R98*20%</f>
      </c>
      <c r="T98" s="4">
        <v>0</v>
      </c>
      <c r="U98" s="4">
        <f>O98+Q98+S98</f>
      </c>
      <c r="V98" s="4">
        <f>L98-M98-N98-O98-P98-Q98-R98-S98-T98</f>
      </c>
      <c r="W98" s="4">
        <f>(V98-Y98)/J98*100</f>
      </c>
      <c r="X98" s="4">
        <f>M98-U98</f>
      </c>
      <c r="Z98" s="4">
        <f>V98-Y98</f>
      </c>
      <c r="AE98" t="s">
        <v>1</v>
      </c>
    </row>
    <row r="99" spans="1:31" x14ac:dyDescent="0.25">
      <c r="A99" s="8">
        <v>46219.5</v>
      </c>
      <c r="B99" t="s">
        <v>263</v>
      </c>
      <c r="C99" t="s">
        <v>1</v>
      </c>
      <c r="D99" s="9" t="s">
        <v>264</v>
      </c>
      <c r="E99" t="s">
        <v>134</v>
      </c>
      <c r="F99" t="s">
        <v>74</v>
      </c>
      <c r="G99" t="s">
        <v>65</v>
      </c>
      <c r="H99" t="s">
        <v>78</v>
      </c>
      <c r="I99">
        <v>1</v>
      </c>
      <c r="J99" s="4">
        <v>108</v>
      </c>
      <c r="K99" s="4">
        <v>142.56</v>
      </c>
      <c r="L99" s="4">
        <f>K99-J99</f>
      </c>
      <c r="M99" s="4">
        <f>L99*16.67%</f>
      </c>
      <c r="N99" s="4">
        <f>K99/100*7</f>
      </c>
      <c r="O99" s="4">
        <f>N99*20%</f>
      </c>
      <c r="P99" s="4">
        <f>N99*2%</f>
      </c>
      <c r="Q99" s="4">
        <f>P99*20%</f>
      </c>
      <c r="R99" s="4">
        <v>0</v>
      </c>
      <c r="S99" s="4">
        <f>R99*20%</f>
      </c>
      <c r="T99" s="4">
        <v>1</v>
      </c>
      <c r="U99" s="4">
        <f>O99+Q99+S99</f>
      </c>
      <c r="V99" s="4">
        <f>L99-M99-N99-O99-P99-Q99-R99-S99-T99</f>
      </c>
      <c r="W99" s="4">
        <f>(V99-Y99)/J99*100</f>
      </c>
      <c r="X99" s="4">
        <f>M99-U99</f>
      </c>
      <c r="Z99" s="4">
        <f>V99-Y99</f>
      </c>
      <c r="AE99" t="s">
        <v>1</v>
      </c>
    </row>
    <row r="100" spans="1:31" x14ac:dyDescent="0.25">
      <c r="A100" s="8">
        <v>46219.5</v>
      </c>
      <c r="B100" t="s">
        <v>265</v>
      </c>
      <c r="C100" t="s">
        <v>1</v>
      </c>
      <c r="D100" s="9" t="s">
        <v>266</v>
      </c>
      <c r="E100" t="s">
        <v>84</v>
      </c>
      <c r="F100" t="s">
        <v>88</v>
      </c>
      <c r="G100" t="s">
        <v>60</v>
      </c>
      <c r="H100" t="s">
        <v>66</v>
      </c>
      <c r="I100">
        <v>1</v>
      </c>
      <c r="J100" s="4">
        <v>704</v>
      </c>
      <c r="K100" s="4">
        <v>999.68</v>
      </c>
      <c r="L100" s="4">
        <f>K100-J100</f>
      </c>
      <c r="M100" s="4">
        <f>L100*16.67%</f>
      </c>
      <c r="N100" s="4">
        <f>K100/100*7</f>
      </c>
      <c r="O100" s="4">
        <f>N100*20%</f>
      </c>
      <c r="P100" s="4">
        <f>N100*2%</f>
      </c>
      <c r="Q100" s="4">
        <f>P100*20%</f>
      </c>
      <c r="R100" s="4">
        <v>0</v>
      </c>
      <c r="S100" s="4">
        <f>R100*20%</f>
      </c>
      <c r="T100" s="4">
        <v>1</v>
      </c>
      <c r="U100" s="4">
        <f>O100+Q100+S100</f>
      </c>
      <c r="V100" s="4">
        <f>L100-M100-N100-O100-P100-Q100-R100-S100-T100</f>
      </c>
      <c r="W100" s="4">
        <f>(V100-Y100)/J100*100</f>
      </c>
      <c r="X100" s="4">
        <f>M100-U100</f>
      </c>
      <c r="Z100" s="4">
        <f>V100-Y100</f>
      </c>
      <c r="AE100" t="s">
        <v>1</v>
      </c>
    </row>
    <row r="101" spans="1:31" x14ac:dyDescent="0.25">
      <c r="A101" s="8">
        <v>46219.5</v>
      </c>
      <c r="B101" t="s">
        <v>267</v>
      </c>
      <c r="C101" t="s">
        <v>1</v>
      </c>
      <c r="D101" s="9" t="s">
        <v>268</v>
      </c>
      <c r="E101" t="s">
        <v>131</v>
      </c>
      <c r="F101" t="s">
        <v>59</v>
      </c>
      <c r="G101" t="s">
        <v>60</v>
      </c>
      <c r="H101" t="s">
        <v>61</v>
      </c>
      <c r="I101">
        <v>1</v>
      </c>
      <c r="J101" s="4">
        <v>302</v>
      </c>
      <c r="K101" s="4">
        <v>431.86</v>
      </c>
      <c r="L101" s="4">
        <f>K101-J101</f>
      </c>
      <c r="M101" s="4">
        <f>L101*16.67%</f>
      </c>
      <c r="N101" s="4">
        <f>K101/100*7</f>
      </c>
      <c r="O101" s="4">
        <f>N101*20%</f>
      </c>
      <c r="P101" s="4">
        <f>N101*2%</f>
      </c>
      <c r="Q101" s="4">
        <f>P101*20%</f>
      </c>
      <c r="R101" s="4">
        <v>0</v>
      </c>
      <c r="S101" s="4">
        <f>R101*20%</f>
      </c>
      <c r="T101" s="4">
        <v>1</v>
      </c>
      <c r="U101" s="4">
        <f>O101+Q101+S101</f>
      </c>
      <c r="V101" s="4">
        <f>L101-M101-N101-O101-P101-Q101-R101-S101-T101</f>
      </c>
      <c r="W101" s="4">
        <f>(V101-Y101)/J101*100</f>
      </c>
      <c r="X101" s="4">
        <f>M101-U101</f>
      </c>
      <c r="Z101" s="4">
        <f>V101-Y101</f>
      </c>
      <c r="AE101" t="s">
        <v>1</v>
      </c>
    </row>
    <row r="102" spans="1:31" x14ac:dyDescent="0.25">
      <c r="A102" s="8">
        <v>46218.5</v>
      </c>
      <c r="B102" t="s">
        <v>269</v>
      </c>
      <c r="C102" t="s">
        <v>1</v>
      </c>
      <c r="D102" s="9" t="s">
        <v>270</v>
      </c>
      <c r="E102" t="s">
        <v>234</v>
      </c>
      <c r="F102" t="s">
        <v>74</v>
      </c>
      <c r="G102" t="s">
        <v>65</v>
      </c>
      <c r="H102" t="s">
        <v>78</v>
      </c>
      <c r="I102">
        <v>1</v>
      </c>
      <c r="J102" s="4">
        <v>179</v>
      </c>
      <c r="K102" s="4">
        <v>247.02</v>
      </c>
      <c r="L102" s="4">
        <f>K102-J102</f>
      </c>
      <c r="M102" s="4">
        <f>L102*16.67%</f>
      </c>
      <c r="N102" s="4">
        <f>K102/100*7</f>
      </c>
      <c r="O102" s="4">
        <f>N102*20%</f>
      </c>
      <c r="P102" s="4">
        <f>N102*2%</f>
      </c>
      <c r="Q102" s="4">
        <f>P102*20%</f>
      </c>
      <c r="R102" s="4">
        <v>0</v>
      </c>
      <c r="S102" s="4">
        <f>R102*20%</f>
      </c>
      <c r="T102" s="4">
        <v>1</v>
      </c>
      <c r="U102" s="4">
        <f>O102+Q102+S102</f>
      </c>
      <c r="V102" s="4">
        <f>L102-M102-N102-O102-P102-Q102-R102-S102-T102</f>
      </c>
      <c r="W102" s="4">
        <f>(V102-Y102)/J102*100</f>
      </c>
      <c r="X102" s="4">
        <f>M102-U102</f>
      </c>
      <c r="Z102" s="4">
        <f>V102-Y102</f>
      </c>
      <c r="AE102" t="s">
        <v>1</v>
      </c>
    </row>
    <row r="103" spans="1:31" x14ac:dyDescent="0.25">
      <c r="A103" s="8">
        <v>46218.5</v>
      </c>
      <c r="B103" t="s">
        <v>271</v>
      </c>
      <c r="C103" t="s">
        <v>1</v>
      </c>
      <c r="D103" s="9" t="s">
        <v>272</v>
      </c>
      <c r="E103" t="s">
        <v>58</v>
      </c>
      <c r="F103" t="s">
        <v>88</v>
      </c>
      <c r="G103" t="s">
        <v>60</v>
      </c>
      <c r="H103" t="s">
        <v>78</v>
      </c>
      <c r="I103">
        <v>1</v>
      </c>
      <c r="J103" s="4">
        <v>473</v>
      </c>
      <c r="K103" s="4">
        <v>666.93</v>
      </c>
      <c r="L103" s="4">
        <f>K103-J103</f>
      </c>
      <c r="M103" s="4">
        <f>L103*16.67%</f>
      </c>
      <c r="N103" s="4">
        <f>K103/100*7</f>
      </c>
      <c r="O103" s="4">
        <f>N103*20%</f>
      </c>
      <c r="P103" s="4">
        <f>N103*2%</f>
      </c>
      <c r="Q103" s="4">
        <f>P103*20%</f>
      </c>
      <c r="R103" s="4">
        <v>0</v>
      </c>
      <c r="S103" s="4">
        <f>R103*20%</f>
      </c>
      <c r="T103" s="4">
        <v>1</v>
      </c>
      <c r="U103" s="4">
        <f>O103+Q103+S103</f>
      </c>
      <c r="V103" s="4">
        <f>L103-M103-N103-O103-P103-Q103-R103-S103-T103</f>
      </c>
      <c r="W103" s="4">
        <f>(V103-Y103)/J103*100</f>
      </c>
      <c r="X103" s="4">
        <f>M103-U103</f>
      </c>
      <c r="Z103" s="4">
        <f>V103-Y103</f>
      </c>
      <c r="AE103" t="s">
        <v>1</v>
      </c>
    </row>
    <row r="104" spans="1:31" x14ac:dyDescent="0.25">
      <c r="A104" s="8">
        <v>46218.5</v>
      </c>
      <c r="B104" t="s">
        <v>273</v>
      </c>
      <c r="C104" t="s">
        <v>1</v>
      </c>
      <c r="D104" s="9" t="s">
        <v>274</v>
      </c>
      <c r="E104" t="s">
        <v>139</v>
      </c>
      <c r="F104" t="s">
        <v>99</v>
      </c>
      <c r="G104" t="s">
        <v>65</v>
      </c>
      <c r="H104" t="s">
        <v>66</v>
      </c>
      <c r="I104">
        <v>1</v>
      </c>
      <c r="J104" s="4">
        <v>315</v>
      </c>
      <c r="K104" s="4">
        <v>403.2</v>
      </c>
      <c r="L104" s="4">
        <f>K104-J104</f>
      </c>
      <c r="M104" s="4">
        <f>L104*16.67%</f>
      </c>
      <c r="N104" s="4">
        <f>K104/100*7</f>
      </c>
      <c r="O104" s="4">
        <f>N104*20%</f>
      </c>
      <c r="P104" s="4">
        <f>N104*2%</f>
      </c>
      <c r="Q104" s="4">
        <f>P104*20%</f>
      </c>
      <c r="R104" s="4">
        <v>0</v>
      </c>
      <c r="S104" s="4">
        <f>R104*20%</f>
      </c>
      <c r="T104" s="4">
        <v>1</v>
      </c>
      <c r="U104" s="4">
        <f>O104+Q104+S104</f>
      </c>
      <c r="V104" s="4">
        <f>L104-M104-N104-O104-P104-Q104-R104-S104-T104</f>
      </c>
      <c r="W104" s="4">
        <f>(V104-Y104)/J104*100</f>
      </c>
      <c r="X104" s="4">
        <f>M104-U104</f>
      </c>
      <c r="Z104" s="4">
        <f>V104-Y104</f>
      </c>
      <c r="AE104" t="s">
        <v>1</v>
      </c>
    </row>
    <row r="105" spans="1:31" x14ac:dyDescent="0.25">
      <c r="A105" s="8">
        <v>46218.5</v>
      </c>
      <c r="B105" t="s">
        <v>275</v>
      </c>
      <c r="C105" t="s">
        <v>177</v>
      </c>
      <c r="D105" s="9" t="s">
        <v>1</v>
      </c>
      <c r="E105" t="s">
        <v>177</v>
      </c>
      <c r="F105" t="s">
        <v>1</v>
      </c>
      <c r="G105" t="s">
        <v>1</v>
      </c>
      <c r="H105" t="s">
        <v>78</v>
      </c>
      <c r="I105">
        <v>4</v>
      </c>
      <c r="J105" s="4">
        <v>0.6</v>
      </c>
      <c r="K105" s="4">
        <v>0.8</v>
      </c>
      <c r="L105" s="4">
        <f>K105-J105</f>
      </c>
      <c r="M105" s="4">
        <f>L105*16.67%</f>
      </c>
      <c r="N105" s="4">
        <f>K105/100*7</f>
      </c>
      <c r="O105" s="4">
        <f>N105*20%</f>
      </c>
      <c r="P105" s="4">
        <f>N105*2%</f>
      </c>
      <c r="Q105" s="4">
        <f>P105*20%</f>
      </c>
      <c r="R105" s="4">
        <v>0</v>
      </c>
      <c r="S105" s="4">
        <f>R105*20%</f>
      </c>
      <c r="T105" s="4">
        <v>0</v>
      </c>
      <c r="U105" s="4">
        <f>O105+Q105+S105</f>
      </c>
      <c r="V105" s="4">
        <f>L105-M105-N105-O105-P105-Q105-R105-S105-T105</f>
      </c>
      <c r="W105" s="4">
        <f>(V105-Y105)/J105*100</f>
      </c>
      <c r="X105" s="4">
        <f>M105-U105</f>
      </c>
      <c r="Z105" s="4">
        <f>V105-Y105</f>
      </c>
      <c r="AE105" t="s">
        <v>1</v>
      </c>
    </row>
    <row r="106" spans="1:31" x14ac:dyDescent="0.25">
      <c r="A106" s="8">
        <v>46218.5</v>
      </c>
      <c r="B106" t="s">
        <v>276</v>
      </c>
      <c r="C106" t="s">
        <v>177</v>
      </c>
      <c r="D106" s="9" t="s">
        <v>1</v>
      </c>
      <c r="E106" t="s">
        <v>177</v>
      </c>
      <c r="F106" t="s">
        <v>1</v>
      </c>
      <c r="G106" t="s">
        <v>1</v>
      </c>
      <c r="H106" t="s">
        <v>78</v>
      </c>
      <c r="I106">
        <v>2</v>
      </c>
      <c r="J106" s="4">
        <v>0.3</v>
      </c>
      <c r="K106" s="4">
        <v>0.34</v>
      </c>
      <c r="L106" s="4">
        <f>K106-J106</f>
      </c>
      <c r="M106" s="4">
        <f>L106*16.67%</f>
      </c>
      <c r="N106" s="4">
        <f>K106/100*7</f>
      </c>
      <c r="O106" s="4">
        <f>N106*20%</f>
      </c>
      <c r="P106" s="4">
        <f>N106*2%</f>
      </c>
      <c r="Q106" s="4">
        <f>P106*20%</f>
      </c>
      <c r="R106" s="4">
        <v>0</v>
      </c>
      <c r="S106" s="4">
        <f>R106*20%</f>
      </c>
      <c r="T106" s="4">
        <v>0</v>
      </c>
      <c r="U106" s="4">
        <f>O106+Q106+S106</f>
      </c>
      <c r="V106" s="4">
        <f>L106-M106-N106-O106-P106-Q106-R106-S106-T106</f>
      </c>
      <c r="W106" s="4">
        <f>(V106-Y106)/J106*100</f>
      </c>
      <c r="X106" s="4">
        <f>M106-U106</f>
      </c>
      <c r="Z106" s="4">
        <f>V106-Y106</f>
      </c>
      <c r="AE106" t="s">
        <v>1</v>
      </c>
    </row>
    <row r="107" spans="1:31" x14ac:dyDescent="0.25">
      <c r="A107" s="8">
        <v>46217.5</v>
      </c>
      <c r="B107" t="s">
        <v>277</v>
      </c>
      <c r="C107" t="s">
        <v>1</v>
      </c>
      <c r="D107" s="9" t="s">
        <v>278</v>
      </c>
      <c r="E107" t="s">
        <v>94</v>
      </c>
      <c r="F107" t="s">
        <v>105</v>
      </c>
      <c r="G107" t="s">
        <v>95</v>
      </c>
      <c r="H107" t="s">
        <v>61</v>
      </c>
      <c r="I107">
        <v>1</v>
      </c>
      <c r="J107" s="4">
        <v>65</v>
      </c>
      <c r="K107" s="4">
        <v>86.45</v>
      </c>
      <c r="L107" s="4">
        <f>K107-J107</f>
      </c>
      <c r="M107" s="4">
        <f>L107*16.67%</f>
      </c>
      <c r="N107" s="4">
        <f>K107/100*7</f>
      </c>
      <c r="O107" s="4">
        <f>N107*20%</f>
      </c>
      <c r="P107" s="4">
        <f>N107*2%</f>
      </c>
      <c r="Q107" s="4">
        <f>P107*20%</f>
      </c>
      <c r="R107" s="4">
        <v>0</v>
      </c>
      <c r="S107" s="4">
        <f>R107*20%</f>
      </c>
      <c r="T107" s="4">
        <v>1</v>
      </c>
      <c r="U107" s="4">
        <f>O107+Q107+S107</f>
      </c>
      <c r="V107" s="4">
        <f>L107-M107-N107-O107-P107-Q107-R107-S107-T107</f>
      </c>
      <c r="W107" s="4">
        <f>(V107-Y107)/J107*100</f>
      </c>
      <c r="X107" s="4">
        <f>M107-U107</f>
      </c>
      <c r="Z107" s="4">
        <f>V107-Y107</f>
      </c>
      <c r="AE107" t="s">
        <v>1</v>
      </c>
    </row>
    <row r="108" spans="1:31" x14ac:dyDescent="0.25">
      <c r="A108" s="8">
        <v>46217.5</v>
      </c>
      <c r="B108" t="s">
        <v>279</v>
      </c>
      <c r="C108" t="s">
        <v>177</v>
      </c>
      <c r="D108" s="9" t="s">
        <v>1</v>
      </c>
      <c r="E108" t="s">
        <v>177</v>
      </c>
      <c r="F108" t="s">
        <v>1</v>
      </c>
      <c r="G108" t="s">
        <v>1</v>
      </c>
      <c r="H108" t="s">
        <v>78</v>
      </c>
      <c r="I108">
        <v>4</v>
      </c>
      <c r="J108" s="4">
        <v>0.6</v>
      </c>
      <c r="K108" s="4">
        <v>0.73</v>
      </c>
      <c r="L108" s="4">
        <f>K108-J108</f>
      </c>
      <c r="M108" s="4">
        <f>L108*16.67%</f>
      </c>
      <c r="N108" s="4">
        <f>K108/100*7</f>
      </c>
      <c r="O108" s="4">
        <f>N108*20%</f>
      </c>
      <c r="P108" s="4">
        <f>N108*2%</f>
      </c>
      <c r="Q108" s="4">
        <f>P108*20%</f>
      </c>
      <c r="R108" s="4">
        <v>0</v>
      </c>
      <c r="S108" s="4">
        <f>R108*20%</f>
      </c>
      <c r="T108" s="4">
        <v>0</v>
      </c>
      <c r="U108" s="4">
        <f>O108+Q108+S108</f>
      </c>
      <c r="V108" s="4">
        <f>L108-M108-N108-O108-P108-Q108-R108-S108-T108</f>
      </c>
      <c r="W108" s="4">
        <f>(V108-Y108)/J108*100</f>
      </c>
      <c r="X108" s="4">
        <f>M108-U108</f>
      </c>
      <c r="Z108" s="4">
        <f>V108-Y108</f>
      </c>
      <c r="AE108" t="s">
        <v>1</v>
      </c>
    </row>
    <row r="109" spans="1:31" x14ac:dyDescent="0.25">
      <c r="A109" s="8">
        <v>46216.5</v>
      </c>
      <c r="B109" t="s">
        <v>280</v>
      </c>
      <c r="C109" t="s">
        <v>1</v>
      </c>
      <c r="D109" s="9" t="s">
        <v>281</v>
      </c>
      <c r="E109" t="s">
        <v>94</v>
      </c>
      <c r="F109" t="s">
        <v>99</v>
      </c>
      <c r="G109" t="s">
        <v>95</v>
      </c>
      <c r="H109" t="s">
        <v>102</v>
      </c>
      <c r="I109">
        <v>1</v>
      </c>
      <c r="J109" s="4">
        <v>65</v>
      </c>
      <c r="K109" s="4">
        <v>85.8</v>
      </c>
      <c r="L109" s="4">
        <f>K109-J109</f>
      </c>
      <c r="M109" s="4">
        <f>L109*16.67%</f>
      </c>
      <c r="N109" s="4">
        <f>K109/100*7</f>
      </c>
      <c r="O109" s="4">
        <f>N109*20%</f>
      </c>
      <c r="P109" s="4">
        <f>N109*2%</f>
      </c>
      <c r="Q109" s="4">
        <f>P109*20%</f>
      </c>
      <c r="R109" s="4">
        <v>0</v>
      </c>
      <c r="S109" s="4">
        <f>R109*20%</f>
      </c>
      <c r="T109" s="4">
        <v>1</v>
      </c>
      <c r="U109" s="4">
        <f>O109+Q109+S109</f>
      </c>
      <c r="V109" s="4">
        <f>L109-M109-N109-O109-P109-Q109-R109-S109-T109</f>
      </c>
      <c r="W109" s="4">
        <f>(V109-Y109)/J109*100</f>
      </c>
      <c r="X109" s="4">
        <f>M109-U109</f>
      </c>
      <c r="Z109" s="4">
        <f>V109-Y109</f>
      </c>
      <c r="AE109" t="s">
        <v>1</v>
      </c>
    </row>
    <row r="110" spans="1:31" x14ac:dyDescent="0.25">
      <c r="A110" s="8">
        <v>46216.5</v>
      </c>
      <c r="B110" t="s">
        <v>282</v>
      </c>
      <c r="C110" t="s">
        <v>189</v>
      </c>
      <c r="D110" s="9" t="s">
        <v>1</v>
      </c>
      <c r="E110" t="s">
        <v>189</v>
      </c>
      <c r="F110" t="s">
        <v>1</v>
      </c>
      <c r="G110" t="s">
        <v>1</v>
      </c>
      <c r="H110" t="s">
        <v>66</v>
      </c>
      <c r="I110">
        <v>3</v>
      </c>
      <c r="J110" s="4">
        <v>10.5</v>
      </c>
      <c r="K110" s="4">
        <v>14.91</v>
      </c>
      <c r="L110" s="4">
        <f>K110-J110</f>
      </c>
      <c r="M110" s="4">
        <f>L110*16.67%</f>
      </c>
      <c r="N110" s="4">
        <f>K110/100*7</f>
      </c>
      <c r="O110" s="4">
        <f>N110*20%</f>
      </c>
      <c r="P110" s="4">
        <f>N110*2%</f>
      </c>
      <c r="Q110" s="4">
        <f>P110*20%</f>
      </c>
      <c r="R110" s="4">
        <v>0</v>
      </c>
      <c r="S110" s="4">
        <f>R110*20%</f>
      </c>
      <c r="T110" s="4">
        <v>0</v>
      </c>
      <c r="U110" s="4">
        <f>O110+Q110+S110</f>
      </c>
      <c r="V110" s="4">
        <f>L110-M110-N110-O110-P110-Q110-R110-S110-T110</f>
      </c>
      <c r="W110" s="4">
        <f>(V110-Y110)/J110*100</f>
      </c>
      <c r="X110" s="4">
        <f>M110-U110</f>
      </c>
      <c r="Z110" s="4">
        <f>V110-Y110</f>
      </c>
      <c r="AE110" t="s">
        <v>1</v>
      </c>
    </row>
    <row r="111" spans="1:31" x14ac:dyDescent="0.25">
      <c r="A111" s="8">
        <v>46216.5</v>
      </c>
      <c r="B111" t="s">
        <v>283</v>
      </c>
      <c r="C111" t="s">
        <v>189</v>
      </c>
      <c r="D111" s="9" t="s">
        <v>1</v>
      </c>
      <c r="E111" t="s">
        <v>189</v>
      </c>
      <c r="F111" t="s">
        <v>1</v>
      </c>
      <c r="G111" t="s">
        <v>1</v>
      </c>
      <c r="H111" t="s">
        <v>66</v>
      </c>
      <c r="I111">
        <v>4</v>
      </c>
      <c r="J111" s="4">
        <v>14</v>
      </c>
      <c r="K111" s="4">
        <v>16.38</v>
      </c>
      <c r="L111" s="4">
        <f>K111-J111</f>
      </c>
      <c r="M111" s="4">
        <f>L111*16.67%</f>
      </c>
      <c r="N111" s="4">
        <f>K111/100*7</f>
      </c>
      <c r="O111" s="4">
        <f>N111*20%</f>
      </c>
      <c r="P111" s="4">
        <f>N111*2%</f>
      </c>
      <c r="Q111" s="4">
        <f>P111*20%</f>
      </c>
      <c r="R111" s="4">
        <v>0</v>
      </c>
      <c r="S111" s="4">
        <f>R111*20%</f>
      </c>
      <c r="T111" s="4">
        <v>0</v>
      </c>
      <c r="U111" s="4">
        <f>O111+Q111+S111</f>
      </c>
      <c r="V111" s="4">
        <f>L111-M111-N111-O111-P111-Q111-R111-S111-T111</f>
      </c>
      <c r="W111" s="4">
        <f>(V111-Y111)/J111*100</f>
      </c>
      <c r="X111" s="4">
        <f>M111-U111</f>
      </c>
      <c r="Z111" s="4">
        <f>V111-Y111</f>
      </c>
      <c r="AE111" t="s">
        <v>1</v>
      </c>
    </row>
    <row r="112" spans="1:31" x14ac:dyDescent="0.25">
      <c r="A112" s="8">
        <v>46215.5</v>
      </c>
      <c r="B112" t="s">
        <v>284</v>
      </c>
      <c r="C112" t="s">
        <v>1</v>
      </c>
      <c r="D112" s="9" t="s">
        <v>285</v>
      </c>
      <c r="E112" t="s">
        <v>58</v>
      </c>
      <c r="F112" t="s">
        <v>70</v>
      </c>
      <c r="G112" t="s">
        <v>60</v>
      </c>
      <c r="H112" t="s">
        <v>61</v>
      </c>
      <c r="I112">
        <v>1</v>
      </c>
      <c r="J112" s="4">
        <v>462</v>
      </c>
      <c r="K112" s="4">
        <v>669.9</v>
      </c>
      <c r="L112" s="4">
        <f>K112-J112</f>
      </c>
      <c r="M112" s="4">
        <f>L112*16.67%</f>
      </c>
      <c r="N112" s="4">
        <f>K112/100*7</f>
      </c>
      <c r="O112" s="4">
        <f>N112*20%</f>
      </c>
      <c r="P112" s="4">
        <f>N112*2%</f>
      </c>
      <c r="Q112" s="4">
        <f>P112*20%</f>
      </c>
      <c r="R112" s="4">
        <v>0</v>
      </c>
      <c r="S112" s="4">
        <f>R112*20%</f>
      </c>
      <c r="T112" s="4">
        <v>1</v>
      </c>
      <c r="U112" s="4">
        <f>O112+Q112+S112</f>
      </c>
      <c r="V112" s="4">
        <f>L112-M112-N112-O112-P112-Q112-R112-S112-T112</f>
      </c>
      <c r="W112" s="4">
        <f>(V112-Y112)/J112*100</f>
      </c>
      <c r="X112" s="4">
        <f>M112-U112</f>
      </c>
      <c r="Z112" s="4">
        <f>V112-Y112</f>
      </c>
      <c r="AE112" t="s">
        <v>1</v>
      </c>
    </row>
    <row r="113" spans="1:31" x14ac:dyDescent="0.25">
      <c r="A113" s="8">
        <v>46215.5</v>
      </c>
      <c r="B113" t="s">
        <v>286</v>
      </c>
      <c r="C113" t="s">
        <v>1</v>
      </c>
      <c r="D113" s="9" t="s">
        <v>287</v>
      </c>
      <c r="E113" t="s">
        <v>131</v>
      </c>
      <c r="F113" t="s">
        <v>85</v>
      </c>
      <c r="G113" t="s">
        <v>65</v>
      </c>
      <c r="H113" t="s">
        <v>66</v>
      </c>
      <c r="I113">
        <v>1</v>
      </c>
      <c r="J113" s="4">
        <v>291</v>
      </c>
      <c r="K113" s="4">
        <v>401.58</v>
      </c>
      <c r="L113" s="4">
        <f>K113-J113</f>
      </c>
      <c r="M113" s="4">
        <f>L113*16.67%</f>
      </c>
      <c r="N113" s="4">
        <f>K113/100*7</f>
      </c>
      <c r="O113" s="4">
        <f>N113*20%</f>
      </c>
      <c r="P113" s="4">
        <f>N113*2%</f>
      </c>
      <c r="Q113" s="4">
        <f>P113*20%</f>
      </c>
      <c r="R113" s="4">
        <v>0</v>
      </c>
      <c r="S113" s="4">
        <f>R113*20%</f>
      </c>
      <c r="T113" s="4">
        <v>1</v>
      </c>
      <c r="U113" s="4">
        <f>O113+Q113+S113</f>
      </c>
      <c r="V113" s="4">
        <f>L113-M113-N113-O113-P113-Q113-R113-S113-T113</f>
      </c>
      <c r="W113" s="4">
        <f>(V113-Y113)/J113*100</f>
      </c>
      <c r="X113" s="4">
        <f>M113-U113</f>
      </c>
      <c r="Z113" s="4">
        <f>V113-Y113</f>
      </c>
      <c r="AE113" t="s">
        <v>1</v>
      </c>
    </row>
    <row r="114" spans="1:31" x14ac:dyDescent="0.25">
      <c r="A114" s="8">
        <v>46215.5</v>
      </c>
      <c r="B114" t="s">
        <v>288</v>
      </c>
      <c r="C114" t="s">
        <v>1</v>
      </c>
      <c r="D114" s="9" t="s">
        <v>289</v>
      </c>
      <c r="E114" t="s">
        <v>114</v>
      </c>
      <c r="F114" t="s">
        <v>105</v>
      </c>
      <c r="G114" t="s">
        <v>95</v>
      </c>
      <c r="H114" t="s">
        <v>75</v>
      </c>
      <c r="I114">
        <v>1</v>
      </c>
      <c r="J114" s="4">
        <v>230</v>
      </c>
      <c r="K114" s="4">
        <v>282.9</v>
      </c>
      <c r="L114" s="4">
        <f>K114-J114</f>
      </c>
      <c r="M114" s="4">
        <f>L114*16.67%</f>
      </c>
      <c r="N114" s="4">
        <f>K114/100*7</f>
      </c>
      <c r="O114" s="4">
        <f>N114*20%</f>
      </c>
      <c r="P114" s="4">
        <f>N114*2%</f>
      </c>
      <c r="Q114" s="4">
        <f>P114*20%</f>
      </c>
      <c r="R114" s="4">
        <v>0</v>
      </c>
      <c r="S114" s="4">
        <f>R114*20%</f>
      </c>
      <c r="T114" s="4">
        <v>1</v>
      </c>
      <c r="U114" s="4">
        <f>O114+Q114+S114</f>
      </c>
      <c r="V114" s="4">
        <f>L114-M114-N114-O114-P114-Q114-R114-S114-T114</f>
      </c>
      <c r="W114" s="4">
        <f>(V114-Y114)/J114*100</f>
      </c>
      <c r="X114" s="4">
        <f>M114-U114</f>
      </c>
      <c r="Z114" s="4">
        <f>V114-Y114</f>
      </c>
      <c r="AE114" t="s">
        <v>1</v>
      </c>
    </row>
    <row r="115" spans="1:31" x14ac:dyDescent="0.25">
      <c r="A115" s="8">
        <v>46215.5</v>
      </c>
      <c r="B115" t="s">
        <v>290</v>
      </c>
      <c r="C115" t="s">
        <v>1</v>
      </c>
      <c r="D115" s="9" t="s">
        <v>291</v>
      </c>
      <c r="E115" t="s">
        <v>292</v>
      </c>
      <c r="F115" t="s">
        <v>99</v>
      </c>
      <c r="G115" t="s">
        <v>126</v>
      </c>
      <c r="H115" t="s">
        <v>75</v>
      </c>
      <c r="I115">
        <v>1</v>
      </c>
      <c r="J115" s="4">
        <v>163</v>
      </c>
      <c r="K115" s="4">
        <v>207.01</v>
      </c>
      <c r="L115" s="4">
        <f>K115-J115</f>
      </c>
      <c r="M115" s="4">
        <f>L115*16.67%</f>
      </c>
      <c r="N115" s="4">
        <f>K115/100*7</f>
      </c>
      <c r="O115" s="4">
        <f>N115*20%</f>
      </c>
      <c r="P115" s="4">
        <f>N115*2%</f>
      </c>
      <c r="Q115" s="4">
        <f>P115*20%</f>
      </c>
      <c r="R115" s="4">
        <v>0</v>
      </c>
      <c r="S115" s="4">
        <f>R115*20%</f>
      </c>
      <c r="T115" s="4">
        <v>1</v>
      </c>
      <c r="U115" s="4">
        <f>O115+Q115+S115</f>
      </c>
      <c r="V115" s="4">
        <f>L115-M115-N115-O115-P115-Q115-R115-S115-T115</f>
      </c>
      <c r="W115" s="4">
        <f>(V115-Y115)/J115*100</f>
      </c>
      <c r="X115" s="4">
        <f>M115-U115</f>
      </c>
      <c r="Z115" s="4">
        <f>V115-Y115</f>
      </c>
      <c r="AE115" t="s">
        <v>1</v>
      </c>
    </row>
    <row r="116" spans="1:31" x14ac:dyDescent="0.25">
      <c r="A116" s="8">
        <v>46214.5</v>
      </c>
      <c r="B116" t="s">
        <v>293</v>
      </c>
      <c r="C116" t="s">
        <v>1</v>
      </c>
      <c r="D116" s="9" t="s">
        <v>294</v>
      </c>
      <c r="E116" t="s">
        <v>139</v>
      </c>
      <c r="F116" t="s">
        <v>105</v>
      </c>
      <c r="G116" t="s">
        <v>65</v>
      </c>
      <c r="H116" t="s">
        <v>61</v>
      </c>
      <c r="I116">
        <v>1</v>
      </c>
      <c r="J116" s="4">
        <v>341</v>
      </c>
      <c r="K116" s="4">
        <v>419.43</v>
      </c>
      <c r="L116" s="4">
        <f>K116-J116</f>
      </c>
      <c r="M116" s="4">
        <f>L116*16.67%</f>
      </c>
      <c r="N116" s="4">
        <f>K116/100*7</f>
      </c>
      <c r="O116" s="4">
        <f>N116*20%</f>
      </c>
      <c r="P116" s="4">
        <f>N116*2%</f>
      </c>
      <c r="Q116" s="4">
        <f>P116*20%</f>
      </c>
      <c r="R116" s="4">
        <v>0</v>
      </c>
      <c r="S116" s="4">
        <f>R116*20%</f>
      </c>
      <c r="T116" s="4">
        <v>1</v>
      </c>
      <c r="U116" s="4">
        <f>O116+Q116+S116</f>
      </c>
      <c r="V116" s="4">
        <f>L116-M116-N116-O116-P116-Q116-R116-S116-T116</f>
      </c>
      <c r="W116" s="4">
        <f>(V116-Y116)/J116*100</f>
      </c>
      <c r="X116" s="4">
        <f>M116-U116</f>
      </c>
      <c r="Z116" s="4">
        <f>V116-Y116</f>
      </c>
      <c r="AE116" t="s">
        <v>1</v>
      </c>
    </row>
    <row r="117" spans="1:31" x14ac:dyDescent="0.25">
      <c r="A117" s="8">
        <v>46214.5</v>
      </c>
      <c r="B117" t="s">
        <v>295</v>
      </c>
      <c r="C117" t="s">
        <v>182</v>
      </c>
      <c r="D117" s="9" t="s">
        <v>1</v>
      </c>
      <c r="E117" t="s">
        <v>182</v>
      </c>
      <c r="F117" t="s">
        <v>1</v>
      </c>
      <c r="G117" t="s">
        <v>1</v>
      </c>
      <c r="H117" t="s">
        <v>75</v>
      </c>
      <c r="I117">
        <v>1</v>
      </c>
      <c r="J117" s="4">
        <v>1.9</v>
      </c>
      <c r="K117" s="4">
        <v>2.43</v>
      </c>
      <c r="L117" s="4">
        <f>K117-J117</f>
      </c>
      <c r="M117" s="4">
        <f>L117*16.67%</f>
      </c>
      <c r="N117" s="4">
        <f>K117/100*7</f>
      </c>
      <c r="O117" s="4">
        <f>N117*20%</f>
      </c>
      <c r="P117" s="4">
        <f>N117*2%</f>
      </c>
      <c r="Q117" s="4">
        <f>P117*20%</f>
      </c>
      <c r="R117" s="4">
        <v>0</v>
      </c>
      <c r="S117" s="4">
        <f>R117*20%</f>
      </c>
      <c r="T117" s="4">
        <v>0</v>
      </c>
      <c r="U117" s="4">
        <f>O117+Q117+S117</f>
      </c>
      <c r="V117" s="4">
        <f>L117-M117-N117-O117-P117-Q117-R117-S117-T117</f>
      </c>
      <c r="W117" s="4">
        <f>(V117-Y117)/J117*100</f>
      </c>
      <c r="X117" s="4">
        <f>M117-U117</f>
      </c>
      <c r="Z117" s="4">
        <f>V117-Y117</f>
      </c>
      <c r="AE117" t="s">
        <v>1</v>
      </c>
    </row>
    <row r="118" spans="1:31" x14ac:dyDescent="0.25">
      <c r="A118" s="8">
        <v>46213.5</v>
      </c>
      <c r="B118" t="s">
        <v>296</v>
      </c>
      <c r="C118" t="s">
        <v>1</v>
      </c>
      <c r="D118" s="9" t="s">
        <v>297</v>
      </c>
      <c r="E118" t="s">
        <v>64</v>
      </c>
      <c r="F118" t="s">
        <v>99</v>
      </c>
      <c r="G118" t="s">
        <v>65</v>
      </c>
      <c r="H118" t="s">
        <v>102</v>
      </c>
      <c r="I118">
        <v>1</v>
      </c>
      <c r="J118" s="4">
        <v>222</v>
      </c>
      <c r="K118" s="4">
        <v>315.24</v>
      </c>
      <c r="L118" s="4">
        <f>K118-J118</f>
      </c>
      <c r="M118" s="4">
        <f>L118*16.67%</f>
      </c>
      <c r="N118" s="4">
        <f>K118/100*7</f>
      </c>
      <c r="O118" s="4">
        <f>N118*20%</f>
      </c>
      <c r="P118" s="4">
        <f>N118*2%</f>
      </c>
      <c r="Q118" s="4">
        <f>P118*20%</f>
      </c>
      <c r="R118" s="4">
        <v>0</v>
      </c>
      <c r="S118" s="4">
        <f>R118*20%</f>
      </c>
      <c r="T118" s="4">
        <v>1</v>
      </c>
      <c r="U118" s="4">
        <f>O118+Q118+S118</f>
      </c>
      <c r="V118" s="4">
        <f>L118-M118-N118-O118-P118-Q118-R118-S118-T118</f>
      </c>
      <c r="W118" s="4">
        <f>(V118-Y118)/J118*100</f>
      </c>
      <c r="X118" s="4">
        <f>M118-U118</f>
      </c>
      <c r="Z118" s="4">
        <f>V118-Y118</f>
      </c>
      <c r="AE118" t="s">
        <v>1</v>
      </c>
    </row>
    <row r="119" spans="1:31" x14ac:dyDescent="0.25">
      <c r="A119" s="8">
        <v>46213.5</v>
      </c>
      <c r="B119" t="s">
        <v>298</v>
      </c>
      <c r="C119" t="s">
        <v>189</v>
      </c>
      <c r="D119" s="9" t="s">
        <v>1</v>
      </c>
      <c r="E119" t="s">
        <v>189</v>
      </c>
      <c r="F119" t="s">
        <v>1</v>
      </c>
      <c r="G119" t="s">
        <v>1</v>
      </c>
      <c r="H119" t="s">
        <v>66</v>
      </c>
      <c r="I119">
        <v>1</v>
      </c>
      <c r="J119" s="4">
        <v>3.5</v>
      </c>
      <c r="K119" s="4">
        <v>4.02</v>
      </c>
      <c r="L119" s="4">
        <f>K119-J119</f>
      </c>
      <c r="M119" s="4">
        <f>L119*16.67%</f>
      </c>
      <c r="N119" s="4">
        <f>K119/100*7</f>
      </c>
      <c r="O119" s="4">
        <f>N119*20%</f>
      </c>
      <c r="P119" s="4">
        <f>N119*2%</f>
      </c>
      <c r="Q119" s="4">
        <f>P119*20%</f>
      </c>
      <c r="R119" s="4">
        <v>0</v>
      </c>
      <c r="S119" s="4">
        <f>R119*20%</f>
      </c>
      <c r="T119" s="4">
        <v>0</v>
      </c>
      <c r="U119" s="4">
        <f>O119+Q119+S119</f>
      </c>
      <c r="V119" s="4">
        <f>L119-M119-N119-O119-P119-Q119-R119-S119-T119</f>
      </c>
      <c r="W119" s="4">
        <f>(V119-Y119)/J119*100</f>
      </c>
      <c r="X119" s="4">
        <f>M119-U119</f>
      </c>
      <c r="Z119" s="4">
        <f>V119-Y119</f>
      </c>
      <c r="AE119" t="s">
        <v>1</v>
      </c>
    </row>
    <row r="120" spans="1:31" x14ac:dyDescent="0.25">
      <c r="A120" s="8">
        <v>46213.5</v>
      </c>
      <c r="B120" t="s">
        <v>299</v>
      </c>
      <c r="C120" t="s">
        <v>174</v>
      </c>
      <c r="D120" s="9" t="s">
        <v>1</v>
      </c>
      <c r="E120" t="s">
        <v>174</v>
      </c>
      <c r="F120" t="s">
        <v>1</v>
      </c>
      <c r="G120" t="s">
        <v>1</v>
      </c>
      <c r="H120" t="s">
        <v>66</v>
      </c>
      <c r="I120">
        <v>1</v>
      </c>
      <c r="J120" s="4">
        <v>4.25</v>
      </c>
      <c r="K120" s="4">
        <v>5.82</v>
      </c>
      <c r="L120" s="4">
        <f>K120-J120</f>
      </c>
      <c r="M120" s="4">
        <f>L120*16.67%</f>
      </c>
      <c r="N120" s="4">
        <f>K120/100*7</f>
      </c>
      <c r="O120" s="4">
        <f>N120*20%</f>
      </c>
      <c r="P120" s="4">
        <f>N120*2%</f>
      </c>
      <c r="Q120" s="4">
        <f>P120*20%</f>
      </c>
      <c r="R120" s="4">
        <v>0</v>
      </c>
      <c r="S120" s="4">
        <f>R120*20%</f>
      </c>
      <c r="T120" s="4">
        <v>0</v>
      </c>
      <c r="U120" s="4">
        <f>O120+Q120+S120</f>
      </c>
      <c r="V120" s="4">
        <f>L120-M120-N120-O120-P120-Q120-R120-S120-T120</f>
      </c>
      <c r="W120" s="4">
        <f>(V120-Y120)/J120*100</f>
      </c>
      <c r="X120" s="4">
        <f>M120-U120</f>
      </c>
      <c r="Z120" s="4">
        <f>V120-Y120</f>
      </c>
      <c r="AE120" t="s">
        <v>1</v>
      </c>
    </row>
    <row r="121" spans="1:31" x14ac:dyDescent="0.25">
      <c r="A121" s="8">
        <v>46212.5</v>
      </c>
      <c r="B121" t="s">
        <v>300</v>
      </c>
      <c r="C121" t="s">
        <v>1</v>
      </c>
      <c r="D121" s="9" t="s">
        <v>301</v>
      </c>
      <c r="E121" t="s">
        <v>134</v>
      </c>
      <c r="F121" t="s">
        <v>59</v>
      </c>
      <c r="G121" t="s">
        <v>95</v>
      </c>
      <c r="H121" t="s">
        <v>102</v>
      </c>
      <c r="I121">
        <v>1</v>
      </c>
      <c r="J121" s="4">
        <v>110</v>
      </c>
      <c r="K121" s="4">
        <v>128.7</v>
      </c>
      <c r="L121" s="4">
        <f>K121-J121</f>
      </c>
      <c r="M121" s="4">
        <f>L121*16.67%</f>
      </c>
      <c r="N121" s="4">
        <f>K121/100*7</f>
      </c>
      <c r="O121" s="4">
        <f>N121*20%</f>
      </c>
      <c r="P121" s="4">
        <f>N121*2%</f>
      </c>
      <c r="Q121" s="4">
        <f>P121*20%</f>
      </c>
      <c r="R121" s="4">
        <v>0</v>
      </c>
      <c r="S121" s="4">
        <f>R121*20%</f>
      </c>
      <c r="T121" s="4">
        <v>1</v>
      </c>
      <c r="U121" s="4">
        <f>O121+Q121+S121</f>
      </c>
      <c r="V121" s="4">
        <f>L121-M121-N121-O121-P121-Q121-R121-S121-T121</f>
      </c>
      <c r="W121" s="4">
        <f>(V121-Y121)/J121*100</f>
      </c>
      <c r="X121" s="4">
        <f>M121-U121</f>
      </c>
      <c r="Z121" s="4">
        <f>V121-Y121</f>
      </c>
      <c r="AE121" t="s">
        <v>1</v>
      </c>
    </row>
    <row r="122" spans="1:31" x14ac:dyDescent="0.25">
      <c r="A122" s="8">
        <v>46211.5</v>
      </c>
      <c r="B122" t="s">
        <v>302</v>
      </c>
      <c r="C122" t="s">
        <v>1</v>
      </c>
      <c r="D122" s="9" t="s">
        <v>303</v>
      </c>
      <c r="E122" t="s">
        <v>64</v>
      </c>
      <c r="F122" t="s">
        <v>85</v>
      </c>
      <c r="G122" t="s">
        <v>65</v>
      </c>
      <c r="H122" t="s">
        <v>75</v>
      </c>
      <c r="I122">
        <v>1</v>
      </c>
      <c r="J122" s="4">
        <v>246</v>
      </c>
      <c r="K122" s="4">
        <v>312.42</v>
      </c>
      <c r="L122" s="4">
        <f>K122-J122</f>
      </c>
      <c r="M122" s="4">
        <f>L122*16.67%</f>
      </c>
      <c r="N122" s="4">
        <f>K122/100*7</f>
      </c>
      <c r="O122" s="4">
        <f>N122*20%</f>
      </c>
      <c r="P122" s="4">
        <f>N122*2%</f>
      </c>
      <c r="Q122" s="4">
        <f>P122*20%</f>
      </c>
      <c r="R122" s="4">
        <v>0</v>
      </c>
      <c r="S122" s="4">
        <f>R122*20%</f>
      </c>
      <c r="T122" s="4">
        <v>1</v>
      </c>
      <c r="U122" s="4">
        <f>O122+Q122+S122</f>
      </c>
      <c r="V122" s="4">
        <f>L122-M122-N122-O122-P122-Q122-R122-S122-T122</f>
      </c>
      <c r="W122" s="4">
        <f>(V122-Y122)/J122*100</f>
      </c>
      <c r="X122" s="4">
        <f>M122-U122</f>
      </c>
      <c r="Z122" s="4">
        <f>V122-Y122</f>
      </c>
      <c r="AE122" t="s">
        <v>1</v>
      </c>
    </row>
    <row r="123" spans="1:31" x14ac:dyDescent="0.25">
      <c r="A123" s="8">
        <v>46211.5</v>
      </c>
      <c r="B123" t="s">
        <v>304</v>
      </c>
      <c r="C123" t="s">
        <v>1</v>
      </c>
      <c r="D123" s="9" t="s">
        <v>305</v>
      </c>
      <c r="E123" t="s">
        <v>73</v>
      </c>
      <c r="F123" t="s">
        <v>88</v>
      </c>
      <c r="G123" t="s">
        <v>60</v>
      </c>
      <c r="H123" t="s">
        <v>102</v>
      </c>
      <c r="I123">
        <v>1</v>
      </c>
      <c r="J123" s="4">
        <v>362</v>
      </c>
      <c r="K123" s="4">
        <v>503.18</v>
      </c>
      <c r="L123" s="4">
        <f>K123-J123</f>
      </c>
      <c r="M123" s="4">
        <f>L123*16.67%</f>
      </c>
      <c r="N123" s="4">
        <f>K123/100*7</f>
      </c>
      <c r="O123" s="4">
        <f>N123*20%</f>
      </c>
      <c r="P123" s="4">
        <f>N123*2%</f>
      </c>
      <c r="Q123" s="4">
        <f>P123*20%</f>
      </c>
      <c r="R123" s="4">
        <v>0</v>
      </c>
      <c r="S123" s="4">
        <f>R123*20%</f>
      </c>
      <c r="T123" s="4">
        <v>1</v>
      </c>
      <c r="U123" s="4">
        <f>O123+Q123+S123</f>
      </c>
      <c r="V123" s="4">
        <f>L123-M123-N123-O123-P123-Q123-R123-S123-T123</f>
      </c>
      <c r="W123" s="4">
        <f>(V123-Y123)/J123*100</f>
      </c>
      <c r="X123" s="4">
        <f>M123-U123</f>
      </c>
      <c r="Z123" s="4">
        <f>V123-Y123</f>
      </c>
      <c r="AE123" t="s">
        <v>1</v>
      </c>
    </row>
    <row r="124" spans="1:31" x14ac:dyDescent="0.25">
      <c r="A124" s="8">
        <v>46210.5</v>
      </c>
      <c r="B124" t="s">
        <v>306</v>
      </c>
      <c r="C124" t="s">
        <v>1</v>
      </c>
      <c r="D124" s="9" t="s">
        <v>307</v>
      </c>
      <c r="E124" t="s">
        <v>73</v>
      </c>
      <c r="F124" t="s">
        <v>74</v>
      </c>
      <c r="G124" t="s">
        <v>60</v>
      </c>
      <c r="H124" t="s">
        <v>75</v>
      </c>
      <c r="I124">
        <v>1</v>
      </c>
      <c r="J124" s="4">
        <v>325</v>
      </c>
      <c r="K124" s="4">
        <v>399.75</v>
      </c>
      <c r="L124" s="4">
        <f>K124-J124</f>
      </c>
      <c r="M124" s="4">
        <f>L124*16.67%</f>
      </c>
      <c r="N124" s="4">
        <f>K124/100*7</f>
      </c>
      <c r="O124" s="4">
        <f>N124*20%</f>
      </c>
      <c r="P124" s="4">
        <f>N124*2%</f>
      </c>
      <c r="Q124" s="4">
        <f>P124*20%</f>
      </c>
      <c r="R124" s="4">
        <v>0</v>
      </c>
      <c r="S124" s="4">
        <f>R124*20%</f>
      </c>
      <c r="T124" s="4">
        <v>1</v>
      </c>
      <c r="U124" s="4">
        <f>O124+Q124+S124</f>
      </c>
      <c r="V124" s="4">
        <f>L124-M124-N124-O124-P124-Q124-R124-S124-T124</f>
      </c>
      <c r="W124" s="4">
        <f>(V124-Y124)/J124*100</f>
      </c>
      <c r="X124" s="4">
        <f>M124-U124</f>
      </c>
      <c r="Z124" s="4">
        <f>V124-Y124</f>
      </c>
      <c r="AE124" t="s">
        <v>1</v>
      </c>
    </row>
    <row r="125" spans="1:31" x14ac:dyDescent="0.25">
      <c r="A125" s="8">
        <v>46210.5</v>
      </c>
      <c r="B125" t="s">
        <v>308</v>
      </c>
      <c r="C125" t="s">
        <v>1</v>
      </c>
      <c r="D125" s="9" t="s">
        <v>309</v>
      </c>
      <c r="E125" t="s">
        <v>64</v>
      </c>
      <c r="F125" t="s">
        <v>105</v>
      </c>
      <c r="G125" t="s">
        <v>65</v>
      </c>
      <c r="H125" t="s">
        <v>78</v>
      </c>
      <c r="I125">
        <v>1</v>
      </c>
      <c r="J125" s="4">
        <v>246</v>
      </c>
      <c r="K125" s="4">
        <v>332.1</v>
      </c>
      <c r="L125" s="4">
        <f>K125-J125</f>
      </c>
      <c r="M125" s="4">
        <f>L125*16.67%</f>
      </c>
      <c r="N125" s="4">
        <f>K125/100*7</f>
      </c>
      <c r="O125" s="4">
        <f>N125*20%</f>
      </c>
      <c r="P125" s="4">
        <f>N125*2%</f>
      </c>
      <c r="Q125" s="4">
        <f>P125*20%</f>
      </c>
      <c r="R125" s="4">
        <v>0</v>
      </c>
      <c r="S125" s="4">
        <f>R125*20%</f>
      </c>
      <c r="T125" s="4">
        <v>1</v>
      </c>
      <c r="U125" s="4">
        <f>O125+Q125+S125</f>
      </c>
      <c r="V125" s="4">
        <f>L125-M125-N125-O125-P125-Q125-R125-S125-T125</f>
      </c>
      <c r="W125" s="4">
        <f>(V125-Y125)/J125*100</f>
      </c>
      <c r="X125" s="4">
        <f>M125-U125</f>
      </c>
      <c r="Z125" s="4">
        <f>V125-Y125</f>
      </c>
      <c r="AE125" t="s">
        <v>1</v>
      </c>
    </row>
    <row r="126" spans="1:31" x14ac:dyDescent="0.25">
      <c r="A126" s="8">
        <v>46210.5</v>
      </c>
      <c r="B126" t="s">
        <v>310</v>
      </c>
      <c r="C126" t="s">
        <v>1</v>
      </c>
      <c r="D126" s="9" t="s">
        <v>311</v>
      </c>
      <c r="E126" t="s">
        <v>234</v>
      </c>
      <c r="F126" t="s">
        <v>74</v>
      </c>
      <c r="G126" t="s">
        <v>65</v>
      </c>
      <c r="H126" t="s">
        <v>78</v>
      </c>
      <c r="I126">
        <v>1</v>
      </c>
      <c r="J126" s="4">
        <v>151</v>
      </c>
      <c r="K126" s="4">
        <v>199.32</v>
      </c>
      <c r="L126" s="4">
        <f>K126-J126</f>
      </c>
      <c r="M126" s="4">
        <f>L126*16.67%</f>
      </c>
      <c r="N126" s="4">
        <f>K126/100*7</f>
      </c>
      <c r="O126" s="4">
        <f>N126*20%</f>
      </c>
      <c r="P126" s="4">
        <f>N126*2%</f>
      </c>
      <c r="Q126" s="4">
        <f>P126*20%</f>
      </c>
      <c r="R126" s="4">
        <v>0</v>
      </c>
      <c r="S126" s="4">
        <f>R126*20%</f>
      </c>
      <c r="T126" s="4">
        <v>1</v>
      </c>
      <c r="U126" s="4">
        <f>O126+Q126+S126</f>
      </c>
      <c r="V126" s="4">
        <f>L126-M126-N126-O126-P126-Q126-R126-S126-T126</f>
      </c>
      <c r="W126" s="4">
        <f>(V126-Y126)/J126*100</f>
      </c>
      <c r="X126" s="4">
        <f>M126-U126</f>
      </c>
      <c r="Z126" s="4">
        <f>V126-Y126</f>
      </c>
      <c r="AE126" t="s">
        <v>1</v>
      </c>
    </row>
    <row r="127" spans="1:31" x14ac:dyDescent="0.25">
      <c r="A127" s="8">
        <v>46210.5</v>
      </c>
      <c r="B127" t="s">
        <v>312</v>
      </c>
      <c r="C127" t="s">
        <v>1</v>
      </c>
      <c r="D127" s="9" t="s">
        <v>313</v>
      </c>
      <c r="E127" t="s">
        <v>134</v>
      </c>
      <c r="F127" t="s">
        <v>59</v>
      </c>
      <c r="G127" t="s">
        <v>65</v>
      </c>
      <c r="H127" t="s">
        <v>78</v>
      </c>
      <c r="I127">
        <v>1</v>
      </c>
      <c r="J127" s="4">
        <v>101</v>
      </c>
      <c r="K127" s="4">
        <v>140.39</v>
      </c>
      <c r="L127" s="4">
        <f>K127-J127</f>
      </c>
      <c r="M127" s="4">
        <f>L127*16.67%</f>
      </c>
      <c r="N127" s="4">
        <f>K127/100*7</f>
      </c>
      <c r="O127" s="4">
        <f>N127*20%</f>
      </c>
      <c r="P127" s="4">
        <f>N127*2%</f>
      </c>
      <c r="Q127" s="4">
        <f>P127*20%</f>
      </c>
      <c r="R127" s="4">
        <v>0</v>
      </c>
      <c r="S127" s="4">
        <f>R127*20%</f>
      </c>
      <c r="T127" s="4">
        <v>1</v>
      </c>
      <c r="U127" s="4">
        <f>O127+Q127+S127</f>
      </c>
      <c r="V127" s="4">
        <f>L127-M127-N127-O127-P127-Q127-R127-S127-T127</f>
      </c>
      <c r="W127" s="4">
        <f>(V127-Y127)/J127*100</f>
      </c>
      <c r="X127" s="4">
        <f>M127-U127</f>
      </c>
      <c r="Z127" s="4">
        <f>V127-Y127</f>
      </c>
      <c r="AE127" t="s">
        <v>1</v>
      </c>
    </row>
    <row r="128" spans="1:31" x14ac:dyDescent="0.25">
      <c r="A128" s="8">
        <v>46210.5</v>
      </c>
      <c r="B128" t="s">
        <v>314</v>
      </c>
      <c r="C128" t="s">
        <v>185</v>
      </c>
      <c r="D128" s="9" t="s">
        <v>1</v>
      </c>
      <c r="E128" t="s">
        <v>185</v>
      </c>
      <c r="F128" t="s">
        <v>1</v>
      </c>
      <c r="G128" t="s">
        <v>1</v>
      </c>
      <c r="H128" t="s">
        <v>102</v>
      </c>
      <c r="I128">
        <v>4</v>
      </c>
      <c r="J128" s="4">
        <v>4.8</v>
      </c>
      <c r="K128" s="4">
        <v>6.72</v>
      </c>
      <c r="L128" s="4">
        <f>K128-J128</f>
      </c>
      <c r="M128" s="4">
        <f>L128*16.67%</f>
      </c>
      <c r="N128" s="4">
        <f>K128/100*7</f>
      </c>
      <c r="O128" s="4">
        <f>N128*20%</f>
      </c>
      <c r="P128" s="4">
        <f>N128*2%</f>
      </c>
      <c r="Q128" s="4">
        <f>P128*20%</f>
      </c>
      <c r="R128" s="4">
        <v>0</v>
      </c>
      <c r="S128" s="4">
        <f>R128*20%</f>
      </c>
      <c r="T128" s="4">
        <v>0</v>
      </c>
      <c r="U128" s="4">
        <f>O128+Q128+S128</f>
      </c>
      <c r="V128" s="4">
        <f>L128-M128-N128-O128-P128-Q128-R128-S128-T128</f>
      </c>
      <c r="W128" s="4">
        <f>(V128-Y128)/J128*100</f>
      </c>
      <c r="X128" s="4">
        <f>M128-U128</f>
      </c>
      <c r="Z128" s="4">
        <f>V128-Y128</f>
      </c>
      <c r="AE128" t="s">
        <v>1</v>
      </c>
    </row>
    <row r="129" spans="1:31" x14ac:dyDescent="0.25">
      <c r="A129" s="8">
        <v>46210.5</v>
      </c>
      <c r="B129" t="s">
        <v>315</v>
      </c>
      <c r="C129" t="s">
        <v>185</v>
      </c>
      <c r="D129" s="9" t="s">
        <v>1</v>
      </c>
      <c r="E129" t="s">
        <v>185</v>
      </c>
      <c r="F129" t="s">
        <v>1</v>
      </c>
      <c r="G129" t="s">
        <v>1</v>
      </c>
      <c r="H129" t="s">
        <v>102</v>
      </c>
      <c r="I129">
        <v>2</v>
      </c>
      <c r="J129" s="4">
        <v>2.4</v>
      </c>
      <c r="K129" s="4">
        <v>2.78</v>
      </c>
      <c r="L129" s="4">
        <f>K129-J129</f>
      </c>
      <c r="M129" s="4">
        <f>L129*16.67%</f>
      </c>
      <c r="N129" s="4">
        <f>K129/100*7</f>
      </c>
      <c r="O129" s="4">
        <f>N129*20%</f>
      </c>
      <c r="P129" s="4">
        <f>N129*2%</f>
      </c>
      <c r="Q129" s="4">
        <f>P129*20%</f>
      </c>
      <c r="R129" s="4">
        <v>0</v>
      </c>
      <c r="S129" s="4">
        <f>R129*20%</f>
      </c>
      <c r="T129" s="4">
        <v>0</v>
      </c>
      <c r="U129" s="4">
        <f>O129+Q129+S129</f>
      </c>
      <c r="V129" s="4">
        <f>L129-M129-N129-O129-P129-Q129-R129-S129-T129</f>
      </c>
      <c r="W129" s="4">
        <f>(V129-Y129)/J129*100</f>
      </c>
      <c r="X129" s="4">
        <f>M129-U129</f>
      </c>
      <c r="Z129" s="4">
        <f>V129-Y129</f>
      </c>
      <c r="AE129" t="s">
        <v>1</v>
      </c>
    </row>
    <row r="130" spans="1:31" x14ac:dyDescent="0.25">
      <c r="A130" s="8">
        <v>46209.5</v>
      </c>
      <c r="B130" t="s">
        <v>316</v>
      </c>
      <c r="C130" t="s">
        <v>1</v>
      </c>
      <c r="D130" s="9" t="s">
        <v>317</v>
      </c>
      <c r="E130" t="s">
        <v>58</v>
      </c>
      <c r="F130" t="s">
        <v>74</v>
      </c>
      <c r="G130" t="s">
        <v>60</v>
      </c>
      <c r="H130" t="s">
        <v>66</v>
      </c>
      <c r="I130">
        <v>1</v>
      </c>
      <c r="J130" s="4">
        <v>425</v>
      </c>
      <c r="K130" s="4">
        <v>514.25</v>
      </c>
      <c r="L130" s="4">
        <f>K130-J130</f>
      </c>
      <c r="M130" s="4">
        <f>L130*16.67%</f>
      </c>
      <c r="N130" s="4">
        <f>K130/100*7</f>
      </c>
      <c r="O130" s="4">
        <f>N130*20%</f>
      </c>
      <c r="P130" s="4">
        <f>N130*2%</f>
      </c>
      <c r="Q130" s="4">
        <f>P130*20%</f>
      </c>
      <c r="R130" s="4">
        <v>0</v>
      </c>
      <c r="S130" s="4">
        <f>R130*20%</f>
      </c>
      <c r="T130" s="4">
        <v>1</v>
      </c>
      <c r="U130" s="4">
        <f>O130+Q130+S130</f>
      </c>
      <c r="V130" s="4">
        <f>L130-M130-N130-O130-P130-Q130-R130-S130-T130</f>
      </c>
      <c r="W130" s="4">
        <f>(V130-Y130)/J130*100</f>
      </c>
      <c r="X130" s="4">
        <f>M130-U130</f>
      </c>
      <c r="Z130" s="4">
        <f>V130-Y130</f>
      </c>
      <c r="AE130" t="s">
        <v>1</v>
      </c>
    </row>
    <row r="131" spans="1:31" x14ac:dyDescent="0.25">
      <c r="A131" s="8">
        <v>46208.5</v>
      </c>
      <c r="B131" t="s">
        <v>318</v>
      </c>
      <c r="C131" t="s">
        <v>1</v>
      </c>
      <c r="D131" s="9" t="s">
        <v>319</v>
      </c>
      <c r="E131" t="s">
        <v>98</v>
      </c>
      <c r="F131" t="s">
        <v>70</v>
      </c>
      <c r="G131" t="s">
        <v>60</v>
      </c>
      <c r="H131" t="s">
        <v>66</v>
      </c>
      <c r="I131">
        <v>1</v>
      </c>
      <c r="J131" s="4">
        <v>288</v>
      </c>
      <c r="K131" s="4">
        <v>339.84</v>
      </c>
      <c r="L131" s="4">
        <f>K131-J131</f>
      </c>
      <c r="M131" s="4">
        <f>L131*16.67%</f>
      </c>
      <c r="N131" s="4">
        <f>K131/100*7</f>
      </c>
      <c r="O131" s="4">
        <f>N131*20%</f>
      </c>
      <c r="P131" s="4">
        <f>N131*2%</f>
      </c>
      <c r="Q131" s="4">
        <f>P131*20%</f>
      </c>
      <c r="R131" s="4">
        <v>0</v>
      </c>
      <c r="S131" s="4">
        <f>R131*20%</f>
      </c>
      <c r="T131" s="4">
        <v>1</v>
      </c>
      <c r="U131" s="4">
        <f>O131+Q131+S131</f>
      </c>
      <c r="V131" s="4">
        <f>L131-M131-N131-O131-P131-Q131-R131-S131-T131</f>
      </c>
      <c r="W131" s="4">
        <f>(V131-Y131)/J131*100</f>
      </c>
      <c r="X131" s="4">
        <f>M131-U131</f>
      </c>
      <c r="Z131" s="4">
        <f>V131-Y131</f>
      </c>
      <c r="AE131" t="s">
        <v>1</v>
      </c>
    </row>
    <row r="132" spans="1:31" x14ac:dyDescent="0.25">
      <c r="A132" s="8">
        <v>46208.5</v>
      </c>
      <c r="B132" t="s">
        <v>320</v>
      </c>
      <c r="C132" t="s">
        <v>1</v>
      </c>
      <c r="D132" s="9" t="s">
        <v>321</v>
      </c>
      <c r="E132" t="s">
        <v>64</v>
      </c>
      <c r="F132" t="s">
        <v>88</v>
      </c>
      <c r="G132" t="s">
        <v>65</v>
      </c>
      <c r="H132" t="s">
        <v>102</v>
      </c>
      <c r="I132">
        <v>1</v>
      </c>
      <c r="J132" s="4">
        <v>236</v>
      </c>
      <c r="K132" s="4">
        <v>276.12</v>
      </c>
      <c r="L132" s="4">
        <f>K132-J132</f>
      </c>
      <c r="M132" s="4">
        <f>L132*16.67%</f>
      </c>
      <c r="N132" s="4">
        <f>K132/100*7</f>
      </c>
      <c r="O132" s="4">
        <f>N132*20%</f>
      </c>
      <c r="P132" s="4">
        <f>N132*2%</f>
      </c>
      <c r="Q132" s="4">
        <f>P132*20%</f>
      </c>
      <c r="R132" s="4">
        <v>0</v>
      </c>
      <c r="S132" s="4">
        <f>R132*20%</f>
      </c>
      <c r="T132" s="4">
        <v>1</v>
      </c>
      <c r="U132" s="4">
        <f>O132+Q132+S132</f>
      </c>
      <c r="V132" s="4">
        <f>L132-M132-N132-O132-P132-Q132-R132-S132-T132</f>
      </c>
      <c r="W132" s="4">
        <f>(V132-Y132)/J132*100</f>
      </c>
      <c r="X132" s="4">
        <f>M132-U132</f>
      </c>
      <c r="Z132" s="4">
        <f>V132-Y132</f>
      </c>
      <c r="AE132" t="s">
        <v>1</v>
      </c>
    </row>
    <row r="133" spans="1:31" x14ac:dyDescent="0.25">
      <c r="A133" s="8">
        <v>46207.5</v>
      </c>
      <c r="B133" t="s">
        <v>322</v>
      </c>
      <c r="C133" t="s">
        <v>1</v>
      </c>
      <c r="D133" s="9" t="s">
        <v>323</v>
      </c>
      <c r="E133" t="s">
        <v>172</v>
      </c>
      <c r="F133" t="s">
        <v>74</v>
      </c>
      <c r="G133" t="s">
        <v>65</v>
      </c>
      <c r="H133" t="s">
        <v>66</v>
      </c>
      <c r="I133">
        <v>1</v>
      </c>
      <c r="J133" s="4">
        <v>180</v>
      </c>
      <c r="K133" s="4">
        <v>228.6</v>
      </c>
      <c r="L133" s="4">
        <f>K133-J133</f>
      </c>
      <c r="M133" s="4">
        <f>L133*16.67%</f>
      </c>
      <c r="N133" s="4">
        <f>K133/100*7</f>
      </c>
      <c r="O133" s="4">
        <f>N133*20%</f>
      </c>
      <c r="P133" s="4">
        <f>N133*2%</f>
      </c>
      <c r="Q133" s="4">
        <f>P133*20%</f>
      </c>
      <c r="R133" s="4">
        <v>0</v>
      </c>
      <c r="S133" s="4">
        <f>R133*20%</f>
      </c>
      <c r="T133" s="4">
        <v>1</v>
      </c>
      <c r="U133" s="4">
        <f>O133+Q133+S133</f>
      </c>
      <c r="V133" s="4">
        <f>L133-M133-N133-O133-P133-Q133-R133-S133-T133</f>
      </c>
      <c r="W133" s="4">
        <f>(V133-Y133)/J133*100</f>
      </c>
      <c r="X133" s="4">
        <f>M133-U133</f>
      </c>
      <c r="Z133" s="4">
        <f>V133-Y133</f>
      </c>
      <c r="AE133" t="s">
        <v>1</v>
      </c>
    </row>
    <row r="134" spans="1:31" x14ac:dyDescent="0.25">
      <c r="A134" s="8">
        <v>46207.5</v>
      </c>
      <c r="B134" t="s">
        <v>324</v>
      </c>
      <c r="C134" t="s">
        <v>1</v>
      </c>
      <c r="D134" s="9" t="s">
        <v>325</v>
      </c>
      <c r="E134" t="s">
        <v>98</v>
      </c>
      <c r="F134" t="s">
        <v>70</v>
      </c>
      <c r="G134" t="s">
        <v>65</v>
      </c>
      <c r="H134" t="s">
        <v>102</v>
      </c>
      <c r="I134">
        <v>1</v>
      </c>
      <c r="J134" s="4">
        <v>304</v>
      </c>
      <c r="K134" s="4">
        <v>419.52</v>
      </c>
      <c r="L134" s="4">
        <f>K134-J134</f>
      </c>
      <c r="M134" s="4">
        <f>L134*16.67%</f>
      </c>
      <c r="N134" s="4">
        <f>K134/100*7</f>
      </c>
      <c r="O134" s="4">
        <f>N134*20%</f>
      </c>
      <c r="P134" s="4">
        <f>N134*2%</f>
      </c>
      <c r="Q134" s="4">
        <f>P134*20%</f>
      </c>
      <c r="R134" s="4">
        <v>0</v>
      </c>
      <c r="S134" s="4">
        <f>R134*20%</f>
      </c>
      <c r="T134" s="4">
        <v>1</v>
      </c>
      <c r="U134" s="4">
        <f>O134+Q134+S134</f>
      </c>
      <c r="V134" s="4">
        <f>L134-M134-N134-O134-P134-Q134-R134-S134-T134</f>
      </c>
      <c r="W134" s="4">
        <f>(V134-Y134)/J134*100</f>
      </c>
      <c r="X134" s="4">
        <f>M134-U134</f>
      </c>
      <c r="Z134" s="4">
        <f>V134-Y134</f>
      </c>
      <c r="AE134" t="s">
        <v>1</v>
      </c>
    </row>
    <row r="135" spans="1:31" x14ac:dyDescent="0.25">
      <c r="A135" s="8">
        <v>46207.5</v>
      </c>
      <c r="B135" t="s">
        <v>326</v>
      </c>
      <c r="C135" t="s">
        <v>1</v>
      </c>
      <c r="D135" s="9" t="s">
        <v>327</v>
      </c>
      <c r="E135" t="s">
        <v>134</v>
      </c>
      <c r="F135" t="s">
        <v>88</v>
      </c>
      <c r="G135" t="s">
        <v>95</v>
      </c>
      <c r="H135" t="s">
        <v>102</v>
      </c>
      <c r="I135">
        <v>1</v>
      </c>
      <c r="J135" s="4">
        <v>109</v>
      </c>
      <c r="K135" s="4">
        <v>149.33</v>
      </c>
      <c r="L135" s="4">
        <f>K135-J135</f>
      </c>
      <c r="M135" s="4">
        <f>L135*16.67%</f>
      </c>
      <c r="N135" s="4">
        <f>K135/100*7</f>
      </c>
      <c r="O135" s="4">
        <f>N135*20%</f>
      </c>
      <c r="P135" s="4">
        <f>N135*2%</f>
      </c>
      <c r="Q135" s="4">
        <f>P135*20%</f>
      </c>
      <c r="R135" s="4">
        <v>0</v>
      </c>
      <c r="S135" s="4">
        <f>R135*20%</f>
      </c>
      <c r="T135" s="4">
        <v>1</v>
      </c>
      <c r="U135" s="4">
        <f>O135+Q135+S135</f>
      </c>
      <c r="V135" s="4">
        <f>L135-M135-N135-O135-P135-Q135-R135-S135-T135</f>
      </c>
      <c r="W135" s="4">
        <f>(V135-Y135)/J135*100</f>
      </c>
      <c r="X135" s="4">
        <f>M135-U135</f>
      </c>
      <c r="Z135" s="4">
        <f>V135-Y135</f>
      </c>
      <c r="AE135" t="s">
        <v>1</v>
      </c>
    </row>
    <row r="136" spans="1:31" x14ac:dyDescent="0.25">
      <c r="A136" s="8">
        <v>46207.5</v>
      </c>
      <c r="B136" t="s">
        <v>328</v>
      </c>
      <c r="C136" t="s">
        <v>174</v>
      </c>
      <c r="D136" s="9" t="s">
        <v>1</v>
      </c>
      <c r="E136" t="s">
        <v>174</v>
      </c>
      <c r="F136" t="s">
        <v>1</v>
      </c>
      <c r="G136" t="s">
        <v>1</v>
      </c>
      <c r="H136" t="s">
        <v>66</v>
      </c>
      <c r="I136">
        <v>4</v>
      </c>
      <c r="J136" s="4">
        <v>17</v>
      </c>
      <c r="K136" s="4">
        <v>24.65</v>
      </c>
      <c r="L136" s="4">
        <f>K136-J136</f>
      </c>
      <c r="M136" s="4">
        <f>L136*16.67%</f>
      </c>
      <c r="N136" s="4">
        <f>K136/100*7</f>
      </c>
      <c r="O136" s="4">
        <f>N136*20%</f>
      </c>
      <c r="P136" s="4">
        <f>N136*2%</f>
      </c>
      <c r="Q136" s="4">
        <f>P136*20%</f>
      </c>
      <c r="R136" s="4">
        <v>0</v>
      </c>
      <c r="S136" s="4">
        <f>R136*20%</f>
      </c>
      <c r="T136" s="4">
        <v>0</v>
      </c>
      <c r="U136" s="4">
        <f>O136+Q136+S136</f>
      </c>
      <c r="V136" s="4">
        <f>L136-M136-N136-O136-P136-Q136-R136-S136-T136</f>
      </c>
      <c r="W136" s="4">
        <f>(V136-Y136)/J136*100</f>
      </c>
      <c r="X136" s="4">
        <f>M136-U136</f>
      </c>
      <c r="Z136" s="4">
        <f>V136-Y136</f>
      </c>
      <c r="AE136" t="s">
        <v>1</v>
      </c>
    </row>
    <row r="137" spans="1:31" x14ac:dyDescent="0.25">
      <c r="A137" s="8">
        <v>46206.5</v>
      </c>
      <c r="B137" t="s">
        <v>329</v>
      </c>
      <c r="C137" t="s">
        <v>1</v>
      </c>
      <c r="D137" s="9" t="s">
        <v>330</v>
      </c>
      <c r="E137" t="s">
        <v>69</v>
      </c>
      <c r="F137" t="s">
        <v>99</v>
      </c>
      <c r="G137" t="s">
        <v>60</v>
      </c>
      <c r="H137" t="s">
        <v>61</v>
      </c>
      <c r="I137">
        <v>1</v>
      </c>
      <c r="J137" s="4">
        <v>517</v>
      </c>
      <c r="K137" s="4">
        <v>666.93</v>
      </c>
      <c r="L137" s="4">
        <f>K137-J137</f>
      </c>
      <c r="M137" s="4">
        <f>L137*16.67%</f>
      </c>
      <c r="N137" s="4">
        <f>K137/100*7</f>
      </c>
      <c r="O137" s="4">
        <f>N137*20%</f>
      </c>
      <c r="P137" s="4">
        <f>N137*2%</f>
      </c>
      <c r="Q137" s="4">
        <f>P137*20%</f>
      </c>
      <c r="R137" s="4">
        <v>0</v>
      </c>
      <c r="S137" s="4">
        <f>R137*20%</f>
      </c>
      <c r="T137" s="4">
        <v>1</v>
      </c>
      <c r="U137" s="4">
        <f>O137+Q137+S137</f>
      </c>
      <c r="V137" s="4">
        <f>L137-M137-N137-O137-P137-Q137-R137-S137-T137</f>
      </c>
      <c r="W137" s="4">
        <f>(V137-Y137)/J137*100</f>
      </c>
      <c r="X137" s="4">
        <f>M137-U137</f>
      </c>
      <c r="Z137" s="4">
        <f>V137-Y137</f>
      </c>
      <c r="AE137" t="s">
        <v>1</v>
      </c>
    </row>
    <row r="138" spans="1:31" x14ac:dyDescent="0.25">
      <c r="A138" s="8">
        <v>46206.5</v>
      </c>
      <c r="B138" t="s">
        <v>331</v>
      </c>
      <c r="C138" t="s">
        <v>1</v>
      </c>
      <c r="D138" s="9" t="s">
        <v>332</v>
      </c>
      <c r="E138" t="s">
        <v>114</v>
      </c>
      <c r="F138" t="s">
        <v>70</v>
      </c>
      <c r="G138" t="s">
        <v>95</v>
      </c>
      <c r="H138" t="s">
        <v>78</v>
      </c>
      <c r="I138">
        <v>1</v>
      </c>
      <c r="J138" s="4">
        <v>237</v>
      </c>
      <c r="K138" s="4">
        <v>308.1</v>
      </c>
      <c r="L138" s="4">
        <f>K138-J138</f>
      </c>
      <c r="M138" s="4">
        <f>L138*16.67%</f>
      </c>
      <c r="N138" s="4">
        <f>K138/100*7</f>
      </c>
      <c r="O138" s="4">
        <f>N138*20%</f>
      </c>
      <c r="P138" s="4">
        <f>N138*2%</f>
      </c>
      <c r="Q138" s="4">
        <f>P138*20%</f>
      </c>
      <c r="R138" s="4">
        <v>0</v>
      </c>
      <c r="S138" s="4">
        <f>R138*20%</f>
      </c>
      <c r="T138" s="4">
        <v>1</v>
      </c>
      <c r="U138" s="4">
        <f>O138+Q138+S138</f>
      </c>
      <c r="V138" s="4">
        <f>L138-M138-N138-O138-P138-Q138-R138-S138-T138</f>
      </c>
      <c r="W138" s="4">
        <f>(V138-Y138)/J138*100</f>
      </c>
      <c r="X138" s="4">
        <f>M138-U138</f>
      </c>
      <c r="Z138" s="4">
        <f>V138-Y138</f>
      </c>
      <c r="AE138" t="s">
        <v>1</v>
      </c>
    </row>
    <row r="139" spans="1:31" x14ac:dyDescent="0.25">
      <c r="A139" s="8">
        <v>46206.5</v>
      </c>
      <c r="B139" t="s">
        <v>333</v>
      </c>
      <c r="C139" t="s">
        <v>1</v>
      </c>
      <c r="D139" s="9" t="s">
        <v>334</v>
      </c>
      <c r="E139" t="s">
        <v>84</v>
      </c>
      <c r="F139" t="s">
        <v>59</v>
      </c>
      <c r="G139" t="s">
        <v>60</v>
      </c>
      <c r="H139" t="s">
        <v>78</v>
      </c>
      <c r="I139">
        <v>1</v>
      </c>
      <c r="J139" s="4">
        <v>679</v>
      </c>
      <c r="K139" s="4">
        <v>943.81</v>
      </c>
      <c r="L139" s="4">
        <f>K139-J139</f>
      </c>
      <c r="M139" s="4">
        <f>L139*16.67%</f>
      </c>
      <c r="N139" s="4">
        <f>K139/100*7</f>
      </c>
      <c r="O139" s="4">
        <f>N139*20%</f>
      </c>
      <c r="P139" s="4">
        <f>N139*2%</f>
      </c>
      <c r="Q139" s="4">
        <f>P139*20%</f>
      </c>
      <c r="R139" s="4">
        <v>0</v>
      </c>
      <c r="S139" s="4">
        <f>R139*20%</f>
      </c>
      <c r="T139" s="4">
        <v>1</v>
      </c>
      <c r="U139" s="4">
        <f>O139+Q139+S139</f>
      </c>
      <c r="V139" s="4">
        <f>L139-M139-N139-O139-P139-Q139-R139-S139-T139</f>
      </c>
      <c r="W139" s="4">
        <f>(V139-Y139)/J139*100</f>
      </c>
      <c r="X139" s="4">
        <f>M139-U139</f>
      </c>
      <c r="Z139" s="4">
        <f>V139-Y139</f>
      </c>
      <c r="AE139" t="s">
        <v>1</v>
      </c>
    </row>
    <row r="140" spans="1:31" x14ac:dyDescent="0.25">
      <c r="A140" s="8">
        <v>46206.5</v>
      </c>
      <c r="B140" t="s">
        <v>335</v>
      </c>
      <c r="C140" t="s">
        <v>1</v>
      </c>
      <c r="D140" s="9" t="s">
        <v>336</v>
      </c>
      <c r="E140" t="s">
        <v>94</v>
      </c>
      <c r="F140" t="s">
        <v>74</v>
      </c>
      <c r="G140" t="s">
        <v>95</v>
      </c>
      <c r="H140" t="s">
        <v>75</v>
      </c>
      <c r="I140">
        <v>1</v>
      </c>
      <c r="J140" s="4">
        <v>64</v>
      </c>
      <c r="K140" s="4">
        <v>75.52</v>
      </c>
      <c r="L140" s="4">
        <f>K140-J140</f>
      </c>
      <c r="M140" s="4">
        <f>L140*16.67%</f>
      </c>
      <c r="N140" s="4">
        <f>K140/100*7</f>
      </c>
      <c r="O140" s="4">
        <f>N140*20%</f>
      </c>
      <c r="P140" s="4">
        <f>N140*2%</f>
      </c>
      <c r="Q140" s="4">
        <f>P140*20%</f>
      </c>
      <c r="R140" s="4">
        <v>0</v>
      </c>
      <c r="S140" s="4">
        <f>R140*20%</f>
      </c>
      <c r="T140" s="4">
        <v>1</v>
      </c>
      <c r="U140" s="4">
        <f>O140+Q140+S140</f>
      </c>
      <c r="V140" s="4">
        <f>L140-M140-N140-O140-P140-Q140-R140-S140-T140</f>
      </c>
      <c r="W140" s="4">
        <f>(V140-Y140)/J140*100</f>
      </c>
      <c r="X140" s="4">
        <f>M140-U140</f>
      </c>
      <c r="Z140" s="4">
        <f>V140-Y140</f>
      </c>
      <c r="AE140" t="s">
        <v>1</v>
      </c>
    </row>
    <row r="141" spans="1:31" x14ac:dyDescent="0.25">
      <c r="A141" s="8">
        <v>46206.5</v>
      </c>
      <c r="B141" t="s">
        <v>337</v>
      </c>
      <c r="C141" t="s">
        <v>1</v>
      </c>
      <c r="D141" s="9" t="s">
        <v>1</v>
      </c>
      <c r="E141" t="s">
        <v>1</v>
      </c>
      <c r="F141" t="s">
        <v>1</v>
      </c>
      <c r="G141" t="s">
        <v>1</v>
      </c>
      <c r="H141" t="s">
        <v>78</v>
      </c>
      <c r="I141">
        <v>1</v>
      </c>
      <c r="J141" s="4">
        <v>477</v>
      </c>
      <c r="K141" s="4">
        <v>691.65</v>
      </c>
      <c r="L141" s="4">
        <f>K141-J141</f>
      </c>
      <c r="M141" s="4">
        <f>L141*16.67%</f>
      </c>
      <c r="N141" s="4">
        <f>K141/100*7</f>
      </c>
      <c r="O141" s="4">
        <f>N141*20%</f>
      </c>
      <c r="P141" s="4">
        <f>N141*2%</f>
      </c>
      <c r="Q141" s="4">
        <f>P141*20%</f>
      </c>
      <c r="R141" s="4">
        <v>0</v>
      </c>
      <c r="S141" s="4">
        <f>R141*20%</f>
      </c>
      <c r="T141" s="4">
        <v>1</v>
      </c>
      <c r="U141" s="4">
        <f>O141+Q141+S141</f>
      </c>
      <c r="V141" s="4">
        <f>L141-M141-N141-O141-P141-Q141-R141-S141-T141</f>
      </c>
      <c r="W141" s="4">
        <f>(V141-Y141)/J141*100</f>
      </c>
      <c r="X141" s="4">
        <f>M141-U141</f>
      </c>
      <c r="Z141" s="4">
        <f>V141-Y141</f>
      </c>
      <c r="AE141" t="s">
        <v>1</v>
      </c>
    </row>
    <row r="142" spans="1:31" x14ac:dyDescent="0.25">
      <c r="A142" s="8">
        <v>46205.5</v>
      </c>
      <c r="B142" t="s">
        <v>338</v>
      </c>
      <c r="C142" t="s">
        <v>1</v>
      </c>
      <c r="D142" s="9" t="s">
        <v>339</v>
      </c>
      <c r="E142" t="s">
        <v>64</v>
      </c>
      <c r="F142" t="s">
        <v>59</v>
      </c>
      <c r="G142" t="s">
        <v>65</v>
      </c>
      <c r="H142" t="s">
        <v>66</v>
      </c>
      <c r="I142">
        <v>1</v>
      </c>
      <c r="J142" s="4">
        <v>221</v>
      </c>
      <c r="K142" s="4">
        <v>307.19</v>
      </c>
      <c r="L142" s="4">
        <f>K142-J142</f>
      </c>
      <c r="M142" s="4">
        <f>L142*16.67%</f>
      </c>
      <c r="N142" s="4">
        <f>K142/100*7</f>
      </c>
      <c r="O142" s="4">
        <f>N142*20%</f>
      </c>
      <c r="P142" s="4">
        <f>N142*2%</f>
      </c>
      <c r="Q142" s="4">
        <f>P142*20%</f>
      </c>
      <c r="R142" s="4">
        <v>0</v>
      </c>
      <c r="S142" s="4">
        <f>R142*20%</f>
      </c>
      <c r="T142" s="4">
        <v>1</v>
      </c>
      <c r="U142" s="4">
        <f>O142+Q142+S142</f>
      </c>
      <c r="V142" s="4">
        <f>L142-M142-N142-O142-P142-Q142-R142-S142-T142</f>
      </c>
      <c r="W142" s="4">
        <f>(V142-Y142)/J142*100</f>
      </c>
      <c r="X142" s="4">
        <f>M142-U142</f>
      </c>
      <c r="Z142" s="4">
        <f>V142-Y142</f>
      </c>
      <c r="AE142" t="s">
        <v>1</v>
      </c>
    </row>
    <row r="143" spans="1:31" x14ac:dyDescent="0.25">
      <c r="A143" s="8">
        <v>46205.5</v>
      </c>
      <c r="B143" t="s">
        <v>340</v>
      </c>
      <c r="C143" t="s">
        <v>1</v>
      </c>
      <c r="D143" s="9" t="s">
        <v>341</v>
      </c>
      <c r="E143" t="s">
        <v>292</v>
      </c>
      <c r="F143" t="s">
        <v>59</v>
      </c>
      <c r="G143" t="s">
        <v>126</v>
      </c>
      <c r="H143" t="s">
        <v>61</v>
      </c>
      <c r="I143">
        <v>1</v>
      </c>
      <c r="J143" s="4">
        <v>176</v>
      </c>
      <c r="K143" s="4">
        <v>228.8</v>
      </c>
      <c r="L143" s="4">
        <f>K143-J143</f>
      </c>
      <c r="M143" s="4">
        <f>L143*16.67%</f>
      </c>
      <c r="N143" s="4">
        <f>K143/100*7</f>
      </c>
      <c r="O143" s="4">
        <f>N143*20%</f>
      </c>
      <c r="P143" s="4">
        <f>N143*2%</f>
      </c>
      <c r="Q143" s="4">
        <f>P143*20%</f>
      </c>
      <c r="R143" s="4">
        <v>0</v>
      </c>
      <c r="S143" s="4">
        <f>R143*20%</f>
      </c>
      <c r="T143" s="4">
        <v>1</v>
      </c>
      <c r="U143" s="4">
        <f>O143+Q143+S143</f>
      </c>
      <c r="V143" s="4">
        <f>L143-M143-N143-O143-P143-Q143-R143-S143-T143</f>
      </c>
      <c r="W143" s="4">
        <f>(V143-Y143)/J143*100</f>
      </c>
      <c r="X143" s="4">
        <f>M143-U143</f>
      </c>
      <c r="Z143" s="4">
        <f>V143-Y143</f>
      </c>
      <c r="AE143" t="s">
        <v>1</v>
      </c>
    </row>
    <row r="144" spans="1:31" x14ac:dyDescent="0.25">
      <c r="A144" s="8">
        <v>46205.5</v>
      </c>
      <c r="B144" t="s">
        <v>342</v>
      </c>
      <c r="C144" t="s">
        <v>254</v>
      </c>
      <c r="D144" s="9" t="s">
        <v>1</v>
      </c>
      <c r="E144" t="s">
        <v>254</v>
      </c>
      <c r="F144" t="s">
        <v>1</v>
      </c>
      <c r="G144" t="s">
        <v>1</v>
      </c>
      <c r="H144" t="s">
        <v>61</v>
      </c>
      <c r="I144">
        <v>4</v>
      </c>
      <c r="J144" s="4">
        <v>3.2</v>
      </c>
      <c r="K144" s="4">
        <v>4.61</v>
      </c>
      <c r="L144" s="4">
        <f>K144-J144</f>
      </c>
      <c r="M144" s="4">
        <f>L144*16.67%</f>
      </c>
      <c r="N144" s="4">
        <f>K144/100*7</f>
      </c>
      <c r="O144" s="4">
        <f>N144*20%</f>
      </c>
      <c r="P144" s="4">
        <f>N144*2%</f>
      </c>
      <c r="Q144" s="4">
        <f>P144*20%</f>
      </c>
      <c r="R144" s="4">
        <v>0</v>
      </c>
      <c r="S144" s="4">
        <f>R144*20%</f>
      </c>
      <c r="T144" s="4">
        <v>0</v>
      </c>
      <c r="U144" s="4">
        <f>O144+Q144+S144</f>
      </c>
      <c r="V144" s="4">
        <f>L144-M144-N144-O144-P144-Q144-R144-S144-T144</f>
      </c>
      <c r="W144" s="4">
        <f>(V144-Y144)/J144*100</f>
      </c>
      <c r="X144" s="4">
        <f>M144-U144</f>
      </c>
      <c r="Z144" s="4">
        <f>V144-Y144</f>
      </c>
      <c r="AE144" t="s">
        <v>1</v>
      </c>
    </row>
    <row r="145" spans="1:31" x14ac:dyDescent="0.25">
      <c r="A145" s="8">
        <v>46204.5</v>
      </c>
      <c r="B145" t="s">
        <v>343</v>
      </c>
      <c r="C145" t="s">
        <v>1</v>
      </c>
      <c r="D145" s="9" t="s">
        <v>344</v>
      </c>
      <c r="E145" t="s">
        <v>64</v>
      </c>
      <c r="F145" t="s">
        <v>105</v>
      </c>
      <c r="G145" t="s">
        <v>65</v>
      </c>
      <c r="H145" t="s">
        <v>66</v>
      </c>
      <c r="I145">
        <v>1</v>
      </c>
      <c r="J145" s="4">
        <v>241</v>
      </c>
      <c r="K145" s="4">
        <v>344.63</v>
      </c>
      <c r="L145" s="4">
        <f>K145-J145</f>
      </c>
      <c r="M145" s="4">
        <f>L145*16.67%</f>
      </c>
      <c r="N145" s="4">
        <f>K145/100*7</f>
      </c>
      <c r="O145" s="4">
        <f>N145*20%</f>
      </c>
      <c r="P145" s="4">
        <f>N145*2%</f>
      </c>
      <c r="Q145" s="4">
        <f>P145*20%</f>
      </c>
      <c r="R145" s="4">
        <v>0</v>
      </c>
      <c r="S145" s="4">
        <f>R145*20%</f>
      </c>
      <c r="T145" s="4">
        <v>1</v>
      </c>
      <c r="U145" s="4">
        <f>O145+Q145+S145</f>
      </c>
      <c r="V145" s="4">
        <f>L145-M145-N145-O145-P145-Q145-R145-S145-T145</f>
      </c>
      <c r="W145" s="4">
        <f>(V145-Y145)/J145*100</f>
      </c>
      <c r="X145" s="4">
        <f>M145-U145</f>
      </c>
      <c r="Z145" s="4">
        <f>V145-Y145</f>
      </c>
      <c r="AE145" t="s">
        <v>1</v>
      </c>
    </row>
    <row r="146" spans="1:31" x14ac:dyDescent="0.25">
      <c r="A146" s="8">
        <v>46204.5</v>
      </c>
      <c r="B146" t="s">
        <v>345</v>
      </c>
      <c r="C146" t="s">
        <v>1</v>
      </c>
      <c r="D146" s="9" t="s">
        <v>346</v>
      </c>
      <c r="E146" t="s">
        <v>94</v>
      </c>
      <c r="F146" t="s">
        <v>70</v>
      </c>
      <c r="G146" t="s">
        <v>95</v>
      </c>
      <c r="H146" t="s">
        <v>75</v>
      </c>
      <c r="I146">
        <v>1</v>
      </c>
      <c r="J146" s="4">
        <v>66</v>
      </c>
      <c r="K146" s="4">
        <v>83.82</v>
      </c>
      <c r="L146" s="4">
        <f>K146-J146</f>
      </c>
      <c r="M146" s="4">
        <f>L146*16.67%</f>
      </c>
      <c r="N146" s="4">
        <f>K146/100*7</f>
      </c>
      <c r="O146" s="4">
        <f>N146*20%</f>
      </c>
      <c r="P146" s="4">
        <f>N146*2%</f>
      </c>
      <c r="Q146" s="4">
        <f>P146*20%</f>
      </c>
      <c r="R146" s="4">
        <v>0</v>
      </c>
      <c r="S146" s="4">
        <f>R146*20%</f>
      </c>
      <c r="T146" s="4">
        <v>1</v>
      </c>
      <c r="U146" s="4">
        <f>O146+Q146+S146</f>
      </c>
      <c r="V146" s="4">
        <f>L146-M146-N146-O146-P146-Q146-R146-S146-T146</f>
      </c>
      <c r="W146" s="4">
        <f>(V146-Y146)/J146*100</f>
      </c>
      <c r="X146" s="4">
        <f>M146-U146</f>
      </c>
      <c r="Z146" s="4">
        <f>V146-Y146</f>
      </c>
      <c r="AE146" t="s">
        <v>1</v>
      </c>
    </row>
    <row r="147" spans="1:31" x14ac:dyDescent="0.25">
      <c r="A147" s="8">
        <v>46204.5</v>
      </c>
      <c r="B147" t="s">
        <v>347</v>
      </c>
      <c r="C147" t="s">
        <v>1</v>
      </c>
      <c r="D147" s="9" t="s">
        <v>348</v>
      </c>
      <c r="E147" t="s">
        <v>139</v>
      </c>
      <c r="F147" t="s">
        <v>59</v>
      </c>
      <c r="G147" t="s">
        <v>65</v>
      </c>
      <c r="H147" t="s">
        <v>66</v>
      </c>
      <c r="I147">
        <v>1</v>
      </c>
      <c r="J147" s="4">
        <v>318</v>
      </c>
      <c r="K147" s="4">
        <v>375.24</v>
      </c>
      <c r="L147" s="4">
        <f>K147-J147</f>
      </c>
      <c r="M147" s="4">
        <f>L147*16.67%</f>
      </c>
      <c r="N147" s="4">
        <f>K147/100*7</f>
      </c>
      <c r="O147" s="4">
        <f>N147*20%</f>
      </c>
      <c r="P147" s="4">
        <f>N147*2%</f>
      </c>
      <c r="Q147" s="4">
        <f>P147*20%</f>
      </c>
      <c r="R147" s="4">
        <v>0</v>
      </c>
      <c r="S147" s="4">
        <f>R147*20%</f>
      </c>
      <c r="T147" s="4">
        <v>1</v>
      </c>
      <c r="U147" s="4">
        <f>O147+Q147+S147</f>
      </c>
      <c r="V147" s="4">
        <f>L147-M147-N147-O147-P147-Q147-R147-S147-T147</f>
      </c>
      <c r="W147" s="4">
        <f>(V147-Y147)/J147*100</f>
      </c>
      <c r="X147" s="4">
        <f>M147-U147</f>
      </c>
      <c r="Z147" s="4">
        <f>V147-Y147</f>
      </c>
      <c r="AE147" t="s">
        <v>1</v>
      </c>
    </row>
    <row r="148" spans="1:31" x14ac:dyDescent="0.25">
      <c r="A148" s="8">
        <v>46204.5</v>
      </c>
      <c r="B148" t="s">
        <v>349</v>
      </c>
      <c r="C148" t="s">
        <v>1</v>
      </c>
      <c r="D148" s="9" t="s">
        <v>350</v>
      </c>
      <c r="E148" t="s">
        <v>81</v>
      </c>
      <c r="F148" t="s">
        <v>59</v>
      </c>
      <c r="G148" t="s">
        <v>65</v>
      </c>
      <c r="H148" t="s">
        <v>102</v>
      </c>
      <c r="I148">
        <v>1</v>
      </c>
      <c r="J148" s="4">
        <v>549</v>
      </c>
      <c r="K148" s="4">
        <v>724.68</v>
      </c>
      <c r="L148" s="4">
        <f>K148-J148</f>
      </c>
      <c r="M148" s="4">
        <f>L148*16.67%</f>
      </c>
      <c r="N148" s="4">
        <f>K148/100*7</f>
      </c>
      <c r="O148" s="4">
        <f>N148*20%</f>
      </c>
      <c r="P148" s="4">
        <f>N148*2%</f>
      </c>
      <c r="Q148" s="4">
        <f>P148*20%</f>
      </c>
      <c r="R148" s="4">
        <v>0</v>
      </c>
      <c r="S148" s="4">
        <f>R148*20%</f>
      </c>
      <c r="T148" s="4">
        <v>1</v>
      </c>
      <c r="U148" s="4">
        <f>O148+Q148+S148</f>
      </c>
      <c r="V148" s="4">
        <f>L148-M148-N148-O148-P148-Q148-R148-S148-T148</f>
      </c>
      <c r="W148" s="4">
        <f>(V148-Y148)/J148*100</f>
      </c>
      <c r="X148" s="4">
        <f>M148-U148</f>
      </c>
      <c r="Z148" s="4">
        <f>V148-Y148</f>
      </c>
      <c r="AE148" t="s">
        <v>1</v>
      </c>
    </row>
    <row r="149" spans="1:31" x14ac:dyDescent="0.25">
      <c r="A149" s="8">
        <v>46203.5</v>
      </c>
      <c r="B149" t="s">
        <v>351</v>
      </c>
      <c r="C149" t="s">
        <v>1</v>
      </c>
      <c r="D149" s="9" t="s">
        <v>352</v>
      </c>
      <c r="E149" t="s">
        <v>98</v>
      </c>
      <c r="F149" t="s">
        <v>59</v>
      </c>
      <c r="G149" t="s">
        <v>60</v>
      </c>
      <c r="H149" t="s">
        <v>75</v>
      </c>
      <c r="I149">
        <v>1</v>
      </c>
      <c r="J149" s="4">
        <v>333</v>
      </c>
      <c r="K149" s="4">
        <v>476.19</v>
      </c>
      <c r="L149" s="4">
        <f>K149-J149</f>
      </c>
      <c r="M149" s="4">
        <f>L149*16.67%</f>
      </c>
      <c r="N149" s="4">
        <f>K149/100*7</f>
      </c>
      <c r="O149" s="4">
        <f>N149*20%</f>
      </c>
      <c r="P149" s="4">
        <f>N149*2%</f>
      </c>
      <c r="Q149" s="4">
        <f>P149*20%</f>
      </c>
      <c r="R149" s="4">
        <v>0</v>
      </c>
      <c r="S149" s="4">
        <f>R149*20%</f>
      </c>
      <c r="T149" s="4">
        <v>1</v>
      </c>
      <c r="U149" s="4">
        <f>O149+Q149+S149</f>
      </c>
      <c r="V149" s="4">
        <f>L149-M149-N149-O149-P149-Q149-R149-S149-T149</f>
      </c>
      <c r="W149" s="4">
        <f>(V149-Y149)/J149*100</f>
      </c>
      <c r="X149" s="4">
        <f>M149-U149</f>
      </c>
      <c r="Z149" s="4">
        <f>V149-Y149</f>
      </c>
      <c r="AE149" t="s">
        <v>1</v>
      </c>
    </row>
    <row r="150" spans="1:31" x14ac:dyDescent="0.25">
      <c r="A150" s="8">
        <v>46203.5</v>
      </c>
      <c r="B150" t="s">
        <v>353</v>
      </c>
      <c r="C150" t="s">
        <v>1</v>
      </c>
      <c r="D150" s="9" t="s">
        <v>354</v>
      </c>
      <c r="E150" t="s">
        <v>69</v>
      </c>
      <c r="F150" t="s">
        <v>88</v>
      </c>
      <c r="G150" t="s">
        <v>60</v>
      </c>
      <c r="H150" t="s">
        <v>75</v>
      </c>
      <c r="I150">
        <v>1</v>
      </c>
      <c r="J150" s="4">
        <v>497</v>
      </c>
      <c r="K150" s="4">
        <v>576.52</v>
      </c>
      <c r="L150" s="4">
        <f>K150-J150</f>
      </c>
      <c r="M150" s="4">
        <f>L150*16.67%</f>
      </c>
      <c r="N150" s="4">
        <f>K150/100*7</f>
      </c>
      <c r="O150" s="4">
        <f>N150*20%</f>
      </c>
      <c r="P150" s="4">
        <f>N150*2%</f>
      </c>
      <c r="Q150" s="4">
        <f>P150*20%</f>
      </c>
      <c r="R150" s="4">
        <v>0</v>
      </c>
      <c r="S150" s="4">
        <f>R150*20%</f>
      </c>
      <c r="T150" s="4">
        <v>1</v>
      </c>
      <c r="U150" s="4">
        <f>O150+Q150+S150</f>
      </c>
      <c r="V150" s="4">
        <f>L150-M150-N150-O150-P150-Q150-R150-S150-T150</f>
      </c>
      <c r="W150" s="4">
        <f>(V150-Y150)/J150*100</f>
      </c>
      <c r="X150" s="4">
        <f>M150-U150</f>
      </c>
      <c r="Z150" s="4">
        <f>V150-Y150</f>
      </c>
      <c r="AE150" t="s">
        <v>1</v>
      </c>
    </row>
    <row r="151" spans="1:31" x14ac:dyDescent="0.25">
      <c r="A151" s="8">
        <v>46203.5</v>
      </c>
      <c r="B151" t="s">
        <v>355</v>
      </c>
      <c r="C151" t="s">
        <v>1</v>
      </c>
      <c r="D151" s="9" t="s">
        <v>356</v>
      </c>
      <c r="E151" t="s">
        <v>84</v>
      </c>
      <c r="F151" t="s">
        <v>59</v>
      </c>
      <c r="G151" t="s">
        <v>60</v>
      </c>
      <c r="H151" t="s">
        <v>102</v>
      </c>
      <c r="I151">
        <v>1</v>
      </c>
      <c r="J151" s="4">
        <v>737</v>
      </c>
      <c r="K151" s="4">
        <v>1017.06</v>
      </c>
      <c r="L151" s="4">
        <f>K151-J151</f>
      </c>
      <c r="M151" s="4">
        <f>L151*16.67%</f>
      </c>
      <c r="N151" s="4">
        <f>K151/100*7</f>
      </c>
      <c r="O151" s="4">
        <f>N151*20%</f>
      </c>
      <c r="P151" s="4">
        <f>N151*2%</f>
      </c>
      <c r="Q151" s="4">
        <f>P151*20%</f>
      </c>
      <c r="R151" s="4">
        <v>0</v>
      </c>
      <c r="S151" s="4">
        <f>R151*20%</f>
      </c>
      <c r="T151" s="4">
        <v>1</v>
      </c>
      <c r="U151" s="4">
        <f>O151+Q151+S151</f>
      </c>
      <c r="V151" s="4">
        <f>L151-M151-N151-O151-P151-Q151-R151-S151-T151</f>
      </c>
      <c r="W151" s="4">
        <f>(V151-Y151)/J151*100</f>
      </c>
      <c r="X151" s="4">
        <f>M151-U151</f>
      </c>
      <c r="Z151" s="4">
        <f>V151-Y151</f>
      </c>
      <c r="AE151" t="s">
        <v>1</v>
      </c>
    </row>
    <row r="152" spans="1:31" x14ac:dyDescent="0.25">
      <c r="A152" s="8">
        <v>46203.5</v>
      </c>
      <c r="B152" t="s">
        <v>357</v>
      </c>
      <c r="C152" t="s">
        <v>174</v>
      </c>
      <c r="D152" s="9" t="s">
        <v>1</v>
      </c>
      <c r="E152" t="s">
        <v>174</v>
      </c>
      <c r="F152" t="s">
        <v>1</v>
      </c>
      <c r="G152" t="s">
        <v>1</v>
      </c>
      <c r="H152" t="s">
        <v>66</v>
      </c>
      <c r="I152">
        <v>1</v>
      </c>
      <c r="J152" s="4">
        <v>4.25</v>
      </c>
      <c r="K152" s="4">
        <v>5.1</v>
      </c>
      <c r="L152" s="4">
        <f>K152-J152</f>
      </c>
      <c r="M152" s="4">
        <f>L152*16.67%</f>
      </c>
      <c r="N152" s="4">
        <f>K152/100*7</f>
      </c>
      <c r="O152" s="4">
        <f>N152*20%</f>
      </c>
      <c r="P152" s="4">
        <f>N152*2%</f>
      </c>
      <c r="Q152" s="4">
        <f>P152*20%</f>
      </c>
      <c r="R152" s="4">
        <v>0</v>
      </c>
      <c r="S152" s="4">
        <f>R152*20%</f>
      </c>
      <c r="T152" s="4">
        <v>0</v>
      </c>
      <c r="U152" s="4">
        <f>O152+Q152+S152</f>
      </c>
      <c r="V152" s="4">
        <f>L152-M152-N152-O152-P152-Q152-R152-S152-T152</f>
      </c>
      <c r="W152" s="4">
        <f>(V152-Y152)/J152*100</f>
      </c>
      <c r="X152" s="4">
        <f>M152-U152</f>
      </c>
      <c r="Z152" s="4">
        <f>V152-Y152</f>
      </c>
      <c r="AE152" t="s">
        <v>1</v>
      </c>
    </row>
    <row r="153" spans="1:31" x14ac:dyDescent="0.25">
      <c r="A153" s="8">
        <v>46203.5</v>
      </c>
      <c r="B153" t="s">
        <v>358</v>
      </c>
      <c r="C153" t="s">
        <v>177</v>
      </c>
      <c r="D153" s="9" t="s">
        <v>1</v>
      </c>
      <c r="E153" t="s">
        <v>177</v>
      </c>
      <c r="F153" t="s">
        <v>1</v>
      </c>
      <c r="G153" t="s">
        <v>1</v>
      </c>
      <c r="H153" t="s">
        <v>78</v>
      </c>
      <c r="I153">
        <v>3</v>
      </c>
      <c r="J153" s="4">
        <v>0.45</v>
      </c>
      <c r="K153" s="4">
        <v>0.65</v>
      </c>
      <c r="L153" s="4">
        <f>K153-J153</f>
      </c>
      <c r="M153" s="4">
        <f>L153*16.67%</f>
      </c>
      <c r="N153" s="4">
        <f>K153/100*7</f>
      </c>
      <c r="O153" s="4">
        <f>N153*20%</f>
      </c>
      <c r="P153" s="4">
        <f>N153*2%</f>
      </c>
      <c r="Q153" s="4">
        <f>P153*20%</f>
      </c>
      <c r="R153" s="4">
        <v>0</v>
      </c>
      <c r="S153" s="4">
        <f>R153*20%</f>
      </c>
      <c r="T153" s="4">
        <v>0</v>
      </c>
      <c r="U153" s="4">
        <f>O153+Q153+S153</f>
      </c>
      <c r="V153" s="4">
        <f>L153-M153-N153-O153-P153-Q153-R153-S153-T153</f>
      </c>
      <c r="W153" s="4">
        <f>(V153-Y153)/J153*100</f>
      </c>
      <c r="X153" s="4">
        <f>M153-U153</f>
      </c>
      <c r="Z153" s="4">
        <f>V153-Y153</f>
      </c>
      <c r="AE153" t="s">
        <v>1</v>
      </c>
    </row>
    <row r="154" spans="1:31" x14ac:dyDescent="0.25">
      <c r="A154" s="8">
        <v>46203.5</v>
      </c>
      <c r="B154" t="s">
        <v>359</v>
      </c>
      <c r="C154" t="s">
        <v>182</v>
      </c>
      <c r="D154" s="9" t="s">
        <v>1</v>
      </c>
      <c r="E154" t="s">
        <v>182</v>
      </c>
      <c r="F154" t="s">
        <v>1</v>
      </c>
      <c r="G154" t="s">
        <v>1</v>
      </c>
      <c r="H154" t="s">
        <v>75</v>
      </c>
      <c r="I154">
        <v>2</v>
      </c>
      <c r="J154" s="4">
        <v>3.8</v>
      </c>
      <c r="K154" s="4">
        <v>4.83</v>
      </c>
      <c r="L154" s="4">
        <f>K154-J154</f>
      </c>
      <c r="M154" s="4">
        <f>L154*16.67%</f>
      </c>
      <c r="N154" s="4">
        <f>K154/100*7</f>
      </c>
      <c r="O154" s="4">
        <f>N154*20%</f>
      </c>
      <c r="P154" s="4">
        <f>N154*2%</f>
      </c>
      <c r="Q154" s="4">
        <f>P154*20%</f>
      </c>
      <c r="R154" s="4">
        <v>0</v>
      </c>
      <c r="S154" s="4">
        <f>R154*20%</f>
      </c>
      <c r="T154" s="4">
        <v>0</v>
      </c>
      <c r="U154" s="4">
        <f>O154+Q154+S154</f>
      </c>
      <c r="V154" s="4">
        <f>L154-M154-N154-O154-P154-Q154-R154-S154-T154</f>
      </c>
      <c r="W154" s="4">
        <f>(V154-Y154)/J154*100</f>
      </c>
      <c r="X154" s="4">
        <f>M154-U154</f>
      </c>
      <c r="Z154" s="4">
        <f>V154-Y154</f>
      </c>
      <c r="AE154" t="s">
        <v>1</v>
      </c>
    </row>
    <row r="155" spans="1:31" x14ac:dyDescent="0.25">
      <c r="A155" s="8">
        <v>46202.5</v>
      </c>
      <c r="B155" t="s">
        <v>360</v>
      </c>
      <c r="C155" t="s">
        <v>1</v>
      </c>
      <c r="D155" s="9" t="s">
        <v>361</v>
      </c>
      <c r="E155" t="s">
        <v>131</v>
      </c>
      <c r="F155" t="s">
        <v>88</v>
      </c>
      <c r="G155" t="s">
        <v>60</v>
      </c>
      <c r="H155" t="s">
        <v>75</v>
      </c>
      <c r="I155">
        <v>1</v>
      </c>
      <c r="J155" s="4">
        <v>277</v>
      </c>
      <c r="K155" s="4">
        <v>362.87</v>
      </c>
      <c r="L155" s="4">
        <f>K155-J155</f>
      </c>
      <c r="M155" s="4">
        <f>L155*16.67%</f>
      </c>
      <c r="N155" s="4">
        <f>K155/100*7</f>
      </c>
      <c r="O155" s="4">
        <f>N155*20%</f>
      </c>
      <c r="P155" s="4">
        <f>N155*2%</f>
      </c>
      <c r="Q155" s="4">
        <f>P155*20%</f>
      </c>
      <c r="R155" s="4">
        <v>0</v>
      </c>
      <c r="S155" s="4">
        <f>R155*20%</f>
      </c>
      <c r="T155" s="4">
        <v>1</v>
      </c>
      <c r="U155" s="4">
        <f>O155+Q155+S155</f>
      </c>
      <c r="V155" s="4">
        <f>L155-M155-N155-O155-P155-Q155-R155-S155-T155</f>
      </c>
      <c r="W155" s="4">
        <f>(V155-Y155)/J155*100</f>
      </c>
      <c r="X155" s="4">
        <f>M155-U155</f>
      </c>
      <c r="Z155" s="4">
        <f>V155-Y155</f>
      </c>
      <c r="AE155" t="s">
        <v>1</v>
      </c>
    </row>
    <row r="156" spans="1:31" x14ac:dyDescent="0.25">
      <c r="A156" s="8">
        <v>46202.5</v>
      </c>
      <c r="B156" t="s">
        <v>362</v>
      </c>
      <c r="C156" t="s">
        <v>174</v>
      </c>
      <c r="D156" s="9" t="s">
        <v>1</v>
      </c>
      <c r="E156" t="s">
        <v>174</v>
      </c>
      <c r="F156" t="s">
        <v>1</v>
      </c>
      <c r="G156" t="s">
        <v>1</v>
      </c>
      <c r="H156" t="s">
        <v>66</v>
      </c>
      <c r="I156">
        <v>4</v>
      </c>
      <c r="J156" s="4">
        <v>17</v>
      </c>
      <c r="K156" s="4">
        <v>23.8</v>
      </c>
      <c r="L156" s="4">
        <f>K156-J156</f>
      </c>
      <c r="M156" s="4">
        <f>L156*16.67%</f>
      </c>
      <c r="N156" s="4">
        <f>K156/100*7</f>
      </c>
      <c r="O156" s="4">
        <f>N156*20%</f>
      </c>
      <c r="P156" s="4">
        <f>N156*2%</f>
      </c>
      <c r="Q156" s="4">
        <f>P156*20%</f>
      </c>
      <c r="R156" s="4">
        <v>0</v>
      </c>
      <c r="S156" s="4">
        <f>R156*20%</f>
      </c>
      <c r="T156" s="4">
        <v>0</v>
      </c>
      <c r="U156" s="4">
        <f>O156+Q156+S156</f>
      </c>
      <c r="V156" s="4">
        <f>L156-M156-N156-O156-P156-Q156-R156-S156-T156</f>
      </c>
      <c r="W156" s="4">
        <f>(V156-Y156)/J156*100</f>
      </c>
      <c r="X156" s="4">
        <f>M156-U156</f>
      </c>
      <c r="Z156" s="4">
        <f>V156-Y156</f>
      </c>
      <c r="AE156" t="s">
        <v>1</v>
      </c>
    </row>
    <row r="157" spans="1:31" x14ac:dyDescent="0.25">
      <c r="A157" s="8">
        <v>46201.5</v>
      </c>
      <c r="B157" t="s">
        <v>363</v>
      </c>
      <c r="C157" t="s">
        <v>1</v>
      </c>
      <c r="D157" s="9" t="s">
        <v>364</v>
      </c>
      <c r="E157" t="s">
        <v>234</v>
      </c>
      <c r="F157" t="s">
        <v>99</v>
      </c>
      <c r="G157" t="s">
        <v>65</v>
      </c>
      <c r="H157" t="s">
        <v>66</v>
      </c>
      <c r="I157">
        <v>1</v>
      </c>
      <c r="J157" s="4">
        <v>186</v>
      </c>
      <c r="K157" s="4">
        <v>213.9</v>
      </c>
      <c r="L157" s="4">
        <f>K157-J157</f>
      </c>
      <c r="M157" s="4">
        <f>L157*16.67%</f>
      </c>
      <c r="N157" s="4">
        <f>K157/100*7</f>
      </c>
      <c r="O157" s="4">
        <f>N157*20%</f>
      </c>
      <c r="P157" s="4">
        <f>N157*2%</f>
      </c>
      <c r="Q157" s="4">
        <f>P157*20%</f>
      </c>
      <c r="R157" s="4">
        <v>0</v>
      </c>
      <c r="S157" s="4">
        <f>R157*20%</f>
      </c>
      <c r="T157" s="4">
        <v>1</v>
      </c>
      <c r="U157" s="4">
        <f>O157+Q157+S157</f>
      </c>
      <c r="V157" s="4">
        <f>L157-M157-N157-O157-P157-Q157-R157-S157-T157</f>
      </c>
      <c r="W157" s="4">
        <f>(V157-Y157)/J157*100</f>
      </c>
      <c r="X157" s="4">
        <f>M157-U157</f>
      </c>
      <c r="Z157" s="4">
        <f>V157-Y157</f>
      </c>
      <c r="AE157" t="s">
        <v>1</v>
      </c>
    </row>
    <row r="158" spans="1:31" x14ac:dyDescent="0.25">
      <c r="A158" s="8">
        <v>46201.5</v>
      </c>
      <c r="B158" t="s">
        <v>365</v>
      </c>
      <c r="C158" t="s">
        <v>1</v>
      </c>
      <c r="D158" s="9" t="s">
        <v>366</v>
      </c>
      <c r="E158" t="s">
        <v>84</v>
      </c>
      <c r="F158" t="s">
        <v>105</v>
      </c>
      <c r="G158" t="s">
        <v>60</v>
      </c>
      <c r="H158" t="s">
        <v>78</v>
      </c>
      <c r="I158">
        <v>1</v>
      </c>
      <c r="J158" s="4">
        <v>763</v>
      </c>
      <c r="K158" s="4">
        <v>984.27</v>
      </c>
      <c r="L158" s="4">
        <f>K158-J158</f>
      </c>
      <c r="M158" s="4">
        <f>L158*16.67%</f>
      </c>
      <c r="N158" s="4">
        <f>K158/100*7</f>
      </c>
      <c r="O158" s="4">
        <f>N158*20%</f>
      </c>
      <c r="P158" s="4">
        <f>N158*2%</f>
      </c>
      <c r="Q158" s="4">
        <f>P158*20%</f>
      </c>
      <c r="R158" s="4">
        <v>0</v>
      </c>
      <c r="S158" s="4">
        <f>R158*20%</f>
      </c>
      <c r="T158" s="4">
        <v>1</v>
      </c>
      <c r="U158" s="4">
        <f>O158+Q158+S158</f>
      </c>
      <c r="V158" s="4">
        <f>L158-M158-N158-O158-P158-Q158-R158-S158-T158</f>
      </c>
      <c r="W158" s="4">
        <f>(V158-Y158)/J158*100</f>
      </c>
      <c r="X158" s="4">
        <f>M158-U158</f>
      </c>
      <c r="Z158" s="4">
        <f>V158-Y158</f>
      </c>
      <c r="AE158" t="s">
        <v>1</v>
      </c>
    </row>
    <row r="159" spans="1:31" x14ac:dyDescent="0.25">
      <c r="A159" s="8">
        <v>46201.5</v>
      </c>
      <c r="B159" t="s">
        <v>367</v>
      </c>
      <c r="C159" t="s">
        <v>254</v>
      </c>
      <c r="D159" s="9" t="s">
        <v>1</v>
      </c>
      <c r="E159" t="s">
        <v>254</v>
      </c>
      <c r="F159" t="s">
        <v>1</v>
      </c>
      <c r="G159" t="s">
        <v>1</v>
      </c>
      <c r="H159" t="s">
        <v>61</v>
      </c>
      <c r="I159">
        <v>2</v>
      </c>
      <c r="J159" s="4">
        <v>1.6</v>
      </c>
      <c r="K159" s="4">
        <v>2.21</v>
      </c>
      <c r="L159" s="4">
        <f>K159-J159</f>
      </c>
      <c r="M159" s="4">
        <f>L159*16.67%</f>
      </c>
      <c r="N159" s="4">
        <f>K159/100*7</f>
      </c>
      <c r="O159" s="4">
        <f>N159*20%</f>
      </c>
      <c r="P159" s="4">
        <f>N159*2%</f>
      </c>
      <c r="Q159" s="4">
        <f>P159*20%</f>
      </c>
      <c r="R159" s="4">
        <v>0</v>
      </c>
      <c r="S159" s="4">
        <f>R159*20%</f>
      </c>
      <c r="T159" s="4">
        <v>0</v>
      </c>
      <c r="U159" s="4">
        <f>O159+Q159+S159</f>
      </c>
      <c r="V159" s="4">
        <f>L159-M159-N159-O159-P159-Q159-R159-S159-T159</f>
      </c>
      <c r="W159" s="4">
        <f>(V159-Y159)/J159*100</f>
      </c>
      <c r="X159" s="4">
        <f>M159-U159</f>
      </c>
      <c r="Z159" s="4">
        <f>V159-Y159</f>
      </c>
      <c r="AE159" t="s">
        <v>1</v>
      </c>
    </row>
    <row r="160" spans="1:31" x14ac:dyDescent="0.25">
      <c r="A160" s="8">
        <v>46201.5</v>
      </c>
      <c r="B160" t="s">
        <v>368</v>
      </c>
      <c r="C160" t="s">
        <v>185</v>
      </c>
      <c r="D160" s="9" t="s">
        <v>1</v>
      </c>
      <c r="E160" t="s">
        <v>185</v>
      </c>
      <c r="F160" t="s">
        <v>1</v>
      </c>
      <c r="G160" t="s">
        <v>1</v>
      </c>
      <c r="H160" t="s">
        <v>102</v>
      </c>
      <c r="I160">
        <v>4</v>
      </c>
      <c r="J160" s="4">
        <v>4.8</v>
      </c>
      <c r="K160" s="4">
        <v>5.95</v>
      </c>
      <c r="L160" s="4">
        <f>K160-J160</f>
      </c>
      <c r="M160" s="4">
        <f>L160*16.67%</f>
      </c>
      <c r="N160" s="4">
        <f>K160/100*7</f>
      </c>
      <c r="O160" s="4">
        <f>N160*20%</f>
      </c>
      <c r="P160" s="4">
        <f>N160*2%</f>
      </c>
      <c r="Q160" s="4">
        <f>P160*20%</f>
      </c>
      <c r="R160" s="4">
        <v>0</v>
      </c>
      <c r="S160" s="4">
        <f>R160*20%</f>
      </c>
      <c r="T160" s="4">
        <v>0</v>
      </c>
      <c r="U160" s="4">
        <f>O160+Q160+S160</f>
      </c>
      <c r="V160" s="4">
        <f>L160-M160-N160-O160-P160-Q160-R160-S160-T160</f>
      </c>
      <c r="W160" s="4">
        <f>(V160-Y160)/J160*100</f>
      </c>
      <c r="X160" s="4">
        <f>M160-U160</f>
      </c>
      <c r="Z160" s="4">
        <f>V160-Y160</f>
      </c>
      <c r="AE160" t="s">
        <v>1</v>
      </c>
    </row>
    <row r="161" spans="1:31" x14ac:dyDescent="0.25">
      <c r="A161" s="8">
        <v>46200.5</v>
      </c>
      <c r="B161" t="s">
        <v>369</v>
      </c>
      <c r="C161" t="s">
        <v>1</v>
      </c>
      <c r="D161" s="9" t="s">
        <v>370</v>
      </c>
      <c r="E161" t="s">
        <v>292</v>
      </c>
      <c r="F161" t="s">
        <v>59</v>
      </c>
      <c r="G161" t="s">
        <v>126</v>
      </c>
      <c r="H161" t="s">
        <v>61</v>
      </c>
      <c r="I161">
        <v>1</v>
      </c>
      <c r="J161" s="4">
        <v>157</v>
      </c>
      <c r="K161" s="4">
        <v>185.26</v>
      </c>
      <c r="L161" s="4">
        <f>K161-J161</f>
      </c>
      <c r="M161" s="4">
        <f>L161*16.67%</f>
      </c>
      <c r="N161" s="4">
        <f>K161/100*7</f>
      </c>
      <c r="O161" s="4">
        <f>N161*20%</f>
      </c>
      <c r="P161" s="4">
        <f>N161*2%</f>
      </c>
      <c r="Q161" s="4">
        <f>P161*20%</f>
      </c>
      <c r="R161" s="4">
        <v>0</v>
      </c>
      <c r="S161" s="4">
        <f>R161*20%</f>
      </c>
      <c r="T161" s="4">
        <v>1</v>
      </c>
      <c r="U161" s="4">
        <f>O161+Q161+S161</f>
      </c>
      <c r="V161" s="4">
        <f>L161-M161-N161-O161-P161-Q161-R161-S161-T161</f>
      </c>
      <c r="W161" s="4">
        <f>(V161-Y161)/J161*100</f>
      </c>
      <c r="X161" s="4">
        <f>M161-U161</f>
      </c>
      <c r="Z161" s="4">
        <f>V161-Y161</f>
      </c>
      <c r="AE161" t="s">
        <v>1</v>
      </c>
    </row>
    <row r="162" spans="1:31" x14ac:dyDescent="0.25">
      <c r="A162" s="8">
        <v>46200.5</v>
      </c>
      <c r="B162" t="s">
        <v>371</v>
      </c>
      <c r="C162" t="s">
        <v>1</v>
      </c>
      <c r="D162" s="9" t="s">
        <v>372</v>
      </c>
      <c r="E162" t="s">
        <v>94</v>
      </c>
      <c r="F162" t="s">
        <v>105</v>
      </c>
      <c r="G162" t="s">
        <v>95</v>
      </c>
      <c r="H162" t="s">
        <v>75</v>
      </c>
      <c r="I162">
        <v>1</v>
      </c>
      <c r="J162" s="4">
        <v>82</v>
      </c>
      <c r="K162" s="4">
        <v>97.58</v>
      </c>
      <c r="L162" s="4">
        <f>K162-J162</f>
      </c>
      <c r="M162" s="4">
        <f>L162*16.67%</f>
      </c>
      <c r="N162" s="4">
        <f>K162/100*7</f>
      </c>
      <c r="O162" s="4">
        <f>N162*20%</f>
      </c>
      <c r="P162" s="4">
        <f>N162*2%</f>
      </c>
      <c r="Q162" s="4">
        <f>P162*20%</f>
      </c>
      <c r="R162" s="4">
        <v>0</v>
      </c>
      <c r="S162" s="4">
        <f>R162*20%</f>
      </c>
      <c r="T162" s="4">
        <v>1</v>
      </c>
      <c r="U162" s="4">
        <f>O162+Q162+S162</f>
      </c>
      <c r="V162" s="4">
        <f>L162-M162-N162-O162-P162-Q162-R162-S162-T162</f>
      </c>
      <c r="W162" s="4">
        <f>(V162-Y162)/J162*100</f>
      </c>
      <c r="X162" s="4">
        <f>M162-U162</f>
      </c>
      <c r="Z162" s="4">
        <f>V162-Y162</f>
      </c>
      <c r="AE162" t="s">
        <v>1</v>
      </c>
    </row>
    <row r="163" spans="1:31" x14ac:dyDescent="0.25">
      <c r="A163" s="8">
        <v>46200.5</v>
      </c>
      <c r="B163" t="s">
        <v>373</v>
      </c>
      <c r="C163" t="s">
        <v>1</v>
      </c>
      <c r="D163" s="9" t="s">
        <v>374</v>
      </c>
      <c r="E163" t="s">
        <v>91</v>
      </c>
      <c r="F163" t="s">
        <v>99</v>
      </c>
      <c r="G163" t="s">
        <v>95</v>
      </c>
      <c r="H163" t="s">
        <v>66</v>
      </c>
      <c r="I163">
        <v>1</v>
      </c>
      <c r="J163" s="4">
        <v>95</v>
      </c>
      <c r="K163" s="4">
        <v>134.9</v>
      </c>
      <c r="L163" s="4">
        <f>K163-J163</f>
      </c>
      <c r="M163" s="4">
        <f>L163*16.67%</f>
      </c>
      <c r="N163" s="4">
        <f>K163/100*7</f>
      </c>
      <c r="O163" s="4">
        <f>N163*20%</f>
      </c>
      <c r="P163" s="4">
        <f>N163*2%</f>
      </c>
      <c r="Q163" s="4">
        <f>P163*20%</f>
      </c>
      <c r="R163" s="4">
        <v>0</v>
      </c>
      <c r="S163" s="4">
        <f>R163*20%</f>
      </c>
      <c r="T163" s="4">
        <v>1</v>
      </c>
      <c r="U163" s="4">
        <f>O163+Q163+S163</f>
      </c>
      <c r="V163" s="4">
        <f>L163-M163-N163-O163-P163-Q163-R163-S163-T163</f>
      </c>
      <c r="W163" s="4">
        <f>(V163-Y163)/J163*100</f>
      </c>
      <c r="X163" s="4">
        <f>M163-U163</f>
      </c>
      <c r="Z163" s="4">
        <f>V163-Y163</f>
      </c>
      <c r="AE163" t="s">
        <v>1</v>
      </c>
    </row>
    <row r="164" spans="1:31" x14ac:dyDescent="0.25">
      <c r="A164" s="8">
        <v>46200.5</v>
      </c>
      <c r="B164" t="s">
        <v>375</v>
      </c>
      <c r="C164" t="s">
        <v>1</v>
      </c>
      <c r="D164" s="9" t="s">
        <v>376</v>
      </c>
      <c r="E164" t="s">
        <v>69</v>
      </c>
      <c r="F164" t="s">
        <v>88</v>
      </c>
      <c r="G164" t="s">
        <v>60</v>
      </c>
      <c r="H164" t="s">
        <v>102</v>
      </c>
      <c r="I164">
        <v>1</v>
      </c>
      <c r="J164" s="4">
        <v>521</v>
      </c>
      <c r="K164" s="4">
        <v>703.35</v>
      </c>
      <c r="L164" s="4">
        <f>K164-J164</f>
      </c>
      <c r="M164" s="4">
        <f>L164*16.67%</f>
      </c>
      <c r="N164" s="4">
        <f>K164/100*7</f>
      </c>
      <c r="O164" s="4">
        <f>N164*20%</f>
      </c>
      <c r="P164" s="4">
        <f>N164*2%</f>
      </c>
      <c r="Q164" s="4">
        <f>P164*20%</f>
      </c>
      <c r="R164" s="4">
        <v>0</v>
      </c>
      <c r="S164" s="4">
        <f>R164*20%</f>
      </c>
      <c r="T164" s="4">
        <v>1</v>
      </c>
      <c r="U164" s="4">
        <f>O164+Q164+S164</f>
      </c>
      <c r="V164" s="4">
        <f>L164-M164-N164-O164-P164-Q164-R164-S164-T164</f>
      </c>
      <c r="W164" s="4">
        <f>(V164-Y164)/J164*100</f>
      </c>
      <c r="X164" s="4">
        <f>M164-U164</f>
      </c>
      <c r="Z164" s="4">
        <f>V164-Y164</f>
      </c>
      <c r="AE164" t="s">
        <v>1</v>
      </c>
    </row>
    <row r="165" spans="1:31" x14ac:dyDescent="0.25">
      <c r="A165" s="8">
        <v>46200.5</v>
      </c>
      <c r="B165" t="s">
        <v>377</v>
      </c>
      <c r="C165" t="s">
        <v>1</v>
      </c>
      <c r="D165" s="9" t="s">
        <v>378</v>
      </c>
      <c r="E165" t="s">
        <v>292</v>
      </c>
      <c r="F165" t="s">
        <v>74</v>
      </c>
      <c r="G165" t="s">
        <v>126</v>
      </c>
      <c r="H165" t="s">
        <v>102</v>
      </c>
      <c r="I165">
        <v>1</v>
      </c>
      <c r="J165" s="4">
        <v>173</v>
      </c>
      <c r="K165" s="4">
        <v>243.93</v>
      </c>
      <c r="L165" s="4">
        <f>K165-J165</f>
      </c>
      <c r="M165" s="4">
        <f>L165*16.67%</f>
      </c>
      <c r="N165" s="4">
        <f>K165/100*7</f>
      </c>
      <c r="O165" s="4">
        <f>N165*20%</f>
      </c>
      <c r="P165" s="4">
        <f>N165*2%</f>
      </c>
      <c r="Q165" s="4">
        <f>P165*20%</f>
      </c>
      <c r="R165" s="4">
        <v>0</v>
      </c>
      <c r="S165" s="4">
        <f>R165*20%</f>
      </c>
      <c r="T165" s="4">
        <v>1</v>
      </c>
      <c r="U165" s="4">
        <f>O165+Q165+S165</f>
      </c>
      <c r="V165" s="4">
        <f>L165-M165-N165-O165-P165-Q165-R165-S165-T165</f>
      </c>
      <c r="W165" s="4">
        <f>(V165-Y165)/J165*100</f>
      </c>
      <c r="X165" s="4">
        <f>M165-U165</f>
      </c>
      <c r="Z165" s="4">
        <f>V165-Y165</f>
      </c>
      <c r="AE165" t="s">
        <v>1</v>
      </c>
    </row>
    <row r="166" spans="1:31" x14ac:dyDescent="0.25">
      <c r="A166" s="8">
        <v>46199.5</v>
      </c>
      <c r="B166" t="s">
        <v>379</v>
      </c>
      <c r="C166" t="s">
        <v>1</v>
      </c>
      <c r="D166" s="9" t="s">
        <v>380</v>
      </c>
      <c r="E166" t="s">
        <v>139</v>
      </c>
      <c r="F166" t="s">
        <v>70</v>
      </c>
      <c r="G166" t="s">
        <v>60</v>
      </c>
      <c r="H166" t="s">
        <v>66</v>
      </c>
      <c r="I166">
        <v>1</v>
      </c>
      <c r="J166" s="4">
        <v>312</v>
      </c>
      <c r="K166" s="4">
        <v>439.92</v>
      </c>
      <c r="L166" s="4">
        <f>K166-J166</f>
      </c>
      <c r="M166" s="4">
        <f>L166*16.67%</f>
      </c>
      <c r="N166" s="4">
        <f>K166/100*7</f>
      </c>
      <c r="O166" s="4">
        <f>N166*20%</f>
      </c>
      <c r="P166" s="4">
        <f>N166*2%</f>
      </c>
      <c r="Q166" s="4">
        <f>P166*20%</f>
      </c>
      <c r="R166" s="4">
        <v>0</v>
      </c>
      <c r="S166" s="4">
        <f>R166*20%</f>
      </c>
      <c r="T166" s="4">
        <v>1</v>
      </c>
      <c r="U166" s="4">
        <f>O166+Q166+S166</f>
      </c>
      <c r="V166" s="4">
        <f>L166-M166-N166-O166-P166-Q166-R166-S166-T166</f>
      </c>
      <c r="W166" s="4">
        <f>(V166-Y166)/J166*100</f>
      </c>
      <c r="X166" s="4">
        <f>M166-U166</f>
      </c>
      <c r="Z166" s="4">
        <f>V166-Y166</f>
      </c>
      <c r="AE166" t="s">
        <v>1</v>
      </c>
    </row>
    <row r="167" spans="1:31" x14ac:dyDescent="0.25">
      <c r="A167" s="8">
        <v>46199.5</v>
      </c>
      <c r="B167" t="s">
        <v>381</v>
      </c>
      <c r="C167" t="s">
        <v>1</v>
      </c>
      <c r="D167" s="9" t="s">
        <v>382</v>
      </c>
      <c r="E167" t="s">
        <v>134</v>
      </c>
      <c r="F167" t="s">
        <v>85</v>
      </c>
      <c r="G167" t="s">
        <v>65</v>
      </c>
      <c r="H167" t="s">
        <v>75</v>
      </c>
      <c r="I167">
        <v>1</v>
      </c>
      <c r="J167" s="4">
        <v>128</v>
      </c>
      <c r="K167" s="4">
        <v>171.52</v>
      </c>
      <c r="L167" s="4">
        <f>K167-J167</f>
      </c>
      <c r="M167" s="4">
        <f>L167*16.67%</f>
      </c>
      <c r="N167" s="4">
        <f>K167/100*7</f>
      </c>
      <c r="O167" s="4">
        <f>N167*20%</f>
      </c>
      <c r="P167" s="4">
        <f>N167*2%</f>
      </c>
      <c r="Q167" s="4">
        <f>P167*20%</f>
      </c>
      <c r="R167" s="4">
        <v>0</v>
      </c>
      <c r="S167" s="4">
        <f>R167*20%</f>
      </c>
      <c r="T167" s="4">
        <v>1</v>
      </c>
      <c r="U167" s="4">
        <f>O167+Q167+S167</f>
      </c>
      <c r="V167" s="4">
        <f>L167-M167-N167-O167-P167-Q167-R167-S167-T167</f>
      </c>
      <c r="W167" s="4">
        <f>(V167-Y167)/J167*100</f>
      </c>
      <c r="X167" s="4">
        <f>M167-U167</f>
      </c>
      <c r="Z167" s="4">
        <f>V167-Y167</f>
      </c>
      <c r="AE167" t="s">
        <v>1</v>
      </c>
    </row>
    <row r="168" spans="1:31" x14ac:dyDescent="0.25">
      <c r="A168" s="8">
        <v>46199.5</v>
      </c>
      <c r="B168" t="s">
        <v>383</v>
      </c>
      <c r="C168" t="s">
        <v>1</v>
      </c>
      <c r="D168" s="9" t="s">
        <v>384</v>
      </c>
      <c r="E168" t="s">
        <v>84</v>
      </c>
      <c r="F168" t="s">
        <v>88</v>
      </c>
      <c r="G168" t="s">
        <v>60</v>
      </c>
      <c r="H168" t="s">
        <v>75</v>
      </c>
      <c r="I168">
        <v>1</v>
      </c>
      <c r="J168" s="4">
        <v>719</v>
      </c>
      <c r="K168" s="4">
        <v>826.85</v>
      </c>
      <c r="L168" s="4">
        <f>K168-J168</f>
      </c>
      <c r="M168" s="4">
        <f>L168*16.67%</f>
      </c>
      <c r="N168" s="4">
        <f>K168/100*7</f>
      </c>
      <c r="O168" s="4">
        <f>N168*20%</f>
      </c>
      <c r="P168" s="4">
        <f>N168*2%</f>
      </c>
      <c r="Q168" s="4">
        <f>P168*20%</f>
      </c>
      <c r="R168" s="4">
        <v>0</v>
      </c>
      <c r="S168" s="4">
        <f>R168*20%</f>
      </c>
      <c r="T168" s="4">
        <v>1</v>
      </c>
      <c r="U168" s="4">
        <f>O168+Q168+S168</f>
      </c>
      <c r="V168" s="4">
        <f>L168-M168-N168-O168-P168-Q168-R168-S168-T168</f>
      </c>
      <c r="W168" s="4">
        <f>(V168-Y168)/J168*100</f>
      </c>
      <c r="X168" s="4">
        <f>M168-U168</f>
      </c>
      <c r="Z168" s="4">
        <f>V168-Y168</f>
      </c>
      <c r="AE168" t="s">
        <v>1</v>
      </c>
    </row>
    <row r="169" spans="1:31" x14ac:dyDescent="0.25">
      <c r="A169" s="8">
        <v>46199.5</v>
      </c>
      <c r="B169" t="s">
        <v>385</v>
      </c>
      <c r="C169" t="s">
        <v>1</v>
      </c>
      <c r="D169" s="9" t="s">
        <v>386</v>
      </c>
      <c r="E169" t="s">
        <v>69</v>
      </c>
      <c r="F169" t="s">
        <v>99</v>
      </c>
      <c r="G169" t="s">
        <v>60</v>
      </c>
      <c r="H169" t="s">
        <v>66</v>
      </c>
      <c r="I169">
        <v>1</v>
      </c>
      <c r="J169" s="4">
        <v>525</v>
      </c>
      <c r="K169" s="4">
        <v>645.75</v>
      </c>
      <c r="L169" s="4">
        <f>K169-J169</f>
      </c>
      <c r="M169" s="4">
        <f>L169*16.67%</f>
      </c>
      <c r="N169" s="4">
        <f>K169/100*7</f>
      </c>
      <c r="O169" s="4">
        <f>N169*20%</f>
      </c>
      <c r="P169" s="4">
        <f>N169*2%</f>
      </c>
      <c r="Q169" s="4">
        <f>P169*20%</f>
      </c>
      <c r="R169" s="4">
        <v>0</v>
      </c>
      <c r="S169" s="4">
        <f>R169*20%</f>
      </c>
      <c r="T169" s="4">
        <v>1</v>
      </c>
      <c r="U169" s="4">
        <f>O169+Q169+S169</f>
      </c>
      <c r="V169" s="4">
        <f>L169-M169-N169-O169-P169-Q169-R169-S169-T169</f>
      </c>
      <c r="W169" s="4">
        <f>(V169-Y169)/J169*100</f>
      </c>
      <c r="X169" s="4">
        <f>M169-U169</f>
      </c>
      <c r="Z169" s="4">
        <f>V169-Y169</f>
      </c>
      <c r="AE169" t="s">
        <v>1</v>
      </c>
    </row>
    <row r="170" spans="1:31" x14ac:dyDescent="0.25">
      <c r="A170" s="8">
        <v>46199.5</v>
      </c>
      <c r="B170" t="s">
        <v>387</v>
      </c>
      <c r="C170" t="s">
        <v>1</v>
      </c>
      <c r="D170" s="9" t="s">
        <v>388</v>
      </c>
      <c r="E170" t="s">
        <v>125</v>
      </c>
      <c r="F170" t="s">
        <v>105</v>
      </c>
      <c r="G170" t="s">
        <v>126</v>
      </c>
      <c r="H170" t="s">
        <v>61</v>
      </c>
      <c r="I170">
        <v>1</v>
      </c>
      <c r="J170" s="4">
        <v>266</v>
      </c>
      <c r="K170" s="4">
        <v>380.38</v>
      </c>
      <c r="L170" s="4">
        <f>K170-J170</f>
      </c>
      <c r="M170" s="4">
        <f>L170*16.67%</f>
      </c>
      <c r="N170" s="4">
        <f>K170/100*7</f>
      </c>
      <c r="O170" s="4">
        <f>N170*20%</f>
      </c>
      <c r="P170" s="4">
        <f>N170*2%</f>
      </c>
      <c r="Q170" s="4">
        <f>P170*20%</f>
      </c>
      <c r="R170" s="4">
        <v>0</v>
      </c>
      <c r="S170" s="4">
        <f>R170*20%</f>
      </c>
      <c r="T170" s="4">
        <v>1</v>
      </c>
      <c r="U170" s="4">
        <f>O170+Q170+S170</f>
      </c>
      <c r="V170" s="4">
        <f>L170-M170-N170-O170-P170-Q170-R170-S170-T170</f>
      </c>
      <c r="W170" s="4">
        <f>(V170-Y170)/J170*100</f>
      </c>
      <c r="X170" s="4">
        <f>M170-U170</f>
      </c>
      <c r="Z170" s="4">
        <f>V170-Y170</f>
      </c>
      <c r="AE170" t="s">
        <v>1</v>
      </c>
    </row>
    <row r="171" spans="1:31" x14ac:dyDescent="0.25">
      <c r="A171" s="8">
        <v>46199.5</v>
      </c>
      <c r="B171" t="s">
        <v>389</v>
      </c>
      <c r="C171" t="s">
        <v>189</v>
      </c>
      <c r="D171" s="9" t="s">
        <v>1</v>
      </c>
      <c r="E171" t="s">
        <v>189</v>
      </c>
      <c r="F171" t="s">
        <v>1</v>
      </c>
      <c r="G171" t="s">
        <v>1</v>
      </c>
      <c r="H171" t="s">
        <v>66</v>
      </c>
      <c r="I171">
        <v>4</v>
      </c>
      <c r="J171" s="4">
        <v>14</v>
      </c>
      <c r="K171" s="4">
        <v>17.22</v>
      </c>
      <c r="L171" s="4">
        <f>K171-J171</f>
      </c>
      <c r="M171" s="4">
        <f>L171*16.67%</f>
      </c>
      <c r="N171" s="4">
        <f>K171/100*7</f>
      </c>
      <c r="O171" s="4">
        <f>N171*20%</f>
      </c>
      <c r="P171" s="4">
        <f>N171*2%</f>
      </c>
      <c r="Q171" s="4">
        <f>P171*20%</f>
      </c>
      <c r="R171" s="4">
        <v>0</v>
      </c>
      <c r="S171" s="4">
        <f>R171*20%</f>
      </c>
      <c r="T171" s="4">
        <v>0</v>
      </c>
      <c r="U171" s="4">
        <f>O171+Q171+S171</f>
      </c>
      <c r="V171" s="4">
        <f>L171-M171-N171-O171-P171-Q171-R171-S171-T171</f>
      </c>
      <c r="W171" s="4">
        <f>(V171-Y171)/J171*100</f>
      </c>
      <c r="X171" s="4">
        <f>M171-U171</f>
      </c>
      <c r="Z171" s="4">
        <f>V171-Y171</f>
      </c>
      <c r="AE171" t="s">
        <v>1</v>
      </c>
    </row>
    <row r="172" spans="1:31" x14ac:dyDescent="0.25">
      <c r="A172" s="8">
        <v>46199.5</v>
      </c>
      <c r="B172" t="s">
        <v>390</v>
      </c>
      <c r="C172" t="s">
        <v>254</v>
      </c>
      <c r="D172" s="9" t="s">
        <v>1</v>
      </c>
      <c r="E172" t="s">
        <v>254</v>
      </c>
      <c r="F172" t="s">
        <v>1</v>
      </c>
      <c r="G172" t="s">
        <v>1</v>
      </c>
      <c r="H172" t="s">
        <v>61</v>
      </c>
      <c r="I172">
        <v>3</v>
      </c>
      <c r="J172" s="4">
        <v>2.4</v>
      </c>
      <c r="K172" s="4">
        <v>2.88</v>
      </c>
      <c r="L172" s="4">
        <f>K172-J172</f>
      </c>
      <c r="M172" s="4">
        <f>L172*16.67%</f>
      </c>
      <c r="N172" s="4">
        <f>K172/100*7</f>
      </c>
      <c r="O172" s="4">
        <f>N172*20%</f>
      </c>
      <c r="P172" s="4">
        <f>N172*2%</f>
      </c>
      <c r="Q172" s="4">
        <f>P172*20%</f>
      </c>
      <c r="R172" s="4">
        <v>0</v>
      </c>
      <c r="S172" s="4">
        <f>R172*20%</f>
      </c>
      <c r="T172" s="4">
        <v>0</v>
      </c>
      <c r="U172" s="4">
        <f>O172+Q172+S172</f>
      </c>
      <c r="V172" s="4">
        <f>L172-M172-N172-O172-P172-Q172-R172-S172-T172</f>
      </c>
      <c r="W172" s="4">
        <f>(V172-Y172)/J172*100</f>
      </c>
      <c r="X172" s="4">
        <f>M172-U172</f>
      </c>
      <c r="Z172" s="4">
        <f>V172-Y172</f>
      </c>
      <c r="AE172" t="s">
        <v>1</v>
      </c>
    </row>
    <row r="173" spans="1:31" x14ac:dyDescent="0.25">
      <c r="A173" s="8">
        <v>46198.5</v>
      </c>
      <c r="B173" t="s">
        <v>391</v>
      </c>
      <c r="C173" t="s">
        <v>1</v>
      </c>
      <c r="D173" s="9" t="s">
        <v>392</v>
      </c>
      <c r="E173" t="s">
        <v>73</v>
      </c>
      <c r="F173" t="s">
        <v>74</v>
      </c>
      <c r="G173" t="s">
        <v>60</v>
      </c>
      <c r="H173" t="s">
        <v>102</v>
      </c>
      <c r="I173">
        <v>1</v>
      </c>
      <c r="J173" s="4">
        <v>366</v>
      </c>
      <c r="K173" s="4">
        <v>472.14</v>
      </c>
      <c r="L173" s="4">
        <f>K173-J173</f>
      </c>
      <c r="M173" s="4">
        <f>L173*16.67%</f>
      </c>
      <c r="N173" s="4">
        <f>K173/100*7</f>
      </c>
      <c r="O173" s="4">
        <f>N173*20%</f>
      </c>
      <c r="P173" s="4">
        <f>N173*2%</f>
      </c>
      <c r="Q173" s="4">
        <f>P173*20%</f>
      </c>
      <c r="R173" s="4">
        <v>0</v>
      </c>
      <c r="S173" s="4">
        <f>R173*20%</f>
      </c>
      <c r="T173" s="4">
        <v>1</v>
      </c>
      <c r="U173" s="4">
        <f>O173+Q173+S173</f>
      </c>
      <c r="V173" s="4">
        <f>L173-M173-N173-O173-P173-Q173-R173-S173-T173</f>
      </c>
      <c r="W173" s="4">
        <f>(V173-Y173)/J173*100</f>
      </c>
      <c r="X173" s="4">
        <f>M173-U173</f>
      </c>
      <c r="Z173" s="4">
        <f>V173-Y173</f>
      </c>
      <c r="AE173" t="s">
        <v>1</v>
      </c>
    </row>
    <row r="174" spans="1:31" x14ac:dyDescent="0.25">
      <c r="A174" s="8">
        <v>46198.5</v>
      </c>
      <c r="B174" t="s">
        <v>393</v>
      </c>
      <c r="C174" t="s">
        <v>1</v>
      </c>
      <c r="D174" s="9" t="s">
        <v>394</v>
      </c>
      <c r="E174" t="s">
        <v>292</v>
      </c>
      <c r="F174" t="s">
        <v>105</v>
      </c>
      <c r="G174" t="s">
        <v>126</v>
      </c>
      <c r="H174" t="s">
        <v>61</v>
      </c>
      <c r="I174">
        <v>1</v>
      </c>
      <c r="J174" s="4">
        <v>190</v>
      </c>
      <c r="K174" s="4">
        <v>262.2</v>
      </c>
      <c r="L174" s="4">
        <f>K174-J174</f>
      </c>
      <c r="M174" s="4">
        <f>L174*16.67%</f>
      </c>
      <c r="N174" s="4">
        <f>K174/100*7</f>
      </c>
      <c r="O174" s="4">
        <f>N174*20%</f>
      </c>
      <c r="P174" s="4">
        <f>N174*2%</f>
      </c>
      <c r="Q174" s="4">
        <f>P174*20%</f>
      </c>
      <c r="R174" s="4">
        <v>0</v>
      </c>
      <c r="S174" s="4">
        <f>R174*20%</f>
      </c>
      <c r="T174" s="4">
        <v>1</v>
      </c>
      <c r="U174" s="4">
        <f>O174+Q174+S174</f>
      </c>
      <c r="V174" s="4">
        <f>L174-M174-N174-O174-P174-Q174-R174-S174-T174</f>
      </c>
      <c r="W174" s="4">
        <f>(V174-Y174)/J174*100</f>
      </c>
      <c r="X174" s="4">
        <f>M174-U174</f>
      </c>
      <c r="Z174" s="4">
        <f>V174-Y174</f>
      </c>
      <c r="AE174" t="s">
        <v>1</v>
      </c>
    </row>
    <row r="175" spans="1:31" x14ac:dyDescent="0.25">
      <c r="A175" s="8">
        <v>46198.5</v>
      </c>
      <c r="B175" t="s">
        <v>395</v>
      </c>
      <c r="C175" t="s">
        <v>1</v>
      </c>
      <c r="D175" s="9" t="s">
        <v>396</v>
      </c>
      <c r="E175" t="s">
        <v>114</v>
      </c>
      <c r="F175" t="s">
        <v>74</v>
      </c>
      <c r="G175" t="s">
        <v>95</v>
      </c>
      <c r="H175" t="s">
        <v>66</v>
      </c>
      <c r="I175">
        <v>1</v>
      </c>
      <c r="J175" s="4">
        <v>240</v>
      </c>
      <c r="K175" s="4">
        <v>336</v>
      </c>
      <c r="L175" s="4">
        <f>K175-J175</f>
      </c>
      <c r="M175" s="4">
        <f>L175*16.67%</f>
      </c>
      <c r="N175" s="4">
        <f>K175/100*7</f>
      </c>
      <c r="O175" s="4">
        <f>N175*20%</f>
      </c>
      <c r="P175" s="4">
        <f>N175*2%</f>
      </c>
      <c r="Q175" s="4">
        <f>P175*20%</f>
      </c>
      <c r="R175" s="4">
        <v>0</v>
      </c>
      <c r="S175" s="4">
        <f>R175*20%</f>
      </c>
      <c r="T175" s="4">
        <v>1</v>
      </c>
      <c r="U175" s="4">
        <f>O175+Q175+S175</f>
      </c>
      <c r="V175" s="4">
        <f>L175-M175-N175-O175-P175-Q175-R175-S175-T175</f>
      </c>
      <c r="W175" s="4">
        <f>(V175-Y175)/J175*100</f>
      </c>
      <c r="X175" s="4">
        <f>M175-U175</f>
      </c>
      <c r="Z175" s="4">
        <f>V175-Y175</f>
      </c>
      <c r="AE175" t="s">
        <v>1</v>
      </c>
    </row>
    <row r="176" spans="1:31" x14ac:dyDescent="0.25">
      <c r="A176" s="8">
        <v>46198.5</v>
      </c>
      <c r="B176" t="s">
        <v>397</v>
      </c>
      <c r="C176" t="s">
        <v>1</v>
      </c>
      <c r="D176" s="9" t="s">
        <v>1</v>
      </c>
      <c r="E176" t="s">
        <v>1</v>
      </c>
      <c r="F176" t="s">
        <v>1</v>
      </c>
      <c r="G176" t="s">
        <v>1</v>
      </c>
      <c r="H176" t="s">
        <v>61</v>
      </c>
      <c r="I176">
        <v>1</v>
      </c>
      <c r="J176" s="4">
        <v>531</v>
      </c>
      <c r="K176" s="4">
        <v>716.85</v>
      </c>
      <c r="L176" s="4">
        <f>K176-J176</f>
      </c>
      <c r="M176" s="4">
        <f>L176*16.67%</f>
      </c>
      <c r="N176" s="4">
        <f>K176/100*7</f>
      </c>
      <c r="O176" s="4">
        <f>N176*20%</f>
      </c>
      <c r="P176" s="4">
        <f>N176*2%</f>
      </c>
      <c r="Q176" s="4">
        <f>P176*20%</f>
      </c>
      <c r="R176" s="4">
        <v>0</v>
      </c>
      <c r="S176" s="4">
        <f>R176*20%</f>
      </c>
      <c r="T176" s="4">
        <v>1</v>
      </c>
      <c r="U176" s="4">
        <f>O176+Q176+S176</f>
      </c>
      <c r="V176" s="4">
        <f>L176-M176-N176-O176-P176-Q176-R176-S176-T176</f>
      </c>
      <c r="W176" s="4">
        <f>(V176-Y176)/J176*100</f>
      </c>
      <c r="X176" s="4">
        <f>M176-U176</f>
      </c>
      <c r="Z176" s="4">
        <f>V176-Y176</f>
      </c>
      <c r="AE176" t="s">
        <v>1</v>
      </c>
    </row>
    <row r="177" spans="1:31" x14ac:dyDescent="0.25">
      <c r="A177" s="8">
        <v>46197.5</v>
      </c>
      <c r="B177" t="s">
        <v>398</v>
      </c>
      <c r="C177" t="s">
        <v>1</v>
      </c>
      <c r="D177" s="9" t="s">
        <v>399</v>
      </c>
      <c r="E177" t="s">
        <v>125</v>
      </c>
      <c r="F177" t="s">
        <v>105</v>
      </c>
      <c r="G177" t="s">
        <v>126</v>
      </c>
      <c r="H177" t="s">
        <v>78</v>
      </c>
      <c r="I177">
        <v>1</v>
      </c>
      <c r="J177" s="4">
        <v>230</v>
      </c>
      <c r="K177" s="4">
        <v>322</v>
      </c>
      <c r="L177" s="4">
        <f>K177-J177</f>
      </c>
      <c r="M177" s="4">
        <f>L177*16.67%</f>
      </c>
      <c r="N177" s="4">
        <f>K177/100*7</f>
      </c>
      <c r="O177" s="4">
        <f>N177*20%</f>
      </c>
      <c r="P177" s="4">
        <f>N177*2%</f>
      </c>
      <c r="Q177" s="4">
        <f>P177*20%</f>
      </c>
      <c r="R177" s="4">
        <v>0</v>
      </c>
      <c r="S177" s="4">
        <f>R177*20%</f>
      </c>
      <c r="T177" s="4">
        <v>1</v>
      </c>
      <c r="U177" s="4">
        <f>O177+Q177+S177</f>
      </c>
      <c r="V177" s="4">
        <f>L177-M177-N177-O177-P177-Q177-R177-S177-T177</f>
      </c>
      <c r="W177" s="4">
        <f>(V177-Y177)/J177*100</f>
      </c>
      <c r="X177" s="4">
        <f>M177-U177</f>
      </c>
      <c r="Z177" s="4">
        <f>V177-Y177</f>
      </c>
      <c r="AE177" t="s">
        <v>1</v>
      </c>
    </row>
    <row r="178" spans="1:31" x14ac:dyDescent="0.25">
      <c r="A178" s="8">
        <v>46197.5</v>
      </c>
      <c r="B178" t="s">
        <v>400</v>
      </c>
      <c r="C178" t="s">
        <v>1</v>
      </c>
      <c r="D178" s="9" t="s">
        <v>401</v>
      </c>
      <c r="E178" t="s">
        <v>172</v>
      </c>
      <c r="F178" t="s">
        <v>99</v>
      </c>
      <c r="G178" t="s">
        <v>65</v>
      </c>
      <c r="H178" t="s">
        <v>78</v>
      </c>
      <c r="I178">
        <v>1</v>
      </c>
      <c r="J178" s="4">
        <v>143</v>
      </c>
      <c r="K178" s="4">
        <v>205.92</v>
      </c>
      <c r="L178" s="4">
        <f>K178-J178</f>
      </c>
      <c r="M178" s="4">
        <f>L178*16.67%</f>
      </c>
      <c r="N178" s="4">
        <f>K178/100*7</f>
      </c>
      <c r="O178" s="4">
        <f>N178*20%</f>
      </c>
      <c r="P178" s="4">
        <f>N178*2%</f>
      </c>
      <c r="Q178" s="4">
        <f>P178*20%</f>
      </c>
      <c r="R178" s="4">
        <v>0</v>
      </c>
      <c r="S178" s="4">
        <f>R178*20%</f>
      </c>
      <c r="T178" s="4">
        <v>1</v>
      </c>
      <c r="U178" s="4">
        <f>O178+Q178+S178</f>
      </c>
      <c r="V178" s="4">
        <f>L178-M178-N178-O178-P178-Q178-R178-S178-T178</f>
      </c>
      <c r="W178" s="4">
        <f>(V178-Y178)/J178*100</f>
      </c>
      <c r="X178" s="4">
        <f>M178-U178</f>
      </c>
      <c r="Z178" s="4">
        <f>V178-Y178</f>
      </c>
      <c r="AE178" t="s">
        <v>1</v>
      </c>
    </row>
    <row r="179" spans="1:31" x14ac:dyDescent="0.25">
      <c r="A179" s="8">
        <v>46197.5</v>
      </c>
      <c r="B179" t="s">
        <v>402</v>
      </c>
      <c r="C179" t="s">
        <v>1</v>
      </c>
      <c r="D179" s="9" t="s">
        <v>403</v>
      </c>
      <c r="E179" t="s">
        <v>114</v>
      </c>
      <c r="F179" t="s">
        <v>85</v>
      </c>
      <c r="G179" t="s">
        <v>95</v>
      </c>
      <c r="H179" t="s">
        <v>102</v>
      </c>
      <c r="I179">
        <v>1</v>
      </c>
      <c r="J179" s="4">
        <v>245</v>
      </c>
      <c r="K179" s="4">
        <v>311.15</v>
      </c>
      <c r="L179" s="4">
        <f>K179-J179</f>
      </c>
      <c r="M179" s="4">
        <f>L179*16.67%</f>
      </c>
      <c r="N179" s="4">
        <f>K179/100*7</f>
      </c>
      <c r="O179" s="4">
        <f>N179*20%</f>
      </c>
      <c r="P179" s="4">
        <f>N179*2%</f>
      </c>
      <c r="Q179" s="4">
        <f>P179*20%</f>
      </c>
      <c r="R179" s="4">
        <v>0</v>
      </c>
      <c r="S179" s="4">
        <f>R179*20%</f>
      </c>
      <c r="T179" s="4">
        <v>1</v>
      </c>
      <c r="U179" s="4">
        <f>O179+Q179+S179</f>
      </c>
      <c r="V179" s="4">
        <f>L179-M179-N179-O179-P179-Q179-R179-S179-T179</f>
      </c>
      <c r="W179" s="4">
        <f>(V179-Y179)/J179*100</f>
      </c>
      <c r="X179" s="4">
        <f>M179-U179</f>
      </c>
      <c r="Z179" s="4">
        <f>V179-Y179</f>
      </c>
      <c r="AE179" t="s">
        <v>1</v>
      </c>
    </row>
    <row r="180" spans="1:31" x14ac:dyDescent="0.25">
      <c r="A180" s="8">
        <v>46197.5</v>
      </c>
      <c r="B180" t="s">
        <v>404</v>
      </c>
      <c r="C180" t="s">
        <v>185</v>
      </c>
      <c r="D180" s="9" t="s">
        <v>1</v>
      </c>
      <c r="E180" t="s">
        <v>185</v>
      </c>
      <c r="F180" t="s">
        <v>1</v>
      </c>
      <c r="G180" t="s">
        <v>1</v>
      </c>
      <c r="H180" t="s">
        <v>102</v>
      </c>
      <c r="I180">
        <v>1</v>
      </c>
      <c r="J180" s="4">
        <v>1.2</v>
      </c>
      <c r="K180" s="4">
        <v>1.43</v>
      </c>
      <c r="L180" s="4">
        <f>K180-J180</f>
      </c>
      <c r="M180" s="4">
        <f>L180*16.67%</f>
      </c>
      <c r="N180" s="4">
        <f>K180/100*7</f>
      </c>
      <c r="O180" s="4">
        <f>N180*20%</f>
      </c>
      <c r="P180" s="4">
        <f>N180*2%</f>
      </c>
      <c r="Q180" s="4">
        <f>P180*20%</f>
      </c>
      <c r="R180" s="4">
        <v>0</v>
      </c>
      <c r="S180" s="4">
        <f>R180*20%</f>
      </c>
      <c r="T180" s="4">
        <v>0</v>
      </c>
      <c r="U180" s="4">
        <f>O180+Q180+S180</f>
      </c>
      <c r="V180" s="4">
        <f>L180-M180-N180-O180-P180-Q180-R180-S180-T180</f>
      </c>
      <c r="W180" s="4">
        <f>(V180-Y180)/J180*100</f>
      </c>
      <c r="X180" s="4">
        <f>M180-U180</f>
      </c>
      <c r="Z180" s="4">
        <f>V180-Y180</f>
      </c>
      <c r="AE180" t="s">
        <v>1</v>
      </c>
    </row>
    <row r="181" spans="1:31" x14ac:dyDescent="0.25">
      <c r="A181" s="8">
        <v>46197.5</v>
      </c>
      <c r="B181" t="s">
        <v>405</v>
      </c>
      <c r="C181" t="s">
        <v>185</v>
      </c>
      <c r="D181" s="9" t="s">
        <v>1</v>
      </c>
      <c r="E181" t="s">
        <v>185</v>
      </c>
      <c r="F181" t="s">
        <v>1</v>
      </c>
      <c r="G181" t="s">
        <v>1</v>
      </c>
      <c r="H181" t="s">
        <v>102</v>
      </c>
      <c r="I181">
        <v>2</v>
      </c>
      <c r="J181" s="4">
        <v>2.4</v>
      </c>
      <c r="K181" s="4">
        <v>3.19</v>
      </c>
      <c r="L181" s="4">
        <f>K181-J181</f>
      </c>
      <c r="M181" s="4">
        <f>L181*16.67%</f>
      </c>
      <c r="N181" s="4">
        <f>K181/100*7</f>
      </c>
      <c r="O181" s="4">
        <f>N181*20%</f>
      </c>
      <c r="P181" s="4">
        <f>N181*2%</f>
      </c>
      <c r="Q181" s="4">
        <f>P181*20%</f>
      </c>
      <c r="R181" s="4">
        <v>0</v>
      </c>
      <c r="S181" s="4">
        <f>R181*20%</f>
      </c>
      <c r="T181" s="4">
        <v>0</v>
      </c>
      <c r="U181" s="4">
        <f>O181+Q181+S181</f>
      </c>
      <c r="V181" s="4">
        <f>L181-M181-N181-O181-P181-Q181-R181-S181-T181</f>
      </c>
      <c r="W181" s="4">
        <f>(V181-Y181)/J181*100</f>
      </c>
      <c r="X181" s="4">
        <f>M181-U181</f>
      </c>
      <c r="Z181" s="4">
        <f>V181-Y181</f>
      </c>
      <c r="AE181" t="s">
        <v>1</v>
      </c>
    </row>
    <row r="182" spans="1:31" x14ac:dyDescent="0.25">
      <c r="A182" s="8">
        <v>46196.5</v>
      </c>
      <c r="B182" t="s">
        <v>406</v>
      </c>
      <c r="C182" t="s">
        <v>1</v>
      </c>
      <c r="D182" s="9" t="s">
        <v>407</v>
      </c>
      <c r="E182" t="s">
        <v>139</v>
      </c>
      <c r="F182" t="s">
        <v>74</v>
      </c>
      <c r="G182" t="s">
        <v>60</v>
      </c>
      <c r="H182" t="s">
        <v>102</v>
      </c>
      <c r="I182">
        <v>1</v>
      </c>
      <c r="J182" s="4">
        <v>374</v>
      </c>
      <c r="K182" s="4">
        <v>467.5</v>
      </c>
      <c r="L182" s="4">
        <f>K182-J182</f>
      </c>
      <c r="M182" s="4">
        <f>L182*16.67%</f>
      </c>
      <c r="N182" s="4">
        <f>K182/100*7</f>
      </c>
      <c r="O182" s="4">
        <f>N182*20%</f>
      </c>
      <c r="P182" s="4">
        <f>N182*2%</f>
      </c>
      <c r="Q182" s="4">
        <f>P182*20%</f>
      </c>
      <c r="R182" s="4">
        <v>0</v>
      </c>
      <c r="S182" s="4">
        <f>R182*20%</f>
      </c>
      <c r="T182" s="4">
        <v>1</v>
      </c>
      <c r="U182" s="4">
        <f>O182+Q182+S182</f>
      </c>
      <c r="V182" s="4">
        <f>L182-M182-N182-O182-P182-Q182-R182-S182-T182</f>
      </c>
      <c r="W182" s="4">
        <f>(V182-Y182)/J182*100</f>
      </c>
      <c r="X182" s="4">
        <f>M182-U182</f>
      </c>
      <c r="Z182" s="4">
        <f>V182-Y182</f>
      </c>
      <c r="AE182" t="s">
        <v>1</v>
      </c>
    </row>
    <row r="183" spans="1:31" x14ac:dyDescent="0.25">
      <c r="A183" s="8">
        <v>46196.5</v>
      </c>
      <c r="B183" t="s">
        <v>408</v>
      </c>
      <c r="C183" t="s">
        <v>1</v>
      </c>
      <c r="D183" s="9" t="s">
        <v>409</v>
      </c>
      <c r="E183" t="s">
        <v>125</v>
      </c>
      <c r="F183" t="s">
        <v>99</v>
      </c>
      <c r="G183" t="s">
        <v>126</v>
      </c>
      <c r="H183" t="s">
        <v>78</v>
      </c>
      <c r="I183">
        <v>1</v>
      </c>
      <c r="J183" s="4">
        <v>269</v>
      </c>
      <c r="K183" s="4">
        <v>328.18</v>
      </c>
      <c r="L183" s="4">
        <f>K183-J183</f>
      </c>
      <c r="M183" s="4">
        <f>L183*16.67%</f>
      </c>
      <c r="N183" s="4">
        <f>K183/100*7</f>
      </c>
      <c r="O183" s="4">
        <f>N183*20%</f>
      </c>
      <c r="P183" s="4">
        <f>N183*2%</f>
      </c>
      <c r="Q183" s="4">
        <f>P183*20%</f>
      </c>
      <c r="R183" s="4">
        <v>0</v>
      </c>
      <c r="S183" s="4">
        <f>R183*20%</f>
      </c>
      <c r="T183" s="4">
        <v>1</v>
      </c>
      <c r="U183" s="4">
        <f>O183+Q183+S183</f>
      </c>
      <c r="V183" s="4">
        <f>L183-M183-N183-O183-P183-Q183-R183-S183-T183</f>
      </c>
      <c r="W183" s="4">
        <f>(V183-Y183)/J183*100</f>
      </c>
      <c r="X183" s="4">
        <f>M183-U183</f>
      </c>
      <c r="Z183" s="4">
        <f>V183-Y183</f>
      </c>
      <c r="AE183" t="s">
        <v>1</v>
      </c>
    </row>
    <row r="184" spans="1:31" x14ac:dyDescent="0.25">
      <c r="A184" s="8">
        <v>46196.5</v>
      </c>
      <c r="B184" t="s">
        <v>410</v>
      </c>
      <c r="C184" t="s">
        <v>1</v>
      </c>
      <c r="D184" s="9" t="s">
        <v>411</v>
      </c>
      <c r="E184" t="s">
        <v>292</v>
      </c>
      <c r="F184" t="s">
        <v>70</v>
      </c>
      <c r="G184" t="s">
        <v>126</v>
      </c>
      <c r="H184" t="s">
        <v>102</v>
      </c>
      <c r="I184">
        <v>1</v>
      </c>
      <c r="J184" s="4">
        <v>160</v>
      </c>
      <c r="K184" s="4">
        <v>187.2</v>
      </c>
      <c r="L184" s="4">
        <f>K184-J184</f>
      </c>
      <c r="M184" s="4">
        <f>L184*16.67%</f>
      </c>
      <c r="N184" s="4">
        <f>K184/100*7</f>
      </c>
      <c r="O184" s="4">
        <f>N184*20%</f>
      </c>
      <c r="P184" s="4">
        <f>N184*2%</f>
      </c>
      <c r="Q184" s="4">
        <f>P184*20%</f>
      </c>
      <c r="R184" s="4">
        <v>0</v>
      </c>
      <c r="S184" s="4">
        <f>R184*20%</f>
      </c>
      <c r="T184" s="4">
        <v>1</v>
      </c>
      <c r="U184" s="4">
        <f>O184+Q184+S184</f>
      </c>
      <c r="V184" s="4">
        <f>L184-M184-N184-O184-P184-Q184-R184-S184-T184</f>
      </c>
      <c r="W184" s="4">
        <f>(V184-Y184)/J184*100</f>
      </c>
      <c r="X184" s="4">
        <f>M184-U184</f>
      </c>
      <c r="Z184" s="4">
        <f>V184-Y184</f>
      </c>
      <c r="AE184" t="s">
        <v>1</v>
      </c>
    </row>
    <row r="185" spans="1:31" x14ac:dyDescent="0.25">
      <c r="A185" s="8">
        <v>46196.5</v>
      </c>
      <c r="B185" t="s">
        <v>412</v>
      </c>
      <c r="C185" t="s">
        <v>177</v>
      </c>
      <c r="D185" s="9" t="s">
        <v>1</v>
      </c>
      <c r="E185" t="s">
        <v>177</v>
      </c>
      <c r="F185" t="s">
        <v>1</v>
      </c>
      <c r="G185" t="s">
        <v>1</v>
      </c>
      <c r="H185" t="s">
        <v>78</v>
      </c>
      <c r="I185">
        <v>3</v>
      </c>
      <c r="J185" s="4">
        <v>0.45</v>
      </c>
      <c r="K185" s="4">
        <v>0.64</v>
      </c>
      <c r="L185" s="4">
        <f>K185-J185</f>
      </c>
      <c r="M185" s="4">
        <f>L185*16.67%</f>
      </c>
      <c r="N185" s="4">
        <f>K185/100*7</f>
      </c>
      <c r="O185" s="4">
        <f>N185*20%</f>
      </c>
      <c r="P185" s="4">
        <f>N185*2%</f>
      </c>
      <c r="Q185" s="4">
        <f>P185*20%</f>
      </c>
      <c r="R185" s="4">
        <v>0</v>
      </c>
      <c r="S185" s="4">
        <f>R185*20%</f>
      </c>
      <c r="T185" s="4">
        <v>0</v>
      </c>
      <c r="U185" s="4">
        <f>O185+Q185+S185</f>
      </c>
      <c r="V185" s="4">
        <f>L185-M185-N185-O185-P185-Q185-R185-S185-T185</f>
      </c>
      <c r="W185" s="4">
        <f>(V185-Y185)/J185*100</f>
      </c>
      <c r="X185" s="4">
        <f>M185-U185</f>
      </c>
      <c r="Z185" s="4">
        <f>V185-Y185</f>
      </c>
      <c r="AE185" t="s">
        <v>1</v>
      </c>
    </row>
    <row r="186" spans="1:31" x14ac:dyDescent="0.25">
      <c r="A186" s="8">
        <v>46195.5</v>
      </c>
      <c r="B186" t="s">
        <v>413</v>
      </c>
      <c r="C186" t="s">
        <v>1</v>
      </c>
      <c r="D186" s="9" t="s">
        <v>414</v>
      </c>
      <c r="E186" t="s">
        <v>64</v>
      </c>
      <c r="F186" t="s">
        <v>74</v>
      </c>
      <c r="G186" t="s">
        <v>65</v>
      </c>
      <c r="H186" t="s">
        <v>78</v>
      </c>
      <c r="I186">
        <v>1</v>
      </c>
      <c r="J186" s="4">
        <v>249</v>
      </c>
      <c r="K186" s="4">
        <v>286.35</v>
      </c>
      <c r="L186" s="4">
        <f>K186-J186</f>
      </c>
      <c r="M186" s="4">
        <f>L186*16.67%</f>
      </c>
      <c r="N186" s="4">
        <f>K186/100*7</f>
      </c>
      <c r="O186" s="4">
        <f>N186*20%</f>
      </c>
      <c r="P186" s="4">
        <f>N186*2%</f>
      </c>
      <c r="Q186" s="4">
        <f>P186*20%</f>
      </c>
      <c r="R186" s="4">
        <v>0</v>
      </c>
      <c r="S186" s="4">
        <f>R186*20%</f>
      </c>
      <c r="T186" s="4">
        <v>1</v>
      </c>
      <c r="U186" s="4">
        <f>O186+Q186+S186</f>
      </c>
      <c r="V186" s="4">
        <f>L186-M186-N186-O186-P186-Q186-R186-S186-T186</f>
      </c>
      <c r="W186" s="4">
        <f>(V186-Y186)/J186*100</f>
      </c>
      <c r="X186" s="4">
        <f>M186-U186</f>
      </c>
      <c r="Z186" s="4">
        <f>V186-Y186</f>
      </c>
      <c r="AE186" t="s">
        <v>1</v>
      </c>
    </row>
    <row r="187" spans="1:31" x14ac:dyDescent="0.25">
      <c r="A187" s="8">
        <v>46195.5</v>
      </c>
      <c r="B187" t="s">
        <v>415</v>
      </c>
      <c r="C187" t="s">
        <v>1</v>
      </c>
      <c r="D187" s="9" t="s">
        <v>416</v>
      </c>
      <c r="E187" t="s">
        <v>139</v>
      </c>
      <c r="F187" t="s">
        <v>74</v>
      </c>
      <c r="G187" t="s">
        <v>65</v>
      </c>
      <c r="H187" t="s">
        <v>61</v>
      </c>
      <c r="I187">
        <v>1</v>
      </c>
      <c r="J187" s="4">
        <v>335</v>
      </c>
      <c r="K187" s="4">
        <v>435.5</v>
      </c>
      <c r="L187" s="4">
        <f>K187-J187</f>
      </c>
      <c r="M187" s="4">
        <f>L187*16.67%</f>
      </c>
      <c r="N187" s="4">
        <f>K187/100*7</f>
      </c>
      <c r="O187" s="4">
        <f>N187*20%</f>
      </c>
      <c r="P187" s="4">
        <f>N187*2%</f>
      </c>
      <c r="Q187" s="4">
        <f>P187*20%</f>
      </c>
      <c r="R187" s="4">
        <v>0</v>
      </c>
      <c r="S187" s="4">
        <f>R187*20%</f>
      </c>
      <c r="T187" s="4">
        <v>1</v>
      </c>
      <c r="U187" s="4">
        <f>O187+Q187+S187</f>
      </c>
      <c r="V187" s="4">
        <f>L187-M187-N187-O187-P187-Q187-R187-S187-T187</f>
      </c>
      <c r="W187" s="4">
        <f>(V187-Y187)/J187*100</f>
      </c>
      <c r="X187" s="4">
        <f>M187-U187</f>
      </c>
      <c r="Z187" s="4">
        <f>V187-Y187</f>
      </c>
      <c r="AE187" t="s">
        <v>1</v>
      </c>
    </row>
    <row r="188" spans="1:31" x14ac:dyDescent="0.25">
      <c r="A188" s="8">
        <v>46195.5</v>
      </c>
      <c r="B188" t="s">
        <v>417</v>
      </c>
      <c r="C188" t="s">
        <v>189</v>
      </c>
      <c r="D188" s="9" t="s">
        <v>1</v>
      </c>
      <c r="E188" t="s">
        <v>189</v>
      </c>
      <c r="F188" t="s">
        <v>1</v>
      </c>
      <c r="G188" t="s">
        <v>1</v>
      </c>
      <c r="H188" t="s">
        <v>66</v>
      </c>
      <c r="I188">
        <v>4</v>
      </c>
      <c r="J188" s="4">
        <v>14</v>
      </c>
      <c r="K188" s="4">
        <v>19.74</v>
      </c>
      <c r="L188" s="4">
        <f>K188-J188</f>
      </c>
      <c r="M188" s="4">
        <f>L188*16.67%</f>
      </c>
      <c r="N188" s="4">
        <f>K188/100*7</f>
      </c>
      <c r="O188" s="4">
        <f>N188*20%</f>
      </c>
      <c r="P188" s="4">
        <f>N188*2%</f>
      </c>
      <c r="Q188" s="4">
        <f>P188*20%</f>
      </c>
      <c r="R188" s="4">
        <v>0</v>
      </c>
      <c r="S188" s="4">
        <f>R188*20%</f>
      </c>
      <c r="T188" s="4">
        <v>0</v>
      </c>
      <c r="U188" s="4">
        <f>O188+Q188+S188</f>
      </c>
      <c r="V188" s="4">
        <f>L188-M188-N188-O188-P188-Q188-R188-S188-T188</f>
      </c>
      <c r="W188" s="4">
        <f>(V188-Y188)/J188*100</f>
      </c>
      <c r="X188" s="4">
        <f>M188-U188</f>
      </c>
      <c r="Z188" s="4">
        <f>V188-Y188</f>
      </c>
      <c r="AE188" t="s">
        <v>1</v>
      </c>
    </row>
    <row r="189" spans="1:31" x14ac:dyDescent="0.25">
      <c r="A189" s="8">
        <v>46195.5</v>
      </c>
      <c r="B189" t="s">
        <v>418</v>
      </c>
      <c r="C189" t="s">
        <v>1</v>
      </c>
      <c r="D189" s="9" t="s">
        <v>1</v>
      </c>
      <c r="E189" t="s">
        <v>1</v>
      </c>
      <c r="F189" t="s">
        <v>1</v>
      </c>
      <c r="G189" t="s">
        <v>1</v>
      </c>
      <c r="H189" t="s">
        <v>78</v>
      </c>
      <c r="I189">
        <v>1</v>
      </c>
      <c r="J189" s="4">
        <v>151</v>
      </c>
      <c r="K189" s="4">
        <v>217.44</v>
      </c>
      <c r="L189" s="4">
        <f>K189-J189</f>
      </c>
      <c r="M189" s="4">
        <f>L189*16.67%</f>
      </c>
      <c r="N189" s="4">
        <f>K189/100*7</f>
      </c>
      <c r="O189" s="4">
        <f>N189*20%</f>
      </c>
      <c r="P189" s="4">
        <f>N189*2%</f>
      </c>
      <c r="Q189" s="4">
        <f>P189*20%</f>
      </c>
      <c r="R189" s="4">
        <v>0</v>
      </c>
      <c r="S189" s="4">
        <f>R189*20%</f>
      </c>
      <c r="T189" s="4">
        <v>1</v>
      </c>
      <c r="U189" s="4">
        <f>O189+Q189+S189</f>
      </c>
      <c r="V189" s="4">
        <f>L189-M189-N189-O189-P189-Q189-R189-S189-T189</f>
      </c>
      <c r="W189" s="4">
        <f>(V189-Y189)/J189*100</f>
      </c>
      <c r="X189" s="4">
        <f>M189-U189</f>
      </c>
      <c r="Z189" s="4">
        <f>V189-Y189</f>
      </c>
      <c r="AE189" t="s">
        <v>1</v>
      </c>
    </row>
    <row r="190" spans="1:31" x14ac:dyDescent="0.25">
      <c r="A190" s="8">
        <v>46194.5</v>
      </c>
      <c r="B190" t="s">
        <v>419</v>
      </c>
      <c r="C190" t="s">
        <v>1</v>
      </c>
      <c r="D190" s="9" t="s">
        <v>420</v>
      </c>
      <c r="E190" t="s">
        <v>134</v>
      </c>
      <c r="F190" t="s">
        <v>74</v>
      </c>
      <c r="G190" t="s">
        <v>95</v>
      </c>
      <c r="H190" t="s">
        <v>78</v>
      </c>
      <c r="I190">
        <v>1</v>
      </c>
      <c r="J190" s="4">
        <v>122</v>
      </c>
      <c r="K190" s="4">
        <v>152.5</v>
      </c>
      <c r="L190" s="4">
        <f>K190-J190</f>
      </c>
      <c r="M190" s="4">
        <f>L190*16.67%</f>
      </c>
      <c r="N190" s="4">
        <f>K190/100*7</f>
      </c>
      <c r="O190" s="4">
        <f>N190*20%</f>
      </c>
      <c r="P190" s="4">
        <f>N190*2%</f>
      </c>
      <c r="Q190" s="4">
        <f>P190*20%</f>
      </c>
      <c r="R190" s="4">
        <v>0</v>
      </c>
      <c r="S190" s="4">
        <f>R190*20%</f>
      </c>
      <c r="T190" s="4">
        <v>1</v>
      </c>
      <c r="U190" s="4">
        <f>O190+Q190+S190</f>
      </c>
      <c r="V190" s="4">
        <f>L190-M190-N190-O190-P190-Q190-R190-S190-T190</f>
      </c>
      <c r="W190" s="4">
        <f>(V190-Y190)/J190*100</f>
      </c>
      <c r="X190" s="4">
        <f>M190-U190</f>
      </c>
      <c r="Z190" s="4">
        <f>V190-Y190</f>
      </c>
      <c r="AE190" t="s">
        <v>1</v>
      </c>
    </row>
    <row r="191" spans="1:31" x14ac:dyDescent="0.25">
      <c r="A191" s="8">
        <v>46194.5</v>
      </c>
      <c r="B191" t="s">
        <v>421</v>
      </c>
      <c r="C191" t="s">
        <v>1</v>
      </c>
      <c r="D191" s="9" t="s">
        <v>422</v>
      </c>
      <c r="E191" t="s">
        <v>139</v>
      </c>
      <c r="F191" t="s">
        <v>74</v>
      </c>
      <c r="G191" t="s">
        <v>60</v>
      </c>
      <c r="H191" t="s">
        <v>78</v>
      </c>
      <c r="I191">
        <v>1</v>
      </c>
      <c r="J191" s="4">
        <v>378</v>
      </c>
      <c r="K191" s="4">
        <v>434.7</v>
      </c>
      <c r="L191" s="4">
        <f>K191-J191</f>
      </c>
      <c r="M191" s="4">
        <f>L191*16.67%</f>
      </c>
      <c r="N191" s="4">
        <f>K191/100*7</f>
      </c>
      <c r="O191" s="4">
        <f>N191*20%</f>
      </c>
      <c r="P191" s="4">
        <f>N191*2%</f>
      </c>
      <c r="Q191" s="4">
        <f>P191*20%</f>
      </c>
      <c r="R191" s="4">
        <v>0</v>
      </c>
      <c r="S191" s="4">
        <f>R191*20%</f>
      </c>
      <c r="T191" s="4">
        <v>1</v>
      </c>
      <c r="U191" s="4">
        <f>O191+Q191+S191</f>
      </c>
      <c r="V191" s="4">
        <f>L191-M191-N191-O191-P191-Q191-R191-S191-T191</f>
      </c>
      <c r="W191" s="4">
        <f>(V191-Y191)/J191*100</f>
      </c>
      <c r="X191" s="4">
        <f>M191-U191</f>
      </c>
      <c r="Z191" s="4">
        <f>V191-Y191</f>
      </c>
      <c r="AE191" t="s">
        <v>1</v>
      </c>
    </row>
    <row r="192" spans="1:31" x14ac:dyDescent="0.25">
      <c r="A192" s="8">
        <v>46194.5</v>
      </c>
      <c r="B192" t="s">
        <v>423</v>
      </c>
      <c r="C192" t="s">
        <v>1</v>
      </c>
      <c r="D192" s="9" t="s">
        <v>424</v>
      </c>
      <c r="E192" t="s">
        <v>94</v>
      </c>
      <c r="F192" t="s">
        <v>105</v>
      </c>
      <c r="G192" t="s">
        <v>95</v>
      </c>
      <c r="H192" t="s">
        <v>61</v>
      </c>
      <c r="I192">
        <v>1</v>
      </c>
      <c r="J192" s="4">
        <v>62</v>
      </c>
      <c r="K192" s="4">
        <v>74.4</v>
      </c>
      <c r="L192" s="4">
        <f>K192-J192</f>
      </c>
      <c r="M192" s="4">
        <f>L192*16.67%</f>
      </c>
      <c r="N192" s="4">
        <f>K192/100*7</f>
      </c>
      <c r="O192" s="4">
        <f>N192*20%</f>
      </c>
      <c r="P192" s="4">
        <f>N192*2%</f>
      </c>
      <c r="Q192" s="4">
        <f>P192*20%</f>
      </c>
      <c r="R192" s="4">
        <v>0</v>
      </c>
      <c r="S192" s="4">
        <f>R192*20%</f>
      </c>
      <c r="T192" s="4">
        <v>1</v>
      </c>
      <c r="U192" s="4">
        <f>O192+Q192+S192</f>
      </c>
      <c r="V192" s="4">
        <f>L192-M192-N192-O192-P192-Q192-R192-S192-T192</f>
      </c>
      <c r="W192" s="4">
        <f>(V192-Y192)/J192*100</f>
      </c>
      <c r="X192" s="4">
        <f>M192-U192</f>
      </c>
      <c r="Z192" s="4">
        <f>V192-Y192</f>
      </c>
      <c r="AE192" t="s">
        <v>1</v>
      </c>
    </row>
    <row r="193" spans="1:31" x14ac:dyDescent="0.25">
      <c r="A193" s="8">
        <v>46194.5</v>
      </c>
      <c r="B193" t="s">
        <v>425</v>
      </c>
      <c r="C193" t="s">
        <v>254</v>
      </c>
      <c r="D193" s="9" t="s">
        <v>1</v>
      </c>
      <c r="E193" t="s">
        <v>254</v>
      </c>
      <c r="F193" t="s">
        <v>1</v>
      </c>
      <c r="G193" t="s">
        <v>1</v>
      </c>
      <c r="H193" t="s">
        <v>61</v>
      </c>
      <c r="I193">
        <v>1</v>
      </c>
      <c r="J193" s="4">
        <v>0.8</v>
      </c>
      <c r="K193" s="4">
        <v>1.08</v>
      </c>
      <c r="L193" s="4">
        <f>K193-J193</f>
      </c>
      <c r="M193" s="4">
        <f>L193*16.67%</f>
      </c>
      <c r="N193" s="4">
        <f>K193/100*7</f>
      </c>
      <c r="O193" s="4">
        <f>N193*20%</f>
      </c>
      <c r="P193" s="4">
        <f>N193*2%</f>
      </c>
      <c r="Q193" s="4">
        <f>P193*20%</f>
      </c>
      <c r="R193" s="4">
        <v>0</v>
      </c>
      <c r="S193" s="4">
        <f>R193*20%</f>
      </c>
      <c r="T193" s="4">
        <v>0</v>
      </c>
      <c r="U193" s="4">
        <f>O193+Q193+S193</f>
      </c>
      <c r="V193" s="4">
        <f>L193-M193-N193-O193-P193-Q193-R193-S193-T193</f>
      </c>
      <c r="W193" s="4">
        <f>(V193-Y193)/J193*100</f>
      </c>
      <c r="X193" s="4">
        <f>M193-U193</f>
      </c>
      <c r="Z193" s="4">
        <f>V193-Y193</f>
      </c>
      <c r="AE193" t="s">
        <v>1</v>
      </c>
    </row>
    <row r="194" spans="1:31" x14ac:dyDescent="0.25">
      <c r="A194" s="8">
        <v>46193.5</v>
      </c>
      <c r="B194" t="s">
        <v>426</v>
      </c>
      <c r="C194" t="s">
        <v>1</v>
      </c>
      <c r="D194" s="9" t="s">
        <v>427</v>
      </c>
      <c r="E194" t="s">
        <v>91</v>
      </c>
      <c r="F194" t="s">
        <v>74</v>
      </c>
      <c r="G194" t="s">
        <v>95</v>
      </c>
      <c r="H194" t="s">
        <v>66</v>
      </c>
      <c r="I194">
        <v>1</v>
      </c>
      <c r="J194" s="4">
        <v>121</v>
      </c>
      <c r="K194" s="4">
        <v>147.62</v>
      </c>
      <c r="L194" s="4">
        <f>K194-J194</f>
      </c>
      <c r="M194" s="4">
        <f>L194*16.67%</f>
      </c>
      <c r="N194" s="4">
        <f>K194/100*7</f>
      </c>
      <c r="O194" s="4">
        <f>N194*20%</f>
      </c>
      <c r="P194" s="4">
        <f>N194*2%</f>
      </c>
      <c r="Q194" s="4">
        <f>P194*20%</f>
      </c>
      <c r="R194" s="4">
        <v>0</v>
      </c>
      <c r="S194" s="4">
        <f>R194*20%</f>
      </c>
      <c r="T194" s="4">
        <v>1</v>
      </c>
      <c r="U194" s="4">
        <f>O194+Q194+S194</f>
      </c>
      <c r="V194" s="4">
        <f>L194-M194-N194-O194-P194-Q194-R194-S194-T194</f>
      </c>
      <c r="W194" s="4">
        <f>(V194-Y194)/J194*100</f>
      </c>
      <c r="X194" s="4">
        <f>M194-U194</f>
      </c>
      <c r="Z194" s="4">
        <f>V194-Y194</f>
      </c>
      <c r="AE194" t="s">
        <v>1</v>
      </c>
    </row>
    <row r="195" spans="1:31" x14ac:dyDescent="0.25">
      <c r="A195" s="8">
        <v>46193.5</v>
      </c>
      <c r="B195" t="s">
        <v>428</v>
      </c>
      <c r="C195" t="s">
        <v>1</v>
      </c>
      <c r="D195" s="9" t="s">
        <v>429</v>
      </c>
      <c r="E195" t="s">
        <v>69</v>
      </c>
      <c r="F195" t="s">
        <v>74</v>
      </c>
      <c r="G195" t="s">
        <v>60</v>
      </c>
      <c r="H195" t="s">
        <v>78</v>
      </c>
      <c r="I195">
        <v>1</v>
      </c>
      <c r="J195" s="4">
        <v>494</v>
      </c>
      <c r="K195" s="4">
        <v>602.68</v>
      </c>
      <c r="L195" s="4">
        <f>K195-J195</f>
      </c>
      <c r="M195" s="4">
        <f>L195*16.67%</f>
      </c>
      <c r="N195" s="4">
        <f>K195/100*7</f>
      </c>
      <c r="O195" s="4">
        <f>N195*20%</f>
      </c>
      <c r="P195" s="4">
        <f>N195*2%</f>
      </c>
      <c r="Q195" s="4">
        <f>P195*20%</f>
      </c>
      <c r="R195" s="4">
        <v>0</v>
      </c>
      <c r="S195" s="4">
        <f>R195*20%</f>
      </c>
      <c r="T195" s="4">
        <v>1</v>
      </c>
      <c r="U195" s="4">
        <f>O195+Q195+S195</f>
      </c>
      <c r="V195" s="4">
        <f>L195-M195-N195-O195-P195-Q195-R195-S195-T195</f>
      </c>
      <c r="W195" s="4">
        <f>(V195-Y195)/J195*100</f>
      </c>
      <c r="X195" s="4">
        <f>M195-U195</f>
      </c>
      <c r="Z195" s="4">
        <f>V195-Y195</f>
      </c>
      <c r="AE195" t="s">
        <v>1</v>
      </c>
    </row>
    <row r="196" spans="1:31" x14ac:dyDescent="0.25">
      <c r="A196" s="8">
        <v>46193.5</v>
      </c>
      <c r="B196" t="s">
        <v>430</v>
      </c>
      <c r="C196" t="s">
        <v>1</v>
      </c>
      <c r="D196" s="9" t="s">
        <v>431</v>
      </c>
      <c r="E196" t="s">
        <v>114</v>
      </c>
      <c r="F196" t="s">
        <v>59</v>
      </c>
      <c r="G196" t="s">
        <v>60</v>
      </c>
      <c r="H196" t="s">
        <v>61</v>
      </c>
      <c r="I196">
        <v>1</v>
      </c>
      <c r="J196" s="4">
        <v>252</v>
      </c>
      <c r="K196" s="4">
        <v>294.84</v>
      </c>
      <c r="L196" s="4">
        <f>K196-J196</f>
      </c>
      <c r="M196" s="4">
        <f>L196*16.67%</f>
      </c>
      <c r="N196" s="4">
        <f>K196/100*7</f>
      </c>
      <c r="O196" s="4">
        <f>N196*20%</f>
      </c>
      <c r="P196" s="4">
        <f>N196*2%</f>
      </c>
      <c r="Q196" s="4">
        <f>P196*20%</f>
      </c>
      <c r="R196" s="4">
        <v>0</v>
      </c>
      <c r="S196" s="4">
        <f>R196*20%</f>
      </c>
      <c r="T196" s="4">
        <v>1</v>
      </c>
      <c r="U196" s="4">
        <f>O196+Q196+S196</f>
      </c>
      <c r="V196" s="4">
        <f>L196-M196-N196-O196-P196-Q196-R196-S196-T196</f>
      </c>
      <c r="W196" s="4">
        <f>(V196-Y196)/J196*100</f>
      </c>
      <c r="X196" s="4">
        <f>M196-U196</f>
      </c>
      <c r="Z196" s="4">
        <f>V196-Y196</f>
      </c>
      <c r="AE196" t="s">
        <v>1</v>
      </c>
    </row>
    <row r="197" spans="1:31" x14ac:dyDescent="0.25">
      <c r="A197" s="8">
        <v>46193.5</v>
      </c>
      <c r="B197" t="s">
        <v>432</v>
      </c>
      <c r="C197" t="s">
        <v>1</v>
      </c>
      <c r="D197" s="9" t="s">
        <v>433</v>
      </c>
      <c r="E197" t="s">
        <v>134</v>
      </c>
      <c r="F197" t="s">
        <v>105</v>
      </c>
      <c r="G197" t="s">
        <v>65</v>
      </c>
      <c r="H197" t="s">
        <v>78</v>
      </c>
      <c r="I197">
        <v>1</v>
      </c>
      <c r="J197" s="4">
        <v>140</v>
      </c>
      <c r="K197" s="4">
        <v>165.2</v>
      </c>
      <c r="L197" s="4">
        <f>K197-J197</f>
      </c>
      <c r="M197" s="4">
        <f>L197*16.67%</f>
      </c>
      <c r="N197" s="4">
        <f>K197/100*7</f>
      </c>
      <c r="O197" s="4">
        <f>N197*20%</f>
      </c>
      <c r="P197" s="4">
        <f>N197*2%</f>
      </c>
      <c r="Q197" s="4">
        <f>P197*20%</f>
      </c>
      <c r="R197" s="4">
        <v>0</v>
      </c>
      <c r="S197" s="4">
        <f>R197*20%</f>
      </c>
      <c r="T197" s="4">
        <v>1</v>
      </c>
      <c r="U197" s="4">
        <f>O197+Q197+S197</f>
      </c>
      <c r="V197" s="4">
        <f>L197-M197-N197-O197-P197-Q197-R197-S197-T197</f>
      </c>
      <c r="W197" s="4">
        <f>(V197-Y197)/J197*100</f>
      </c>
      <c r="X197" s="4">
        <f>M197-U197</f>
      </c>
      <c r="Z197" s="4">
        <f>V197-Y197</f>
      </c>
      <c r="AE197" t="s">
        <v>1</v>
      </c>
    </row>
    <row r="198" spans="1:31" x14ac:dyDescent="0.25">
      <c r="A198" s="8">
        <v>46193.5</v>
      </c>
      <c r="B198" t="s">
        <v>434</v>
      </c>
      <c r="C198" t="s">
        <v>185</v>
      </c>
      <c r="D198" s="9" t="s">
        <v>1</v>
      </c>
      <c r="E198" t="s">
        <v>185</v>
      </c>
      <c r="F198" t="s">
        <v>1</v>
      </c>
      <c r="G198" t="s">
        <v>1</v>
      </c>
      <c r="H198" t="s">
        <v>102</v>
      </c>
      <c r="I198">
        <v>2</v>
      </c>
      <c r="J198" s="4">
        <v>2.4</v>
      </c>
      <c r="K198" s="4">
        <v>3.26</v>
      </c>
      <c r="L198" s="4">
        <f>K198-J198</f>
      </c>
      <c r="M198" s="4">
        <f>L198*16.67%</f>
      </c>
      <c r="N198" s="4">
        <f>K198/100*7</f>
      </c>
      <c r="O198" s="4">
        <f>N198*20%</f>
      </c>
      <c r="P198" s="4">
        <f>N198*2%</f>
      </c>
      <c r="Q198" s="4">
        <f>P198*20%</f>
      </c>
      <c r="R198" s="4">
        <v>0</v>
      </c>
      <c r="S198" s="4">
        <f>R198*20%</f>
      </c>
      <c r="T198" s="4">
        <v>0</v>
      </c>
      <c r="U198" s="4">
        <f>O198+Q198+S198</f>
      </c>
      <c r="V198" s="4">
        <f>L198-M198-N198-O198-P198-Q198-R198-S198-T198</f>
      </c>
      <c r="W198" s="4">
        <f>(V198-Y198)/J198*100</f>
      </c>
      <c r="X198" s="4">
        <f>M198-U198</f>
      </c>
      <c r="Z198" s="4">
        <f>V198-Y198</f>
      </c>
      <c r="AE198" t="s">
        <v>1</v>
      </c>
    </row>
    <row r="199" spans="1:31" x14ac:dyDescent="0.25">
      <c r="A199" s="8">
        <v>46193.5</v>
      </c>
      <c r="B199" t="s">
        <v>435</v>
      </c>
      <c r="C199" t="s">
        <v>185</v>
      </c>
      <c r="D199" s="9" t="s">
        <v>1</v>
      </c>
      <c r="E199" t="s">
        <v>185</v>
      </c>
      <c r="F199" t="s">
        <v>1</v>
      </c>
      <c r="G199" t="s">
        <v>1</v>
      </c>
      <c r="H199" t="s">
        <v>102</v>
      </c>
      <c r="I199">
        <v>1</v>
      </c>
      <c r="J199" s="4">
        <v>1.2</v>
      </c>
      <c r="K199" s="4">
        <v>1.64</v>
      </c>
      <c r="L199" s="4">
        <f>K199-J199</f>
      </c>
      <c r="M199" s="4">
        <f>L199*16.67%</f>
      </c>
      <c r="N199" s="4">
        <f>K199/100*7</f>
      </c>
      <c r="O199" s="4">
        <f>N199*20%</f>
      </c>
      <c r="P199" s="4">
        <f>N199*2%</f>
      </c>
      <c r="Q199" s="4">
        <f>P199*20%</f>
      </c>
      <c r="R199" s="4">
        <v>0</v>
      </c>
      <c r="S199" s="4">
        <f>R199*20%</f>
      </c>
      <c r="T199" s="4">
        <v>0</v>
      </c>
      <c r="U199" s="4">
        <f>O199+Q199+S199</f>
      </c>
      <c r="V199" s="4">
        <f>L199-M199-N199-O199-P199-Q199-R199-S199-T199</f>
      </c>
      <c r="W199" s="4">
        <f>(V199-Y199)/J199*100</f>
      </c>
      <c r="X199" s="4">
        <f>M199-U199</f>
      </c>
      <c r="Z199" s="4">
        <f>V199-Y199</f>
      </c>
      <c r="AE199" t="s">
        <v>1</v>
      </c>
    </row>
    <row r="200" spans="1:31" x14ac:dyDescent="0.25">
      <c r="A200" s="8">
        <v>46192.5</v>
      </c>
      <c r="B200" t="s">
        <v>436</v>
      </c>
      <c r="C200" t="s">
        <v>1</v>
      </c>
      <c r="D200" s="9" t="s">
        <v>437</v>
      </c>
      <c r="E200" t="s">
        <v>84</v>
      </c>
      <c r="F200" t="s">
        <v>70</v>
      </c>
      <c r="G200" t="s">
        <v>60</v>
      </c>
      <c r="H200" t="s">
        <v>61</v>
      </c>
      <c r="I200">
        <v>1</v>
      </c>
      <c r="J200" s="4">
        <v>699</v>
      </c>
      <c r="K200" s="4">
        <v>880.74</v>
      </c>
      <c r="L200" s="4">
        <f>K200-J200</f>
      </c>
      <c r="M200" s="4">
        <f>L200*16.67%</f>
      </c>
      <c r="N200" s="4">
        <f>K200/100*7</f>
      </c>
      <c r="O200" s="4">
        <f>N200*20%</f>
      </c>
      <c r="P200" s="4">
        <f>N200*2%</f>
      </c>
      <c r="Q200" s="4">
        <f>P200*20%</f>
      </c>
      <c r="R200" s="4">
        <v>0</v>
      </c>
      <c r="S200" s="4">
        <f>R200*20%</f>
      </c>
      <c r="T200" s="4">
        <v>1</v>
      </c>
      <c r="U200" s="4">
        <f>O200+Q200+S200</f>
      </c>
      <c r="V200" s="4">
        <f>L200-M200-N200-O200-P200-Q200-R200-S200-T200</f>
      </c>
      <c r="W200" s="4">
        <f>(V200-Y200)/J200*100</f>
      </c>
      <c r="X200" s="4">
        <f>M200-U200</f>
      </c>
      <c r="Z200" s="4">
        <f>V200-Y200</f>
      </c>
      <c r="AE200" t="s">
        <v>1</v>
      </c>
    </row>
    <row r="201" spans="1:31" x14ac:dyDescent="0.25">
      <c r="A201" s="8">
        <v>46192.5</v>
      </c>
      <c r="B201" t="s">
        <v>438</v>
      </c>
      <c r="C201" t="s">
        <v>1</v>
      </c>
      <c r="D201" s="9" t="s">
        <v>439</v>
      </c>
      <c r="E201" t="s">
        <v>94</v>
      </c>
      <c r="F201" t="s">
        <v>105</v>
      </c>
      <c r="G201" t="s">
        <v>95</v>
      </c>
      <c r="H201" t="s">
        <v>61</v>
      </c>
      <c r="I201">
        <v>1</v>
      </c>
      <c r="J201" s="4">
        <v>64</v>
      </c>
      <c r="K201" s="4">
        <v>79.36</v>
      </c>
      <c r="L201" s="4">
        <f>K201-J201</f>
      </c>
      <c r="M201" s="4">
        <f>L201*16.67%</f>
      </c>
      <c r="N201" s="4">
        <f>K201/100*7</f>
      </c>
      <c r="O201" s="4">
        <f>N201*20%</f>
      </c>
      <c r="P201" s="4">
        <f>N201*2%</f>
      </c>
      <c r="Q201" s="4">
        <f>P201*20%</f>
      </c>
      <c r="R201" s="4">
        <v>0</v>
      </c>
      <c r="S201" s="4">
        <f>R201*20%</f>
      </c>
      <c r="T201" s="4">
        <v>1</v>
      </c>
      <c r="U201" s="4">
        <f>O201+Q201+S201</f>
      </c>
      <c r="V201" s="4">
        <f>L201-M201-N201-O201-P201-Q201-R201-S201-T201</f>
      </c>
      <c r="W201" s="4">
        <f>(V201-Y201)/J201*100</f>
      </c>
      <c r="X201" s="4">
        <f>M201-U201</f>
      </c>
      <c r="Z201" s="4">
        <f>V201-Y201</f>
      </c>
      <c r="AE201" t="s">
        <v>1</v>
      </c>
    </row>
    <row r="202" spans="1:31" x14ac:dyDescent="0.25">
      <c r="A202" s="8">
        <v>46192.5</v>
      </c>
      <c r="B202" t="s">
        <v>440</v>
      </c>
      <c r="C202" t="s">
        <v>1</v>
      </c>
      <c r="D202" s="9" t="s">
        <v>441</v>
      </c>
      <c r="E202" t="s">
        <v>64</v>
      </c>
      <c r="F202" t="s">
        <v>74</v>
      </c>
      <c r="G202" t="s">
        <v>65</v>
      </c>
      <c r="H202" t="s">
        <v>78</v>
      </c>
      <c r="I202">
        <v>1</v>
      </c>
      <c r="J202" s="4">
        <v>226</v>
      </c>
      <c r="K202" s="4">
        <v>266.68</v>
      </c>
      <c r="L202" s="4">
        <f>K202-J202</f>
      </c>
      <c r="M202" s="4">
        <f>L202*16.67%</f>
      </c>
      <c r="N202" s="4">
        <f>K202/100*7</f>
      </c>
      <c r="O202" s="4">
        <f>N202*20%</f>
      </c>
      <c r="P202" s="4">
        <f>N202*2%</f>
      </c>
      <c r="Q202" s="4">
        <f>P202*20%</f>
      </c>
      <c r="R202" s="4">
        <v>0</v>
      </c>
      <c r="S202" s="4">
        <f>R202*20%</f>
      </c>
      <c r="T202" s="4">
        <v>1</v>
      </c>
      <c r="U202" s="4">
        <f>O202+Q202+S202</f>
      </c>
      <c r="V202" s="4">
        <f>L202-M202-N202-O202-P202-Q202-R202-S202-T202</f>
      </c>
      <c r="W202" s="4">
        <f>(V202-Y202)/J202*100</f>
      </c>
      <c r="X202" s="4">
        <f>M202-U202</f>
      </c>
      <c r="Z202" s="4">
        <f>V202-Y202</f>
      </c>
      <c r="AE202" t="s">
        <v>1</v>
      </c>
    </row>
    <row r="203" spans="1:31" x14ac:dyDescent="0.25">
      <c r="A203" s="8">
        <v>46192.5</v>
      </c>
      <c r="B203" t="s">
        <v>442</v>
      </c>
      <c r="C203" t="s">
        <v>1</v>
      </c>
      <c r="D203" s="9" t="s">
        <v>443</v>
      </c>
      <c r="E203" t="s">
        <v>134</v>
      </c>
      <c r="F203" t="s">
        <v>99</v>
      </c>
      <c r="G203" t="s">
        <v>65</v>
      </c>
      <c r="H203" t="s">
        <v>75</v>
      </c>
      <c r="I203">
        <v>1</v>
      </c>
      <c r="J203" s="4">
        <v>140</v>
      </c>
      <c r="K203" s="4">
        <v>165.2</v>
      </c>
      <c r="L203" s="4">
        <f>K203-J203</f>
      </c>
      <c r="M203" s="4">
        <f>L203*16.67%</f>
      </c>
      <c r="N203" s="4">
        <f>K203/100*7</f>
      </c>
      <c r="O203" s="4">
        <f>N203*20%</f>
      </c>
      <c r="P203" s="4">
        <f>N203*2%</f>
      </c>
      <c r="Q203" s="4">
        <f>P203*20%</f>
      </c>
      <c r="R203" s="4">
        <v>0</v>
      </c>
      <c r="S203" s="4">
        <f>R203*20%</f>
      </c>
      <c r="T203" s="4">
        <v>1</v>
      </c>
      <c r="U203" s="4">
        <f>O203+Q203+S203</f>
      </c>
      <c r="V203" s="4">
        <f>L203-M203-N203-O203-P203-Q203-R203-S203-T203</f>
      </c>
      <c r="W203" s="4">
        <f>(V203-Y203)/J203*100</f>
      </c>
      <c r="X203" s="4">
        <f>M203-U203</f>
      </c>
      <c r="Z203" s="4">
        <f>V203-Y203</f>
      </c>
      <c r="AE203" t="s">
        <v>1</v>
      </c>
    </row>
    <row r="204" spans="1:31" x14ac:dyDescent="0.25">
      <c r="A204" s="8">
        <v>46192.5</v>
      </c>
      <c r="B204" t="s">
        <v>444</v>
      </c>
      <c r="C204" t="s">
        <v>1</v>
      </c>
      <c r="D204" s="9" t="s">
        <v>445</v>
      </c>
      <c r="E204" t="s">
        <v>69</v>
      </c>
      <c r="F204" t="s">
        <v>99</v>
      </c>
      <c r="G204" t="s">
        <v>60</v>
      </c>
      <c r="H204" t="s">
        <v>61</v>
      </c>
      <c r="I204">
        <v>1</v>
      </c>
      <c r="J204" s="4">
        <v>543</v>
      </c>
      <c r="K204" s="4">
        <v>640.74</v>
      </c>
      <c r="L204" s="4">
        <f>K204-J204</f>
      </c>
      <c r="M204" s="4">
        <f>L204*16.67%</f>
      </c>
      <c r="N204" s="4">
        <f>K204/100*7</f>
      </c>
      <c r="O204" s="4">
        <f>N204*20%</f>
      </c>
      <c r="P204" s="4">
        <f>N204*2%</f>
      </c>
      <c r="Q204" s="4">
        <f>P204*20%</f>
      </c>
      <c r="R204" s="4">
        <v>0</v>
      </c>
      <c r="S204" s="4">
        <f>R204*20%</f>
      </c>
      <c r="T204" s="4">
        <v>1</v>
      </c>
      <c r="U204" s="4">
        <f>O204+Q204+S204</f>
      </c>
      <c r="V204" s="4">
        <f>L204-M204-N204-O204-P204-Q204-R204-S204-T204</f>
      </c>
      <c r="W204" s="4">
        <f>(V204-Y204)/J204*100</f>
      </c>
      <c r="X204" s="4">
        <f>M204-U204</f>
      </c>
      <c r="Z204" s="4">
        <f>V204-Y204</f>
      </c>
      <c r="AE204" t="s">
        <v>1</v>
      </c>
    </row>
    <row r="205" spans="1:31" x14ac:dyDescent="0.25">
      <c r="A205" s="8">
        <v>46191.5</v>
      </c>
      <c r="B205" t="s">
        <v>446</v>
      </c>
      <c r="C205" t="s">
        <v>1</v>
      </c>
      <c r="D205" s="9" t="s">
        <v>447</v>
      </c>
      <c r="E205" t="s">
        <v>134</v>
      </c>
      <c r="F205" t="s">
        <v>88</v>
      </c>
      <c r="G205" t="s">
        <v>65</v>
      </c>
      <c r="H205" t="s">
        <v>61</v>
      </c>
      <c r="I205">
        <v>1</v>
      </c>
      <c r="J205" s="4">
        <v>122</v>
      </c>
      <c r="K205" s="4">
        <v>170.8</v>
      </c>
      <c r="L205" s="4">
        <f>K205-J205</f>
      </c>
      <c r="M205" s="4">
        <f>L205*16.67%</f>
      </c>
      <c r="N205" s="4">
        <f>K205/100*7</f>
      </c>
      <c r="O205" s="4">
        <f>N205*20%</f>
      </c>
      <c r="P205" s="4">
        <f>N205*2%</f>
      </c>
      <c r="Q205" s="4">
        <f>P205*20%</f>
      </c>
      <c r="R205" s="4">
        <v>0</v>
      </c>
      <c r="S205" s="4">
        <f>R205*20%</f>
      </c>
      <c r="T205" s="4">
        <v>1</v>
      </c>
      <c r="U205" s="4">
        <f>O205+Q205+S205</f>
      </c>
      <c r="V205" s="4">
        <f>L205-M205-N205-O205-P205-Q205-R205-S205-T205</f>
      </c>
      <c r="W205" s="4">
        <f>(V205-Y205)/J205*100</f>
      </c>
      <c r="X205" s="4">
        <f>M205-U205</f>
      </c>
      <c r="Z205" s="4">
        <f>V205-Y205</f>
      </c>
      <c r="AE205" t="s">
        <v>1</v>
      </c>
    </row>
    <row r="206" spans="1:31" x14ac:dyDescent="0.25">
      <c r="A206" s="8">
        <v>46191.5</v>
      </c>
      <c r="B206" t="s">
        <v>448</v>
      </c>
      <c r="C206" t="s">
        <v>1</v>
      </c>
      <c r="D206" s="9" t="s">
        <v>449</v>
      </c>
      <c r="E206" t="s">
        <v>91</v>
      </c>
      <c r="F206" t="s">
        <v>74</v>
      </c>
      <c r="G206" t="s">
        <v>65</v>
      </c>
      <c r="H206" t="s">
        <v>66</v>
      </c>
      <c r="I206">
        <v>1</v>
      </c>
      <c r="J206" s="4">
        <v>91</v>
      </c>
      <c r="K206" s="4">
        <v>131.95</v>
      </c>
      <c r="L206" s="4">
        <f>K206-J206</f>
      </c>
      <c r="M206" s="4">
        <f>L206*16.67%</f>
      </c>
      <c r="N206" s="4">
        <f>K206/100*7</f>
      </c>
      <c r="O206" s="4">
        <f>N206*20%</f>
      </c>
      <c r="P206" s="4">
        <f>N206*2%</f>
      </c>
      <c r="Q206" s="4">
        <f>P206*20%</f>
      </c>
      <c r="R206" s="4">
        <v>0</v>
      </c>
      <c r="S206" s="4">
        <f>R206*20%</f>
      </c>
      <c r="T206" s="4">
        <v>1</v>
      </c>
      <c r="U206" s="4">
        <f>O206+Q206+S206</f>
      </c>
      <c r="V206" s="4">
        <f>L206-M206-N206-O206-P206-Q206-R206-S206-T206</f>
      </c>
      <c r="W206" s="4">
        <f>(V206-Y206)/J206*100</f>
      </c>
      <c r="X206" s="4">
        <f>M206-U206</f>
      </c>
      <c r="Z206" s="4">
        <f>V206-Y206</f>
      </c>
      <c r="AE206" t="s">
        <v>1</v>
      </c>
    </row>
    <row r="207" spans="1:31" x14ac:dyDescent="0.25">
      <c r="A207" s="8">
        <v>46191.5</v>
      </c>
      <c r="B207" t="s">
        <v>450</v>
      </c>
      <c r="C207" t="s">
        <v>1</v>
      </c>
      <c r="D207" s="9" t="s">
        <v>451</v>
      </c>
      <c r="E207" t="s">
        <v>292</v>
      </c>
      <c r="F207" t="s">
        <v>99</v>
      </c>
      <c r="G207" t="s">
        <v>126</v>
      </c>
      <c r="H207" t="s">
        <v>61</v>
      </c>
      <c r="I207">
        <v>1</v>
      </c>
      <c r="J207" s="4">
        <v>186</v>
      </c>
      <c r="K207" s="4">
        <v>254.82</v>
      </c>
      <c r="L207" s="4">
        <f>K207-J207</f>
      </c>
      <c r="M207" s="4">
        <f>L207*16.67%</f>
      </c>
      <c r="N207" s="4">
        <f>K207/100*7</f>
      </c>
      <c r="O207" s="4">
        <f>N207*20%</f>
      </c>
      <c r="P207" s="4">
        <f>N207*2%</f>
      </c>
      <c r="Q207" s="4">
        <f>P207*20%</f>
      </c>
      <c r="R207" s="4">
        <v>0</v>
      </c>
      <c r="S207" s="4">
        <f>R207*20%</f>
      </c>
      <c r="T207" s="4">
        <v>1</v>
      </c>
      <c r="U207" s="4">
        <f>O207+Q207+S207</f>
      </c>
      <c r="V207" s="4">
        <f>L207-M207-N207-O207-P207-Q207-R207-S207-T207</f>
      </c>
      <c r="W207" s="4">
        <f>(V207-Y207)/J207*100</f>
      </c>
      <c r="X207" s="4">
        <f>M207-U207</f>
      </c>
      <c r="Z207" s="4">
        <f>V207-Y207</f>
      </c>
      <c r="AE207" t="s">
        <v>1</v>
      </c>
    </row>
    <row r="208" spans="1:31" x14ac:dyDescent="0.25">
      <c r="A208" s="8">
        <v>46191.5</v>
      </c>
      <c r="B208" t="s">
        <v>452</v>
      </c>
      <c r="C208" t="s">
        <v>1</v>
      </c>
      <c r="D208" s="9" t="s">
        <v>453</v>
      </c>
      <c r="E208" t="s">
        <v>114</v>
      </c>
      <c r="F208" t="s">
        <v>74</v>
      </c>
      <c r="G208" t="s">
        <v>95</v>
      </c>
      <c r="H208" t="s">
        <v>66</v>
      </c>
      <c r="I208">
        <v>1</v>
      </c>
      <c r="J208" s="4">
        <v>214</v>
      </c>
      <c r="K208" s="4">
        <v>261.08</v>
      </c>
      <c r="L208" s="4">
        <f>K208-J208</f>
      </c>
      <c r="M208" s="4">
        <f>L208*16.67%</f>
      </c>
      <c r="N208" s="4">
        <f>K208/100*7</f>
      </c>
      <c r="O208" s="4">
        <f>N208*20%</f>
      </c>
      <c r="P208" s="4">
        <f>N208*2%</f>
      </c>
      <c r="Q208" s="4">
        <f>P208*20%</f>
      </c>
      <c r="R208" s="4">
        <v>0</v>
      </c>
      <c r="S208" s="4">
        <f>R208*20%</f>
      </c>
      <c r="T208" s="4">
        <v>1</v>
      </c>
      <c r="U208" s="4">
        <f>O208+Q208+S208</f>
      </c>
      <c r="V208" s="4">
        <f>L208-M208-N208-O208-P208-Q208-R208-S208-T208</f>
      </c>
      <c r="W208" s="4">
        <f>(V208-Y208)/J208*100</f>
      </c>
      <c r="X208" s="4">
        <f>M208-U208</f>
      </c>
      <c r="Z208" s="4">
        <f>V208-Y208</f>
      </c>
      <c r="AE208" t="s">
        <v>1</v>
      </c>
    </row>
    <row r="209" spans="1:31" x14ac:dyDescent="0.25">
      <c r="A209" s="8">
        <v>46191.5</v>
      </c>
      <c r="B209" t="s">
        <v>454</v>
      </c>
      <c r="C209" t="s">
        <v>1</v>
      </c>
      <c r="D209" s="9" t="s">
        <v>455</v>
      </c>
      <c r="E209" t="s">
        <v>91</v>
      </c>
      <c r="F209" t="s">
        <v>85</v>
      </c>
      <c r="G209" t="s">
        <v>65</v>
      </c>
      <c r="H209" t="s">
        <v>61</v>
      </c>
      <c r="I209">
        <v>1</v>
      </c>
      <c r="J209" s="4">
        <v>101</v>
      </c>
      <c r="K209" s="4">
        <v>125.24</v>
      </c>
      <c r="L209" s="4">
        <f>K209-J209</f>
      </c>
      <c r="M209" s="4">
        <f>L209*16.67%</f>
      </c>
      <c r="N209" s="4">
        <f>K209/100*7</f>
      </c>
      <c r="O209" s="4">
        <f>N209*20%</f>
      </c>
      <c r="P209" s="4">
        <f>N209*2%</f>
      </c>
      <c r="Q209" s="4">
        <f>P209*20%</f>
      </c>
      <c r="R209" s="4">
        <v>0</v>
      </c>
      <c r="S209" s="4">
        <f>R209*20%</f>
      </c>
      <c r="T209" s="4">
        <v>1</v>
      </c>
      <c r="U209" s="4">
        <f>O209+Q209+S209</f>
      </c>
      <c r="V209" s="4">
        <f>L209-M209-N209-O209-P209-Q209-R209-S209-T209</f>
      </c>
      <c r="W209" s="4">
        <f>(V209-Y209)/J209*100</f>
      </c>
      <c r="X209" s="4">
        <f>M209-U209</f>
      </c>
      <c r="Z209" s="4">
        <f>V209-Y209</f>
      </c>
      <c r="AE209" t="s">
        <v>1</v>
      </c>
    </row>
    <row r="210" spans="1:31" x14ac:dyDescent="0.25">
      <c r="A210" s="8">
        <v>46191.5</v>
      </c>
      <c r="B210" t="s">
        <v>456</v>
      </c>
      <c r="C210" t="s">
        <v>182</v>
      </c>
      <c r="D210" s="9" t="s">
        <v>1</v>
      </c>
      <c r="E210" t="s">
        <v>182</v>
      </c>
      <c r="F210" t="s">
        <v>1</v>
      </c>
      <c r="G210" t="s">
        <v>1</v>
      </c>
      <c r="H210" t="s">
        <v>75</v>
      </c>
      <c r="I210">
        <v>4</v>
      </c>
      <c r="J210" s="4">
        <v>7.6</v>
      </c>
      <c r="K210" s="4">
        <v>9.42</v>
      </c>
      <c r="L210" s="4">
        <f>K210-J210</f>
      </c>
      <c r="M210" s="4">
        <f>L210*16.67%</f>
      </c>
      <c r="N210" s="4">
        <f>K210/100*7</f>
      </c>
      <c r="O210" s="4">
        <f>N210*20%</f>
      </c>
      <c r="P210" s="4">
        <f>N210*2%</f>
      </c>
      <c r="Q210" s="4">
        <f>P210*20%</f>
      </c>
      <c r="R210" s="4">
        <v>0</v>
      </c>
      <c r="S210" s="4">
        <f>R210*20%</f>
      </c>
      <c r="T210" s="4">
        <v>0</v>
      </c>
      <c r="U210" s="4">
        <f>O210+Q210+S210</f>
      </c>
      <c r="V210" s="4">
        <f>L210-M210-N210-O210-P210-Q210-R210-S210-T210</f>
      </c>
      <c r="W210" s="4">
        <f>(V210-Y210)/J210*100</f>
      </c>
      <c r="X210" s="4">
        <f>M210-U210</f>
      </c>
      <c r="Z210" s="4">
        <f>V210-Y210</f>
      </c>
      <c r="AE210" t="s">
        <v>1</v>
      </c>
    </row>
    <row r="211" spans="1:31" x14ac:dyDescent="0.25">
      <c r="A211" s="8">
        <v>46191.5</v>
      </c>
      <c r="B211" t="s">
        <v>457</v>
      </c>
      <c r="C211" t="s">
        <v>182</v>
      </c>
      <c r="D211" s="9" t="s">
        <v>1</v>
      </c>
      <c r="E211" t="s">
        <v>182</v>
      </c>
      <c r="F211" t="s">
        <v>1</v>
      </c>
      <c r="G211" t="s">
        <v>1</v>
      </c>
      <c r="H211" t="s">
        <v>75</v>
      </c>
      <c r="I211">
        <v>1</v>
      </c>
      <c r="J211" s="4">
        <v>1.9</v>
      </c>
      <c r="K211" s="4">
        <v>2.32</v>
      </c>
      <c r="L211" s="4">
        <f>K211-J211</f>
      </c>
      <c r="M211" s="4">
        <f>L211*16.67%</f>
      </c>
      <c r="N211" s="4">
        <f>K211/100*7</f>
      </c>
      <c r="O211" s="4">
        <f>N211*20%</f>
      </c>
      <c r="P211" s="4">
        <f>N211*2%</f>
      </c>
      <c r="Q211" s="4">
        <f>P211*20%</f>
      </c>
      <c r="R211" s="4">
        <v>0</v>
      </c>
      <c r="S211" s="4">
        <f>R211*20%</f>
      </c>
      <c r="T211" s="4">
        <v>0</v>
      </c>
      <c r="U211" s="4">
        <f>O211+Q211+S211</f>
      </c>
      <c r="V211" s="4">
        <f>L211-M211-N211-O211-P211-Q211-R211-S211-T211</f>
      </c>
      <c r="W211" s="4">
        <f>(V211-Y211)/J211*100</f>
      </c>
      <c r="X211" s="4">
        <f>M211-U211</f>
      </c>
      <c r="Z211" s="4">
        <f>V211-Y211</f>
      </c>
      <c r="AE211" t="s">
        <v>1</v>
      </c>
    </row>
    <row r="212" spans="1:31" x14ac:dyDescent="0.25">
      <c r="A212" s="8">
        <v>46191.5</v>
      </c>
      <c r="B212" t="s">
        <v>458</v>
      </c>
      <c r="C212" t="s">
        <v>182</v>
      </c>
      <c r="D212" s="9" t="s">
        <v>1</v>
      </c>
      <c r="E212" t="s">
        <v>182</v>
      </c>
      <c r="F212" t="s">
        <v>1</v>
      </c>
      <c r="G212" t="s">
        <v>1</v>
      </c>
      <c r="H212" t="s">
        <v>75</v>
      </c>
      <c r="I212">
        <v>3</v>
      </c>
      <c r="J212" s="4">
        <v>5.7</v>
      </c>
      <c r="K212" s="4">
        <v>6.95</v>
      </c>
      <c r="L212" s="4">
        <f>K212-J212</f>
      </c>
      <c r="M212" s="4">
        <f>L212*16.67%</f>
      </c>
      <c r="N212" s="4">
        <f>K212/100*7</f>
      </c>
      <c r="O212" s="4">
        <f>N212*20%</f>
      </c>
      <c r="P212" s="4">
        <f>N212*2%</f>
      </c>
      <c r="Q212" s="4">
        <f>P212*20%</f>
      </c>
      <c r="R212" s="4">
        <v>0</v>
      </c>
      <c r="S212" s="4">
        <f>R212*20%</f>
      </c>
      <c r="T212" s="4">
        <v>0</v>
      </c>
      <c r="U212" s="4">
        <f>O212+Q212+S212</f>
      </c>
      <c r="V212" s="4">
        <f>L212-M212-N212-O212-P212-Q212-R212-S212-T212</f>
      </c>
      <c r="W212" s="4">
        <f>(V212-Y212)/J212*100</f>
      </c>
      <c r="X212" s="4">
        <f>M212-U212</f>
      </c>
      <c r="Z212" s="4">
        <f>V212-Y212</f>
      </c>
      <c r="AE212" t="s">
        <v>1</v>
      </c>
    </row>
    <row r="213" spans="1:31" x14ac:dyDescent="0.25">
      <c r="A213" s="8">
        <v>46190.5</v>
      </c>
      <c r="B213" t="s">
        <v>459</v>
      </c>
      <c r="C213" t="s">
        <v>1</v>
      </c>
      <c r="D213" s="9" t="s">
        <v>460</v>
      </c>
      <c r="E213" t="s">
        <v>125</v>
      </c>
      <c r="F213" t="s">
        <v>74</v>
      </c>
      <c r="G213" t="s">
        <v>126</v>
      </c>
      <c r="H213" t="s">
        <v>102</v>
      </c>
      <c r="I213">
        <v>1</v>
      </c>
      <c r="J213" s="4">
        <v>234</v>
      </c>
      <c r="K213" s="4">
        <v>273.78</v>
      </c>
      <c r="L213" s="4">
        <f>K213-J213</f>
      </c>
      <c r="M213" s="4">
        <f>L213*16.67%</f>
      </c>
      <c r="N213" s="4">
        <f>K213/100*7</f>
      </c>
      <c r="O213" s="4">
        <f>N213*20%</f>
      </c>
      <c r="P213" s="4">
        <f>N213*2%</f>
      </c>
      <c r="Q213" s="4">
        <f>P213*20%</f>
      </c>
      <c r="R213" s="4">
        <v>0</v>
      </c>
      <c r="S213" s="4">
        <f>R213*20%</f>
      </c>
      <c r="T213" s="4">
        <v>1</v>
      </c>
      <c r="U213" s="4">
        <f>O213+Q213+S213</f>
      </c>
      <c r="V213" s="4">
        <f>L213-M213-N213-O213-P213-Q213-R213-S213-T213</f>
      </c>
      <c r="W213" s="4">
        <f>(V213-Y213)/J213*100</f>
      </c>
      <c r="X213" s="4">
        <f>M213-U213</f>
      </c>
      <c r="Z213" s="4">
        <f>V213-Y213</f>
      </c>
      <c r="AE213" t="s">
        <v>1</v>
      </c>
    </row>
    <row r="214" spans="1:31" x14ac:dyDescent="0.25">
      <c r="A214" s="8">
        <v>46190.5</v>
      </c>
      <c r="B214" t="s">
        <v>461</v>
      </c>
      <c r="C214" t="s">
        <v>1</v>
      </c>
      <c r="D214" s="9" t="s">
        <v>462</v>
      </c>
      <c r="E214" t="s">
        <v>98</v>
      </c>
      <c r="F214" t="s">
        <v>99</v>
      </c>
      <c r="G214" t="s">
        <v>65</v>
      </c>
      <c r="H214" t="s">
        <v>102</v>
      </c>
      <c r="I214">
        <v>1</v>
      </c>
      <c r="J214" s="4">
        <v>323</v>
      </c>
      <c r="K214" s="4">
        <v>384.37</v>
      </c>
      <c r="L214" s="4">
        <f>K214-J214</f>
      </c>
      <c r="M214" s="4">
        <f>L214*16.67%</f>
      </c>
      <c r="N214" s="4">
        <f>K214/100*7</f>
      </c>
      <c r="O214" s="4">
        <f>N214*20%</f>
      </c>
      <c r="P214" s="4">
        <f>N214*2%</f>
      </c>
      <c r="Q214" s="4">
        <f>P214*20%</f>
      </c>
      <c r="R214" s="4">
        <v>0</v>
      </c>
      <c r="S214" s="4">
        <f>R214*20%</f>
      </c>
      <c r="T214" s="4">
        <v>1</v>
      </c>
      <c r="U214" s="4">
        <f>O214+Q214+S214</f>
      </c>
      <c r="V214" s="4">
        <f>L214-M214-N214-O214-P214-Q214-R214-S214-T214</f>
      </c>
      <c r="W214" s="4">
        <f>(V214-Y214)/J214*100</f>
      </c>
      <c r="X214" s="4">
        <f>M214-U214</f>
      </c>
      <c r="Z214" s="4">
        <f>V214-Y214</f>
      </c>
      <c r="AE214" t="s">
        <v>1</v>
      </c>
    </row>
    <row r="215" spans="1:31" x14ac:dyDescent="0.25">
      <c r="A215" s="8">
        <v>46190.5</v>
      </c>
      <c r="B215" t="s">
        <v>463</v>
      </c>
      <c r="C215" t="s">
        <v>1</v>
      </c>
      <c r="D215" s="9" t="s">
        <v>464</v>
      </c>
      <c r="E215" t="s">
        <v>58</v>
      </c>
      <c r="F215" t="s">
        <v>85</v>
      </c>
      <c r="G215" t="s">
        <v>60</v>
      </c>
      <c r="H215" t="s">
        <v>78</v>
      </c>
      <c r="I215">
        <v>1</v>
      </c>
      <c r="J215" s="4">
        <v>476</v>
      </c>
      <c r="K215" s="4">
        <v>547.4</v>
      </c>
      <c r="L215" s="4">
        <f>K215-J215</f>
      </c>
      <c r="M215" s="4">
        <f>L215*16.67%</f>
      </c>
      <c r="N215" s="4">
        <f>K215/100*7</f>
      </c>
      <c r="O215" s="4">
        <f>N215*20%</f>
      </c>
      <c r="P215" s="4">
        <f>N215*2%</f>
      </c>
      <c r="Q215" s="4">
        <f>P215*20%</f>
      </c>
      <c r="R215" s="4">
        <v>0</v>
      </c>
      <c r="S215" s="4">
        <f>R215*20%</f>
      </c>
      <c r="T215" s="4">
        <v>1</v>
      </c>
      <c r="U215" s="4">
        <f>O215+Q215+S215</f>
      </c>
      <c r="V215" s="4">
        <f>L215-M215-N215-O215-P215-Q215-R215-S215-T215</f>
      </c>
      <c r="W215" s="4">
        <f>(V215-Y215)/J215*100</f>
      </c>
      <c r="X215" s="4">
        <f>M215-U215</f>
      </c>
      <c r="Z215" s="4">
        <f>V215-Y215</f>
      </c>
      <c r="AE215" t="s">
        <v>1</v>
      </c>
    </row>
    <row r="216" spans="1:31" x14ac:dyDescent="0.25">
      <c r="A216" s="8">
        <v>46189.5</v>
      </c>
      <c r="B216" t="s">
        <v>465</v>
      </c>
      <c r="C216" t="s">
        <v>1</v>
      </c>
      <c r="D216" s="9" t="s">
        <v>466</v>
      </c>
      <c r="E216" t="s">
        <v>58</v>
      </c>
      <c r="F216" t="s">
        <v>99</v>
      </c>
      <c r="G216" t="s">
        <v>60</v>
      </c>
      <c r="H216" t="s">
        <v>102</v>
      </c>
      <c r="I216">
        <v>1</v>
      </c>
      <c r="J216" s="4">
        <v>427</v>
      </c>
      <c r="K216" s="4">
        <v>508.13</v>
      </c>
      <c r="L216" s="4">
        <f>K216-J216</f>
      </c>
      <c r="M216" s="4">
        <f>L216*16.67%</f>
      </c>
      <c r="N216" s="4">
        <f>K216/100*7</f>
      </c>
      <c r="O216" s="4">
        <f>N216*20%</f>
      </c>
      <c r="P216" s="4">
        <f>N216*2%</f>
      </c>
      <c r="Q216" s="4">
        <f>P216*20%</f>
      </c>
      <c r="R216" s="4">
        <v>0</v>
      </c>
      <c r="S216" s="4">
        <f>R216*20%</f>
      </c>
      <c r="T216" s="4">
        <v>1</v>
      </c>
      <c r="U216" s="4">
        <f>O216+Q216+S216</f>
      </c>
      <c r="V216" s="4">
        <f>L216-M216-N216-O216-P216-Q216-R216-S216-T216</f>
      </c>
      <c r="W216" s="4">
        <f>(V216-Y216)/J216*100</f>
      </c>
      <c r="X216" s="4">
        <f>M216-U216</f>
      </c>
      <c r="Z216" s="4">
        <f>V216-Y216</f>
      </c>
      <c r="AE216" t="s">
        <v>1</v>
      </c>
    </row>
    <row r="217" spans="1:31" x14ac:dyDescent="0.25">
      <c r="A217" s="8">
        <v>46189.5</v>
      </c>
      <c r="B217" t="s">
        <v>467</v>
      </c>
      <c r="C217" t="s">
        <v>1</v>
      </c>
      <c r="D217" s="9" t="s">
        <v>468</v>
      </c>
      <c r="E217" t="s">
        <v>114</v>
      </c>
      <c r="F217" t="s">
        <v>99</v>
      </c>
      <c r="G217" t="s">
        <v>95</v>
      </c>
      <c r="H217" t="s">
        <v>75</v>
      </c>
      <c r="I217">
        <v>1</v>
      </c>
      <c r="J217" s="4">
        <v>180</v>
      </c>
      <c r="K217" s="4">
        <v>223.2</v>
      </c>
      <c r="L217" s="4">
        <f>K217-J217</f>
      </c>
      <c r="M217" s="4">
        <f>L217*16.67%</f>
      </c>
      <c r="N217" s="4">
        <f>K217/100*7</f>
      </c>
      <c r="O217" s="4">
        <f>N217*20%</f>
      </c>
      <c r="P217" s="4">
        <f>N217*2%</f>
      </c>
      <c r="Q217" s="4">
        <f>P217*20%</f>
      </c>
      <c r="R217" s="4">
        <v>0</v>
      </c>
      <c r="S217" s="4">
        <f>R217*20%</f>
      </c>
      <c r="T217" s="4">
        <v>1</v>
      </c>
      <c r="U217" s="4">
        <f>O217+Q217+S217</f>
      </c>
      <c r="V217" s="4">
        <f>L217-M217-N217-O217-P217-Q217-R217-S217-T217</f>
      </c>
      <c r="W217" s="4">
        <f>(V217-Y217)/J217*100</f>
      </c>
      <c r="X217" s="4">
        <f>M217-U217</f>
      </c>
      <c r="Z217" s="4">
        <f>V217-Y217</f>
      </c>
      <c r="AE217" t="s">
        <v>1</v>
      </c>
    </row>
    <row r="218" spans="1:31" x14ac:dyDescent="0.25">
      <c r="A218" s="8">
        <v>46189.5</v>
      </c>
      <c r="B218" t="s">
        <v>469</v>
      </c>
      <c r="C218" t="s">
        <v>1</v>
      </c>
      <c r="D218" s="9" t="s">
        <v>470</v>
      </c>
      <c r="E218" t="s">
        <v>98</v>
      </c>
      <c r="F218" t="s">
        <v>88</v>
      </c>
      <c r="G218" t="s">
        <v>60</v>
      </c>
      <c r="H218" t="s">
        <v>75</v>
      </c>
      <c r="I218">
        <v>1</v>
      </c>
      <c r="J218" s="4">
        <v>330</v>
      </c>
      <c r="K218" s="4">
        <v>386.1</v>
      </c>
      <c r="L218" s="4">
        <f>K218-J218</f>
      </c>
      <c r="M218" s="4">
        <f>L218*16.67%</f>
      </c>
      <c r="N218" s="4">
        <f>K218/100*7</f>
      </c>
      <c r="O218" s="4">
        <f>N218*20%</f>
      </c>
      <c r="P218" s="4">
        <f>N218*2%</f>
      </c>
      <c r="Q218" s="4">
        <f>P218*20%</f>
      </c>
      <c r="R218" s="4">
        <v>0</v>
      </c>
      <c r="S218" s="4">
        <f>R218*20%</f>
      </c>
      <c r="T218" s="4">
        <v>1</v>
      </c>
      <c r="U218" s="4">
        <f>O218+Q218+S218</f>
      </c>
      <c r="V218" s="4">
        <f>L218-M218-N218-O218-P218-Q218-R218-S218-T218</f>
      </c>
      <c r="W218" s="4">
        <f>(V218-Y218)/J218*100</f>
      </c>
      <c r="X218" s="4">
        <f>M218-U218</f>
      </c>
      <c r="Z218" s="4">
        <f>V218-Y218</f>
      </c>
      <c r="AE218" t="s">
        <v>1</v>
      </c>
    </row>
    <row r="219" spans="1:31" x14ac:dyDescent="0.25">
      <c r="A219" s="8">
        <v>46189.5</v>
      </c>
      <c r="B219" t="s">
        <v>471</v>
      </c>
      <c r="C219" t="s">
        <v>1</v>
      </c>
      <c r="D219" s="9" t="s">
        <v>1</v>
      </c>
      <c r="E219" t="s">
        <v>1</v>
      </c>
      <c r="F219" t="s">
        <v>1</v>
      </c>
      <c r="G219" t="s">
        <v>1</v>
      </c>
      <c r="H219" t="s">
        <v>61</v>
      </c>
      <c r="I219">
        <v>1</v>
      </c>
      <c r="J219" s="4">
        <v>279</v>
      </c>
      <c r="K219" s="4">
        <v>371.07</v>
      </c>
      <c r="L219" s="4">
        <f>K219-J219</f>
      </c>
      <c r="M219" s="4">
        <f>L219*16.67%</f>
      </c>
      <c r="N219" s="4">
        <f>K219/100*7</f>
      </c>
      <c r="O219" s="4">
        <f>N219*20%</f>
      </c>
      <c r="P219" s="4">
        <f>N219*2%</f>
      </c>
      <c r="Q219" s="4">
        <f>P219*20%</f>
      </c>
      <c r="R219" s="4">
        <v>0</v>
      </c>
      <c r="S219" s="4">
        <f>R219*20%</f>
      </c>
      <c r="T219" s="4">
        <v>1</v>
      </c>
      <c r="U219" s="4">
        <f>O219+Q219+S219</f>
      </c>
      <c r="V219" s="4">
        <f>L219-M219-N219-O219-P219-Q219-R219-S219-T219</f>
      </c>
      <c r="W219" s="4">
        <f>(V219-Y219)/J219*100</f>
      </c>
      <c r="X219" s="4">
        <f>M219-U219</f>
      </c>
      <c r="Z219" s="4">
        <f>V219-Y219</f>
      </c>
      <c r="AE219" t="s">
        <v>1</v>
      </c>
    </row>
    <row r="220" spans="1:31" x14ac:dyDescent="0.25">
      <c r="A220" s="8">
        <v>46188.5</v>
      </c>
      <c r="B220" t="s">
        <v>472</v>
      </c>
      <c r="C220" t="s">
        <v>1</v>
      </c>
      <c r="D220" s="9" t="s">
        <v>473</v>
      </c>
      <c r="E220" t="s">
        <v>131</v>
      </c>
      <c r="F220" t="s">
        <v>105</v>
      </c>
      <c r="G220" t="s">
        <v>60</v>
      </c>
      <c r="H220" t="s">
        <v>78</v>
      </c>
      <c r="I220">
        <v>1</v>
      </c>
      <c r="J220" s="4">
        <v>328</v>
      </c>
      <c r="K220" s="4">
        <v>410</v>
      </c>
      <c r="L220" s="4">
        <f>K220-J220</f>
      </c>
      <c r="M220" s="4">
        <f>L220*16.67%</f>
      </c>
      <c r="N220" s="4">
        <f>K220/100*7</f>
      </c>
      <c r="O220" s="4">
        <f>N220*20%</f>
      </c>
      <c r="P220" s="4">
        <f>N220*2%</f>
      </c>
      <c r="Q220" s="4">
        <f>P220*20%</f>
      </c>
      <c r="R220" s="4">
        <v>0</v>
      </c>
      <c r="S220" s="4">
        <f>R220*20%</f>
      </c>
      <c r="T220" s="4">
        <v>1</v>
      </c>
      <c r="U220" s="4">
        <f>O220+Q220+S220</f>
      </c>
      <c r="V220" s="4">
        <f>L220-M220-N220-O220-P220-Q220-R220-S220-T220</f>
      </c>
      <c r="W220" s="4">
        <f>(V220-Y220)/J220*100</f>
      </c>
      <c r="X220" s="4">
        <f>M220-U220</f>
      </c>
      <c r="Z220" s="4">
        <f>V220-Y220</f>
      </c>
      <c r="AE220" t="s">
        <v>1</v>
      </c>
    </row>
    <row r="221" spans="1:31" x14ac:dyDescent="0.25">
      <c r="A221" s="8">
        <v>46188.5</v>
      </c>
      <c r="B221" t="s">
        <v>474</v>
      </c>
      <c r="C221" t="s">
        <v>1</v>
      </c>
      <c r="D221" s="9" t="s">
        <v>475</v>
      </c>
      <c r="E221" t="s">
        <v>81</v>
      </c>
      <c r="F221" t="s">
        <v>59</v>
      </c>
      <c r="G221" t="s">
        <v>60</v>
      </c>
      <c r="H221" t="s">
        <v>75</v>
      </c>
      <c r="I221">
        <v>1</v>
      </c>
      <c r="J221" s="4">
        <v>537</v>
      </c>
      <c r="K221" s="4">
        <v>617.55</v>
      </c>
      <c r="L221" s="4">
        <f>K221-J221</f>
      </c>
      <c r="M221" s="4">
        <f>L221*16.67%</f>
      </c>
      <c r="N221" s="4">
        <f>K221/100*7</f>
      </c>
      <c r="O221" s="4">
        <f>N221*20%</f>
      </c>
      <c r="P221" s="4">
        <f>N221*2%</f>
      </c>
      <c r="Q221" s="4">
        <f>P221*20%</f>
      </c>
      <c r="R221" s="4">
        <v>0</v>
      </c>
      <c r="S221" s="4">
        <f>R221*20%</f>
      </c>
      <c r="T221" s="4">
        <v>1</v>
      </c>
      <c r="U221" s="4">
        <f>O221+Q221+S221</f>
      </c>
      <c r="V221" s="4">
        <f>L221-M221-N221-O221-P221-Q221-R221-S221-T221</f>
      </c>
      <c r="W221" s="4">
        <f>(V221-Y221)/J221*100</f>
      </c>
      <c r="X221" s="4">
        <f>M221-U221</f>
      </c>
      <c r="Z221" s="4">
        <f>V221-Y221</f>
      </c>
      <c r="AE221" t="s">
        <v>1</v>
      </c>
    </row>
    <row r="222" spans="1:31" x14ac:dyDescent="0.25">
      <c r="A222" s="8">
        <v>46187.5</v>
      </c>
      <c r="B222" t="s">
        <v>476</v>
      </c>
      <c r="C222" t="s">
        <v>1</v>
      </c>
      <c r="D222" s="9" t="s">
        <v>477</v>
      </c>
      <c r="E222" t="s">
        <v>234</v>
      </c>
      <c r="F222" t="s">
        <v>70</v>
      </c>
      <c r="G222" t="s">
        <v>65</v>
      </c>
      <c r="H222" t="s">
        <v>61</v>
      </c>
      <c r="I222">
        <v>1</v>
      </c>
      <c r="J222" s="4">
        <v>151</v>
      </c>
      <c r="K222" s="4">
        <v>194.79</v>
      </c>
      <c r="L222" s="4">
        <f>K222-J222</f>
      </c>
      <c r="M222" s="4">
        <f>L222*16.67%</f>
      </c>
      <c r="N222" s="4">
        <f>K222/100*7</f>
      </c>
      <c r="O222" s="4">
        <f>N222*20%</f>
      </c>
      <c r="P222" s="4">
        <f>N222*2%</f>
      </c>
      <c r="Q222" s="4">
        <f>P222*20%</f>
      </c>
      <c r="R222" s="4">
        <v>0</v>
      </c>
      <c r="S222" s="4">
        <f>R222*20%</f>
      </c>
      <c r="T222" s="4">
        <v>1</v>
      </c>
      <c r="U222" s="4">
        <f>O222+Q222+S222</f>
      </c>
      <c r="V222" s="4">
        <f>L222-M222-N222-O222-P222-Q222-R222-S222-T222</f>
      </c>
      <c r="W222" s="4">
        <f>(V222-Y222)/J222*100</f>
      </c>
      <c r="X222" s="4">
        <f>M222-U222</f>
      </c>
      <c r="Z222" s="4">
        <f>V222-Y222</f>
      </c>
      <c r="AE222" t="s">
        <v>1</v>
      </c>
    </row>
    <row r="223" spans="1:31" x14ac:dyDescent="0.25">
      <c r="A223" s="8">
        <v>46187.5</v>
      </c>
      <c r="B223" t="s">
        <v>478</v>
      </c>
      <c r="C223" t="s">
        <v>1</v>
      </c>
      <c r="D223" s="9" t="s">
        <v>479</v>
      </c>
      <c r="E223" t="s">
        <v>84</v>
      </c>
      <c r="F223" t="s">
        <v>85</v>
      </c>
      <c r="G223" t="s">
        <v>60</v>
      </c>
      <c r="H223" t="s">
        <v>78</v>
      </c>
      <c r="I223">
        <v>1</v>
      </c>
      <c r="J223" s="4">
        <v>741</v>
      </c>
      <c r="K223" s="4">
        <v>896.61</v>
      </c>
      <c r="L223" s="4">
        <f>K223-J223</f>
      </c>
      <c r="M223" s="4">
        <f>L223*16.67%</f>
      </c>
      <c r="N223" s="4">
        <f>K223/100*7</f>
      </c>
      <c r="O223" s="4">
        <f>N223*20%</f>
      </c>
      <c r="P223" s="4">
        <f>N223*2%</f>
      </c>
      <c r="Q223" s="4">
        <f>P223*20%</f>
      </c>
      <c r="R223" s="4">
        <v>0</v>
      </c>
      <c r="S223" s="4">
        <f>R223*20%</f>
      </c>
      <c r="T223" s="4">
        <v>1</v>
      </c>
      <c r="U223" s="4">
        <f>O223+Q223+S223</f>
      </c>
      <c r="V223" s="4">
        <f>L223-M223-N223-O223-P223-Q223-R223-S223-T223</f>
      </c>
      <c r="W223" s="4">
        <f>(V223-Y223)/J223*100</f>
      </c>
      <c r="X223" s="4">
        <f>M223-U223</f>
      </c>
      <c r="Z223" s="4">
        <f>V223-Y223</f>
      </c>
      <c r="AE223" t="s">
        <v>1</v>
      </c>
    </row>
    <row r="224" spans="1:31" x14ac:dyDescent="0.25">
      <c r="A224" s="8">
        <v>46187.5</v>
      </c>
      <c r="B224" t="s">
        <v>480</v>
      </c>
      <c r="C224" t="s">
        <v>1</v>
      </c>
      <c r="D224" s="9" t="s">
        <v>481</v>
      </c>
      <c r="E224" t="s">
        <v>292</v>
      </c>
      <c r="F224" t="s">
        <v>70</v>
      </c>
      <c r="G224" t="s">
        <v>126</v>
      </c>
      <c r="H224" t="s">
        <v>75</v>
      </c>
      <c r="I224">
        <v>1</v>
      </c>
      <c r="J224" s="4">
        <v>170</v>
      </c>
      <c r="K224" s="4">
        <v>198.9</v>
      </c>
      <c r="L224" s="4">
        <f>K224-J224</f>
      </c>
      <c r="M224" s="4">
        <f>L224*16.67%</f>
      </c>
      <c r="N224" s="4">
        <f>K224/100*7</f>
      </c>
      <c r="O224" s="4">
        <f>N224*20%</f>
      </c>
      <c r="P224" s="4">
        <f>N224*2%</f>
      </c>
      <c r="Q224" s="4">
        <f>P224*20%</f>
      </c>
      <c r="R224" s="4">
        <v>0</v>
      </c>
      <c r="S224" s="4">
        <f>R224*20%</f>
      </c>
      <c r="T224" s="4">
        <v>1</v>
      </c>
      <c r="U224" s="4">
        <f>O224+Q224+S224</f>
      </c>
      <c r="V224" s="4">
        <f>L224-M224-N224-O224-P224-Q224-R224-S224-T224</f>
      </c>
      <c r="W224" s="4">
        <f>(V224-Y224)/J224*100</f>
      </c>
      <c r="X224" s="4">
        <f>M224-U224</f>
      </c>
      <c r="Z224" s="4">
        <f>V224-Y224</f>
      </c>
      <c r="AE224" t="s">
        <v>1</v>
      </c>
    </row>
    <row r="225" spans="1:31" x14ac:dyDescent="0.25">
      <c r="A225" s="8">
        <v>46187.5</v>
      </c>
      <c r="B225" t="s">
        <v>482</v>
      </c>
      <c r="C225" t="s">
        <v>1</v>
      </c>
      <c r="D225" s="9" t="s">
        <v>483</v>
      </c>
      <c r="E225" t="s">
        <v>91</v>
      </c>
      <c r="F225" t="s">
        <v>85</v>
      </c>
      <c r="G225" t="s">
        <v>95</v>
      </c>
      <c r="H225" t="s">
        <v>78</v>
      </c>
      <c r="I225">
        <v>1</v>
      </c>
      <c r="J225" s="4">
        <v>114</v>
      </c>
      <c r="K225" s="4">
        <v>142.5</v>
      </c>
      <c r="L225" s="4">
        <f>K225-J225</f>
      </c>
      <c r="M225" s="4">
        <f>L225*16.67%</f>
      </c>
      <c r="N225" s="4">
        <f>K225/100*7</f>
      </c>
      <c r="O225" s="4">
        <f>N225*20%</f>
      </c>
      <c r="P225" s="4">
        <f>N225*2%</f>
      </c>
      <c r="Q225" s="4">
        <f>P225*20%</f>
      </c>
      <c r="R225" s="4">
        <v>0</v>
      </c>
      <c r="S225" s="4">
        <f>R225*20%</f>
      </c>
      <c r="T225" s="4">
        <v>1</v>
      </c>
      <c r="U225" s="4">
        <f>O225+Q225+S225</f>
      </c>
      <c r="V225" s="4">
        <f>L225-M225-N225-O225-P225-Q225-R225-S225-T225</f>
      </c>
      <c r="W225" s="4">
        <f>(V225-Y225)/J225*100</f>
      </c>
      <c r="X225" s="4">
        <f>M225-U225</f>
      </c>
      <c r="Z225" s="4">
        <f>V225-Y225</f>
      </c>
      <c r="AE225" t="s">
        <v>1</v>
      </c>
    </row>
    <row r="226" spans="1:31" x14ac:dyDescent="0.25">
      <c r="A226" s="8">
        <v>46186.5</v>
      </c>
      <c r="B226" t="s">
        <v>484</v>
      </c>
      <c r="C226" t="s">
        <v>1</v>
      </c>
      <c r="D226" s="9" t="s">
        <v>485</v>
      </c>
      <c r="E226" t="s">
        <v>98</v>
      </c>
      <c r="F226" t="s">
        <v>88</v>
      </c>
      <c r="G226" t="s">
        <v>65</v>
      </c>
      <c r="H226" t="s">
        <v>78</v>
      </c>
      <c r="I226">
        <v>1</v>
      </c>
      <c r="J226" s="4">
        <v>301</v>
      </c>
      <c r="K226" s="4">
        <v>367.22</v>
      </c>
      <c r="L226" s="4">
        <f>K226-J226</f>
      </c>
      <c r="M226" s="4">
        <f>L226*16.67%</f>
      </c>
      <c r="N226" s="4">
        <f>K226/100*7</f>
      </c>
      <c r="O226" s="4">
        <f>N226*20%</f>
      </c>
      <c r="P226" s="4">
        <f>N226*2%</f>
      </c>
      <c r="Q226" s="4">
        <f>P226*20%</f>
      </c>
      <c r="R226" s="4">
        <v>0</v>
      </c>
      <c r="S226" s="4">
        <f>R226*20%</f>
      </c>
      <c r="T226" s="4">
        <v>1</v>
      </c>
      <c r="U226" s="4">
        <f>O226+Q226+S226</f>
      </c>
      <c r="V226" s="4">
        <f>L226-M226-N226-O226-P226-Q226-R226-S226-T226</f>
      </c>
      <c r="W226" s="4">
        <f>(V226-Y226)/J226*100</f>
      </c>
      <c r="X226" s="4">
        <f>M226-U226</f>
      </c>
      <c r="Z226" s="4">
        <f>V226-Y226</f>
      </c>
      <c r="AE226" t="s">
        <v>1</v>
      </c>
    </row>
    <row r="227" spans="1:31" x14ac:dyDescent="0.25">
      <c r="A227" s="8">
        <v>46186.5</v>
      </c>
      <c r="B227" t="s">
        <v>486</v>
      </c>
      <c r="C227" t="s">
        <v>1</v>
      </c>
      <c r="D227" s="9" t="s">
        <v>487</v>
      </c>
      <c r="E227" t="s">
        <v>91</v>
      </c>
      <c r="F227" t="s">
        <v>74</v>
      </c>
      <c r="G227" t="s">
        <v>65</v>
      </c>
      <c r="H227" t="s">
        <v>66</v>
      </c>
      <c r="I227">
        <v>1</v>
      </c>
      <c r="J227" s="4">
        <v>94</v>
      </c>
      <c r="K227" s="4">
        <v>133.48</v>
      </c>
      <c r="L227" s="4">
        <f>K227-J227</f>
      </c>
      <c r="M227" s="4">
        <f>L227*16.67%</f>
      </c>
      <c r="N227" s="4">
        <f>K227/100*7</f>
      </c>
      <c r="O227" s="4">
        <f>N227*20%</f>
      </c>
      <c r="P227" s="4">
        <f>N227*2%</f>
      </c>
      <c r="Q227" s="4">
        <f>P227*20%</f>
      </c>
      <c r="R227" s="4">
        <v>0</v>
      </c>
      <c r="S227" s="4">
        <f>R227*20%</f>
      </c>
      <c r="T227" s="4">
        <v>1</v>
      </c>
      <c r="U227" s="4">
        <f>O227+Q227+S227</f>
      </c>
      <c r="V227" s="4">
        <f>L227-M227-N227-O227-P227-Q227-R227-S227-T227</f>
      </c>
      <c r="W227" s="4">
        <f>(V227-Y227)/J227*100</f>
      </c>
      <c r="X227" s="4">
        <f>M227-U227</f>
      </c>
      <c r="Z227" s="4">
        <f>V227-Y227</f>
      </c>
      <c r="AE227" t="s">
        <v>1</v>
      </c>
    </row>
    <row r="228" spans="1:31" x14ac:dyDescent="0.25">
      <c r="A228" s="8">
        <v>46186.5</v>
      </c>
      <c r="B228" t="s">
        <v>488</v>
      </c>
      <c r="C228" t="s">
        <v>1</v>
      </c>
      <c r="D228" s="9" t="s">
        <v>489</v>
      </c>
      <c r="E228" t="s">
        <v>125</v>
      </c>
      <c r="F228" t="s">
        <v>88</v>
      </c>
      <c r="G228" t="s">
        <v>126</v>
      </c>
      <c r="H228" t="s">
        <v>78</v>
      </c>
      <c r="I228">
        <v>1</v>
      </c>
      <c r="J228" s="4">
        <v>243</v>
      </c>
      <c r="K228" s="4">
        <v>323.19</v>
      </c>
      <c r="L228" s="4">
        <f>K228-J228</f>
      </c>
      <c r="M228" s="4">
        <f>L228*16.67%</f>
      </c>
      <c r="N228" s="4">
        <f>K228/100*7</f>
      </c>
      <c r="O228" s="4">
        <f>N228*20%</f>
      </c>
      <c r="P228" s="4">
        <f>N228*2%</f>
      </c>
      <c r="Q228" s="4">
        <f>P228*20%</f>
      </c>
      <c r="R228" s="4">
        <v>0</v>
      </c>
      <c r="S228" s="4">
        <f>R228*20%</f>
      </c>
      <c r="T228" s="4">
        <v>1</v>
      </c>
      <c r="U228" s="4">
        <f>O228+Q228+S228</f>
      </c>
      <c r="V228" s="4">
        <f>L228-M228-N228-O228-P228-Q228-R228-S228-T228</f>
      </c>
      <c r="W228" s="4">
        <f>(V228-Y228)/J228*100</f>
      </c>
      <c r="X228" s="4">
        <f>M228-U228</f>
      </c>
      <c r="Z228" s="4">
        <f>V228-Y228</f>
      </c>
      <c r="AE228" t="s">
        <v>1</v>
      </c>
    </row>
    <row r="229" spans="1:31" x14ac:dyDescent="0.25">
      <c r="A229" s="8">
        <v>46185.5</v>
      </c>
      <c r="B229" t="s">
        <v>490</v>
      </c>
      <c r="C229" t="s">
        <v>1</v>
      </c>
      <c r="D229" s="9" t="s">
        <v>491</v>
      </c>
      <c r="E229" t="s">
        <v>131</v>
      </c>
      <c r="F229" t="s">
        <v>85</v>
      </c>
      <c r="G229" t="s">
        <v>60</v>
      </c>
      <c r="H229" t="s">
        <v>102</v>
      </c>
      <c r="I229">
        <v>1</v>
      </c>
      <c r="J229" s="4">
        <v>307</v>
      </c>
      <c r="K229" s="4">
        <v>426.73</v>
      </c>
      <c r="L229" s="4">
        <f>K229-J229</f>
      </c>
      <c r="M229" s="4">
        <f>L229*16.67%</f>
      </c>
      <c r="N229" s="4">
        <f>K229/100*7</f>
      </c>
      <c r="O229" s="4">
        <f>N229*20%</f>
      </c>
      <c r="P229" s="4">
        <f>N229*2%</f>
      </c>
      <c r="Q229" s="4">
        <f>P229*20%</f>
      </c>
      <c r="R229" s="4">
        <v>0</v>
      </c>
      <c r="S229" s="4">
        <f>R229*20%</f>
      </c>
      <c r="T229" s="4">
        <v>1</v>
      </c>
      <c r="U229" s="4">
        <f>O229+Q229+S229</f>
      </c>
      <c r="V229" s="4">
        <f>L229-M229-N229-O229-P229-Q229-R229-S229-T229</f>
      </c>
      <c r="W229" s="4">
        <f>(V229-Y229)/J229*100</f>
      </c>
      <c r="X229" s="4">
        <f>M229-U229</f>
      </c>
      <c r="Z229" s="4">
        <f>V229-Y229</f>
      </c>
      <c r="AE229" t="s">
        <v>1</v>
      </c>
    </row>
    <row r="230" spans="1:31" x14ac:dyDescent="0.25">
      <c r="A230" s="8">
        <v>46185.5</v>
      </c>
      <c r="B230" t="s">
        <v>492</v>
      </c>
      <c r="C230" t="s">
        <v>1</v>
      </c>
      <c r="D230" s="9" t="s">
        <v>493</v>
      </c>
      <c r="E230" t="s">
        <v>172</v>
      </c>
      <c r="F230" t="s">
        <v>105</v>
      </c>
      <c r="G230" t="s">
        <v>65</v>
      </c>
      <c r="H230" t="s">
        <v>66</v>
      </c>
      <c r="I230">
        <v>1</v>
      </c>
      <c r="J230" s="4">
        <v>170</v>
      </c>
      <c r="K230" s="4">
        <v>219.3</v>
      </c>
      <c r="L230" s="4">
        <f>K230-J230</f>
      </c>
      <c r="M230" s="4">
        <f>L230*16.67%</f>
      </c>
      <c r="N230" s="4">
        <f>K230/100*7</f>
      </c>
      <c r="O230" s="4">
        <f>N230*20%</f>
      </c>
      <c r="P230" s="4">
        <f>N230*2%</f>
      </c>
      <c r="Q230" s="4">
        <f>P230*20%</f>
      </c>
      <c r="R230" s="4">
        <v>0</v>
      </c>
      <c r="S230" s="4">
        <f>R230*20%</f>
      </c>
      <c r="T230" s="4">
        <v>1</v>
      </c>
      <c r="U230" s="4">
        <f>O230+Q230+S230</f>
      </c>
      <c r="V230" s="4">
        <f>L230-M230-N230-O230-P230-Q230-R230-S230-T230</f>
      </c>
      <c r="W230" s="4">
        <f>(V230-Y230)/J230*100</f>
      </c>
      <c r="X230" s="4">
        <f>M230-U230</f>
      </c>
      <c r="Z230" s="4">
        <f>V230-Y230</f>
      </c>
      <c r="AE230" t="s">
        <v>1</v>
      </c>
    </row>
    <row r="231" spans="1:31" x14ac:dyDescent="0.25">
      <c r="A231" s="8">
        <v>46185.5</v>
      </c>
      <c r="B231" t="s">
        <v>494</v>
      </c>
      <c r="C231" t="s">
        <v>182</v>
      </c>
      <c r="D231" s="9" t="s">
        <v>1</v>
      </c>
      <c r="E231" t="s">
        <v>182</v>
      </c>
      <c r="F231" t="s">
        <v>1</v>
      </c>
      <c r="G231" t="s">
        <v>1</v>
      </c>
      <c r="H231" t="s">
        <v>75</v>
      </c>
      <c r="I231">
        <v>2</v>
      </c>
      <c r="J231" s="4">
        <v>3.8</v>
      </c>
      <c r="K231" s="4">
        <v>5.36</v>
      </c>
      <c r="L231" s="4">
        <f>K231-J231</f>
      </c>
      <c r="M231" s="4">
        <f>L231*16.67%</f>
      </c>
      <c r="N231" s="4">
        <f>K231/100*7</f>
      </c>
      <c r="O231" s="4">
        <f>N231*20%</f>
      </c>
      <c r="P231" s="4">
        <f>N231*2%</f>
      </c>
      <c r="Q231" s="4">
        <f>P231*20%</f>
      </c>
      <c r="R231" s="4">
        <v>0</v>
      </c>
      <c r="S231" s="4">
        <f>R231*20%</f>
      </c>
      <c r="T231" s="4">
        <v>0</v>
      </c>
      <c r="U231" s="4">
        <f>O231+Q231+S231</f>
      </c>
      <c r="V231" s="4">
        <f>L231-M231-N231-O231-P231-Q231-R231-S231-T231</f>
      </c>
      <c r="W231" s="4">
        <f>(V231-Y231)/J231*100</f>
      </c>
      <c r="X231" s="4">
        <f>M231-U231</f>
      </c>
      <c r="Z231" s="4">
        <f>V231-Y231</f>
      </c>
      <c r="AE231" t="s">
        <v>1</v>
      </c>
    </row>
    <row r="232" spans="1:31" x14ac:dyDescent="0.25">
      <c r="A232" s="8">
        <v>46184.5</v>
      </c>
      <c r="B232" t="s">
        <v>495</v>
      </c>
      <c r="C232" t="s">
        <v>1</v>
      </c>
      <c r="D232" s="9" t="s">
        <v>496</v>
      </c>
      <c r="E232" t="s">
        <v>172</v>
      </c>
      <c r="F232" t="s">
        <v>74</v>
      </c>
      <c r="G232" t="s">
        <v>65</v>
      </c>
      <c r="H232" t="s">
        <v>66</v>
      </c>
      <c r="I232">
        <v>1</v>
      </c>
      <c r="J232" s="4">
        <v>170</v>
      </c>
      <c r="K232" s="4">
        <v>241.4</v>
      </c>
      <c r="L232" s="4">
        <f>K232-J232</f>
      </c>
      <c r="M232" s="4">
        <f>L232*16.67%</f>
      </c>
      <c r="N232" s="4">
        <f>K232/100*7</f>
      </c>
      <c r="O232" s="4">
        <f>N232*20%</f>
      </c>
      <c r="P232" s="4">
        <f>N232*2%</f>
      </c>
      <c r="Q232" s="4">
        <f>P232*20%</f>
      </c>
      <c r="R232" s="4">
        <v>0</v>
      </c>
      <c r="S232" s="4">
        <f>R232*20%</f>
      </c>
      <c r="T232" s="4">
        <v>1</v>
      </c>
      <c r="U232" s="4">
        <f>O232+Q232+S232</f>
      </c>
      <c r="V232" s="4">
        <f>L232-M232-N232-O232-P232-Q232-R232-S232-T232</f>
      </c>
      <c r="W232" s="4">
        <f>(V232-Y232)/J232*100</f>
      </c>
      <c r="X232" s="4">
        <f>M232-U232</f>
      </c>
      <c r="Z232" s="4">
        <f>V232-Y232</f>
      </c>
      <c r="AE232" t="s">
        <v>1</v>
      </c>
    </row>
    <row r="233" spans="1:31" x14ac:dyDescent="0.25">
      <c r="A233" s="8">
        <v>46184.5</v>
      </c>
      <c r="B233" t="s">
        <v>497</v>
      </c>
      <c r="C233" t="s">
        <v>1</v>
      </c>
      <c r="D233" s="9" t="s">
        <v>498</v>
      </c>
      <c r="E233" t="s">
        <v>58</v>
      </c>
      <c r="F233" t="s">
        <v>74</v>
      </c>
      <c r="G233" t="s">
        <v>60</v>
      </c>
      <c r="H233" t="s">
        <v>61</v>
      </c>
      <c r="I233">
        <v>1</v>
      </c>
      <c r="J233" s="4">
        <v>463</v>
      </c>
      <c r="K233" s="4">
        <v>550.97</v>
      </c>
      <c r="L233" s="4">
        <f>K233-J233</f>
      </c>
      <c r="M233" s="4">
        <f>L233*16.67%</f>
      </c>
      <c r="N233" s="4">
        <f>K233/100*7</f>
      </c>
      <c r="O233" s="4">
        <f>N233*20%</f>
      </c>
      <c r="P233" s="4">
        <f>N233*2%</f>
      </c>
      <c r="Q233" s="4">
        <f>P233*20%</f>
      </c>
      <c r="R233" s="4">
        <v>0</v>
      </c>
      <c r="S233" s="4">
        <f>R233*20%</f>
      </c>
      <c r="T233" s="4">
        <v>1</v>
      </c>
      <c r="U233" s="4">
        <f>O233+Q233+S233</f>
      </c>
      <c r="V233" s="4">
        <f>L233-M233-N233-O233-P233-Q233-R233-S233-T233</f>
      </c>
      <c r="W233" s="4">
        <f>(V233-Y233)/J233*100</f>
      </c>
      <c r="X233" s="4">
        <f>M233-U233</f>
      </c>
      <c r="Z233" s="4">
        <f>V233-Y233</f>
      </c>
      <c r="AE233" t="s">
        <v>1</v>
      </c>
    </row>
    <row r="234" spans="1:31" x14ac:dyDescent="0.25">
      <c r="A234" s="8">
        <v>46184.5</v>
      </c>
      <c r="B234" t="s">
        <v>499</v>
      </c>
      <c r="C234" t="s">
        <v>1</v>
      </c>
      <c r="D234" s="9" t="s">
        <v>500</v>
      </c>
      <c r="E234" t="s">
        <v>69</v>
      </c>
      <c r="F234" t="s">
        <v>99</v>
      </c>
      <c r="G234" t="s">
        <v>60</v>
      </c>
      <c r="H234" t="s">
        <v>75</v>
      </c>
      <c r="I234">
        <v>1</v>
      </c>
      <c r="J234" s="4">
        <v>508</v>
      </c>
      <c r="K234" s="4">
        <v>660.4</v>
      </c>
      <c r="L234" s="4">
        <f>K234-J234</f>
      </c>
      <c r="M234" s="4">
        <f>L234*16.67%</f>
      </c>
      <c r="N234" s="4">
        <f>K234/100*7</f>
      </c>
      <c r="O234" s="4">
        <f>N234*20%</f>
      </c>
      <c r="P234" s="4">
        <f>N234*2%</f>
      </c>
      <c r="Q234" s="4">
        <f>P234*20%</f>
      </c>
      <c r="R234" s="4">
        <v>0</v>
      </c>
      <c r="S234" s="4">
        <f>R234*20%</f>
      </c>
      <c r="T234" s="4">
        <v>1</v>
      </c>
      <c r="U234" s="4">
        <f>O234+Q234+S234</f>
      </c>
      <c r="V234" s="4">
        <f>L234-M234-N234-O234-P234-Q234-R234-S234-T234</f>
      </c>
      <c r="W234" s="4">
        <f>(V234-Y234)/J234*100</f>
      </c>
      <c r="X234" s="4">
        <f>M234-U234</f>
      </c>
      <c r="Z234" s="4">
        <f>V234-Y234</f>
      </c>
      <c r="AE234" t="s">
        <v>1</v>
      </c>
    </row>
    <row r="235" spans="1:31" x14ac:dyDescent="0.25">
      <c r="A235" s="8">
        <v>46184.5</v>
      </c>
      <c r="B235" t="s">
        <v>501</v>
      </c>
      <c r="C235" t="s">
        <v>1</v>
      </c>
      <c r="D235" s="9" t="s">
        <v>502</v>
      </c>
      <c r="E235" t="s">
        <v>98</v>
      </c>
      <c r="F235" t="s">
        <v>74</v>
      </c>
      <c r="G235" t="s">
        <v>60</v>
      </c>
      <c r="H235" t="s">
        <v>102</v>
      </c>
      <c r="I235">
        <v>1</v>
      </c>
      <c r="J235" s="4">
        <v>328</v>
      </c>
      <c r="K235" s="4">
        <v>452.64</v>
      </c>
      <c r="L235" s="4">
        <f>K235-J235</f>
      </c>
      <c r="M235" s="4">
        <f>L235*16.67%</f>
      </c>
      <c r="N235" s="4">
        <f>K235/100*7</f>
      </c>
      <c r="O235" s="4">
        <f>N235*20%</f>
      </c>
      <c r="P235" s="4">
        <f>N235*2%</f>
      </c>
      <c r="Q235" s="4">
        <f>P235*20%</f>
      </c>
      <c r="R235" s="4">
        <v>0</v>
      </c>
      <c r="S235" s="4">
        <f>R235*20%</f>
      </c>
      <c r="T235" s="4">
        <v>1</v>
      </c>
      <c r="U235" s="4">
        <f>O235+Q235+S235</f>
      </c>
      <c r="V235" s="4">
        <f>L235-M235-N235-O235-P235-Q235-R235-S235-T235</f>
      </c>
      <c r="W235" s="4">
        <f>(V235-Y235)/J235*100</f>
      </c>
      <c r="X235" s="4">
        <f>M235-U235</f>
      </c>
      <c r="Z235" s="4">
        <f>V235-Y235</f>
      </c>
      <c r="AE235" t="s">
        <v>1</v>
      </c>
    </row>
    <row r="236" spans="1:31" x14ac:dyDescent="0.25">
      <c r="A236" s="8">
        <v>46184.5</v>
      </c>
      <c r="B236" t="s">
        <v>503</v>
      </c>
      <c r="C236" t="s">
        <v>1</v>
      </c>
      <c r="D236" s="9" t="s">
        <v>504</v>
      </c>
      <c r="E236" t="s">
        <v>134</v>
      </c>
      <c r="F236" t="s">
        <v>59</v>
      </c>
      <c r="G236" t="s">
        <v>65</v>
      </c>
      <c r="H236" t="s">
        <v>102</v>
      </c>
      <c r="I236">
        <v>1</v>
      </c>
      <c r="J236" s="4">
        <v>119</v>
      </c>
      <c r="K236" s="4">
        <v>154.7</v>
      </c>
      <c r="L236" s="4">
        <f>K236-J236</f>
      </c>
      <c r="M236" s="4">
        <f>L236*16.67%</f>
      </c>
      <c r="N236" s="4">
        <f>K236/100*7</f>
      </c>
      <c r="O236" s="4">
        <f>N236*20%</f>
      </c>
      <c r="P236" s="4">
        <f>N236*2%</f>
      </c>
      <c r="Q236" s="4">
        <f>P236*20%</f>
      </c>
      <c r="R236" s="4">
        <v>0</v>
      </c>
      <c r="S236" s="4">
        <f>R236*20%</f>
      </c>
      <c r="T236" s="4">
        <v>1</v>
      </c>
      <c r="U236" s="4">
        <f>O236+Q236+S236</f>
      </c>
      <c r="V236" s="4">
        <f>L236-M236-N236-O236-P236-Q236-R236-S236-T236</f>
      </c>
      <c r="W236" s="4">
        <f>(V236-Y236)/J236*100</f>
      </c>
      <c r="X236" s="4">
        <f>M236-U236</f>
      </c>
      <c r="Z236" s="4">
        <f>V236-Y236</f>
      </c>
      <c r="AE236" t="s">
        <v>1</v>
      </c>
    </row>
    <row r="237" spans="1:31" x14ac:dyDescent="0.25">
      <c r="A237" s="8">
        <v>46184.5</v>
      </c>
      <c r="B237" t="s">
        <v>505</v>
      </c>
      <c r="C237" t="s">
        <v>177</v>
      </c>
      <c r="D237" s="9" t="s">
        <v>1</v>
      </c>
      <c r="E237" t="s">
        <v>177</v>
      </c>
      <c r="F237" t="s">
        <v>1</v>
      </c>
      <c r="G237" t="s">
        <v>1</v>
      </c>
      <c r="H237" t="s">
        <v>78</v>
      </c>
      <c r="I237">
        <v>2</v>
      </c>
      <c r="J237" s="4">
        <v>0.3</v>
      </c>
      <c r="K237" s="4">
        <v>0.36</v>
      </c>
      <c r="L237" s="4">
        <f>K237-J237</f>
      </c>
      <c r="M237" s="4">
        <f>L237*16.67%</f>
      </c>
      <c r="N237" s="4">
        <f>K237/100*7</f>
      </c>
      <c r="O237" s="4">
        <f>N237*20%</f>
      </c>
      <c r="P237" s="4">
        <f>N237*2%</f>
      </c>
      <c r="Q237" s="4">
        <f>P237*20%</f>
      </c>
      <c r="R237" s="4">
        <v>0</v>
      </c>
      <c r="S237" s="4">
        <f>R237*20%</f>
      </c>
      <c r="T237" s="4">
        <v>0</v>
      </c>
      <c r="U237" s="4">
        <f>O237+Q237+S237</f>
      </c>
      <c r="V237" s="4">
        <f>L237-M237-N237-O237-P237-Q237-R237-S237-T237</f>
      </c>
      <c r="W237" s="4">
        <f>(V237-Y237)/J237*100</f>
      </c>
      <c r="X237" s="4">
        <f>M237-U237</f>
      </c>
      <c r="Z237" s="4">
        <f>V237-Y237</f>
      </c>
      <c r="AE237" t="s">
        <v>1</v>
      </c>
    </row>
    <row r="238" spans="1:31" x14ac:dyDescent="0.25">
      <c r="A238" s="8">
        <v>46184.5</v>
      </c>
      <c r="B238" t="s">
        <v>506</v>
      </c>
      <c r="C238" t="s">
        <v>182</v>
      </c>
      <c r="D238" s="9" t="s">
        <v>1</v>
      </c>
      <c r="E238" t="s">
        <v>182</v>
      </c>
      <c r="F238" t="s">
        <v>1</v>
      </c>
      <c r="G238" t="s">
        <v>1</v>
      </c>
      <c r="H238" t="s">
        <v>75</v>
      </c>
      <c r="I238">
        <v>3</v>
      </c>
      <c r="J238" s="4">
        <v>5.7</v>
      </c>
      <c r="K238" s="4">
        <v>7.69</v>
      </c>
      <c r="L238" s="4">
        <f>K238-J238</f>
      </c>
      <c r="M238" s="4">
        <f>L238*16.67%</f>
      </c>
      <c r="N238" s="4">
        <f>K238/100*7</f>
      </c>
      <c r="O238" s="4">
        <f>N238*20%</f>
      </c>
      <c r="P238" s="4">
        <f>N238*2%</f>
      </c>
      <c r="Q238" s="4">
        <f>P238*20%</f>
      </c>
      <c r="R238" s="4">
        <v>0</v>
      </c>
      <c r="S238" s="4">
        <f>R238*20%</f>
      </c>
      <c r="T238" s="4">
        <v>0</v>
      </c>
      <c r="U238" s="4">
        <f>O238+Q238+S238</f>
      </c>
      <c r="V238" s="4">
        <f>L238-M238-N238-O238-P238-Q238-R238-S238-T238</f>
      </c>
      <c r="W238" s="4">
        <f>(V238-Y238)/J238*100</f>
      </c>
      <c r="X238" s="4">
        <f>M238-U238</f>
      </c>
      <c r="Z238" s="4">
        <f>V238-Y238</f>
      </c>
      <c r="AE238" t="s">
        <v>1</v>
      </c>
    </row>
    <row r="239" spans="1:31" x14ac:dyDescent="0.25">
      <c r="A239" s="8">
        <v>46183.5</v>
      </c>
      <c r="B239" t="s">
        <v>507</v>
      </c>
      <c r="C239" t="s">
        <v>1</v>
      </c>
      <c r="D239" s="9" t="s">
        <v>508</v>
      </c>
      <c r="E239" t="s">
        <v>81</v>
      </c>
      <c r="F239" t="s">
        <v>74</v>
      </c>
      <c r="G239" t="s">
        <v>65</v>
      </c>
      <c r="H239" t="s">
        <v>66</v>
      </c>
      <c r="I239">
        <v>1</v>
      </c>
      <c r="J239" s="4">
        <v>573</v>
      </c>
      <c r="K239" s="4">
        <v>693.33</v>
      </c>
      <c r="L239" s="4">
        <f>K239-J239</f>
      </c>
      <c r="M239" s="4">
        <f>L239*16.67%</f>
      </c>
      <c r="N239" s="4">
        <f>K239/100*7</f>
      </c>
      <c r="O239" s="4">
        <f>N239*20%</f>
      </c>
      <c r="P239" s="4">
        <f>N239*2%</f>
      </c>
      <c r="Q239" s="4">
        <f>P239*20%</f>
      </c>
      <c r="R239" s="4">
        <v>0</v>
      </c>
      <c r="S239" s="4">
        <f>R239*20%</f>
      </c>
      <c r="T239" s="4">
        <v>1</v>
      </c>
      <c r="U239" s="4">
        <f>O239+Q239+S239</f>
      </c>
      <c r="V239" s="4">
        <f>L239-M239-N239-O239-P239-Q239-R239-S239-T239</f>
      </c>
      <c r="W239" s="4">
        <f>(V239-Y239)/J239*100</f>
      </c>
      <c r="X239" s="4">
        <f>M239-U239</f>
      </c>
      <c r="Z239" s="4">
        <f>V239-Y239</f>
      </c>
      <c r="AE239" t="s">
        <v>1</v>
      </c>
    </row>
    <row r="240" spans="1:31" x14ac:dyDescent="0.25">
      <c r="A240" s="8">
        <v>46183.5</v>
      </c>
      <c r="B240" t="s">
        <v>509</v>
      </c>
      <c r="C240" t="s">
        <v>1</v>
      </c>
      <c r="D240" s="9" t="s">
        <v>510</v>
      </c>
      <c r="E240" t="s">
        <v>139</v>
      </c>
      <c r="F240" t="s">
        <v>85</v>
      </c>
      <c r="G240" t="s">
        <v>60</v>
      </c>
      <c r="H240" t="s">
        <v>102</v>
      </c>
      <c r="I240">
        <v>1</v>
      </c>
      <c r="J240" s="4">
        <v>339</v>
      </c>
      <c r="K240" s="4">
        <v>457.65</v>
      </c>
      <c r="L240" s="4">
        <f>K240-J240</f>
      </c>
      <c r="M240" s="4">
        <f>L240*16.67%</f>
      </c>
      <c r="N240" s="4">
        <f>K240/100*7</f>
      </c>
      <c r="O240" s="4">
        <f>N240*20%</f>
      </c>
      <c r="P240" s="4">
        <f>N240*2%</f>
      </c>
      <c r="Q240" s="4">
        <f>P240*20%</f>
      </c>
      <c r="R240" s="4">
        <v>0</v>
      </c>
      <c r="S240" s="4">
        <f>R240*20%</f>
      </c>
      <c r="T240" s="4">
        <v>1</v>
      </c>
      <c r="U240" s="4">
        <f>O240+Q240+S240</f>
      </c>
      <c r="V240" s="4">
        <f>L240-M240-N240-O240-P240-Q240-R240-S240-T240</f>
      </c>
      <c r="W240" s="4">
        <f>(V240-Y240)/J240*100</f>
      </c>
      <c r="X240" s="4">
        <f>M240-U240</f>
      </c>
      <c r="Z240" s="4">
        <f>V240-Y240</f>
      </c>
      <c r="AE240" t="s">
        <v>1</v>
      </c>
    </row>
    <row r="241" spans="1:31" x14ac:dyDescent="0.25">
      <c r="A241" s="8">
        <v>46183.5</v>
      </c>
      <c r="B241" t="s">
        <v>511</v>
      </c>
      <c r="C241" t="s">
        <v>1</v>
      </c>
      <c r="D241" s="9" t="s">
        <v>512</v>
      </c>
      <c r="E241" t="s">
        <v>234</v>
      </c>
      <c r="F241" t="s">
        <v>88</v>
      </c>
      <c r="G241" t="s">
        <v>65</v>
      </c>
      <c r="H241" t="s">
        <v>75</v>
      </c>
      <c r="I241">
        <v>1</v>
      </c>
      <c r="J241" s="4">
        <v>159</v>
      </c>
      <c r="K241" s="4">
        <v>222.6</v>
      </c>
      <c r="L241" s="4">
        <f>K241-J241</f>
      </c>
      <c r="M241" s="4">
        <f>L241*16.67%</f>
      </c>
      <c r="N241" s="4">
        <f>K241/100*7</f>
      </c>
      <c r="O241" s="4">
        <f>N241*20%</f>
      </c>
      <c r="P241" s="4">
        <f>N241*2%</f>
      </c>
      <c r="Q241" s="4">
        <f>P241*20%</f>
      </c>
      <c r="R241" s="4">
        <v>0</v>
      </c>
      <c r="S241" s="4">
        <f>R241*20%</f>
      </c>
      <c r="T241" s="4">
        <v>1</v>
      </c>
      <c r="U241" s="4">
        <f>O241+Q241+S241</f>
      </c>
      <c r="V241" s="4">
        <f>L241-M241-N241-O241-P241-Q241-R241-S241-T241</f>
      </c>
      <c r="W241" s="4">
        <f>(V241-Y241)/J241*100</f>
      </c>
      <c r="X241" s="4">
        <f>M241-U241</f>
      </c>
      <c r="Z241" s="4">
        <f>V241-Y241</f>
      </c>
      <c r="AE241" t="s">
        <v>1</v>
      </c>
    </row>
    <row r="242" spans="1:31" x14ac:dyDescent="0.25">
      <c r="A242" s="8">
        <v>46183.5</v>
      </c>
      <c r="B242" t="s">
        <v>513</v>
      </c>
      <c r="C242" t="s">
        <v>1</v>
      </c>
      <c r="D242" s="9" t="s">
        <v>514</v>
      </c>
      <c r="E242" t="s">
        <v>172</v>
      </c>
      <c r="F242" t="s">
        <v>70</v>
      </c>
      <c r="G242" t="s">
        <v>65</v>
      </c>
      <c r="H242" t="s">
        <v>75</v>
      </c>
      <c r="I242">
        <v>1</v>
      </c>
      <c r="J242" s="4">
        <v>174</v>
      </c>
      <c r="K242" s="4">
        <v>234.9</v>
      </c>
      <c r="L242" s="4">
        <f>K242-J242</f>
      </c>
      <c r="M242" s="4">
        <f>L242*16.67%</f>
      </c>
      <c r="N242" s="4">
        <f>K242/100*7</f>
      </c>
      <c r="O242" s="4">
        <f>N242*20%</f>
      </c>
      <c r="P242" s="4">
        <f>N242*2%</f>
      </c>
      <c r="Q242" s="4">
        <f>P242*20%</f>
      </c>
      <c r="R242" s="4">
        <v>0</v>
      </c>
      <c r="S242" s="4">
        <f>R242*20%</f>
      </c>
      <c r="T242" s="4">
        <v>1</v>
      </c>
      <c r="U242" s="4">
        <f>O242+Q242+S242</f>
      </c>
      <c r="V242" s="4">
        <f>L242-M242-N242-O242-P242-Q242-R242-S242-T242</f>
      </c>
      <c r="W242" s="4">
        <f>(V242-Y242)/J242*100</f>
      </c>
      <c r="X242" s="4">
        <f>M242-U242</f>
      </c>
      <c r="Z242" s="4">
        <f>V242-Y242</f>
      </c>
      <c r="AE242" t="s">
        <v>1</v>
      </c>
    </row>
    <row r="243" spans="1:31" x14ac:dyDescent="0.25">
      <c r="A243" s="8">
        <v>46183.5</v>
      </c>
      <c r="B243" t="s">
        <v>515</v>
      </c>
      <c r="C243" t="s">
        <v>189</v>
      </c>
      <c r="D243" s="9" t="s">
        <v>1</v>
      </c>
      <c r="E243" t="s">
        <v>189</v>
      </c>
      <c r="F243" t="s">
        <v>1</v>
      </c>
      <c r="G243" t="s">
        <v>1</v>
      </c>
      <c r="H243" t="s">
        <v>66</v>
      </c>
      <c r="I243">
        <v>2</v>
      </c>
      <c r="J243" s="4">
        <v>7</v>
      </c>
      <c r="K243" s="4">
        <v>9.73</v>
      </c>
      <c r="L243" s="4">
        <f>K243-J243</f>
      </c>
      <c r="M243" s="4">
        <f>L243*16.67%</f>
      </c>
      <c r="N243" s="4">
        <f>K243/100*7</f>
      </c>
      <c r="O243" s="4">
        <f>N243*20%</f>
      </c>
      <c r="P243" s="4">
        <f>N243*2%</f>
      </c>
      <c r="Q243" s="4">
        <f>P243*20%</f>
      </c>
      <c r="R243" s="4">
        <v>0</v>
      </c>
      <c r="S243" s="4">
        <f>R243*20%</f>
      </c>
      <c r="T243" s="4">
        <v>0</v>
      </c>
      <c r="U243" s="4">
        <f>O243+Q243+S243</f>
      </c>
      <c r="V243" s="4">
        <f>L243-M243-N243-O243-P243-Q243-R243-S243-T243</f>
      </c>
      <c r="W243" s="4">
        <f>(V243-Y243)/J243*100</f>
      </c>
      <c r="X243" s="4">
        <f>M243-U243</f>
      </c>
      <c r="Z243" s="4">
        <f>V243-Y243</f>
      </c>
      <c r="AE243" t="s">
        <v>1</v>
      </c>
    </row>
    <row r="244" spans="1:31" x14ac:dyDescent="0.25">
      <c r="A244" s="8">
        <v>46182.5</v>
      </c>
      <c r="B244" t="s">
        <v>516</v>
      </c>
      <c r="C244" t="s">
        <v>1</v>
      </c>
      <c r="D244" s="9" t="s">
        <v>517</v>
      </c>
      <c r="E244" t="s">
        <v>81</v>
      </c>
      <c r="F244" t="s">
        <v>85</v>
      </c>
      <c r="G244" t="s">
        <v>60</v>
      </c>
      <c r="H244" t="s">
        <v>78</v>
      </c>
      <c r="I244">
        <v>1</v>
      </c>
      <c r="J244" s="4">
        <v>588</v>
      </c>
      <c r="K244" s="4">
        <v>676.2</v>
      </c>
      <c r="L244" s="4">
        <f>K244-J244</f>
      </c>
      <c r="M244" s="4">
        <f>L244*16.67%</f>
      </c>
      <c r="N244" s="4">
        <f>K244/100*7</f>
      </c>
      <c r="O244" s="4">
        <f>N244*20%</f>
      </c>
      <c r="P244" s="4">
        <f>N244*2%</f>
      </c>
      <c r="Q244" s="4">
        <f>P244*20%</f>
      </c>
      <c r="R244" s="4">
        <v>0</v>
      </c>
      <c r="S244" s="4">
        <f>R244*20%</f>
      </c>
      <c r="T244" s="4">
        <v>1</v>
      </c>
      <c r="U244" s="4">
        <f>O244+Q244+S244</f>
      </c>
      <c r="V244" s="4">
        <f>L244-M244-N244-O244-P244-Q244-R244-S244-T244</f>
      </c>
      <c r="W244" s="4">
        <f>(V244-Y244)/J244*100</f>
      </c>
      <c r="X244" s="4">
        <f>M244-U244</f>
      </c>
      <c r="Z244" s="4">
        <f>V244-Y244</f>
      </c>
      <c r="AE244" t="s">
        <v>1</v>
      </c>
    </row>
    <row r="245" spans="1:31" x14ac:dyDescent="0.25">
      <c r="A245" s="8">
        <v>46182.5</v>
      </c>
      <c r="B245" t="s">
        <v>518</v>
      </c>
      <c r="C245" t="s">
        <v>1</v>
      </c>
      <c r="D245" s="9" t="s">
        <v>519</v>
      </c>
      <c r="E245" t="s">
        <v>69</v>
      </c>
      <c r="F245" t="s">
        <v>105</v>
      </c>
      <c r="G245" t="s">
        <v>60</v>
      </c>
      <c r="H245" t="s">
        <v>61</v>
      </c>
      <c r="I245">
        <v>1</v>
      </c>
      <c r="J245" s="4">
        <v>490</v>
      </c>
      <c r="K245" s="4">
        <v>627.2</v>
      </c>
      <c r="L245" s="4">
        <f>K245-J245</f>
      </c>
      <c r="M245" s="4">
        <f>L245*16.67%</f>
      </c>
      <c r="N245" s="4">
        <f>K245/100*7</f>
      </c>
      <c r="O245" s="4">
        <f>N245*20%</f>
      </c>
      <c r="P245" s="4">
        <f>N245*2%</f>
      </c>
      <c r="Q245" s="4">
        <f>P245*20%</f>
      </c>
      <c r="R245" s="4">
        <v>0</v>
      </c>
      <c r="S245" s="4">
        <f>R245*20%</f>
      </c>
      <c r="T245" s="4">
        <v>1</v>
      </c>
      <c r="U245" s="4">
        <f>O245+Q245+S245</f>
      </c>
      <c r="V245" s="4">
        <f>L245-M245-N245-O245-P245-Q245-R245-S245-T245</f>
      </c>
      <c r="W245" s="4">
        <f>(V245-Y245)/J245*100</f>
      </c>
      <c r="X245" s="4">
        <f>M245-U245</f>
      </c>
      <c r="Z245" s="4">
        <f>V245-Y245</f>
      </c>
      <c r="AE245" t="s">
        <v>1</v>
      </c>
    </row>
    <row r="246" spans="1:31" x14ac:dyDescent="0.25">
      <c r="A246" s="8">
        <v>46182.5</v>
      </c>
      <c r="B246" t="s">
        <v>520</v>
      </c>
      <c r="C246" t="s">
        <v>1</v>
      </c>
      <c r="D246" s="9" t="s">
        <v>521</v>
      </c>
      <c r="E246" t="s">
        <v>125</v>
      </c>
      <c r="F246" t="s">
        <v>74</v>
      </c>
      <c r="G246" t="s">
        <v>126</v>
      </c>
      <c r="H246" t="s">
        <v>61</v>
      </c>
      <c r="I246">
        <v>1</v>
      </c>
      <c r="J246" s="4">
        <v>233</v>
      </c>
      <c r="K246" s="4">
        <v>279.6</v>
      </c>
      <c r="L246" s="4">
        <f>K246-J246</f>
      </c>
      <c r="M246" s="4">
        <f>L246*16.67%</f>
      </c>
      <c r="N246" s="4">
        <f>K246/100*7</f>
      </c>
      <c r="O246" s="4">
        <f>N246*20%</f>
      </c>
      <c r="P246" s="4">
        <f>N246*2%</f>
      </c>
      <c r="Q246" s="4">
        <f>P246*20%</f>
      </c>
      <c r="R246" s="4">
        <v>0</v>
      </c>
      <c r="S246" s="4">
        <f>R246*20%</f>
      </c>
      <c r="T246" s="4">
        <v>1</v>
      </c>
      <c r="U246" s="4">
        <f>O246+Q246+S246</f>
      </c>
      <c r="V246" s="4">
        <f>L246-M246-N246-O246-P246-Q246-R246-S246-T246</f>
      </c>
      <c r="W246" s="4">
        <f>(V246-Y246)/J246*100</f>
      </c>
      <c r="X246" s="4">
        <f>M246-U246</f>
      </c>
      <c r="Z246" s="4">
        <f>V246-Y246</f>
      </c>
      <c r="AE246" t="s">
        <v>1</v>
      </c>
    </row>
    <row r="247" spans="1:31" x14ac:dyDescent="0.25">
      <c r="A247" s="8">
        <v>46182.5</v>
      </c>
      <c r="B247" t="s">
        <v>522</v>
      </c>
      <c r="C247" t="s">
        <v>189</v>
      </c>
      <c r="D247" s="9" t="s">
        <v>1</v>
      </c>
      <c r="E247" t="s">
        <v>189</v>
      </c>
      <c r="F247" t="s">
        <v>1</v>
      </c>
      <c r="G247" t="s">
        <v>1</v>
      </c>
      <c r="H247" t="s">
        <v>66</v>
      </c>
      <c r="I247">
        <v>4</v>
      </c>
      <c r="J247" s="4">
        <v>14</v>
      </c>
      <c r="K247" s="4">
        <v>16.1</v>
      </c>
      <c r="L247" s="4">
        <f>K247-J247</f>
      </c>
      <c r="M247" s="4">
        <f>L247*16.67%</f>
      </c>
      <c r="N247" s="4">
        <f>K247/100*7</f>
      </c>
      <c r="O247" s="4">
        <f>N247*20%</f>
      </c>
      <c r="P247" s="4">
        <f>N247*2%</f>
      </c>
      <c r="Q247" s="4">
        <f>P247*20%</f>
      </c>
      <c r="R247" s="4">
        <v>0</v>
      </c>
      <c r="S247" s="4">
        <f>R247*20%</f>
      </c>
      <c r="T247" s="4">
        <v>0</v>
      </c>
      <c r="U247" s="4">
        <f>O247+Q247+S247</f>
      </c>
      <c r="V247" s="4">
        <f>L247-M247-N247-O247-P247-Q247-R247-S247-T247</f>
      </c>
      <c r="W247" s="4">
        <f>(V247-Y247)/J247*100</f>
      </c>
      <c r="X247" s="4">
        <f>M247-U247</f>
      </c>
      <c r="Z247" s="4">
        <f>V247-Y247</f>
      </c>
      <c r="AE247" t="s">
        <v>1</v>
      </c>
    </row>
    <row r="248" spans="1:31" x14ac:dyDescent="0.25">
      <c r="A248" s="8">
        <v>46182.5</v>
      </c>
      <c r="B248" t="s">
        <v>523</v>
      </c>
      <c r="C248" t="s">
        <v>189</v>
      </c>
      <c r="D248" s="9" t="s">
        <v>1</v>
      </c>
      <c r="E248" t="s">
        <v>189</v>
      </c>
      <c r="F248" t="s">
        <v>1</v>
      </c>
      <c r="G248" t="s">
        <v>1</v>
      </c>
      <c r="H248" t="s">
        <v>66</v>
      </c>
      <c r="I248">
        <v>3</v>
      </c>
      <c r="J248" s="4">
        <v>10.5</v>
      </c>
      <c r="K248" s="4">
        <v>14.39</v>
      </c>
      <c r="L248" s="4">
        <f>K248-J248</f>
      </c>
      <c r="M248" s="4">
        <f>L248*16.67%</f>
      </c>
      <c r="N248" s="4">
        <f>K248/100*7</f>
      </c>
      <c r="O248" s="4">
        <f>N248*20%</f>
      </c>
      <c r="P248" s="4">
        <f>N248*2%</f>
      </c>
      <c r="Q248" s="4">
        <f>P248*20%</f>
      </c>
      <c r="R248" s="4">
        <v>0</v>
      </c>
      <c r="S248" s="4">
        <f>R248*20%</f>
      </c>
      <c r="T248" s="4">
        <v>0</v>
      </c>
      <c r="U248" s="4">
        <f>O248+Q248+S248</f>
      </c>
      <c r="V248" s="4">
        <f>L248-M248-N248-O248-P248-Q248-R248-S248-T248</f>
      </c>
      <c r="W248" s="4">
        <f>(V248-Y248)/J248*100</f>
      </c>
      <c r="X248" s="4">
        <f>M248-U248</f>
      </c>
      <c r="Z248" s="4">
        <f>V248-Y248</f>
      </c>
      <c r="AE248" t="s">
        <v>1</v>
      </c>
    </row>
    <row r="249" spans="1:31" x14ac:dyDescent="0.25">
      <c r="A249" s="8">
        <v>46181.5</v>
      </c>
      <c r="B249" t="s">
        <v>524</v>
      </c>
      <c r="C249" t="s">
        <v>1</v>
      </c>
      <c r="D249" s="9" t="s">
        <v>525</v>
      </c>
      <c r="E249" t="s">
        <v>94</v>
      </c>
      <c r="F249" t="s">
        <v>59</v>
      </c>
      <c r="G249" t="s">
        <v>95</v>
      </c>
      <c r="H249" t="s">
        <v>66</v>
      </c>
      <c r="I249">
        <v>1</v>
      </c>
      <c r="J249" s="4">
        <v>84</v>
      </c>
      <c r="K249" s="4">
        <v>102.48</v>
      </c>
      <c r="L249" s="4">
        <f>K249-J249</f>
      </c>
      <c r="M249" s="4">
        <f>L249*16.67%</f>
      </c>
      <c r="N249" s="4">
        <f>K249/100*7</f>
      </c>
      <c r="O249" s="4">
        <f>N249*20%</f>
      </c>
      <c r="P249" s="4">
        <f>N249*2%</f>
      </c>
      <c r="Q249" s="4">
        <f>P249*20%</f>
      </c>
      <c r="R249" s="4">
        <v>0</v>
      </c>
      <c r="S249" s="4">
        <f>R249*20%</f>
      </c>
      <c r="T249" s="4">
        <v>1</v>
      </c>
      <c r="U249" s="4">
        <f>O249+Q249+S249</f>
      </c>
      <c r="V249" s="4">
        <f>L249-M249-N249-O249-P249-Q249-R249-S249-T249</f>
      </c>
      <c r="W249" s="4">
        <f>(V249-Y249)/J249*100</f>
      </c>
      <c r="X249" s="4">
        <f>M249-U249</f>
      </c>
      <c r="Z249" s="4">
        <f>V249-Y249</f>
      </c>
      <c r="AE249" t="s">
        <v>1</v>
      </c>
    </row>
    <row r="250" spans="1:31" x14ac:dyDescent="0.25">
      <c r="A250" s="8">
        <v>46181.5</v>
      </c>
      <c r="B250" t="s">
        <v>526</v>
      </c>
      <c r="C250" t="s">
        <v>1</v>
      </c>
      <c r="D250" s="9" t="s">
        <v>527</v>
      </c>
      <c r="E250" t="s">
        <v>84</v>
      </c>
      <c r="F250" t="s">
        <v>88</v>
      </c>
      <c r="G250" t="s">
        <v>60</v>
      </c>
      <c r="H250" t="s">
        <v>61</v>
      </c>
      <c r="I250">
        <v>1</v>
      </c>
      <c r="J250" s="4">
        <v>681</v>
      </c>
      <c r="K250" s="4">
        <v>864.87</v>
      </c>
      <c r="L250" s="4">
        <f>K250-J250</f>
      </c>
      <c r="M250" s="4">
        <f>L250*16.67%</f>
      </c>
      <c r="N250" s="4">
        <f>K250/100*7</f>
      </c>
      <c r="O250" s="4">
        <f>N250*20%</f>
      </c>
      <c r="P250" s="4">
        <f>N250*2%</f>
      </c>
      <c r="Q250" s="4">
        <f>P250*20%</f>
      </c>
      <c r="R250" s="4">
        <v>0</v>
      </c>
      <c r="S250" s="4">
        <f>R250*20%</f>
      </c>
      <c r="T250" s="4">
        <v>1</v>
      </c>
      <c r="U250" s="4">
        <f>O250+Q250+S250</f>
      </c>
      <c r="V250" s="4">
        <f>L250-M250-N250-O250-P250-Q250-R250-S250-T250</f>
      </c>
      <c r="W250" s="4">
        <f>(V250-Y250)/J250*100</f>
      </c>
      <c r="X250" s="4">
        <f>M250-U250</f>
      </c>
      <c r="Z250" s="4">
        <f>V250-Y250</f>
      </c>
      <c r="AE250" t="s">
        <v>1</v>
      </c>
    </row>
    <row r="251" spans="1:31" x14ac:dyDescent="0.25">
      <c r="A251" s="8">
        <v>46181.5</v>
      </c>
      <c r="B251" t="s">
        <v>528</v>
      </c>
      <c r="C251" t="s">
        <v>1</v>
      </c>
      <c r="D251" s="9" t="s">
        <v>529</v>
      </c>
      <c r="E251" t="s">
        <v>172</v>
      </c>
      <c r="F251" t="s">
        <v>59</v>
      </c>
      <c r="G251" t="s">
        <v>65</v>
      </c>
      <c r="H251" t="s">
        <v>75</v>
      </c>
      <c r="I251">
        <v>1</v>
      </c>
      <c r="J251" s="4">
        <v>142</v>
      </c>
      <c r="K251" s="4">
        <v>194.54</v>
      </c>
      <c r="L251" s="4">
        <f>K251-J251</f>
      </c>
      <c r="M251" s="4">
        <f>L251*16.67%</f>
      </c>
      <c r="N251" s="4">
        <f>K251/100*7</f>
      </c>
      <c r="O251" s="4">
        <f>N251*20%</f>
      </c>
      <c r="P251" s="4">
        <f>N251*2%</f>
      </c>
      <c r="Q251" s="4">
        <f>P251*20%</f>
      </c>
      <c r="R251" s="4">
        <v>0</v>
      </c>
      <c r="S251" s="4">
        <f>R251*20%</f>
      </c>
      <c r="T251" s="4">
        <v>1</v>
      </c>
      <c r="U251" s="4">
        <f>O251+Q251+S251</f>
      </c>
      <c r="V251" s="4">
        <f>L251-M251-N251-O251-P251-Q251-R251-S251-T251</f>
      </c>
      <c r="W251" s="4">
        <f>(V251-Y251)/J251*100</f>
      </c>
      <c r="X251" s="4">
        <f>M251-U251</f>
      </c>
      <c r="Z251" s="4">
        <f>V251-Y251</f>
      </c>
      <c r="AE251" t="s">
        <v>1</v>
      </c>
    </row>
    <row r="252" spans="1:31" x14ac:dyDescent="0.25">
      <c r="A252" s="8">
        <v>46181.5</v>
      </c>
      <c r="B252" t="s">
        <v>530</v>
      </c>
      <c r="C252" t="s">
        <v>1</v>
      </c>
      <c r="D252" s="9" t="s">
        <v>531</v>
      </c>
      <c r="E252" t="s">
        <v>94</v>
      </c>
      <c r="F252" t="s">
        <v>85</v>
      </c>
      <c r="G252" t="s">
        <v>95</v>
      </c>
      <c r="H252" t="s">
        <v>66</v>
      </c>
      <c r="I252">
        <v>1</v>
      </c>
      <c r="J252" s="4">
        <v>61</v>
      </c>
      <c r="K252" s="4">
        <v>71.98</v>
      </c>
      <c r="L252" s="4">
        <f>K252-J252</f>
      </c>
      <c r="M252" s="4">
        <f>L252*16.67%</f>
      </c>
      <c r="N252" s="4">
        <f>K252/100*7</f>
      </c>
      <c r="O252" s="4">
        <f>N252*20%</f>
      </c>
      <c r="P252" s="4">
        <f>N252*2%</f>
      </c>
      <c r="Q252" s="4">
        <f>P252*20%</f>
      </c>
      <c r="R252" s="4">
        <v>0</v>
      </c>
      <c r="S252" s="4">
        <f>R252*20%</f>
      </c>
      <c r="T252" s="4">
        <v>1</v>
      </c>
      <c r="U252" s="4">
        <f>O252+Q252+S252</f>
      </c>
      <c r="V252" s="4">
        <f>L252-M252-N252-O252-P252-Q252-R252-S252-T252</f>
      </c>
      <c r="W252" s="4">
        <f>(V252-Y252)/J252*100</f>
      </c>
      <c r="X252" s="4">
        <f>M252-U252</f>
      </c>
      <c r="Z252" s="4">
        <f>V252-Y252</f>
      </c>
      <c r="AE252" t="s">
        <v>1</v>
      </c>
    </row>
    <row r="253" spans="1:31" x14ac:dyDescent="0.25">
      <c r="A253" s="8">
        <v>46181.5</v>
      </c>
      <c r="B253" t="s">
        <v>532</v>
      </c>
      <c r="C253" t="s">
        <v>177</v>
      </c>
      <c r="D253" s="9" t="s">
        <v>1</v>
      </c>
      <c r="E253" t="s">
        <v>177</v>
      </c>
      <c r="F253" t="s">
        <v>1</v>
      </c>
      <c r="G253" t="s">
        <v>1</v>
      </c>
      <c r="H253" t="s">
        <v>78</v>
      </c>
      <c r="I253">
        <v>1</v>
      </c>
      <c r="J253" s="4">
        <v>0.15</v>
      </c>
      <c r="K253" s="4">
        <v>0.2</v>
      </c>
      <c r="L253" s="4">
        <f>K253-J253</f>
      </c>
      <c r="M253" s="4">
        <f>L253*16.67%</f>
      </c>
      <c r="N253" s="4">
        <f>K253/100*7</f>
      </c>
      <c r="O253" s="4">
        <f>N253*20%</f>
      </c>
      <c r="P253" s="4">
        <f>N253*2%</f>
      </c>
      <c r="Q253" s="4">
        <f>P253*20%</f>
      </c>
      <c r="R253" s="4">
        <v>0</v>
      </c>
      <c r="S253" s="4">
        <f>R253*20%</f>
      </c>
      <c r="T253" s="4">
        <v>0</v>
      </c>
      <c r="U253" s="4">
        <f>O253+Q253+S253</f>
      </c>
      <c r="V253" s="4">
        <f>L253-M253-N253-O253-P253-Q253-R253-S253-T253</f>
      </c>
      <c r="W253" s="4">
        <f>(V253-Y253)/J253*100</f>
      </c>
      <c r="X253" s="4">
        <f>M253-U253</f>
      </c>
      <c r="Z253" s="4">
        <f>V253-Y253</f>
      </c>
      <c r="AE253" t="s">
        <v>1</v>
      </c>
    </row>
    <row r="254" spans="1:31" x14ac:dyDescent="0.25">
      <c r="A254" s="8">
        <v>46181.5</v>
      </c>
      <c r="B254" t="s">
        <v>533</v>
      </c>
      <c r="C254" t="s">
        <v>177</v>
      </c>
      <c r="D254" s="9" t="s">
        <v>1</v>
      </c>
      <c r="E254" t="s">
        <v>177</v>
      </c>
      <c r="F254" t="s">
        <v>1</v>
      </c>
      <c r="G254" t="s">
        <v>1</v>
      </c>
      <c r="H254" t="s">
        <v>78</v>
      </c>
      <c r="I254">
        <v>4</v>
      </c>
      <c r="J254" s="4">
        <v>0.6</v>
      </c>
      <c r="K254" s="4">
        <v>0.74</v>
      </c>
      <c r="L254" s="4">
        <f>K254-J254</f>
      </c>
      <c r="M254" s="4">
        <f>L254*16.67%</f>
      </c>
      <c r="N254" s="4">
        <f>K254/100*7</f>
      </c>
      <c r="O254" s="4">
        <f>N254*20%</f>
      </c>
      <c r="P254" s="4">
        <f>N254*2%</f>
      </c>
      <c r="Q254" s="4">
        <f>P254*20%</f>
      </c>
      <c r="R254" s="4">
        <v>0</v>
      </c>
      <c r="S254" s="4">
        <f>R254*20%</f>
      </c>
      <c r="T254" s="4">
        <v>0</v>
      </c>
      <c r="U254" s="4">
        <f>O254+Q254+S254</f>
      </c>
      <c r="V254" s="4">
        <f>L254-M254-N254-O254-P254-Q254-R254-S254-T254</f>
      </c>
      <c r="W254" s="4">
        <f>(V254-Y254)/J254*100</f>
      </c>
      <c r="X254" s="4">
        <f>M254-U254</f>
      </c>
      <c r="Z254" s="4">
        <f>V254-Y254</f>
      </c>
      <c r="AE254" t="s">
        <v>1</v>
      </c>
    </row>
    <row r="255" spans="1:31" x14ac:dyDescent="0.25">
      <c r="A255" s="8">
        <v>46180.5</v>
      </c>
      <c r="B255" t="s">
        <v>534</v>
      </c>
      <c r="C255" t="s">
        <v>174</v>
      </c>
      <c r="D255" s="9" t="s">
        <v>1</v>
      </c>
      <c r="E255" t="s">
        <v>174</v>
      </c>
      <c r="F255" t="s">
        <v>1</v>
      </c>
      <c r="G255" t="s">
        <v>1</v>
      </c>
      <c r="H255" t="s">
        <v>66</v>
      </c>
      <c r="I255">
        <v>3</v>
      </c>
      <c r="J255" s="4">
        <v>12.75</v>
      </c>
      <c r="K255" s="4">
        <v>18.23</v>
      </c>
      <c r="L255" s="4">
        <f>K255-J255</f>
      </c>
      <c r="M255" s="4">
        <f>L255*16.67%</f>
      </c>
      <c r="N255" s="4">
        <f>K255/100*7</f>
      </c>
      <c r="O255" s="4">
        <f>N255*20%</f>
      </c>
      <c r="P255" s="4">
        <f>N255*2%</f>
      </c>
      <c r="Q255" s="4">
        <f>P255*20%</f>
      </c>
      <c r="R255" s="4">
        <v>0</v>
      </c>
      <c r="S255" s="4">
        <f>R255*20%</f>
      </c>
      <c r="T255" s="4">
        <v>0</v>
      </c>
      <c r="U255" s="4">
        <f>O255+Q255+S255</f>
      </c>
      <c r="V255" s="4">
        <f>L255-M255-N255-O255-P255-Q255-R255-S255-T255</f>
      </c>
      <c r="W255" s="4">
        <f>(V255-Y255)/J255*100</f>
      </c>
      <c r="X255" s="4">
        <f>M255-U255</f>
      </c>
      <c r="Z255" s="4">
        <f>V255-Y255</f>
      </c>
      <c r="AE255" t="s">
        <v>1</v>
      </c>
    </row>
    <row r="256" spans="1:31" x14ac:dyDescent="0.25">
      <c r="A256" s="8">
        <v>46180.5</v>
      </c>
      <c r="B256" t="s">
        <v>535</v>
      </c>
      <c r="C256" t="s">
        <v>254</v>
      </c>
      <c r="D256" s="9" t="s">
        <v>1</v>
      </c>
      <c r="E256" t="s">
        <v>254</v>
      </c>
      <c r="F256" t="s">
        <v>1</v>
      </c>
      <c r="G256" t="s">
        <v>1</v>
      </c>
      <c r="H256" t="s">
        <v>61</v>
      </c>
      <c r="I256">
        <v>1</v>
      </c>
      <c r="J256" s="4">
        <v>0.8</v>
      </c>
      <c r="K256" s="4">
        <v>1.12</v>
      </c>
      <c r="L256" s="4">
        <f>K256-J256</f>
      </c>
      <c r="M256" s="4">
        <f>L256*16.67%</f>
      </c>
      <c r="N256" s="4">
        <f>K256/100*7</f>
      </c>
      <c r="O256" s="4">
        <f>N256*20%</f>
      </c>
      <c r="P256" s="4">
        <f>N256*2%</f>
      </c>
      <c r="Q256" s="4">
        <f>P256*20%</f>
      </c>
      <c r="R256" s="4">
        <v>0</v>
      </c>
      <c r="S256" s="4">
        <f>R256*20%</f>
      </c>
      <c r="T256" s="4">
        <v>0</v>
      </c>
      <c r="U256" s="4">
        <f>O256+Q256+S256</f>
      </c>
      <c r="V256" s="4">
        <f>L256-M256-N256-O256-P256-Q256-R256-S256-T256</f>
      </c>
      <c r="W256" s="4">
        <f>(V256-Y256)/J256*100</f>
      </c>
      <c r="X256" s="4">
        <f>M256-U256</f>
      </c>
      <c r="Z256" s="4">
        <f>V256-Y256</f>
      </c>
      <c r="AE256" t="s">
        <v>1</v>
      </c>
    </row>
    <row r="257" spans="1:31" x14ac:dyDescent="0.25">
      <c r="A257" s="8">
        <v>46179.5</v>
      </c>
      <c r="B257" t="s">
        <v>536</v>
      </c>
      <c r="C257" t="s">
        <v>1</v>
      </c>
      <c r="D257" s="9" t="s">
        <v>537</v>
      </c>
      <c r="E257" t="s">
        <v>234</v>
      </c>
      <c r="F257" t="s">
        <v>99</v>
      </c>
      <c r="G257" t="s">
        <v>65</v>
      </c>
      <c r="H257" t="s">
        <v>75</v>
      </c>
      <c r="I257">
        <v>1</v>
      </c>
      <c r="J257" s="4">
        <v>169</v>
      </c>
      <c r="K257" s="4">
        <v>214.63</v>
      </c>
      <c r="L257" s="4">
        <f>K257-J257</f>
      </c>
      <c r="M257" s="4">
        <f>L257*16.67%</f>
      </c>
      <c r="N257" s="4">
        <f>K257/100*7</f>
      </c>
      <c r="O257" s="4">
        <f>N257*20%</f>
      </c>
      <c r="P257" s="4">
        <f>N257*2%</f>
      </c>
      <c r="Q257" s="4">
        <f>P257*20%</f>
      </c>
      <c r="R257" s="4">
        <v>0</v>
      </c>
      <c r="S257" s="4">
        <f>R257*20%</f>
      </c>
      <c r="T257" s="4">
        <v>1</v>
      </c>
      <c r="U257" s="4">
        <f>O257+Q257+S257</f>
      </c>
      <c r="V257" s="4">
        <f>L257-M257-N257-O257-P257-Q257-R257-S257-T257</f>
      </c>
      <c r="W257" s="4">
        <f>(V257-Y257)/J257*100</f>
      </c>
      <c r="X257" s="4">
        <f>M257-U257</f>
      </c>
      <c r="Z257" s="4">
        <f>V257-Y257</f>
      </c>
      <c r="AE257" t="s">
        <v>1</v>
      </c>
    </row>
    <row r="258" spans="1:31" x14ac:dyDescent="0.25">
      <c r="A258" s="8">
        <v>46179.5</v>
      </c>
      <c r="B258" t="s">
        <v>538</v>
      </c>
      <c r="C258" t="s">
        <v>1</v>
      </c>
      <c r="D258" s="9" t="s">
        <v>539</v>
      </c>
      <c r="E258" t="s">
        <v>73</v>
      </c>
      <c r="F258" t="s">
        <v>105</v>
      </c>
      <c r="G258" t="s">
        <v>60</v>
      </c>
      <c r="H258" t="s">
        <v>75</v>
      </c>
      <c r="I258">
        <v>1</v>
      </c>
      <c r="J258" s="4">
        <v>333</v>
      </c>
      <c r="K258" s="4">
        <v>466.2</v>
      </c>
      <c r="L258" s="4">
        <f>K258-J258</f>
      </c>
      <c r="M258" s="4">
        <f>L258*16.67%</f>
      </c>
      <c r="N258" s="4">
        <f>K258/100*7</f>
      </c>
      <c r="O258" s="4">
        <f>N258*20%</f>
      </c>
      <c r="P258" s="4">
        <f>N258*2%</f>
      </c>
      <c r="Q258" s="4">
        <f>P258*20%</f>
      </c>
      <c r="R258" s="4">
        <v>0</v>
      </c>
      <c r="S258" s="4">
        <f>R258*20%</f>
      </c>
      <c r="T258" s="4">
        <v>1</v>
      </c>
      <c r="U258" s="4">
        <f>O258+Q258+S258</f>
      </c>
      <c r="V258" s="4">
        <f>L258-M258-N258-O258-P258-Q258-R258-S258-T258</f>
      </c>
      <c r="W258" s="4">
        <f>(V258-Y258)/J258*100</f>
      </c>
      <c r="X258" s="4">
        <f>M258-U258</f>
      </c>
      <c r="Z258" s="4">
        <f>V258-Y258</f>
      </c>
      <c r="AE258" t="s">
        <v>1</v>
      </c>
    </row>
    <row r="259" spans="1:31" x14ac:dyDescent="0.25">
      <c r="A259" s="8">
        <v>46179.5</v>
      </c>
      <c r="B259" t="s">
        <v>540</v>
      </c>
      <c r="C259" t="s">
        <v>1</v>
      </c>
      <c r="D259" s="9" t="s">
        <v>541</v>
      </c>
      <c r="E259" t="s">
        <v>69</v>
      </c>
      <c r="F259" t="s">
        <v>59</v>
      </c>
      <c r="G259" t="s">
        <v>60</v>
      </c>
      <c r="H259" t="s">
        <v>66</v>
      </c>
      <c r="I259">
        <v>1</v>
      </c>
      <c r="J259" s="4">
        <v>502</v>
      </c>
      <c r="K259" s="4">
        <v>587.34</v>
      </c>
      <c r="L259" s="4">
        <f>K259-J259</f>
      </c>
      <c r="M259" s="4">
        <f>L259*16.67%</f>
      </c>
      <c r="N259" s="4">
        <f>K259/100*7</f>
      </c>
      <c r="O259" s="4">
        <f>N259*20%</f>
      </c>
      <c r="P259" s="4">
        <f>N259*2%</f>
      </c>
      <c r="Q259" s="4">
        <f>P259*20%</f>
      </c>
      <c r="R259" s="4">
        <v>0</v>
      </c>
      <c r="S259" s="4">
        <f>R259*20%</f>
      </c>
      <c r="T259" s="4">
        <v>1</v>
      </c>
      <c r="U259" s="4">
        <f>O259+Q259+S259</f>
      </c>
      <c r="V259" s="4">
        <f>L259-M259-N259-O259-P259-Q259-R259-S259-T259</f>
      </c>
      <c r="W259" s="4">
        <f>(V259-Y259)/J259*100</f>
      </c>
      <c r="X259" s="4">
        <f>M259-U259</f>
      </c>
      <c r="Z259" s="4">
        <f>V259-Y259</f>
      </c>
      <c r="AE259" t="s">
        <v>1</v>
      </c>
    </row>
    <row r="260" spans="1:31" x14ac:dyDescent="0.25">
      <c r="A260" s="8">
        <v>46179.5</v>
      </c>
      <c r="B260" t="s">
        <v>542</v>
      </c>
      <c r="C260" t="s">
        <v>1</v>
      </c>
      <c r="D260" s="9" t="s">
        <v>543</v>
      </c>
      <c r="E260" t="s">
        <v>73</v>
      </c>
      <c r="F260" t="s">
        <v>74</v>
      </c>
      <c r="G260" t="s">
        <v>60</v>
      </c>
      <c r="H260" t="s">
        <v>78</v>
      </c>
      <c r="I260">
        <v>1</v>
      </c>
      <c r="J260" s="4">
        <v>358</v>
      </c>
      <c r="K260" s="4">
        <v>426.02</v>
      </c>
      <c r="L260" s="4">
        <f>K260-J260</f>
      </c>
      <c r="M260" s="4">
        <f>L260*16.67%</f>
      </c>
      <c r="N260" s="4">
        <f>K260/100*7</f>
      </c>
      <c r="O260" s="4">
        <f>N260*20%</f>
      </c>
      <c r="P260" s="4">
        <f>N260*2%</f>
      </c>
      <c r="Q260" s="4">
        <f>P260*20%</f>
      </c>
      <c r="R260" s="4">
        <v>0</v>
      </c>
      <c r="S260" s="4">
        <f>R260*20%</f>
      </c>
      <c r="T260" s="4">
        <v>1</v>
      </c>
      <c r="U260" s="4">
        <f>O260+Q260+S260</f>
      </c>
      <c r="V260" s="4">
        <f>L260-M260-N260-O260-P260-Q260-R260-S260-T260</f>
      </c>
      <c r="W260" s="4">
        <f>(V260-Y260)/J260*100</f>
      </c>
      <c r="X260" s="4">
        <f>M260-U260</f>
      </c>
      <c r="Z260" s="4">
        <f>V260-Y260</f>
      </c>
      <c r="AE260" t="s">
        <v>1</v>
      </c>
    </row>
    <row r="261" spans="1:31" x14ac:dyDescent="0.25">
      <c r="A261" s="8">
        <v>46179.5</v>
      </c>
      <c r="B261" t="s">
        <v>544</v>
      </c>
      <c r="C261" t="s">
        <v>1</v>
      </c>
      <c r="D261" s="9" t="s">
        <v>545</v>
      </c>
      <c r="E261" t="s">
        <v>139</v>
      </c>
      <c r="F261" t="s">
        <v>105</v>
      </c>
      <c r="G261" t="s">
        <v>60</v>
      </c>
      <c r="H261" t="s">
        <v>61</v>
      </c>
      <c r="I261">
        <v>1</v>
      </c>
      <c r="J261" s="4">
        <v>328</v>
      </c>
      <c r="K261" s="4">
        <v>390.32</v>
      </c>
      <c r="L261" s="4">
        <f>K261-J261</f>
      </c>
      <c r="M261" s="4">
        <f>L261*16.67%</f>
      </c>
      <c r="N261" s="4">
        <f>K261/100*7</f>
      </c>
      <c r="O261" s="4">
        <f>N261*20%</f>
      </c>
      <c r="P261" s="4">
        <f>N261*2%</f>
      </c>
      <c r="Q261" s="4">
        <f>P261*20%</f>
      </c>
      <c r="R261" s="4">
        <v>0</v>
      </c>
      <c r="S261" s="4">
        <f>R261*20%</f>
      </c>
      <c r="T261" s="4">
        <v>1</v>
      </c>
      <c r="U261" s="4">
        <f>O261+Q261+S261</f>
      </c>
      <c r="V261" s="4">
        <f>L261-M261-N261-O261-P261-Q261-R261-S261-T261</f>
      </c>
      <c r="W261" s="4">
        <f>(V261-Y261)/J261*100</f>
      </c>
      <c r="X261" s="4">
        <f>M261-U261</f>
      </c>
      <c r="Z261" s="4">
        <f>V261-Y261</f>
      </c>
      <c r="AE261" t="s">
        <v>1</v>
      </c>
    </row>
    <row r="262" spans="1:31" x14ac:dyDescent="0.25">
      <c r="A262" s="8">
        <v>46179.5</v>
      </c>
      <c r="B262" t="s">
        <v>546</v>
      </c>
      <c r="C262" t="s">
        <v>177</v>
      </c>
      <c r="D262" s="9" t="s">
        <v>1</v>
      </c>
      <c r="E262" t="s">
        <v>177</v>
      </c>
      <c r="F262" t="s">
        <v>1</v>
      </c>
      <c r="G262" t="s">
        <v>1</v>
      </c>
      <c r="H262" t="s">
        <v>78</v>
      </c>
      <c r="I262">
        <v>4</v>
      </c>
      <c r="J262" s="4">
        <v>0.6</v>
      </c>
      <c r="K262" s="4">
        <v>0.76</v>
      </c>
      <c r="L262" s="4">
        <f>K262-J262</f>
      </c>
      <c r="M262" s="4">
        <f>L262*16.67%</f>
      </c>
      <c r="N262" s="4">
        <f>K262/100*7</f>
      </c>
      <c r="O262" s="4">
        <f>N262*20%</f>
      </c>
      <c r="P262" s="4">
        <f>N262*2%</f>
      </c>
      <c r="Q262" s="4">
        <f>P262*20%</f>
      </c>
      <c r="R262" s="4">
        <v>0</v>
      </c>
      <c r="S262" s="4">
        <f>R262*20%</f>
      </c>
      <c r="T262" s="4">
        <v>0</v>
      </c>
      <c r="U262" s="4">
        <f>O262+Q262+S262</f>
      </c>
      <c r="V262" s="4">
        <f>L262-M262-N262-O262-P262-Q262-R262-S262-T262</f>
      </c>
      <c r="W262" s="4">
        <f>(V262-Y262)/J262*100</f>
      </c>
      <c r="X262" s="4">
        <f>M262-U262</f>
      </c>
      <c r="Z262" s="4">
        <f>V262-Y262</f>
      </c>
      <c r="AE262" t="s">
        <v>1</v>
      </c>
    </row>
    <row r="263" spans="1:31" x14ac:dyDescent="0.25">
      <c r="A263" s="8">
        <v>46178.5</v>
      </c>
      <c r="B263" t="s">
        <v>547</v>
      </c>
      <c r="C263" t="s">
        <v>1</v>
      </c>
      <c r="D263" s="9" t="s">
        <v>548</v>
      </c>
      <c r="E263" t="s">
        <v>84</v>
      </c>
      <c r="F263" t="s">
        <v>99</v>
      </c>
      <c r="G263" t="s">
        <v>60</v>
      </c>
      <c r="H263" t="s">
        <v>102</v>
      </c>
      <c r="I263">
        <v>1</v>
      </c>
      <c r="J263" s="4">
        <v>771</v>
      </c>
      <c r="K263" s="4">
        <v>1102.53</v>
      </c>
      <c r="L263" s="4">
        <f>K263-J263</f>
      </c>
      <c r="M263" s="4">
        <f>L263*16.67%</f>
      </c>
      <c r="N263" s="4">
        <f>K263/100*7</f>
      </c>
      <c r="O263" s="4">
        <f>N263*20%</f>
      </c>
      <c r="P263" s="4">
        <f>N263*2%</f>
      </c>
      <c r="Q263" s="4">
        <f>P263*20%</f>
      </c>
      <c r="R263" s="4">
        <v>0</v>
      </c>
      <c r="S263" s="4">
        <f>R263*20%</f>
      </c>
      <c r="T263" s="4">
        <v>1</v>
      </c>
      <c r="U263" s="4">
        <f>O263+Q263+S263</f>
      </c>
      <c r="V263" s="4">
        <f>L263-M263-N263-O263-P263-Q263-R263-S263-T263</f>
      </c>
      <c r="W263" s="4">
        <f>(V263-Y263)/J263*100</f>
      </c>
      <c r="X263" s="4">
        <f>M263-U263</f>
      </c>
      <c r="Z263" s="4">
        <f>V263-Y263</f>
      </c>
      <c r="AE263" t="s">
        <v>1</v>
      </c>
    </row>
    <row r="264" spans="1:31" x14ac:dyDescent="0.25">
      <c r="A264" s="8">
        <v>46178.5</v>
      </c>
      <c r="B264" t="s">
        <v>549</v>
      </c>
      <c r="C264" t="s">
        <v>1</v>
      </c>
      <c r="D264" s="9" t="s">
        <v>550</v>
      </c>
      <c r="E264" t="s">
        <v>114</v>
      </c>
      <c r="F264" t="s">
        <v>85</v>
      </c>
      <c r="G264" t="s">
        <v>60</v>
      </c>
      <c r="H264" t="s">
        <v>102</v>
      </c>
      <c r="I264">
        <v>1</v>
      </c>
      <c r="J264" s="4">
        <v>243</v>
      </c>
      <c r="K264" s="4">
        <v>323.19</v>
      </c>
      <c r="L264" s="4">
        <f>K264-J264</f>
      </c>
      <c r="M264" s="4">
        <f>L264*16.67%</f>
      </c>
      <c r="N264" s="4">
        <f>K264/100*7</f>
      </c>
      <c r="O264" s="4">
        <f>N264*20%</f>
      </c>
      <c r="P264" s="4">
        <f>N264*2%</f>
      </c>
      <c r="Q264" s="4">
        <f>P264*20%</f>
      </c>
      <c r="R264" s="4">
        <v>0</v>
      </c>
      <c r="S264" s="4">
        <f>R264*20%</f>
      </c>
      <c r="T264" s="4">
        <v>1</v>
      </c>
      <c r="U264" s="4">
        <f>O264+Q264+S264</f>
      </c>
      <c r="V264" s="4">
        <f>L264-M264-N264-O264-P264-Q264-R264-S264-T264</f>
      </c>
      <c r="W264" s="4">
        <f>(V264-Y264)/J264*100</f>
      </c>
      <c r="X264" s="4">
        <f>M264-U264</f>
      </c>
      <c r="Z264" s="4">
        <f>V264-Y264</f>
      </c>
      <c r="AE264" t="s">
        <v>1</v>
      </c>
    </row>
    <row r="265" spans="1:31" x14ac:dyDescent="0.25">
      <c r="A265" s="8">
        <v>46178.5</v>
      </c>
      <c r="B265" t="s">
        <v>551</v>
      </c>
      <c r="C265" t="s">
        <v>1</v>
      </c>
      <c r="D265" s="9" t="s">
        <v>552</v>
      </c>
      <c r="E265" t="s">
        <v>73</v>
      </c>
      <c r="F265" t="s">
        <v>105</v>
      </c>
      <c r="G265" t="s">
        <v>60</v>
      </c>
      <c r="H265" t="s">
        <v>78</v>
      </c>
      <c r="I265">
        <v>1</v>
      </c>
      <c r="J265" s="4">
        <v>351</v>
      </c>
      <c r="K265" s="4">
        <v>403.65</v>
      </c>
      <c r="L265" s="4">
        <f>K265-J265</f>
      </c>
      <c r="M265" s="4">
        <f>L265*16.67%</f>
      </c>
      <c r="N265" s="4">
        <f>K265/100*7</f>
      </c>
      <c r="O265" s="4">
        <f>N265*20%</f>
      </c>
      <c r="P265" s="4">
        <f>N265*2%</f>
      </c>
      <c r="Q265" s="4">
        <f>P265*20%</f>
      </c>
      <c r="R265" s="4">
        <v>0</v>
      </c>
      <c r="S265" s="4">
        <f>R265*20%</f>
      </c>
      <c r="T265" s="4">
        <v>1</v>
      </c>
      <c r="U265" s="4">
        <f>O265+Q265+S265</f>
      </c>
      <c r="V265" s="4">
        <f>L265-M265-N265-O265-P265-Q265-R265-S265-T265</f>
      </c>
      <c r="W265" s="4">
        <f>(V265-Y265)/J265*100</f>
      </c>
      <c r="X265" s="4">
        <f>M265-U265</f>
      </c>
      <c r="Z265" s="4">
        <f>V265-Y265</f>
      </c>
      <c r="AE265" t="s">
        <v>1</v>
      </c>
    </row>
    <row r="266" spans="1:31" x14ac:dyDescent="0.25">
      <c r="A266" s="8">
        <v>46178.5</v>
      </c>
      <c r="B266" t="s">
        <v>553</v>
      </c>
      <c r="C266" t="s">
        <v>1</v>
      </c>
      <c r="D266" s="9" t="s">
        <v>554</v>
      </c>
      <c r="E266" t="s">
        <v>114</v>
      </c>
      <c r="F266" t="s">
        <v>59</v>
      </c>
      <c r="G266" t="s">
        <v>95</v>
      </c>
      <c r="H266" t="s">
        <v>61</v>
      </c>
      <c r="I266">
        <v>1</v>
      </c>
      <c r="J266" s="4">
        <v>219</v>
      </c>
      <c r="K266" s="4">
        <v>295.65</v>
      </c>
      <c r="L266" s="4">
        <f>K266-J266</f>
      </c>
      <c r="M266" s="4">
        <f>L266*16.67%</f>
      </c>
      <c r="N266" s="4">
        <f>K266/100*7</f>
      </c>
      <c r="O266" s="4">
        <f>N266*20%</f>
      </c>
      <c r="P266" s="4">
        <f>N266*2%</f>
      </c>
      <c r="Q266" s="4">
        <f>P266*20%</f>
      </c>
      <c r="R266" s="4">
        <v>0</v>
      </c>
      <c r="S266" s="4">
        <f>R266*20%</f>
      </c>
      <c r="T266" s="4">
        <v>1</v>
      </c>
      <c r="U266" s="4">
        <f>O266+Q266+S266</f>
      </c>
      <c r="V266" s="4">
        <f>L266-M266-N266-O266-P266-Q266-R266-S266-T266</f>
      </c>
      <c r="W266" s="4">
        <f>(V266-Y266)/J266*100</f>
      </c>
      <c r="X266" s="4">
        <f>M266-U266</f>
      </c>
      <c r="Z266" s="4">
        <f>V266-Y266</f>
      </c>
      <c r="AE266" t="s">
        <v>1</v>
      </c>
    </row>
    <row r="267" spans="1:31" x14ac:dyDescent="0.25">
      <c r="A267" s="8">
        <v>46178.5</v>
      </c>
      <c r="B267" t="s">
        <v>555</v>
      </c>
      <c r="C267" t="s">
        <v>1</v>
      </c>
      <c r="D267" s="9" t="s">
        <v>556</v>
      </c>
      <c r="E267" t="s">
        <v>58</v>
      </c>
      <c r="F267" t="s">
        <v>70</v>
      </c>
      <c r="G267" t="s">
        <v>60</v>
      </c>
      <c r="H267" t="s">
        <v>66</v>
      </c>
      <c r="I267">
        <v>1</v>
      </c>
      <c r="J267" s="4">
        <v>449</v>
      </c>
      <c r="K267" s="4">
        <v>642.07</v>
      </c>
      <c r="L267" s="4">
        <f>K267-J267</f>
      </c>
      <c r="M267" s="4">
        <f>L267*16.67%</f>
      </c>
      <c r="N267" s="4">
        <f>K267/100*7</f>
      </c>
      <c r="O267" s="4">
        <f>N267*20%</f>
      </c>
      <c r="P267" s="4">
        <f>N267*2%</f>
      </c>
      <c r="Q267" s="4">
        <f>P267*20%</f>
      </c>
      <c r="R267" s="4">
        <v>0</v>
      </c>
      <c r="S267" s="4">
        <f>R267*20%</f>
      </c>
      <c r="T267" s="4">
        <v>1</v>
      </c>
      <c r="U267" s="4">
        <f>O267+Q267+S267</f>
      </c>
      <c r="V267" s="4">
        <f>L267-M267-N267-O267-P267-Q267-R267-S267-T267</f>
      </c>
      <c r="W267" s="4">
        <f>(V267-Y267)/J267*100</f>
      </c>
      <c r="X267" s="4">
        <f>M267-U267</f>
      </c>
      <c r="Z267" s="4">
        <f>V267-Y267</f>
      </c>
      <c r="AE267" t="s">
        <v>1</v>
      </c>
    </row>
    <row r="268" spans="1:31" x14ac:dyDescent="0.25">
      <c r="A268" s="8">
        <v>46178.5</v>
      </c>
      <c r="B268" t="s">
        <v>557</v>
      </c>
      <c r="C268" t="s">
        <v>182</v>
      </c>
      <c r="D268" s="9" t="s">
        <v>1</v>
      </c>
      <c r="E268" t="s">
        <v>182</v>
      </c>
      <c r="F268" t="s">
        <v>1</v>
      </c>
      <c r="G268" t="s">
        <v>1</v>
      </c>
      <c r="H268" t="s">
        <v>75</v>
      </c>
      <c r="I268">
        <v>1</v>
      </c>
      <c r="J268" s="4">
        <v>1.9</v>
      </c>
      <c r="K268" s="4">
        <v>2.34</v>
      </c>
      <c r="L268" s="4">
        <f>K268-J268</f>
      </c>
      <c r="M268" s="4">
        <f>L268*16.67%</f>
      </c>
      <c r="N268" s="4">
        <f>K268/100*7</f>
      </c>
      <c r="O268" s="4">
        <f>N268*20%</f>
      </c>
      <c r="P268" s="4">
        <f>N268*2%</f>
      </c>
      <c r="Q268" s="4">
        <f>P268*20%</f>
      </c>
      <c r="R268" s="4">
        <v>0</v>
      </c>
      <c r="S268" s="4">
        <f>R268*20%</f>
      </c>
      <c r="T268" s="4">
        <v>0</v>
      </c>
      <c r="U268" s="4">
        <f>O268+Q268+S268</f>
      </c>
      <c r="V268" s="4">
        <f>L268-M268-N268-O268-P268-Q268-R268-S268-T268</f>
      </c>
      <c r="W268" s="4">
        <f>(V268-Y268)/J268*100</f>
      </c>
      <c r="X268" s="4">
        <f>M268-U268</f>
      </c>
      <c r="Z268" s="4">
        <f>V268-Y268</f>
      </c>
      <c r="AE268" t="s">
        <v>1</v>
      </c>
    </row>
    <row r="269" spans="1:31" x14ac:dyDescent="0.25">
      <c r="A269" s="8">
        <v>46177.5</v>
      </c>
      <c r="B269" t="s">
        <v>558</v>
      </c>
      <c r="C269" t="s">
        <v>1</v>
      </c>
      <c r="D269" s="9" t="s">
        <v>559</v>
      </c>
      <c r="E269" t="s">
        <v>131</v>
      </c>
      <c r="F269" t="s">
        <v>85</v>
      </c>
      <c r="G269" t="s">
        <v>65</v>
      </c>
      <c r="H269" t="s">
        <v>78</v>
      </c>
      <c r="I269">
        <v>1</v>
      </c>
      <c r="J269" s="4">
        <v>281</v>
      </c>
      <c r="K269" s="4">
        <v>328.77</v>
      </c>
      <c r="L269" s="4">
        <f>K269-J269</f>
      </c>
      <c r="M269" s="4">
        <f>L269*16.67%</f>
      </c>
      <c r="N269" s="4">
        <f>K269/100*7</f>
      </c>
      <c r="O269" s="4">
        <f>N269*20%</f>
      </c>
      <c r="P269" s="4">
        <f>N269*2%</f>
      </c>
      <c r="Q269" s="4">
        <f>P269*20%</f>
      </c>
      <c r="R269" s="4">
        <v>0</v>
      </c>
      <c r="S269" s="4">
        <f>R269*20%</f>
      </c>
      <c r="T269" s="4">
        <v>1</v>
      </c>
      <c r="U269" s="4">
        <f>O269+Q269+S269</f>
      </c>
      <c r="V269" s="4">
        <f>L269-M269-N269-O269-P269-Q269-R269-S269-T269</f>
      </c>
      <c r="W269" s="4">
        <f>(V269-Y269)/J269*100</f>
      </c>
      <c r="X269" s="4">
        <f>M269-U269</f>
      </c>
      <c r="Z269" s="4">
        <f>V269-Y269</f>
      </c>
      <c r="AE269" t="s">
        <v>1</v>
      </c>
    </row>
    <row r="270" spans="1:31" x14ac:dyDescent="0.25">
      <c r="A270" s="8">
        <v>46177.5</v>
      </c>
      <c r="B270" t="s">
        <v>560</v>
      </c>
      <c r="C270" t="s">
        <v>1</v>
      </c>
      <c r="D270" s="9" t="s">
        <v>561</v>
      </c>
      <c r="E270" t="s">
        <v>172</v>
      </c>
      <c r="F270" t="s">
        <v>59</v>
      </c>
      <c r="G270" t="s">
        <v>65</v>
      </c>
      <c r="H270" t="s">
        <v>102</v>
      </c>
      <c r="I270">
        <v>1</v>
      </c>
      <c r="J270" s="4">
        <v>142</v>
      </c>
      <c r="K270" s="4">
        <v>166.14</v>
      </c>
      <c r="L270" s="4">
        <f>K270-J270</f>
      </c>
      <c r="M270" s="4">
        <f>L270*16.67%</f>
      </c>
      <c r="N270" s="4">
        <f>K270/100*7</f>
      </c>
      <c r="O270" s="4">
        <f>N270*20%</f>
      </c>
      <c r="P270" s="4">
        <f>N270*2%</f>
      </c>
      <c r="Q270" s="4">
        <f>P270*20%</f>
      </c>
      <c r="R270" s="4">
        <v>0</v>
      </c>
      <c r="S270" s="4">
        <f>R270*20%</f>
      </c>
      <c r="T270" s="4">
        <v>1</v>
      </c>
      <c r="U270" s="4">
        <f>O270+Q270+S270</f>
      </c>
      <c r="V270" s="4">
        <f>L270-M270-N270-O270-P270-Q270-R270-S270-T270</f>
      </c>
      <c r="W270" s="4">
        <f>(V270-Y270)/J270*100</f>
      </c>
      <c r="X270" s="4">
        <f>M270-U270</f>
      </c>
      <c r="Z270" s="4">
        <f>V270-Y270</f>
      </c>
      <c r="AE270" t="s">
        <v>1</v>
      </c>
    </row>
    <row r="271" spans="1:31" x14ac:dyDescent="0.25">
      <c r="A271" s="8">
        <v>46176.5</v>
      </c>
      <c r="B271" t="s">
        <v>562</v>
      </c>
      <c r="C271" t="s">
        <v>1</v>
      </c>
      <c r="D271" s="9" t="s">
        <v>563</v>
      </c>
      <c r="E271" t="s">
        <v>139</v>
      </c>
      <c r="F271" t="s">
        <v>70</v>
      </c>
      <c r="G271" t="s">
        <v>60</v>
      </c>
      <c r="H271" t="s">
        <v>61</v>
      </c>
      <c r="I271">
        <v>1</v>
      </c>
      <c r="J271" s="4">
        <v>306</v>
      </c>
      <c r="K271" s="4">
        <v>351.9</v>
      </c>
      <c r="L271" s="4">
        <f>K271-J271</f>
      </c>
      <c r="M271" s="4">
        <f>L271*16.67%</f>
      </c>
      <c r="N271" s="4">
        <f>K271/100*7</f>
      </c>
      <c r="O271" s="4">
        <f>N271*20%</f>
      </c>
      <c r="P271" s="4">
        <f>N271*2%</f>
      </c>
      <c r="Q271" s="4">
        <f>P271*20%</f>
      </c>
      <c r="R271" s="4">
        <v>0</v>
      </c>
      <c r="S271" s="4">
        <f>R271*20%</f>
      </c>
      <c r="T271" s="4">
        <v>1</v>
      </c>
      <c r="U271" s="4">
        <f>O271+Q271+S271</f>
      </c>
      <c r="V271" s="4">
        <f>L271-M271-N271-O271-P271-Q271-R271-S271-T271</f>
      </c>
      <c r="W271" s="4">
        <f>(V271-Y271)/J271*100</f>
      </c>
      <c r="X271" s="4">
        <f>M271-U271</f>
      </c>
      <c r="Z271" s="4">
        <f>V271-Y271</f>
      </c>
      <c r="AE271" t="s">
        <v>1</v>
      </c>
    </row>
    <row r="272" spans="1:31" x14ac:dyDescent="0.25">
      <c r="A272" s="8">
        <v>46176.5</v>
      </c>
      <c r="B272" t="s">
        <v>564</v>
      </c>
      <c r="C272" t="s">
        <v>1</v>
      </c>
      <c r="D272" s="9" t="s">
        <v>565</v>
      </c>
      <c r="E272" t="s">
        <v>94</v>
      </c>
      <c r="F272" t="s">
        <v>70</v>
      </c>
      <c r="G272" t="s">
        <v>95</v>
      </c>
      <c r="H272" t="s">
        <v>102</v>
      </c>
      <c r="I272">
        <v>1</v>
      </c>
      <c r="J272" s="4">
        <v>70</v>
      </c>
      <c r="K272" s="4">
        <v>87.5</v>
      </c>
      <c r="L272" s="4">
        <f>K272-J272</f>
      </c>
      <c r="M272" s="4">
        <f>L272*16.67%</f>
      </c>
      <c r="N272" s="4">
        <f>K272/100*7</f>
      </c>
      <c r="O272" s="4">
        <f>N272*20%</f>
      </c>
      <c r="P272" s="4">
        <f>N272*2%</f>
      </c>
      <c r="Q272" s="4">
        <f>P272*20%</f>
      </c>
      <c r="R272" s="4">
        <v>0</v>
      </c>
      <c r="S272" s="4">
        <f>R272*20%</f>
      </c>
      <c r="T272" s="4">
        <v>1</v>
      </c>
      <c r="U272" s="4">
        <f>O272+Q272+S272</f>
      </c>
      <c r="V272" s="4">
        <f>L272-M272-N272-O272-P272-Q272-R272-S272-T272</f>
      </c>
      <c r="W272" s="4">
        <f>(V272-Y272)/J272*100</f>
      </c>
      <c r="X272" s="4">
        <f>M272-U272</f>
      </c>
      <c r="Z272" s="4">
        <f>V272-Y272</f>
      </c>
      <c r="AE272" t="s">
        <v>1</v>
      </c>
    </row>
    <row r="273" spans="1:31" x14ac:dyDescent="0.25">
      <c r="A273" s="8">
        <v>46176.5</v>
      </c>
      <c r="B273" t="s">
        <v>566</v>
      </c>
      <c r="C273" t="s">
        <v>1</v>
      </c>
      <c r="D273" s="9" t="s">
        <v>567</v>
      </c>
      <c r="E273" t="s">
        <v>91</v>
      </c>
      <c r="F273" t="s">
        <v>105</v>
      </c>
      <c r="G273" t="s">
        <v>95</v>
      </c>
      <c r="H273" t="s">
        <v>66</v>
      </c>
      <c r="I273">
        <v>1</v>
      </c>
      <c r="J273" s="4">
        <v>93</v>
      </c>
      <c r="K273" s="4">
        <v>118.11</v>
      </c>
      <c r="L273" s="4">
        <f>K273-J273</f>
      </c>
      <c r="M273" s="4">
        <f>L273*16.67%</f>
      </c>
      <c r="N273" s="4">
        <f>K273/100*7</f>
      </c>
      <c r="O273" s="4">
        <f>N273*20%</f>
      </c>
      <c r="P273" s="4">
        <f>N273*2%</f>
      </c>
      <c r="Q273" s="4">
        <f>P273*20%</f>
      </c>
      <c r="R273" s="4">
        <v>0</v>
      </c>
      <c r="S273" s="4">
        <f>R273*20%</f>
      </c>
      <c r="T273" s="4">
        <v>1</v>
      </c>
      <c r="U273" s="4">
        <f>O273+Q273+S273</f>
      </c>
      <c r="V273" s="4">
        <f>L273-M273-N273-O273-P273-Q273-R273-S273-T273</f>
      </c>
      <c r="W273" s="4">
        <f>(V273-Y273)/J273*100</f>
      </c>
      <c r="X273" s="4">
        <f>M273-U273</f>
      </c>
      <c r="Z273" s="4">
        <f>V273-Y273</f>
      </c>
      <c r="AE273" t="s">
        <v>1</v>
      </c>
    </row>
    <row r="274" spans="1:31" x14ac:dyDescent="0.25">
      <c r="A274" s="8">
        <v>46176.5</v>
      </c>
      <c r="B274" t="s">
        <v>568</v>
      </c>
      <c r="C274" t="s">
        <v>1</v>
      </c>
      <c r="D274" s="9" t="s">
        <v>569</v>
      </c>
      <c r="E274" t="s">
        <v>234</v>
      </c>
      <c r="F274" t="s">
        <v>70</v>
      </c>
      <c r="G274" t="s">
        <v>65</v>
      </c>
      <c r="H274" t="s">
        <v>102</v>
      </c>
      <c r="I274">
        <v>1</v>
      </c>
      <c r="J274" s="4">
        <v>179</v>
      </c>
      <c r="K274" s="4">
        <v>218.38</v>
      </c>
      <c r="L274" s="4">
        <f>K274-J274</f>
      </c>
      <c r="M274" s="4">
        <f>L274*16.67%</f>
      </c>
      <c r="N274" s="4">
        <f>K274/100*7</f>
      </c>
      <c r="O274" s="4">
        <f>N274*20%</f>
      </c>
      <c r="P274" s="4">
        <f>N274*2%</f>
      </c>
      <c r="Q274" s="4">
        <f>P274*20%</f>
      </c>
      <c r="R274" s="4">
        <v>0</v>
      </c>
      <c r="S274" s="4">
        <f>R274*20%</f>
      </c>
      <c r="T274" s="4">
        <v>1</v>
      </c>
      <c r="U274" s="4">
        <f>O274+Q274+S274</f>
      </c>
      <c r="V274" s="4">
        <f>L274-M274-N274-O274-P274-Q274-R274-S274-T274</f>
      </c>
      <c r="W274" s="4">
        <f>(V274-Y274)/J274*100</f>
      </c>
      <c r="X274" s="4">
        <f>M274-U274</f>
      </c>
      <c r="Z274" s="4">
        <f>V274-Y274</f>
      </c>
      <c r="AE274" t="s">
        <v>1</v>
      </c>
    </row>
    <row r="275" spans="1:31" x14ac:dyDescent="0.25">
      <c r="A275" s="8">
        <v>46176.5</v>
      </c>
      <c r="B275" t="s">
        <v>570</v>
      </c>
      <c r="C275" t="s">
        <v>1</v>
      </c>
      <c r="D275" s="9" t="s">
        <v>571</v>
      </c>
      <c r="E275" t="s">
        <v>91</v>
      </c>
      <c r="F275" t="s">
        <v>70</v>
      </c>
      <c r="G275" t="s">
        <v>95</v>
      </c>
      <c r="H275" t="s">
        <v>78</v>
      </c>
      <c r="I275">
        <v>1</v>
      </c>
      <c r="J275" s="4">
        <v>126</v>
      </c>
      <c r="K275" s="4">
        <v>147.42</v>
      </c>
      <c r="L275" s="4">
        <f>K275-J275</f>
      </c>
      <c r="M275" s="4">
        <f>L275*16.67%</f>
      </c>
      <c r="N275" s="4">
        <f>K275/100*7</f>
      </c>
      <c r="O275" s="4">
        <f>N275*20%</f>
      </c>
      <c r="P275" s="4">
        <f>N275*2%</f>
      </c>
      <c r="Q275" s="4">
        <f>P275*20%</f>
      </c>
      <c r="R275" s="4">
        <v>0</v>
      </c>
      <c r="S275" s="4">
        <f>R275*20%</f>
      </c>
      <c r="T275" s="4">
        <v>1</v>
      </c>
      <c r="U275" s="4">
        <f>O275+Q275+S275</f>
      </c>
      <c r="V275" s="4">
        <f>L275-M275-N275-O275-P275-Q275-R275-S275-T275</f>
      </c>
      <c r="W275" s="4">
        <f>(V275-Y275)/J275*100</f>
      </c>
      <c r="X275" s="4">
        <f>M275-U275</f>
      </c>
      <c r="Z275" s="4">
        <f>V275-Y275</f>
      </c>
      <c r="AE275" t="s">
        <v>1</v>
      </c>
    </row>
    <row r="276" spans="1:31" x14ac:dyDescent="0.25">
      <c r="A276" s="8">
        <v>46176.5</v>
      </c>
      <c r="B276" t="s">
        <v>572</v>
      </c>
      <c r="C276" t="s">
        <v>182</v>
      </c>
      <c r="D276" s="9" t="s">
        <v>1</v>
      </c>
      <c r="E276" t="s">
        <v>182</v>
      </c>
      <c r="F276" t="s">
        <v>1</v>
      </c>
      <c r="G276" t="s">
        <v>1</v>
      </c>
      <c r="H276" t="s">
        <v>75</v>
      </c>
      <c r="I276">
        <v>2</v>
      </c>
      <c r="J276" s="4">
        <v>3.8</v>
      </c>
      <c r="K276" s="4">
        <v>5.24</v>
      </c>
      <c r="L276" s="4">
        <f>K276-J276</f>
      </c>
      <c r="M276" s="4">
        <f>L276*16.67%</f>
      </c>
      <c r="N276" s="4">
        <f>K276/100*7</f>
      </c>
      <c r="O276" s="4">
        <f>N276*20%</f>
      </c>
      <c r="P276" s="4">
        <f>N276*2%</f>
      </c>
      <c r="Q276" s="4">
        <f>P276*20%</f>
      </c>
      <c r="R276" s="4">
        <v>0</v>
      </c>
      <c r="S276" s="4">
        <f>R276*20%</f>
      </c>
      <c r="T276" s="4">
        <v>0</v>
      </c>
      <c r="U276" s="4">
        <f>O276+Q276+S276</f>
      </c>
      <c r="V276" s="4">
        <f>L276-M276-N276-O276-P276-Q276-R276-S276-T276</f>
      </c>
      <c r="W276" s="4">
        <f>(V276-Y276)/J276*100</f>
      </c>
      <c r="X276" s="4">
        <f>M276-U276</f>
      </c>
      <c r="Z276" s="4">
        <f>V276-Y276</f>
      </c>
      <c r="AE276" t="s">
        <v>1</v>
      </c>
    </row>
    <row r="277" spans="1:31" x14ac:dyDescent="0.25">
      <c r="A277" s="8">
        <v>46175.5</v>
      </c>
      <c r="B277" t="s">
        <v>573</v>
      </c>
      <c r="C277" t="s">
        <v>1</v>
      </c>
      <c r="D277" s="9" t="s">
        <v>574</v>
      </c>
      <c r="E277" t="s">
        <v>64</v>
      </c>
      <c r="F277" t="s">
        <v>88</v>
      </c>
      <c r="G277" t="s">
        <v>65</v>
      </c>
      <c r="H277" t="s">
        <v>61</v>
      </c>
      <c r="I277">
        <v>1</v>
      </c>
      <c r="J277" s="4">
        <v>238</v>
      </c>
      <c r="K277" s="4">
        <v>276.08</v>
      </c>
      <c r="L277" s="4">
        <f>K277-J277</f>
      </c>
      <c r="M277" s="4">
        <f>L277*16.67%</f>
      </c>
      <c r="N277" s="4">
        <f>K277/100*7</f>
      </c>
      <c r="O277" s="4">
        <f>N277*20%</f>
      </c>
      <c r="P277" s="4">
        <f>N277*2%</f>
      </c>
      <c r="Q277" s="4">
        <f>P277*20%</f>
      </c>
      <c r="R277" s="4">
        <v>0</v>
      </c>
      <c r="S277" s="4">
        <f>R277*20%</f>
      </c>
      <c r="T277" s="4">
        <v>1</v>
      </c>
      <c r="U277" s="4">
        <f>O277+Q277+S277</f>
      </c>
      <c r="V277" s="4">
        <f>L277-M277-N277-O277-P277-Q277-R277-S277-T277</f>
      </c>
      <c r="W277" s="4">
        <f>(V277-Y277)/J277*100</f>
      </c>
      <c r="X277" s="4">
        <f>M277-U277</f>
      </c>
      <c r="Z277" s="4">
        <f>V277-Y277</f>
      </c>
      <c r="AE277" t="s">
        <v>1</v>
      </c>
    </row>
    <row r="278" spans="1:31" x14ac:dyDescent="0.25">
      <c r="A278" s="8">
        <v>46175.5</v>
      </c>
      <c r="B278" t="s">
        <v>575</v>
      </c>
      <c r="C278" t="s">
        <v>1</v>
      </c>
      <c r="D278" s="9" t="s">
        <v>576</v>
      </c>
      <c r="E278" t="s">
        <v>125</v>
      </c>
      <c r="F278" t="s">
        <v>88</v>
      </c>
      <c r="G278" t="s">
        <v>126</v>
      </c>
      <c r="H278" t="s">
        <v>61</v>
      </c>
      <c r="I278">
        <v>1</v>
      </c>
      <c r="J278" s="4">
        <v>233</v>
      </c>
      <c r="K278" s="4">
        <v>319.21</v>
      </c>
      <c r="L278" s="4">
        <f>K278-J278</f>
      </c>
      <c r="M278" s="4">
        <f>L278*16.67%</f>
      </c>
      <c r="N278" s="4">
        <f>K278/100*7</f>
      </c>
      <c r="O278" s="4">
        <f>N278*20%</f>
      </c>
      <c r="P278" s="4">
        <f>N278*2%</f>
      </c>
      <c r="Q278" s="4">
        <f>P278*20%</f>
      </c>
      <c r="R278" s="4">
        <v>0</v>
      </c>
      <c r="S278" s="4">
        <f>R278*20%</f>
      </c>
      <c r="T278" s="4">
        <v>1</v>
      </c>
      <c r="U278" s="4">
        <f>O278+Q278+S278</f>
      </c>
      <c r="V278" s="4">
        <f>L278-M278-N278-O278-P278-Q278-R278-S278-T278</f>
      </c>
      <c r="W278" s="4">
        <f>(V278-Y278)/J278*100</f>
      </c>
      <c r="X278" s="4">
        <f>M278-U278</f>
      </c>
      <c r="Z278" s="4">
        <f>V278-Y278</f>
      </c>
      <c r="AE278" t="s">
        <v>1</v>
      </c>
    </row>
    <row r="279" spans="1:31" x14ac:dyDescent="0.25">
      <c r="A279" s="8">
        <v>46175.5</v>
      </c>
      <c r="B279" t="s">
        <v>577</v>
      </c>
      <c r="C279" t="s">
        <v>1</v>
      </c>
      <c r="D279" s="9" t="s">
        <v>578</v>
      </c>
      <c r="E279" t="s">
        <v>84</v>
      </c>
      <c r="F279" t="s">
        <v>99</v>
      </c>
      <c r="G279" t="s">
        <v>60</v>
      </c>
      <c r="H279" t="s">
        <v>75</v>
      </c>
      <c r="I279">
        <v>1</v>
      </c>
      <c r="J279" s="4">
        <v>698</v>
      </c>
      <c r="K279" s="4">
        <v>991.16</v>
      </c>
      <c r="L279" s="4">
        <f>K279-J279</f>
      </c>
      <c r="M279" s="4">
        <f>L279*16.67%</f>
      </c>
      <c r="N279" s="4">
        <f>K279/100*7</f>
      </c>
      <c r="O279" s="4">
        <f>N279*20%</f>
      </c>
      <c r="P279" s="4">
        <f>N279*2%</f>
      </c>
      <c r="Q279" s="4">
        <f>P279*20%</f>
      </c>
      <c r="R279" s="4">
        <v>0</v>
      </c>
      <c r="S279" s="4">
        <f>R279*20%</f>
      </c>
      <c r="T279" s="4">
        <v>1</v>
      </c>
      <c r="U279" s="4">
        <f>O279+Q279+S279</f>
      </c>
      <c r="V279" s="4">
        <f>L279-M279-N279-O279-P279-Q279-R279-S279-T279</f>
      </c>
      <c r="W279" s="4">
        <f>(V279-Y279)/J279*100</f>
      </c>
      <c r="X279" s="4">
        <f>M279-U279</f>
      </c>
      <c r="Z279" s="4">
        <f>V279-Y279</f>
      </c>
      <c r="AE279" t="s">
        <v>1</v>
      </c>
    </row>
    <row r="280" spans="1:31" x14ac:dyDescent="0.25">
      <c r="A280" s="8">
        <v>46175.5</v>
      </c>
      <c r="B280" t="s">
        <v>579</v>
      </c>
      <c r="C280" t="s">
        <v>1</v>
      </c>
      <c r="D280" s="9" t="s">
        <v>580</v>
      </c>
      <c r="E280" t="s">
        <v>134</v>
      </c>
      <c r="F280" t="s">
        <v>105</v>
      </c>
      <c r="G280" t="s">
        <v>95</v>
      </c>
      <c r="H280" t="s">
        <v>75</v>
      </c>
      <c r="I280">
        <v>1</v>
      </c>
      <c r="J280" s="4">
        <v>125</v>
      </c>
      <c r="K280" s="4">
        <v>171.25</v>
      </c>
      <c r="L280" s="4">
        <f>K280-J280</f>
      </c>
      <c r="M280" s="4">
        <f>L280*16.67%</f>
      </c>
      <c r="N280" s="4">
        <f>K280/100*7</f>
      </c>
      <c r="O280" s="4">
        <f>N280*20%</f>
      </c>
      <c r="P280" s="4">
        <f>N280*2%</f>
      </c>
      <c r="Q280" s="4">
        <f>P280*20%</f>
      </c>
      <c r="R280" s="4">
        <v>0</v>
      </c>
      <c r="S280" s="4">
        <f>R280*20%</f>
      </c>
      <c r="T280" s="4">
        <v>1</v>
      </c>
      <c r="U280" s="4">
        <f>O280+Q280+S280</f>
      </c>
      <c r="V280" s="4">
        <f>L280-M280-N280-O280-P280-Q280-R280-S280-T280</f>
      </c>
      <c r="W280" s="4">
        <f>(V280-Y280)/J280*100</f>
      </c>
      <c r="X280" s="4">
        <f>M280-U280</f>
      </c>
      <c r="Z280" s="4">
        <f>V280-Y280</f>
      </c>
      <c r="AE280" t="s">
        <v>1</v>
      </c>
    </row>
    <row r="281" spans="1:31" x14ac:dyDescent="0.25">
      <c r="A281" s="8">
        <v>46175.5</v>
      </c>
      <c r="B281" t="s">
        <v>581</v>
      </c>
      <c r="C281" t="s">
        <v>185</v>
      </c>
      <c r="D281" s="9" t="s">
        <v>1</v>
      </c>
      <c r="E281" t="s">
        <v>185</v>
      </c>
      <c r="F281" t="s">
        <v>1</v>
      </c>
      <c r="G281" t="s">
        <v>1</v>
      </c>
      <c r="H281" t="s">
        <v>102</v>
      </c>
      <c r="I281">
        <v>1</v>
      </c>
      <c r="J281" s="4">
        <v>1.2</v>
      </c>
      <c r="K281" s="4">
        <v>1.51</v>
      </c>
      <c r="L281" s="4">
        <f>K281-J281</f>
      </c>
      <c r="M281" s="4">
        <f>L281*16.67%</f>
      </c>
      <c r="N281" s="4">
        <f>K281/100*7</f>
      </c>
      <c r="O281" s="4">
        <f>N281*20%</f>
      </c>
      <c r="P281" s="4">
        <f>N281*2%</f>
      </c>
      <c r="Q281" s="4">
        <f>P281*20%</f>
      </c>
      <c r="R281" s="4">
        <v>0</v>
      </c>
      <c r="S281" s="4">
        <f>R281*20%</f>
      </c>
      <c r="T281" s="4">
        <v>0</v>
      </c>
      <c r="U281" s="4">
        <f>O281+Q281+S281</f>
      </c>
      <c r="V281" s="4">
        <f>L281-M281-N281-O281-P281-Q281-R281-S281-T281</f>
      </c>
      <c r="W281" s="4">
        <f>(V281-Y281)/J281*100</f>
      </c>
      <c r="X281" s="4">
        <f>M281-U281</f>
      </c>
      <c r="Z281" s="4">
        <f>V281-Y281</f>
      </c>
      <c r="AE281" t="s">
        <v>1</v>
      </c>
    </row>
    <row r="282" spans="1:31" x14ac:dyDescent="0.25">
      <c r="A282" s="8">
        <v>46174.5</v>
      </c>
      <c r="B282" t="s">
        <v>582</v>
      </c>
      <c r="C282" t="s">
        <v>1</v>
      </c>
      <c r="D282" s="9" t="s">
        <v>583</v>
      </c>
      <c r="E282" t="s">
        <v>81</v>
      </c>
      <c r="F282" t="s">
        <v>85</v>
      </c>
      <c r="G282" t="s">
        <v>60</v>
      </c>
      <c r="H282" t="s">
        <v>61</v>
      </c>
      <c r="I282">
        <v>1</v>
      </c>
      <c r="J282" s="4">
        <v>583</v>
      </c>
      <c r="K282" s="4">
        <v>763.73</v>
      </c>
      <c r="L282" s="4">
        <f>K282-J282</f>
      </c>
      <c r="M282" s="4">
        <f>L282*16.67%</f>
      </c>
      <c r="N282" s="4">
        <f>K282/100*7</f>
      </c>
      <c r="O282" s="4">
        <f>N282*20%</f>
      </c>
      <c r="P282" s="4">
        <f>N282*2%</f>
      </c>
      <c r="Q282" s="4">
        <f>P282*20%</f>
      </c>
      <c r="R282" s="4">
        <v>0</v>
      </c>
      <c r="S282" s="4">
        <f>R282*20%</f>
      </c>
      <c r="T282" s="4">
        <v>1</v>
      </c>
      <c r="U282" s="4">
        <f>O282+Q282+S282</f>
      </c>
      <c r="V282" s="4">
        <f>L282-M282-N282-O282-P282-Q282-R282-S282-T282</f>
      </c>
      <c r="W282" s="4">
        <f>(V282-Y282)/J282*100</f>
      </c>
      <c r="X282" s="4">
        <f>M282-U282</f>
      </c>
      <c r="Z282" s="4">
        <f>V282-Y282</f>
      </c>
      <c r="AE282" t="s">
        <v>1</v>
      </c>
    </row>
    <row r="283" spans="1:31" x14ac:dyDescent="0.25">
      <c r="A283" s="8">
        <v>46173.5</v>
      </c>
      <c r="B283" t="s">
        <v>584</v>
      </c>
      <c r="C283" t="s">
        <v>1</v>
      </c>
      <c r="D283" s="9" t="s">
        <v>585</v>
      </c>
      <c r="E283" t="s">
        <v>139</v>
      </c>
      <c r="F283" t="s">
        <v>99</v>
      </c>
      <c r="G283" t="s">
        <v>60</v>
      </c>
      <c r="H283" t="s">
        <v>78</v>
      </c>
      <c r="I283">
        <v>1</v>
      </c>
      <c r="J283" s="4">
        <v>305</v>
      </c>
      <c r="K283" s="4">
        <v>411.75</v>
      </c>
      <c r="L283" s="4">
        <f>K283-J283</f>
      </c>
      <c r="M283" s="4">
        <f>L283*16.67%</f>
      </c>
      <c r="N283" s="4">
        <f>K283/100*7</f>
      </c>
      <c r="O283" s="4">
        <f>N283*20%</f>
      </c>
      <c r="P283" s="4">
        <f>N283*2%</f>
      </c>
      <c r="Q283" s="4">
        <f>P283*20%</f>
      </c>
      <c r="R283" s="4">
        <v>0</v>
      </c>
      <c r="S283" s="4">
        <f>R283*20%</f>
      </c>
      <c r="T283" s="4">
        <v>1</v>
      </c>
      <c r="U283" s="4">
        <f>O283+Q283+S283</f>
      </c>
      <c r="V283" s="4">
        <f>L283-M283-N283-O283-P283-Q283-R283-S283-T283</f>
      </c>
      <c r="W283" s="4">
        <f>(V283-Y283)/J283*100</f>
      </c>
      <c r="X283" s="4">
        <f>M283-U283</f>
      </c>
      <c r="Z283" s="4">
        <f>V283-Y283</f>
      </c>
      <c r="AE283" t="s">
        <v>1</v>
      </c>
    </row>
    <row r="284" spans="1:31" x14ac:dyDescent="0.25">
      <c r="A284" s="8">
        <v>46173.5</v>
      </c>
      <c r="B284" t="s">
        <v>586</v>
      </c>
      <c r="C284" t="s">
        <v>1</v>
      </c>
      <c r="D284" s="9" t="s">
        <v>587</v>
      </c>
      <c r="E284" t="s">
        <v>131</v>
      </c>
      <c r="F284" t="s">
        <v>85</v>
      </c>
      <c r="G284" t="s">
        <v>65</v>
      </c>
      <c r="H284" t="s">
        <v>66</v>
      </c>
      <c r="I284">
        <v>1</v>
      </c>
      <c r="J284" s="4">
        <v>318</v>
      </c>
      <c r="K284" s="4">
        <v>397.5</v>
      </c>
      <c r="L284" s="4">
        <f>K284-J284</f>
      </c>
      <c r="M284" s="4">
        <f>L284*16.67%</f>
      </c>
      <c r="N284" s="4">
        <f>K284/100*7</f>
      </c>
      <c r="O284" s="4">
        <f>N284*20%</f>
      </c>
      <c r="P284" s="4">
        <f>N284*2%</f>
      </c>
      <c r="Q284" s="4">
        <f>P284*20%</f>
      </c>
      <c r="R284" s="4">
        <v>0</v>
      </c>
      <c r="S284" s="4">
        <f>R284*20%</f>
      </c>
      <c r="T284" s="4">
        <v>1</v>
      </c>
      <c r="U284" s="4">
        <f>O284+Q284+S284</f>
      </c>
      <c r="V284" s="4">
        <f>L284-M284-N284-O284-P284-Q284-R284-S284-T284</f>
      </c>
      <c r="W284" s="4">
        <f>(V284-Y284)/J284*100</f>
      </c>
      <c r="X284" s="4">
        <f>M284-U284</f>
      </c>
      <c r="Z284" s="4">
        <f>V284-Y284</f>
      </c>
      <c r="AE284" t="s">
        <v>1</v>
      </c>
    </row>
    <row r="285" spans="1:31" x14ac:dyDescent="0.25">
      <c r="A285" s="8">
        <v>46173.5</v>
      </c>
      <c r="B285" t="s">
        <v>588</v>
      </c>
      <c r="C285" t="s">
        <v>1</v>
      </c>
      <c r="D285" s="9" t="s">
        <v>589</v>
      </c>
      <c r="E285" t="s">
        <v>98</v>
      </c>
      <c r="F285" t="s">
        <v>74</v>
      </c>
      <c r="G285" t="s">
        <v>65</v>
      </c>
      <c r="H285" t="s">
        <v>75</v>
      </c>
      <c r="I285">
        <v>1</v>
      </c>
      <c r="J285" s="4">
        <v>318</v>
      </c>
      <c r="K285" s="4">
        <v>429.3</v>
      </c>
      <c r="L285" s="4">
        <f>K285-J285</f>
      </c>
      <c r="M285" s="4">
        <f>L285*16.67%</f>
      </c>
      <c r="N285" s="4">
        <f>K285/100*7</f>
      </c>
      <c r="O285" s="4">
        <f>N285*20%</f>
      </c>
      <c r="P285" s="4">
        <f>N285*2%</f>
      </c>
      <c r="Q285" s="4">
        <f>P285*20%</f>
      </c>
      <c r="R285" s="4">
        <v>0</v>
      </c>
      <c r="S285" s="4">
        <f>R285*20%</f>
      </c>
      <c r="T285" s="4">
        <v>1</v>
      </c>
      <c r="U285" s="4">
        <f>O285+Q285+S285</f>
      </c>
      <c r="V285" s="4">
        <f>L285-M285-N285-O285-P285-Q285-R285-S285-T285</f>
      </c>
      <c r="W285" s="4">
        <f>(V285-Y285)/J285*100</f>
      </c>
      <c r="X285" s="4">
        <f>M285-U285</f>
      </c>
      <c r="Z285" s="4">
        <f>V285-Y285</f>
      </c>
      <c r="AE285" t="s">
        <v>1</v>
      </c>
    </row>
    <row r="286" spans="1:31" x14ac:dyDescent="0.25">
      <c r="A286" s="8">
        <v>46172.5</v>
      </c>
      <c r="B286" t="s">
        <v>590</v>
      </c>
      <c r="C286" t="s">
        <v>1</v>
      </c>
      <c r="D286" s="9" t="s">
        <v>591</v>
      </c>
      <c r="E286" t="s">
        <v>84</v>
      </c>
      <c r="F286" t="s">
        <v>74</v>
      </c>
      <c r="G286" t="s">
        <v>60</v>
      </c>
      <c r="H286" t="s">
        <v>102</v>
      </c>
      <c r="I286">
        <v>1</v>
      </c>
      <c r="J286" s="4">
        <v>687</v>
      </c>
      <c r="K286" s="4">
        <v>845.01</v>
      </c>
      <c r="L286" s="4">
        <f>K286-J286</f>
      </c>
      <c r="M286" s="4">
        <f>L286*16.67%</f>
      </c>
      <c r="N286" s="4">
        <f>K286/100*7</f>
      </c>
      <c r="O286" s="4">
        <f>N286*20%</f>
      </c>
      <c r="P286" s="4">
        <f>N286*2%</f>
      </c>
      <c r="Q286" s="4">
        <f>P286*20%</f>
      </c>
      <c r="R286" s="4">
        <v>0</v>
      </c>
      <c r="S286" s="4">
        <f>R286*20%</f>
      </c>
      <c r="T286" s="4">
        <v>1</v>
      </c>
      <c r="U286" s="4">
        <f>O286+Q286+S286</f>
      </c>
      <c r="V286" s="4">
        <f>L286-M286-N286-O286-P286-Q286-R286-S286-T286</f>
      </c>
      <c r="W286" s="4">
        <f>(V286-Y286)/J286*100</f>
      </c>
      <c r="X286" s="4">
        <f>M286-U286</f>
      </c>
      <c r="Z286" s="4">
        <f>V286-Y286</f>
      </c>
      <c r="AE286" t="s">
        <v>1</v>
      </c>
    </row>
    <row r="287" spans="1:31" x14ac:dyDescent="0.25">
      <c r="A287" s="8">
        <v>46172.5</v>
      </c>
      <c r="B287" t="s">
        <v>592</v>
      </c>
      <c r="C287" t="s">
        <v>1</v>
      </c>
      <c r="D287" s="9" t="s">
        <v>593</v>
      </c>
      <c r="E287" t="s">
        <v>131</v>
      </c>
      <c r="F287" t="s">
        <v>70</v>
      </c>
      <c r="G287" t="s">
        <v>60</v>
      </c>
      <c r="H287" t="s">
        <v>78</v>
      </c>
      <c r="I287">
        <v>1</v>
      </c>
      <c r="J287" s="4">
        <v>296</v>
      </c>
      <c r="K287" s="4">
        <v>423.28</v>
      </c>
      <c r="L287" s="4">
        <f>K287-J287</f>
      </c>
      <c r="M287" s="4">
        <f>L287*16.67%</f>
      </c>
      <c r="N287" s="4">
        <f>K287/100*7</f>
      </c>
      <c r="O287" s="4">
        <f>N287*20%</f>
      </c>
      <c r="P287" s="4">
        <f>N287*2%</f>
      </c>
      <c r="Q287" s="4">
        <f>P287*20%</f>
      </c>
      <c r="R287" s="4">
        <v>0</v>
      </c>
      <c r="S287" s="4">
        <f>R287*20%</f>
      </c>
      <c r="T287" s="4">
        <v>1</v>
      </c>
      <c r="U287" s="4">
        <f>O287+Q287+S287</f>
      </c>
      <c r="V287" s="4">
        <f>L287-M287-N287-O287-P287-Q287-R287-S287-T287</f>
      </c>
      <c r="W287" s="4">
        <f>(V287-Y287)/J287*100</f>
      </c>
      <c r="X287" s="4">
        <f>M287-U287</f>
      </c>
      <c r="Z287" s="4">
        <f>V287-Y287</f>
      </c>
      <c r="AE287" t="s">
        <v>1</v>
      </c>
    </row>
    <row r="288" spans="1:31" x14ac:dyDescent="0.25">
      <c r="A288" s="8">
        <v>46172.5</v>
      </c>
      <c r="B288" t="s">
        <v>594</v>
      </c>
      <c r="C288" t="s">
        <v>189</v>
      </c>
      <c r="D288" s="9" t="s">
        <v>1</v>
      </c>
      <c r="E288" t="s">
        <v>189</v>
      </c>
      <c r="F288" t="s">
        <v>1</v>
      </c>
      <c r="G288" t="s">
        <v>1</v>
      </c>
      <c r="H288" t="s">
        <v>66</v>
      </c>
      <c r="I288">
        <v>1</v>
      </c>
      <c r="J288" s="4">
        <v>3.5</v>
      </c>
      <c r="K288" s="4">
        <v>4.02</v>
      </c>
      <c r="L288" s="4">
        <f>K288-J288</f>
      </c>
      <c r="M288" s="4">
        <f>L288*16.67%</f>
      </c>
      <c r="N288" s="4">
        <f>K288/100*7</f>
      </c>
      <c r="O288" s="4">
        <f>N288*20%</f>
      </c>
      <c r="P288" s="4">
        <f>N288*2%</f>
      </c>
      <c r="Q288" s="4">
        <f>P288*20%</f>
      </c>
      <c r="R288" s="4">
        <v>0</v>
      </c>
      <c r="S288" s="4">
        <f>R288*20%</f>
      </c>
      <c r="T288" s="4">
        <v>0</v>
      </c>
      <c r="U288" s="4">
        <f>O288+Q288+S288</f>
      </c>
      <c r="V288" s="4">
        <f>L288-M288-N288-O288-P288-Q288-R288-S288-T288</f>
      </c>
      <c r="W288" s="4">
        <f>(V288-Y288)/J288*100</f>
      </c>
      <c r="X288" s="4">
        <f>M288-U288</f>
      </c>
      <c r="Z288" s="4">
        <f>V288-Y288</f>
      </c>
      <c r="AE288" t="s">
        <v>1</v>
      </c>
    </row>
    <row r="289" spans="1:31" x14ac:dyDescent="0.25">
      <c r="A289" s="8">
        <v>46172.5</v>
      </c>
      <c r="B289" t="s">
        <v>595</v>
      </c>
      <c r="C289" t="s">
        <v>254</v>
      </c>
      <c r="D289" s="9" t="s">
        <v>1</v>
      </c>
      <c r="E289" t="s">
        <v>254</v>
      </c>
      <c r="F289" t="s">
        <v>1</v>
      </c>
      <c r="G289" t="s">
        <v>1</v>
      </c>
      <c r="H289" t="s">
        <v>61</v>
      </c>
      <c r="I289">
        <v>4</v>
      </c>
      <c r="J289" s="4">
        <v>3.2</v>
      </c>
      <c r="K289" s="4">
        <v>3.84</v>
      </c>
      <c r="L289" s="4">
        <f>K289-J289</f>
      </c>
      <c r="M289" s="4">
        <f>L289*16.67%</f>
      </c>
      <c r="N289" s="4">
        <f>K289/100*7</f>
      </c>
      <c r="O289" s="4">
        <f>N289*20%</f>
      </c>
      <c r="P289" s="4">
        <f>N289*2%</f>
      </c>
      <c r="Q289" s="4">
        <f>P289*20%</f>
      </c>
      <c r="R289" s="4">
        <v>0</v>
      </c>
      <c r="S289" s="4">
        <f>R289*20%</f>
      </c>
      <c r="T289" s="4">
        <v>0</v>
      </c>
      <c r="U289" s="4">
        <f>O289+Q289+S289</f>
      </c>
      <c r="V289" s="4">
        <f>L289-M289-N289-O289-P289-Q289-R289-S289-T289</f>
      </c>
      <c r="W289" s="4">
        <f>(V289-Y289)/J289*100</f>
      </c>
      <c r="X289" s="4">
        <f>M289-U289</f>
      </c>
      <c r="Z289" s="4">
        <f>V289-Y289</f>
      </c>
      <c r="AE289" t="s">
        <v>1</v>
      </c>
    </row>
    <row r="290" spans="1:31" x14ac:dyDescent="0.25">
      <c r="A290" s="8">
        <v>46171.5</v>
      </c>
      <c r="B290" t="s">
        <v>596</v>
      </c>
      <c r="C290" t="s">
        <v>1</v>
      </c>
      <c r="D290" s="9" t="s">
        <v>597</v>
      </c>
      <c r="E290" t="s">
        <v>84</v>
      </c>
      <c r="F290" t="s">
        <v>88</v>
      </c>
      <c r="G290" t="s">
        <v>60</v>
      </c>
      <c r="H290" t="s">
        <v>66</v>
      </c>
      <c r="I290">
        <v>1</v>
      </c>
      <c r="J290" s="4">
        <v>678</v>
      </c>
      <c r="K290" s="4">
        <v>908.52</v>
      </c>
      <c r="L290" s="4">
        <f>K290-J290</f>
      </c>
      <c r="M290" s="4">
        <f>L290*16.67%</f>
      </c>
      <c r="N290" s="4">
        <f>K290/100*7</f>
      </c>
      <c r="O290" s="4">
        <f>N290*20%</f>
      </c>
      <c r="P290" s="4">
        <f>N290*2%</f>
      </c>
      <c r="Q290" s="4">
        <f>P290*20%</f>
      </c>
      <c r="R290" s="4">
        <v>0</v>
      </c>
      <c r="S290" s="4">
        <f>R290*20%</f>
      </c>
      <c r="T290" s="4">
        <v>1</v>
      </c>
      <c r="U290" s="4">
        <f>O290+Q290+S290</f>
      </c>
      <c r="V290" s="4">
        <f>L290-M290-N290-O290-P290-Q290-R290-S290-T290</f>
      </c>
      <c r="W290" s="4">
        <f>(V290-Y290)/J290*100</f>
      </c>
      <c r="X290" s="4">
        <f>M290-U290</f>
      </c>
      <c r="Z290" s="4">
        <f>V290-Y290</f>
      </c>
      <c r="AE290" t="s">
        <v>1</v>
      </c>
    </row>
    <row r="291" spans="1:31" x14ac:dyDescent="0.25">
      <c r="A291" s="8">
        <v>46170.5</v>
      </c>
      <c r="B291" t="s">
        <v>598</v>
      </c>
      <c r="C291" t="s">
        <v>1</v>
      </c>
      <c r="D291" s="9" t="s">
        <v>599</v>
      </c>
      <c r="E291" t="s">
        <v>94</v>
      </c>
      <c r="F291" t="s">
        <v>70</v>
      </c>
      <c r="G291" t="s">
        <v>95</v>
      </c>
      <c r="H291" t="s">
        <v>75</v>
      </c>
      <c r="I291">
        <v>1</v>
      </c>
      <c r="J291" s="4">
        <v>83</v>
      </c>
      <c r="K291" s="4">
        <v>107.07</v>
      </c>
      <c r="L291" s="4">
        <f>K291-J291</f>
      </c>
      <c r="M291" s="4">
        <f>L291*16.67%</f>
      </c>
      <c r="N291" s="4">
        <f>K291/100*7</f>
      </c>
      <c r="O291" s="4">
        <f>N291*20%</f>
      </c>
      <c r="P291" s="4">
        <f>N291*2%</f>
      </c>
      <c r="Q291" s="4">
        <f>P291*20%</f>
      </c>
      <c r="R291" s="4">
        <v>0</v>
      </c>
      <c r="S291" s="4">
        <f>R291*20%</f>
      </c>
      <c r="T291" s="4">
        <v>1</v>
      </c>
      <c r="U291" s="4">
        <f>O291+Q291+S291</f>
      </c>
      <c r="V291" s="4">
        <f>L291-M291-N291-O291-P291-Q291-R291-S291-T291</f>
      </c>
      <c r="W291" s="4">
        <f>(V291-Y291)/J291*100</f>
      </c>
      <c r="X291" s="4">
        <f>M291-U291</f>
      </c>
      <c r="Z291" s="4">
        <f>V291-Y291</f>
      </c>
      <c r="AE291" t="s">
        <v>1</v>
      </c>
    </row>
    <row r="292" spans="1:31" x14ac:dyDescent="0.25">
      <c r="A292" s="8">
        <v>46170.5</v>
      </c>
      <c r="B292" t="s">
        <v>600</v>
      </c>
      <c r="C292" t="s">
        <v>1</v>
      </c>
      <c r="D292" s="9" t="s">
        <v>601</v>
      </c>
      <c r="E292" t="s">
        <v>81</v>
      </c>
      <c r="F292" t="s">
        <v>70</v>
      </c>
      <c r="G292" t="s">
        <v>65</v>
      </c>
      <c r="H292" t="s">
        <v>75</v>
      </c>
      <c r="I292">
        <v>1</v>
      </c>
      <c r="J292" s="4">
        <v>575</v>
      </c>
      <c r="K292" s="4">
        <v>764.75</v>
      </c>
      <c r="L292" s="4">
        <f>K292-J292</f>
      </c>
      <c r="M292" s="4">
        <f>L292*16.67%</f>
      </c>
      <c r="N292" s="4">
        <f>K292/100*7</f>
      </c>
      <c r="O292" s="4">
        <f>N292*20%</f>
      </c>
      <c r="P292" s="4">
        <f>N292*2%</f>
      </c>
      <c r="Q292" s="4">
        <f>P292*20%</f>
      </c>
      <c r="R292" s="4">
        <v>0</v>
      </c>
      <c r="S292" s="4">
        <f>R292*20%</f>
      </c>
      <c r="T292" s="4">
        <v>1</v>
      </c>
      <c r="U292" s="4">
        <f>O292+Q292+S292</f>
      </c>
      <c r="V292" s="4">
        <f>L292-M292-N292-O292-P292-Q292-R292-S292-T292</f>
      </c>
      <c r="W292" s="4">
        <f>(V292-Y292)/J292*100</f>
      </c>
      <c r="X292" s="4">
        <f>M292-U292</f>
      </c>
      <c r="Z292" s="4">
        <f>V292-Y292</f>
      </c>
      <c r="AE292" t="s">
        <v>1</v>
      </c>
    </row>
    <row r="293" spans="1:31" x14ac:dyDescent="0.25">
      <c r="A293" s="8">
        <v>46170.5</v>
      </c>
      <c r="B293" t="s">
        <v>602</v>
      </c>
      <c r="C293" t="s">
        <v>1</v>
      </c>
      <c r="D293" s="9" t="s">
        <v>603</v>
      </c>
      <c r="E293" t="s">
        <v>98</v>
      </c>
      <c r="F293" t="s">
        <v>74</v>
      </c>
      <c r="G293" t="s">
        <v>65</v>
      </c>
      <c r="H293" t="s">
        <v>75</v>
      </c>
      <c r="I293">
        <v>1</v>
      </c>
      <c r="J293" s="4">
        <v>313</v>
      </c>
      <c r="K293" s="4">
        <v>372.47</v>
      </c>
      <c r="L293" s="4">
        <f>K293-J293</f>
      </c>
      <c r="M293" s="4">
        <f>L293*16.67%</f>
      </c>
      <c r="N293" s="4">
        <f>K293/100*7</f>
      </c>
      <c r="O293" s="4">
        <f>N293*20%</f>
      </c>
      <c r="P293" s="4">
        <f>N293*2%</f>
      </c>
      <c r="Q293" s="4">
        <f>P293*20%</f>
      </c>
      <c r="R293" s="4">
        <v>0</v>
      </c>
      <c r="S293" s="4">
        <f>R293*20%</f>
      </c>
      <c r="T293" s="4">
        <v>1</v>
      </c>
      <c r="U293" s="4">
        <f>O293+Q293+S293</f>
      </c>
      <c r="V293" s="4">
        <f>L293-M293-N293-O293-P293-Q293-R293-S293-T293</f>
      </c>
      <c r="W293" s="4">
        <f>(V293-Y293)/J293*100</f>
      </c>
      <c r="X293" s="4">
        <f>M293-U293</f>
      </c>
      <c r="Z293" s="4">
        <f>V293-Y293</f>
      </c>
      <c r="AE293" t="s">
        <v>1</v>
      </c>
    </row>
    <row r="294" spans="1:31" x14ac:dyDescent="0.25">
      <c r="A294" s="8">
        <v>46170.5</v>
      </c>
      <c r="B294" t="s">
        <v>604</v>
      </c>
      <c r="C294" t="s">
        <v>182</v>
      </c>
      <c r="D294" s="9" t="s">
        <v>1</v>
      </c>
      <c r="E294" t="s">
        <v>182</v>
      </c>
      <c r="F294" t="s">
        <v>1</v>
      </c>
      <c r="G294" t="s">
        <v>1</v>
      </c>
      <c r="H294" t="s">
        <v>75</v>
      </c>
      <c r="I294">
        <v>3</v>
      </c>
      <c r="J294" s="4">
        <v>5.7</v>
      </c>
      <c r="K294" s="4">
        <v>6.78</v>
      </c>
      <c r="L294" s="4">
        <f>K294-J294</f>
      </c>
      <c r="M294" s="4">
        <f>L294*16.67%</f>
      </c>
      <c r="N294" s="4">
        <f>K294/100*7</f>
      </c>
      <c r="O294" s="4">
        <f>N294*20%</f>
      </c>
      <c r="P294" s="4">
        <f>N294*2%</f>
      </c>
      <c r="Q294" s="4">
        <f>P294*20%</f>
      </c>
      <c r="R294" s="4">
        <v>0</v>
      </c>
      <c r="S294" s="4">
        <f>R294*20%</f>
      </c>
      <c r="T294" s="4">
        <v>0</v>
      </c>
      <c r="U294" s="4">
        <f>O294+Q294+S294</f>
      </c>
      <c r="V294" s="4">
        <f>L294-M294-N294-O294-P294-Q294-R294-S294-T294</f>
      </c>
      <c r="W294" s="4">
        <f>(V294-Y294)/J294*100</f>
      </c>
      <c r="X294" s="4">
        <f>M294-U294</f>
      </c>
      <c r="Z294" s="4">
        <f>V294-Y294</f>
      </c>
      <c r="AE294" t="s">
        <v>1</v>
      </c>
    </row>
    <row r="295" spans="1:31" x14ac:dyDescent="0.25">
      <c r="A295" s="8">
        <v>46170.5</v>
      </c>
      <c r="B295" t="s">
        <v>605</v>
      </c>
      <c r="C295" t="s">
        <v>1</v>
      </c>
      <c r="D295" s="9" t="s">
        <v>1</v>
      </c>
      <c r="E295" t="s">
        <v>1</v>
      </c>
      <c r="F295" t="s">
        <v>1</v>
      </c>
      <c r="G295" t="s">
        <v>1</v>
      </c>
      <c r="H295" t="s">
        <v>78</v>
      </c>
      <c r="I295">
        <v>1</v>
      </c>
      <c r="J295" s="4">
        <v>231</v>
      </c>
      <c r="K295" s="4">
        <v>295.68</v>
      </c>
      <c r="L295" s="4">
        <f>K295-J295</f>
      </c>
      <c r="M295" s="4">
        <f>L295*16.67%</f>
      </c>
      <c r="N295" s="4">
        <f>K295/100*7</f>
      </c>
      <c r="O295" s="4">
        <f>N295*20%</f>
      </c>
      <c r="P295" s="4">
        <f>N295*2%</f>
      </c>
      <c r="Q295" s="4">
        <f>P295*20%</f>
      </c>
      <c r="R295" s="4">
        <v>0</v>
      </c>
      <c r="S295" s="4">
        <f>R295*20%</f>
      </c>
      <c r="T295" s="4">
        <v>1</v>
      </c>
      <c r="U295" s="4">
        <f>O295+Q295+S295</f>
      </c>
      <c r="V295" s="4">
        <f>L295-M295-N295-O295-P295-Q295-R295-S295-T295</f>
      </c>
      <c r="W295" s="4">
        <f>(V295-Y295)/J295*100</f>
      </c>
      <c r="X295" s="4">
        <f>M295-U295</f>
      </c>
      <c r="Z295" s="4">
        <f>V295-Y295</f>
      </c>
      <c r="AE295" t="s">
        <v>1</v>
      </c>
    </row>
    <row r="296" spans="1:31" x14ac:dyDescent="0.25">
      <c r="A296" s="8">
        <v>46169.5</v>
      </c>
      <c r="B296" t="s">
        <v>606</v>
      </c>
      <c r="C296" t="s">
        <v>1</v>
      </c>
      <c r="D296" s="9" t="s">
        <v>607</v>
      </c>
      <c r="E296" t="s">
        <v>91</v>
      </c>
      <c r="F296" t="s">
        <v>105</v>
      </c>
      <c r="G296" t="s">
        <v>65</v>
      </c>
      <c r="H296" t="s">
        <v>75</v>
      </c>
      <c r="I296">
        <v>1</v>
      </c>
      <c r="J296" s="4">
        <v>122</v>
      </c>
      <c r="K296" s="4">
        <v>150.06</v>
      </c>
      <c r="L296" s="4">
        <f>K296-J296</f>
      </c>
      <c r="M296" s="4">
        <f>L296*16.67%</f>
      </c>
      <c r="N296" s="4">
        <f>K296/100*7</f>
      </c>
      <c r="O296" s="4">
        <f>N296*20%</f>
      </c>
      <c r="P296" s="4">
        <f>N296*2%</f>
      </c>
      <c r="Q296" s="4">
        <f>P296*20%</f>
      </c>
      <c r="R296" s="4">
        <v>0</v>
      </c>
      <c r="S296" s="4">
        <f>R296*20%</f>
      </c>
      <c r="T296" s="4">
        <v>1</v>
      </c>
      <c r="U296" s="4">
        <f>O296+Q296+S296</f>
      </c>
      <c r="V296" s="4">
        <f>L296-M296-N296-O296-P296-Q296-R296-S296-T296</f>
      </c>
      <c r="W296" s="4">
        <f>(V296-Y296)/J296*100</f>
      </c>
      <c r="X296" s="4">
        <f>M296-U296</f>
      </c>
      <c r="Z296" s="4">
        <f>V296-Y296</f>
      </c>
      <c r="AE296" t="s">
        <v>1</v>
      </c>
    </row>
    <row r="297" spans="1:31" x14ac:dyDescent="0.25">
      <c r="A297" s="8">
        <v>46169.5</v>
      </c>
      <c r="B297" t="s">
        <v>608</v>
      </c>
      <c r="C297" t="s">
        <v>1</v>
      </c>
      <c r="D297" s="9" t="s">
        <v>609</v>
      </c>
      <c r="E297" t="s">
        <v>58</v>
      </c>
      <c r="F297" t="s">
        <v>74</v>
      </c>
      <c r="G297" t="s">
        <v>60</v>
      </c>
      <c r="H297" t="s">
        <v>66</v>
      </c>
      <c r="I297">
        <v>1</v>
      </c>
      <c r="J297" s="4">
        <v>456</v>
      </c>
      <c r="K297" s="4">
        <v>652.08</v>
      </c>
      <c r="L297" s="4">
        <f>K297-J297</f>
      </c>
      <c r="M297" s="4">
        <f>L297*16.67%</f>
      </c>
      <c r="N297" s="4">
        <f>K297/100*7</f>
      </c>
      <c r="O297" s="4">
        <f>N297*20%</f>
      </c>
      <c r="P297" s="4">
        <f>N297*2%</f>
      </c>
      <c r="Q297" s="4">
        <f>P297*20%</f>
      </c>
      <c r="R297" s="4">
        <v>0</v>
      </c>
      <c r="S297" s="4">
        <f>R297*20%</f>
      </c>
      <c r="T297" s="4">
        <v>1</v>
      </c>
      <c r="U297" s="4">
        <f>O297+Q297+S297</f>
      </c>
      <c r="V297" s="4">
        <f>L297-M297-N297-O297-P297-Q297-R297-S297-T297</f>
      </c>
      <c r="W297" s="4">
        <f>(V297-Y297)/J297*100</f>
      </c>
      <c r="X297" s="4">
        <f>M297-U297</f>
      </c>
      <c r="Z297" s="4">
        <f>V297-Y297</f>
      </c>
      <c r="AE297" t="s">
        <v>1</v>
      </c>
    </row>
    <row r="298" spans="1:31" x14ac:dyDescent="0.25">
      <c r="A298" s="8">
        <v>46169.5</v>
      </c>
      <c r="B298" t="s">
        <v>610</v>
      </c>
      <c r="C298" t="s">
        <v>1</v>
      </c>
      <c r="D298" s="9" t="s">
        <v>611</v>
      </c>
      <c r="E298" t="s">
        <v>292</v>
      </c>
      <c r="F298" t="s">
        <v>105</v>
      </c>
      <c r="G298" t="s">
        <v>126</v>
      </c>
      <c r="H298" t="s">
        <v>102</v>
      </c>
      <c r="I298">
        <v>1</v>
      </c>
      <c r="J298" s="4">
        <v>192</v>
      </c>
      <c r="K298" s="4">
        <v>276.48</v>
      </c>
      <c r="L298" s="4">
        <f>K298-J298</f>
      </c>
      <c r="M298" s="4">
        <f>L298*16.67%</f>
      </c>
      <c r="N298" s="4">
        <f>K298/100*7</f>
      </c>
      <c r="O298" s="4">
        <f>N298*20%</f>
      </c>
      <c r="P298" s="4">
        <f>N298*2%</f>
      </c>
      <c r="Q298" s="4">
        <f>P298*20%</f>
      </c>
      <c r="R298" s="4">
        <v>0</v>
      </c>
      <c r="S298" s="4">
        <f>R298*20%</f>
      </c>
      <c r="T298" s="4">
        <v>1</v>
      </c>
      <c r="U298" s="4">
        <f>O298+Q298+S298</f>
      </c>
      <c r="V298" s="4">
        <f>L298-M298-N298-O298-P298-Q298-R298-S298-T298</f>
      </c>
      <c r="W298" s="4">
        <f>(V298-Y298)/J298*100</f>
      </c>
      <c r="X298" s="4">
        <f>M298-U298</f>
      </c>
      <c r="Z298" s="4">
        <f>V298-Y298</f>
      </c>
      <c r="AE298" t="s">
        <v>1</v>
      </c>
    </row>
    <row r="299" spans="1:31" x14ac:dyDescent="0.25">
      <c r="A299" s="8">
        <v>46169.5</v>
      </c>
      <c r="B299" t="s">
        <v>612</v>
      </c>
      <c r="C299" t="s">
        <v>1</v>
      </c>
      <c r="D299" s="9" t="s">
        <v>613</v>
      </c>
      <c r="E299" t="s">
        <v>234</v>
      </c>
      <c r="F299" t="s">
        <v>88</v>
      </c>
      <c r="G299" t="s">
        <v>65</v>
      </c>
      <c r="H299" t="s">
        <v>61</v>
      </c>
      <c r="I299">
        <v>1</v>
      </c>
      <c r="J299" s="4">
        <v>160</v>
      </c>
      <c r="K299" s="4">
        <v>192</v>
      </c>
      <c r="L299" s="4">
        <f>K299-J299</f>
      </c>
      <c r="M299" s="4">
        <f>L299*16.67%</f>
      </c>
      <c r="N299" s="4">
        <f>K299/100*7</f>
      </c>
      <c r="O299" s="4">
        <f>N299*20%</f>
      </c>
      <c r="P299" s="4">
        <f>N299*2%</f>
      </c>
      <c r="Q299" s="4">
        <f>P299*20%</f>
      </c>
      <c r="R299" s="4">
        <v>0</v>
      </c>
      <c r="S299" s="4">
        <f>R299*20%</f>
      </c>
      <c r="T299" s="4">
        <v>1</v>
      </c>
      <c r="U299" s="4">
        <f>O299+Q299+S299</f>
      </c>
      <c r="V299" s="4">
        <f>L299-M299-N299-O299-P299-Q299-R299-S299-T299</f>
      </c>
      <c r="W299" s="4">
        <f>(V299-Y299)/J299*100</f>
      </c>
      <c r="X299" s="4">
        <f>M299-U299</f>
      </c>
      <c r="Z299" s="4">
        <f>V299-Y299</f>
      </c>
      <c r="AE299" t="s">
        <v>1</v>
      </c>
    </row>
    <row r="300" spans="1:31" x14ac:dyDescent="0.25">
      <c r="A300" s="8">
        <v>46169.5</v>
      </c>
      <c r="B300" t="s">
        <v>614</v>
      </c>
      <c r="C300" t="s">
        <v>1</v>
      </c>
      <c r="D300" s="9" t="s">
        <v>615</v>
      </c>
      <c r="E300" t="s">
        <v>81</v>
      </c>
      <c r="F300" t="s">
        <v>105</v>
      </c>
      <c r="G300" t="s">
        <v>65</v>
      </c>
      <c r="H300" t="s">
        <v>61</v>
      </c>
      <c r="I300">
        <v>1</v>
      </c>
      <c r="J300" s="4">
        <v>541</v>
      </c>
      <c r="K300" s="4">
        <v>746.58</v>
      </c>
      <c r="L300" s="4">
        <f>K300-J300</f>
      </c>
      <c r="M300" s="4">
        <f>L300*16.67%</f>
      </c>
      <c r="N300" s="4">
        <f>K300/100*7</f>
      </c>
      <c r="O300" s="4">
        <f>N300*20%</f>
      </c>
      <c r="P300" s="4">
        <f>N300*2%</f>
      </c>
      <c r="Q300" s="4">
        <f>P300*20%</f>
      </c>
      <c r="R300" s="4">
        <v>0</v>
      </c>
      <c r="S300" s="4">
        <f>R300*20%</f>
      </c>
      <c r="T300" s="4">
        <v>1</v>
      </c>
      <c r="U300" s="4">
        <f>O300+Q300+S300</f>
      </c>
      <c r="V300" s="4">
        <f>L300-M300-N300-O300-P300-Q300-R300-S300-T300</f>
      </c>
      <c r="W300" s="4">
        <f>(V300-Y300)/J300*100</f>
      </c>
      <c r="X300" s="4">
        <f>M300-U300</f>
      </c>
      <c r="Z300" s="4">
        <f>V300-Y300</f>
      </c>
      <c r="AE300" t="s">
        <v>1</v>
      </c>
    </row>
    <row r="301" spans="1:31" x14ac:dyDescent="0.25">
      <c r="A301" s="8">
        <v>46169.5</v>
      </c>
      <c r="B301" t="s">
        <v>616</v>
      </c>
      <c r="C301" t="s">
        <v>1</v>
      </c>
      <c r="D301" s="9" t="s">
        <v>617</v>
      </c>
      <c r="E301" t="s">
        <v>73</v>
      </c>
      <c r="F301" t="s">
        <v>70</v>
      </c>
      <c r="G301" t="s">
        <v>60</v>
      </c>
      <c r="H301" t="s">
        <v>78</v>
      </c>
      <c r="I301">
        <v>1</v>
      </c>
      <c r="J301" s="4">
        <v>338</v>
      </c>
      <c r="K301" s="4">
        <v>466.44</v>
      </c>
      <c r="L301" s="4">
        <f>K301-J301</f>
      </c>
      <c r="M301" s="4">
        <f>L301*16.67%</f>
      </c>
      <c r="N301" s="4">
        <f>K301/100*7</f>
      </c>
      <c r="O301" s="4">
        <f>N301*20%</f>
      </c>
      <c r="P301" s="4">
        <f>N301*2%</f>
      </c>
      <c r="Q301" s="4">
        <f>P301*20%</f>
      </c>
      <c r="R301" s="4">
        <v>0</v>
      </c>
      <c r="S301" s="4">
        <f>R301*20%</f>
      </c>
      <c r="T301" s="4">
        <v>1</v>
      </c>
      <c r="U301" s="4">
        <f>O301+Q301+S301</f>
      </c>
      <c r="V301" s="4">
        <f>L301-M301-N301-O301-P301-Q301-R301-S301-T301</f>
      </c>
      <c r="W301" s="4">
        <f>(V301-Y301)/J301*100</f>
      </c>
      <c r="X301" s="4">
        <f>M301-U301</f>
      </c>
      <c r="Z301" s="4">
        <f>V301-Y301</f>
      </c>
      <c r="AE301" t="s">
        <v>1</v>
      </c>
    </row>
    <row r="302" spans="1:31" x14ac:dyDescent="0.25">
      <c r="A302" s="8">
        <v>46169.5</v>
      </c>
      <c r="B302" t="s">
        <v>618</v>
      </c>
      <c r="C302" t="s">
        <v>182</v>
      </c>
      <c r="D302" s="9" t="s">
        <v>1</v>
      </c>
      <c r="E302" t="s">
        <v>182</v>
      </c>
      <c r="F302" t="s">
        <v>1</v>
      </c>
      <c r="G302" t="s">
        <v>1</v>
      </c>
      <c r="H302" t="s">
        <v>75</v>
      </c>
      <c r="I302">
        <v>2</v>
      </c>
      <c r="J302" s="4">
        <v>3.8</v>
      </c>
      <c r="K302" s="4">
        <v>5.21</v>
      </c>
      <c r="L302" s="4">
        <f>K302-J302</f>
      </c>
      <c r="M302" s="4">
        <f>L302*16.67%</f>
      </c>
      <c r="N302" s="4">
        <f>K302/100*7</f>
      </c>
      <c r="O302" s="4">
        <f>N302*20%</f>
      </c>
      <c r="P302" s="4">
        <f>N302*2%</f>
      </c>
      <c r="Q302" s="4">
        <f>P302*20%</f>
      </c>
      <c r="R302" s="4">
        <v>0</v>
      </c>
      <c r="S302" s="4">
        <f>R302*20%</f>
      </c>
      <c r="T302" s="4">
        <v>0</v>
      </c>
      <c r="U302" s="4">
        <f>O302+Q302+S302</f>
      </c>
      <c r="V302" s="4">
        <f>L302-M302-N302-O302-P302-Q302-R302-S302-T302</f>
      </c>
      <c r="W302" s="4">
        <f>(V302-Y302)/J302*100</f>
      </c>
      <c r="X302" s="4">
        <f>M302-U302</f>
      </c>
      <c r="Z302" s="4">
        <f>V302-Y302</f>
      </c>
      <c r="AE302" t="s">
        <v>1</v>
      </c>
    </row>
    <row r="303" spans="1:31" x14ac:dyDescent="0.25">
      <c r="A303" s="8">
        <v>46169.5</v>
      </c>
      <c r="B303" t="s">
        <v>619</v>
      </c>
      <c r="C303" t="s">
        <v>1</v>
      </c>
      <c r="D303" s="9" t="s">
        <v>1</v>
      </c>
      <c r="E303" t="s">
        <v>1</v>
      </c>
      <c r="F303" t="s">
        <v>1</v>
      </c>
      <c r="G303" t="s">
        <v>1</v>
      </c>
      <c r="H303" t="s">
        <v>102</v>
      </c>
      <c r="I303">
        <v>1</v>
      </c>
      <c r="J303" s="4">
        <v>302</v>
      </c>
      <c r="K303" s="4">
        <v>362.4</v>
      </c>
      <c r="L303" s="4">
        <f>K303-J303</f>
      </c>
      <c r="M303" s="4">
        <f>L303*16.67%</f>
      </c>
      <c r="N303" s="4">
        <f>K303/100*7</f>
      </c>
      <c r="O303" s="4">
        <f>N303*20%</f>
      </c>
      <c r="P303" s="4">
        <f>N303*2%</f>
      </c>
      <c r="Q303" s="4">
        <f>P303*20%</f>
      </c>
      <c r="R303" s="4">
        <v>0</v>
      </c>
      <c r="S303" s="4">
        <f>R303*20%</f>
      </c>
      <c r="T303" s="4">
        <v>1</v>
      </c>
      <c r="U303" s="4">
        <f>O303+Q303+S303</f>
      </c>
      <c r="V303" s="4">
        <f>L303-M303-N303-O303-P303-Q303-R303-S303-T303</f>
      </c>
      <c r="W303" s="4">
        <f>(V303-Y303)/J303*100</f>
      </c>
      <c r="X303" s="4">
        <f>M303-U303</f>
      </c>
      <c r="Z303" s="4">
        <f>V303-Y303</f>
      </c>
      <c r="AE303" t="s">
        <v>1</v>
      </c>
    </row>
    <row r="304" spans="1:31" x14ac:dyDescent="0.25">
      <c r="A304" s="8">
        <v>46168.5</v>
      </c>
      <c r="B304" t="s">
        <v>620</v>
      </c>
      <c r="C304" t="s">
        <v>1</v>
      </c>
      <c r="D304" s="9" t="s">
        <v>621</v>
      </c>
      <c r="E304" t="s">
        <v>131</v>
      </c>
      <c r="F304" t="s">
        <v>105</v>
      </c>
      <c r="G304" t="s">
        <v>65</v>
      </c>
      <c r="H304" t="s">
        <v>61</v>
      </c>
      <c r="I304">
        <v>1</v>
      </c>
      <c r="J304" s="4">
        <v>278</v>
      </c>
      <c r="K304" s="4">
        <v>347.5</v>
      </c>
      <c r="L304" s="4">
        <f>K304-J304</f>
      </c>
      <c r="M304" s="4">
        <f>L304*16.67%</f>
      </c>
      <c r="N304" s="4">
        <f>K304/100*7</f>
      </c>
      <c r="O304" s="4">
        <f>N304*20%</f>
      </c>
      <c r="P304" s="4">
        <f>N304*2%</f>
      </c>
      <c r="Q304" s="4">
        <f>P304*20%</f>
      </c>
      <c r="R304" s="4">
        <v>0</v>
      </c>
      <c r="S304" s="4">
        <f>R304*20%</f>
      </c>
      <c r="T304" s="4">
        <v>1</v>
      </c>
      <c r="U304" s="4">
        <f>O304+Q304+S304</f>
      </c>
      <c r="V304" s="4">
        <f>L304-M304-N304-O304-P304-Q304-R304-S304-T304</f>
      </c>
      <c r="W304" s="4">
        <f>(V304-Y304)/J304*100</f>
      </c>
      <c r="X304" s="4">
        <f>M304-U304</f>
      </c>
      <c r="Z304" s="4">
        <f>V304-Y304</f>
      </c>
      <c r="AE304" t="s">
        <v>1</v>
      </c>
    </row>
    <row r="305" spans="1:31" x14ac:dyDescent="0.25">
      <c r="A305" s="8">
        <v>46168.5</v>
      </c>
      <c r="B305" t="s">
        <v>622</v>
      </c>
      <c r="C305" t="s">
        <v>1</v>
      </c>
      <c r="D305" s="9" t="s">
        <v>623</v>
      </c>
      <c r="E305" t="s">
        <v>91</v>
      </c>
      <c r="F305" t="s">
        <v>88</v>
      </c>
      <c r="G305" t="s">
        <v>95</v>
      </c>
      <c r="H305" t="s">
        <v>78</v>
      </c>
      <c r="I305">
        <v>1</v>
      </c>
      <c r="J305" s="4">
        <v>139</v>
      </c>
      <c r="K305" s="4">
        <v>169.58</v>
      </c>
      <c r="L305" s="4">
        <f>K305-J305</f>
      </c>
      <c r="M305" s="4">
        <f>L305*16.67%</f>
      </c>
      <c r="N305" s="4">
        <f>K305/100*7</f>
      </c>
      <c r="O305" s="4">
        <f>N305*20%</f>
      </c>
      <c r="P305" s="4">
        <f>N305*2%</f>
      </c>
      <c r="Q305" s="4">
        <f>P305*20%</f>
      </c>
      <c r="R305" s="4">
        <v>0</v>
      </c>
      <c r="S305" s="4">
        <f>R305*20%</f>
      </c>
      <c r="T305" s="4">
        <v>1</v>
      </c>
      <c r="U305" s="4">
        <f>O305+Q305+S305</f>
      </c>
      <c r="V305" s="4">
        <f>L305-M305-N305-O305-P305-Q305-R305-S305-T305</f>
      </c>
      <c r="W305" s="4">
        <f>(V305-Y305)/J305*100</f>
      </c>
      <c r="X305" s="4">
        <f>M305-U305</f>
      </c>
      <c r="Z305" s="4">
        <f>V305-Y305</f>
      </c>
      <c r="AE305" t="s">
        <v>1</v>
      </c>
    </row>
    <row r="306" spans="1:31" x14ac:dyDescent="0.25">
      <c r="A306" s="8">
        <v>46168.5</v>
      </c>
      <c r="B306" t="s">
        <v>624</v>
      </c>
      <c r="C306" t="s">
        <v>177</v>
      </c>
      <c r="D306" s="9" t="s">
        <v>1</v>
      </c>
      <c r="E306" t="s">
        <v>177</v>
      </c>
      <c r="F306" t="s">
        <v>1</v>
      </c>
      <c r="G306" t="s">
        <v>1</v>
      </c>
      <c r="H306" t="s">
        <v>78</v>
      </c>
      <c r="I306">
        <v>4</v>
      </c>
      <c r="J306" s="4">
        <v>0.6</v>
      </c>
      <c r="K306" s="4">
        <v>0.86</v>
      </c>
      <c r="L306" s="4">
        <f>K306-J306</f>
      </c>
      <c r="M306" s="4">
        <f>L306*16.67%</f>
      </c>
      <c r="N306" s="4">
        <f>K306/100*7</f>
      </c>
      <c r="O306" s="4">
        <f>N306*20%</f>
      </c>
      <c r="P306" s="4">
        <f>N306*2%</f>
      </c>
      <c r="Q306" s="4">
        <f>P306*20%</f>
      </c>
      <c r="R306" s="4">
        <v>0</v>
      </c>
      <c r="S306" s="4">
        <f>R306*20%</f>
      </c>
      <c r="T306" s="4">
        <v>0</v>
      </c>
      <c r="U306" s="4">
        <f>O306+Q306+S306</f>
      </c>
      <c r="V306" s="4">
        <f>L306-M306-N306-O306-P306-Q306-R306-S306-T306</f>
      </c>
      <c r="W306" s="4">
        <f>(V306-Y306)/J306*100</f>
      </c>
      <c r="X306" s="4">
        <f>M306-U306</f>
      </c>
      <c r="Z306" s="4">
        <f>V306-Y306</f>
      </c>
      <c r="AE306" t="s">
        <v>1</v>
      </c>
    </row>
    <row r="307" spans="1:31" x14ac:dyDescent="0.25">
      <c r="A307" s="8">
        <v>46168.5</v>
      </c>
      <c r="B307" t="s">
        <v>625</v>
      </c>
      <c r="C307" t="s">
        <v>185</v>
      </c>
      <c r="D307" s="9" t="s">
        <v>1</v>
      </c>
      <c r="E307" t="s">
        <v>185</v>
      </c>
      <c r="F307" t="s">
        <v>1</v>
      </c>
      <c r="G307" t="s">
        <v>1</v>
      </c>
      <c r="H307" t="s">
        <v>102</v>
      </c>
      <c r="I307">
        <v>2</v>
      </c>
      <c r="J307" s="4">
        <v>2.4</v>
      </c>
      <c r="K307" s="4">
        <v>3.26</v>
      </c>
      <c r="L307" s="4">
        <f>K307-J307</f>
      </c>
      <c r="M307" s="4">
        <f>L307*16.67%</f>
      </c>
      <c r="N307" s="4">
        <f>K307/100*7</f>
      </c>
      <c r="O307" s="4">
        <f>N307*20%</f>
      </c>
      <c r="P307" s="4">
        <f>N307*2%</f>
      </c>
      <c r="Q307" s="4">
        <f>P307*20%</f>
      </c>
      <c r="R307" s="4">
        <v>0</v>
      </c>
      <c r="S307" s="4">
        <f>R307*20%</f>
      </c>
      <c r="T307" s="4">
        <v>0</v>
      </c>
      <c r="U307" s="4">
        <f>O307+Q307+S307</f>
      </c>
      <c r="V307" s="4">
        <f>L307-M307-N307-O307-P307-Q307-R307-S307-T307</f>
      </c>
      <c r="W307" s="4">
        <f>(V307-Y307)/J307*100</f>
      </c>
      <c r="X307" s="4">
        <f>M307-U307</f>
      </c>
      <c r="Z307" s="4">
        <f>V307-Y307</f>
      </c>
      <c r="AE307" t="s">
        <v>1</v>
      </c>
    </row>
    <row r="308" spans="1:31" x14ac:dyDescent="0.25">
      <c r="A308" s="8">
        <v>46168.5</v>
      </c>
      <c r="B308" t="s">
        <v>626</v>
      </c>
      <c r="C308" t="s">
        <v>174</v>
      </c>
      <c r="D308" s="9" t="s">
        <v>1</v>
      </c>
      <c r="E308" t="s">
        <v>174</v>
      </c>
      <c r="F308" t="s">
        <v>1</v>
      </c>
      <c r="G308" t="s">
        <v>1</v>
      </c>
      <c r="H308" t="s">
        <v>66</v>
      </c>
      <c r="I308">
        <v>2</v>
      </c>
      <c r="J308" s="4">
        <v>8.5</v>
      </c>
      <c r="K308" s="4">
        <v>12.15</v>
      </c>
      <c r="L308" s="4">
        <f>K308-J308</f>
      </c>
      <c r="M308" s="4">
        <f>L308*16.67%</f>
      </c>
      <c r="N308" s="4">
        <f>K308/100*7</f>
      </c>
      <c r="O308" s="4">
        <f>N308*20%</f>
      </c>
      <c r="P308" s="4">
        <f>N308*2%</f>
      </c>
      <c r="Q308" s="4">
        <f>P308*20%</f>
      </c>
      <c r="R308" s="4">
        <v>0</v>
      </c>
      <c r="S308" s="4">
        <f>R308*20%</f>
      </c>
      <c r="T308" s="4">
        <v>0</v>
      </c>
      <c r="U308" s="4">
        <f>O308+Q308+S308</f>
      </c>
      <c r="V308" s="4">
        <f>L308-M308-N308-O308-P308-Q308-R308-S308-T308</f>
      </c>
      <c r="W308" s="4">
        <f>(V308-Y308)/J308*100</f>
      </c>
      <c r="X308" s="4">
        <f>M308-U308</f>
      </c>
      <c r="Z308" s="4">
        <f>V308-Y308</f>
      </c>
      <c r="AE308" t="s">
        <v>1</v>
      </c>
    </row>
    <row r="309" spans="1:31" x14ac:dyDescent="0.25">
      <c r="A309" s="8">
        <v>46167.5</v>
      </c>
      <c r="B309" t="s">
        <v>627</v>
      </c>
      <c r="C309" t="s">
        <v>1</v>
      </c>
      <c r="D309" s="9" t="s">
        <v>628</v>
      </c>
      <c r="E309" t="s">
        <v>292</v>
      </c>
      <c r="F309" t="s">
        <v>105</v>
      </c>
      <c r="G309" t="s">
        <v>126</v>
      </c>
      <c r="H309" t="s">
        <v>61</v>
      </c>
      <c r="I309">
        <v>1</v>
      </c>
      <c r="J309" s="4">
        <v>196</v>
      </c>
      <c r="K309" s="4">
        <v>254.8</v>
      </c>
      <c r="L309" s="4">
        <f>K309-J309</f>
      </c>
      <c r="M309" s="4">
        <f>L309*16.67%</f>
      </c>
      <c r="N309" s="4">
        <f>K309/100*7</f>
      </c>
      <c r="O309" s="4">
        <f>N309*20%</f>
      </c>
      <c r="P309" s="4">
        <f>N309*2%</f>
      </c>
      <c r="Q309" s="4">
        <f>P309*20%</f>
      </c>
      <c r="R309" s="4">
        <v>0</v>
      </c>
      <c r="S309" s="4">
        <f>R309*20%</f>
      </c>
      <c r="T309" s="4">
        <v>1</v>
      </c>
      <c r="U309" s="4">
        <f>O309+Q309+S309</f>
      </c>
      <c r="V309" s="4">
        <f>L309-M309-N309-O309-P309-Q309-R309-S309-T309</f>
      </c>
      <c r="W309" s="4">
        <f>(V309-Y309)/J309*100</f>
      </c>
      <c r="X309" s="4">
        <f>M309-U309</f>
      </c>
      <c r="Z309" s="4">
        <f>V309-Y309</f>
      </c>
      <c r="AE309" t="s">
        <v>1</v>
      </c>
    </row>
    <row r="310" spans="1:31" x14ac:dyDescent="0.25">
      <c r="A310" s="8">
        <v>46166.5</v>
      </c>
      <c r="B310" t="s">
        <v>629</v>
      </c>
      <c r="C310" t="s">
        <v>1</v>
      </c>
      <c r="D310" s="9" t="s">
        <v>630</v>
      </c>
      <c r="E310" t="s">
        <v>73</v>
      </c>
      <c r="F310" t="s">
        <v>85</v>
      </c>
      <c r="G310" t="s">
        <v>60</v>
      </c>
      <c r="H310" t="s">
        <v>102</v>
      </c>
      <c r="I310">
        <v>1</v>
      </c>
      <c r="J310" s="4">
        <v>331</v>
      </c>
      <c r="K310" s="4">
        <v>407.13</v>
      </c>
      <c r="L310" s="4">
        <f>K310-J310</f>
      </c>
      <c r="M310" s="4">
        <f>L310*16.67%</f>
      </c>
      <c r="N310" s="4">
        <f>K310/100*7</f>
      </c>
      <c r="O310" s="4">
        <f>N310*20%</f>
      </c>
      <c r="P310" s="4">
        <f>N310*2%</f>
      </c>
      <c r="Q310" s="4">
        <f>P310*20%</f>
      </c>
      <c r="R310" s="4">
        <v>0</v>
      </c>
      <c r="S310" s="4">
        <f>R310*20%</f>
      </c>
      <c r="T310" s="4">
        <v>1</v>
      </c>
      <c r="U310" s="4">
        <f>O310+Q310+S310</f>
      </c>
      <c r="V310" s="4">
        <f>L310-M310-N310-O310-P310-Q310-R310-S310-T310</f>
      </c>
      <c r="W310" s="4">
        <f>(V310-Y310)/J310*100</f>
      </c>
      <c r="X310" s="4">
        <f>M310-U310</f>
      </c>
      <c r="Z310" s="4">
        <f>V310-Y310</f>
      </c>
      <c r="AE310" t="s">
        <v>1</v>
      </c>
    </row>
    <row r="311" spans="1:31" x14ac:dyDescent="0.25">
      <c r="A311" s="8">
        <v>46166.5</v>
      </c>
      <c r="B311" t="s">
        <v>631</v>
      </c>
      <c r="C311" t="s">
        <v>1</v>
      </c>
      <c r="D311" s="9" t="s">
        <v>632</v>
      </c>
      <c r="E311" t="s">
        <v>84</v>
      </c>
      <c r="F311" t="s">
        <v>74</v>
      </c>
      <c r="G311" t="s">
        <v>60</v>
      </c>
      <c r="H311" t="s">
        <v>66</v>
      </c>
      <c r="I311">
        <v>1</v>
      </c>
      <c r="J311" s="4">
        <v>714</v>
      </c>
      <c r="K311" s="4">
        <v>949.62</v>
      </c>
      <c r="L311" s="4">
        <f>K311-J311</f>
      </c>
      <c r="M311" s="4">
        <f>L311*16.67%</f>
      </c>
      <c r="N311" s="4">
        <f>K311/100*7</f>
      </c>
      <c r="O311" s="4">
        <f>N311*20%</f>
      </c>
      <c r="P311" s="4">
        <f>N311*2%</f>
      </c>
      <c r="Q311" s="4">
        <f>P311*20%</f>
      </c>
      <c r="R311" s="4">
        <v>0</v>
      </c>
      <c r="S311" s="4">
        <f>R311*20%</f>
      </c>
      <c r="T311" s="4">
        <v>1</v>
      </c>
      <c r="U311" s="4">
        <f>O311+Q311+S311</f>
      </c>
      <c r="V311" s="4">
        <f>L311-M311-N311-O311-P311-Q311-R311-S311-T311</f>
      </c>
      <c r="W311" s="4">
        <f>(V311-Y311)/J311*100</f>
      </c>
      <c r="X311" s="4">
        <f>M311-U311</f>
      </c>
      <c r="Z311" s="4">
        <f>V311-Y311</f>
      </c>
      <c r="AE311" t="s">
        <v>1</v>
      </c>
    </row>
    <row r="312" spans="1:31" x14ac:dyDescent="0.25">
      <c r="A312" s="8">
        <v>46166.5</v>
      </c>
      <c r="B312" t="s">
        <v>633</v>
      </c>
      <c r="C312" t="s">
        <v>185</v>
      </c>
      <c r="D312" s="9" t="s">
        <v>1</v>
      </c>
      <c r="E312" t="s">
        <v>185</v>
      </c>
      <c r="F312" t="s">
        <v>1</v>
      </c>
      <c r="G312" t="s">
        <v>1</v>
      </c>
      <c r="H312" t="s">
        <v>102</v>
      </c>
      <c r="I312">
        <v>3</v>
      </c>
      <c r="J312" s="4">
        <v>3.6</v>
      </c>
      <c r="K312" s="4">
        <v>4.75</v>
      </c>
      <c r="L312" s="4">
        <f>K312-J312</f>
      </c>
      <c r="M312" s="4">
        <f>L312*16.67%</f>
      </c>
      <c r="N312" s="4">
        <f>K312/100*7</f>
      </c>
      <c r="O312" s="4">
        <f>N312*20%</f>
      </c>
      <c r="P312" s="4">
        <f>N312*2%</f>
      </c>
      <c r="Q312" s="4">
        <f>P312*20%</f>
      </c>
      <c r="R312" s="4">
        <v>0</v>
      </c>
      <c r="S312" s="4">
        <f>R312*20%</f>
      </c>
      <c r="T312" s="4">
        <v>0</v>
      </c>
      <c r="U312" s="4">
        <f>O312+Q312+S312</f>
      </c>
      <c r="V312" s="4">
        <f>L312-M312-N312-O312-P312-Q312-R312-S312-T312</f>
      </c>
      <c r="W312" s="4">
        <f>(V312-Y312)/J312*100</f>
      </c>
      <c r="X312" s="4">
        <f>M312-U312</f>
      </c>
      <c r="Z312" s="4">
        <f>V312-Y312</f>
      </c>
      <c r="AE312" t="s">
        <v>1</v>
      </c>
    </row>
    <row r="313" spans="1:31" x14ac:dyDescent="0.25">
      <c r="A313" s="8">
        <v>46166.5</v>
      </c>
      <c r="B313" t="s">
        <v>634</v>
      </c>
      <c r="C313" t="s">
        <v>1</v>
      </c>
      <c r="D313" s="9" t="s">
        <v>1</v>
      </c>
      <c r="E313" t="s">
        <v>1</v>
      </c>
      <c r="F313" t="s">
        <v>1</v>
      </c>
      <c r="G313" t="s">
        <v>1</v>
      </c>
      <c r="H313" t="s">
        <v>78</v>
      </c>
      <c r="I313">
        <v>1</v>
      </c>
      <c r="J313" s="4">
        <v>342</v>
      </c>
      <c r="K313" s="4">
        <v>441.18</v>
      </c>
      <c r="L313" s="4">
        <f>K313-J313</f>
      </c>
      <c r="M313" s="4">
        <f>L313*16.67%</f>
      </c>
      <c r="N313" s="4">
        <f>K313/100*7</f>
      </c>
      <c r="O313" s="4">
        <f>N313*20%</f>
      </c>
      <c r="P313" s="4">
        <f>N313*2%</f>
      </c>
      <c r="Q313" s="4">
        <f>P313*20%</f>
      </c>
      <c r="R313" s="4">
        <v>0</v>
      </c>
      <c r="S313" s="4">
        <f>R313*20%</f>
      </c>
      <c r="T313" s="4">
        <v>1</v>
      </c>
      <c r="U313" s="4">
        <f>O313+Q313+S313</f>
      </c>
      <c r="V313" s="4">
        <f>L313-M313-N313-O313-P313-Q313-R313-S313-T313</f>
      </c>
      <c r="W313" s="4">
        <f>(V313-Y313)/J313*100</f>
      </c>
      <c r="X313" s="4">
        <f>M313-U313</f>
      </c>
      <c r="Z313" s="4">
        <f>V313-Y313</f>
      </c>
      <c r="AE313" t="s">
        <v>1</v>
      </c>
    </row>
    <row r="314" spans="1:31" x14ac:dyDescent="0.25">
      <c r="A314" s="8">
        <v>46166.5</v>
      </c>
      <c r="B314" t="s">
        <v>635</v>
      </c>
      <c r="C314" t="s">
        <v>189</v>
      </c>
      <c r="D314" s="9" t="s">
        <v>1</v>
      </c>
      <c r="E314" t="s">
        <v>189</v>
      </c>
      <c r="F314" t="s">
        <v>1</v>
      </c>
      <c r="G314" t="s">
        <v>1</v>
      </c>
      <c r="H314" t="s">
        <v>66</v>
      </c>
      <c r="I314">
        <v>1</v>
      </c>
      <c r="J314" s="4">
        <v>3.5</v>
      </c>
      <c r="K314" s="4">
        <v>4.97</v>
      </c>
      <c r="L314" s="4">
        <f>K314-J314</f>
      </c>
      <c r="M314" s="4">
        <f>L314*16.67%</f>
      </c>
      <c r="N314" s="4">
        <f>K314/100*7</f>
      </c>
      <c r="O314" s="4">
        <f>N314*20%</f>
      </c>
      <c r="P314" s="4">
        <f>N314*2%</f>
      </c>
      <c r="Q314" s="4">
        <f>P314*20%</f>
      </c>
      <c r="R314" s="4">
        <v>0</v>
      </c>
      <c r="S314" s="4">
        <f>R314*20%</f>
      </c>
      <c r="T314" s="4">
        <v>0</v>
      </c>
      <c r="U314" s="4">
        <f>O314+Q314+S314</f>
      </c>
      <c r="V314" s="4">
        <f>L314-M314-N314-O314-P314-Q314-R314-S314-T314</f>
      </c>
      <c r="W314" s="4">
        <f>(V314-Y314)/J314*100</f>
      </c>
      <c r="X314" s="4">
        <f>M314-U314</f>
      </c>
      <c r="Z314" s="4">
        <f>V314-Y314</f>
      </c>
      <c r="AE314" t="s">
        <v>1</v>
      </c>
    </row>
    <row r="315" spans="1:31" x14ac:dyDescent="0.25">
      <c r="A315" s="8">
        <v>46164.5</v>
      </c>
      <c r="B315" t="s">
        <v>636</v>
      </c>
      <c r="C315" t="s">
        <v>1</v>
      </c>
      <c r="D315" s="9" t="s">
        <v>637</v>
      </c>
      <c r="E315" t="s">
        <v>64</v>
      </c>
      <c r="F315" t="s">
        <v>99</v>
      </c>
      <c r="G315" t="s">
        <v>65</v>
      </c>
      <c r="H315" t="s">
        <v>78</v>
      </c>
      <c r="I315">
        <v>1</v>
      </c>
      <c r="J315" s="4">
        <v>250</v>
      </c>
      <c r="K315" s="4">
        <v>332.5</v>
      </c>
      <c r="L315" s="4">
        <f>K315-J315</f>
      </c>
      <c r="M315" s="4">
        <f>L315*16.67%</f>
      </c>
      <c r="N315" s="4">
        <f>K315/100*7</f>
      </c>
      <c r="O315" s="4">
        <f>N315*20%</f>
      </c>
      <c r="P315" s="4">
        <f>N315*2%</f>
      </c>
      <c r="Q315" s="4">
        <f>P315*20%</f>
      </c>
      <c r="R315" s="4">
        <v>0</v>
      </c>
      <c r="S315" s="4">
        <f>R315*20%</f>
      </c>
      <c r="T315" s="4">
        <v>1</v>
      </c>
      <c r="U315" s="4">
        <f>O315+Q315+S315</f>
      </c>
      <c r="V315" s="4">
        <f>L315-M315-N315-O315-P315-Q315-R315-S315-T315</f>
      </c>
      <c r="W315" s="4">
        <f>(V315-Y315)/J315*100</f>
      </c>
      <c r="X315" s="4">
        <f>M315-U315</f>
      </c>
      <c r="Z315" s="4">
        <f>V315-Y315</f>
      </c>
      <c r="AE315" t="s">
        <v>1</v>
      </c>
    </row>
    <row r="316" spans="1:31" x14ac:dyDescent="0.25">
      <c r="A316" s="8">
        <v>46164.5</v>
      </c>
      <c r="B316" t="s">
        <v>638</v>
      </c>
      <c r="C316" t="s">
        <v>1</v>
      </c>
      <c r="D316" s="9" t="s">
        <v>639</v>
      </c>
      <c r="E316" t="s">
        <v>134</v>
      </c>
      <c r="F316" t="s">
        <v>99</v>
      </c>
      <c r="G316" t="s">
        <v>65</v>
      </c>
      <c r="H316" t="s">
        <v>102</v>
      </c>
      <c r="I316">
        <v>1</v>
      </c>
      <c r="J316" s="4">
        <v>103</v>
      </c>
      <c r="K316" s="4">
        <v>135.96</v>
      </c>
      <c r="L316" s="4">
        <f>K316-J316</f>
      </c>
      <c r="M316" s="4">
        <f>L316*16.67%</f>
      </c>
      <c r="N316" s="4">
        <f>K316/100*7</f>
      </c>
      <c r="O316" s="4">
        <f>N316*20%</f>
      </c>
      <c r="P316" s="4">
        <f>N316*2%</f>
      </c>
      <c r="Q316" s="4">
        <f>P316*20%</f>
      </c>
      <c r="R316" s="4">
        <v>0</v>
      </c>
      <c r="S316" s="4">
        <f>R316*20%</f>
      </c>
      <c r="T316" s="4">
        <v>1</v>
      </c>
      <c r="U316" s="4">
        <f>O316+Q316+S316</f>
      </c>
      <c r="V316" s="4">
        <f>L316-M316-N316-O316-P316-Q316-R316-S316-T316</f>
      </c>
      <c r="W316" s="4">
        <f>(V316-Y316)/J316*100</f>
      </c>
      <c r="X316" s="4">
        <f>M316-U316</f>
      </c>
      <c r="Z316" s="4">
        <f>V316-Y316</f>
      </c>
      <c r="AE316" t="s">
        <v>1</v>
      </c>
    </row>
    <row r="317" spans="1:31" x14ac:dyDescent="0.25">
      <c r="A317" s="8">
        <v>46164.5</v>
      </c>
      <c r="B317" t="s">
        <v>640</v>
      </c>
      <c r="C317" t="s">
        <v>1</v>
      </c>
      <c r="D317" s="9" t="s">
        <v>1</v>
      </c>
      <c r="E317" t="s">
        <v>1</v>
      </c>
      <c r="F317" t="s">
        <v>1</v>
      </c>
      <c r="G317" t="s">
        <v>1</v>
      </c>
      <c r="H317" t="s">
        <v>61</v>
      </c>
      <c r="I317">
        <v>1</v>
      </c>
      <c r="J317" s="4">
        <v>374</v>
      </c>
      <c r="K317" s="4">
        <v>474.98</v>
      </c>
      <c r="L317" s="4">
        <f>K317-J317</f>
      </c>
      <c r="M317" s="4">
        <f>L317*16.67%</f>
      </c>
      <c r="N317" s="4">
        <f>K317/100*7</f>
      </c>
      <c r="O317" s="4">
        <f>N317*20%</f>
      </c>
      <c r="P317" s="4">
        <f>N317*2%</f>
      </c>
      <c r="Q317" s="4">
        <f>P317*20%</f>
      </c>
      <c r="R317" s="4">
        <v>0</v>
      </c>
      <c r="S317" s="4">
        <f>R317*20%</f>
      </c>
      <c r="T317" s="4">
        <v>1</v>
      </c>
      <c r="U317" s="4">
        <f>O317+Q317+S317</f>
      </c>
      <c r="V317" s="4">
        <f>L317-M317-N317-O317-P317-Q317-R317-S317-T317</f>
      </c>
      <c r="W317" s="4">
        <f>(V317-Y317)/J317*100</f>
      </c>
      <c r="X317" s="4">
        <f>M317-U317</f>
      </c>
      <c r="Z317" s="4">
        <f>V317-Y317</f>
      </c>
      <c r="AE317" t="s">
        <v>1</v>
      </c>
    </row>
    <row r="318" spans="1:31" x14ac:dyDescent="0.25">
      <c r="A318" s="8">
        <v>46164.5</v>
      </c>
      <c r="B318" t="s">
        <v>641</v>
      </c>
      <c r="C318" t="s">
        <v>1</v>
      </c>
      <c r="D318" s="9" t="s">
        <v>1</v>
      </c>
      <c r="E318" t="s">
        <v>1</v>
      </c>
      <c r="F318" t="s">
        <v>1</v>
      </c>
      <c r="G318" t="s">
        <v>1</v>
      </c>
      <c r="H318" t="s">
        <v>61</v>
      </c>
      <c r="I318">
        <v>1</v>
      </c>
      <c r="J318" s="4">
        <v>502</v>
      </c>
      <c r="K318" s="4">
        <v>717.86</v>
      </c>
      <c r="L318" s="4">
        <f>K318-J318</f>
      </c>
      <c r="M318" s="4">
        <f>L318*16.67%</f>
      </c>
      <c r="N318" s="4">
        <f>K318/100*7</f>
      </c>
      <c r="O318" s="4">
        <f>N318*20%</f>
      </c>
      <c r="P318" s="4">
        <f>N318*2%</f>
      </c>
      <c r="Q318" s="4">
        <f>P318*20%</f>
      </c>
      <c r="R318" s="4">
        <v>0</v>
      </c>
      <c r="S318" s="4">
        <f>R318*20%</f>
      </c>
      <c r="T318" s="4">
        <v>1</v>
      </c>
      <c r="U318" s="4">
        <f>O318+Q318+S318</f>
      </c>
      <c r="V318" s="4">
        <f>L318-M318-N318-O318-P318-Q318-R318-S318-T318</f>
      </c>
      <c r="W318" s="4">
        <f>(V318-Y318)/J318*100</f>
      </c>
      <c r="X318" s="4">
        <f>M318-U318</f>
      </c>
      <c r="Z318" s="4">
        <f>V318-Y318</f>
      </c>
      <c r="AE318" t="s">
        <v>1</v>
      </c>
    </row>
    <row r="319" spans="1:31" x14ac:dyDescent="0.25">
      <c r="A319" s="8">
        <v>46163.5</v>
      </c>
      <c r="B319" t="s">
        <v>642</v>
      </c>
      <c r="C319" t="s">
        <v>1</v>
      </c>
      <c r="D319" s="9" t="s">
        <v>643</v>
      </c>
      <c r="E319" t="s">
        <v>114</v>
      </c>
      <c r="F319" t="s">
        <v>74</v>
      </c>
      <c r="G319" t="s">
        <v>60</v>
      </c>
      <c r="H319" t="s">
        <v>66</v>
      </c>
      <c r="I319">
        <v>1</v>
      </c>
      <c r="J319" s="4">
        <v>212</v>
      </c>
      <c r="K319" s="4">
        <v>271.36</v>
      </c>
      <c r="L319" s="4">
        <f>K319-J319</f>
      </c>
      <c r="M319" s="4">
        <f>L319*16.67%</f>
      </c>
      <c r="N319" s="4">
        <f>K319/100*7</f>
      </c>
      <c r="O319" s="4">
        <f>N319*20%</f>
      </c>
      <c r="P319" s="4">
        <f>N319*2%</f>
      </c>
      <c r="Q319" s="4">
        <f>P319*20%</f>
      </c>
      <c r="R319" s="4">
        <v>0</v>
      </c>
      <c r="S319" s="4">
        <f>R319*20%</f>
      </c>
      <c r="T319" s="4">
        <v>1</v>
      </c>
      <c r="U319" s="4">
        <f>O319+Q319+S319</f>
      </c>
      <c r="V319" s="4">
        <f>L319-M319-N319-O319-P319-Q319-R319-S319-T319</f>
      </c>
      <c r="W319" s="4">
        <f>(V319-Y319)/J319*100</f>
      </c>
      <c r="X319" s="4">
        <f>M319-U319</f>
      </c>
      <c r="Z319" s="4">
        <f>V319-Y319</f>
      </c>
      <c r="AE319" t="s">
        <v>1</v>
      </c>
    </row>
    <row r="320" spans="1:31" x14ac:dyDescent="0.25">
      <c r="A320" s="8">
        <v>46163.5</v>
      </c>
      <c r="B320" t="s">
        <v>644</v>
      </c>
      <c r="C320" t="s">
        <v>1</v>
      </c>
      <c r="D320" s="9" t="s">
        <v>645</v>
      </c>
      <c r="E320" t="s">
        <v>131</v>
      </c>
      <c r="F320" t="s">
        <v>99</v>
      </c>
      <c r="G320" t="s">
        <v>65</v>
      </c>
      <c r="H320" t="s">
        <v>61</v>
      </c>
      <c r="I320">
        <v>1</v>
      </c>
      <c r="J320" s="4">
        <v>281</v>
      </c>
      <c r="K320" s="4">
        <v>325.96</v>
      </c>
      <c r="L320" s="4">
        <f>K320-J320</f>
      </c>
      <c r="M320" s="4">
        <f>L320*16.67%</f>
      </c>
      <c r="N320" s="4">
        <f>K320/100*7</f>
      </c>
      <c r="O320" s="4">
        <f>N320*20%</f>
      </c>
      <c r="P320" s="4">
        <f>N320*2%</f>
      </c>
      <c r="Q320" s="4">
        <f>P320*20%</f>
      </c>
      <c r="R320" s="4">
        <v>0</v>
      </c>
      <c r="S320" s="4">
        <f>R320*20%</f>
      </c>
      <c r="T320" s="4">
        <v>1</v>
      </c>
      <c r="U320" s="4">
        <f>O320+Q320+S320</f>
      </c>
      <c r="V320" s="4">
        <f>L320-M320-N320-O320-P320-Q320-R320-S320-T320</f>
      </c>
      <c r="W320" s="4">
        <f>(V320-Y320)/J320*100</f>
      </c>
      <c r="X320" s="4">
        <f>M320-U320</f>
      </c>
      <c r="Z320" s="4">
        <f>V320-Y320</f>
      </c>
      <c r="AE320" t="s">
        <v>1</v>
      </c>
    </row>
    <row r="321" spans="1:31" x14ac:dyDescent="0.25">
      <c r="A321" s="8">
        <v>46163.5</v>
      </c>
      <c r="B321" t="s">
        <v>646</v>
      </c>
      <c r="C321" t="s">
        <v>254</v>
      </c>
      <c r="D321" s="9" t="s">
        <v>1</v>
      </c>
      <c r="E321" t="s">
        <v>254</v>
      </c>
      <c r="F321" t="s">
        <v>1</v>
      </c>
      <c r="G321" t="s">
        <v>1</v>
      </c>
      <c r="H321" t="s">
        <v>61</v>
      </c>
      <c r="I321">
        <v>3</v>
      </c>
      <c r="J321" s="4">
        <v>2.4</v>
      </c>
      <c r="K321" s="4">
        <v>3.1</v>
      </c>
      <c r="L321" s="4">
        <f>K321-J321</f>
      </c>
      <c r="M321" s="4">
        <f>L321*16.67%</f>
      </c>
      <c r="N321" s="4">
        <f>K321/100*7</f>
      </c>
      <c r="O321" s="4">
        <f>N321*20%</f>
      </c>
      <c r="P321" s="4">
        <f>N321*2%</f>
      </c>
      <c r="Q321" s="4">
        <f>P321*20%</f>
      </c>
      <c r="R321" s="4">
        <v>0</v>
      </c>
      <c r="S321" s="4">
        <f>R321*20%</f>
      </c>
      <c r="T321" s="4">
        <v>0</v>
      </c>
      <c r="U321" s="4">
        <f>O321+Q321+S321</f>
      </c>
      <c r="V321" s="4">
        <f>L321-M321-N321-O321-P321-Q321-R321-S321-T321</f>
      </c>
      <c r="W321" s="4">
        <f>(V321-Y321)/J321*100</f>
      </c>
      <c r="X321" s="4">
        <f>M321-U321</f>
      </c>
      <c r="Z321" s="4">
        <f>V321-Y321</f>
      </c>
      <c r="AE321" t="s">
        <v>1</v>
      </c>
    </row>
    <row r="322" spans="1:31" x14ac:dyDescent="0.25">
      <c r="A322" s="8">
        <v>46162.5</v>
      </c>
      <c r="B322" t="s">
        <v>647</v>
      </c>
      <c r="C322" t="s">
        <v>1</v>
      </c>
      <c r="D322" s="9" t="s">
        <v>648</v>
      </c>
      <c r="E322" t="s">
        <v>125</v>
      </c>
      <c r="F322" t="s">
        <v>105</v>
      </c>
      <c r="G322" t="s">
        <v>126</v>
      </c>
      <c r="H322" t="s">
        <v>61</v>
      </c>
      <c r="I322">
        <v>1</v>
      </c>
      <c r="J322" s="4">
        <v>291</v>
      </c>
      <c r="K322" s="4">
        <v>340.47</v>
      </c>
      <c r="L322" s="4">
        <f>K322-J322</f>
      </c>
      <c r="M322" s="4">
        <f>L322*16.67%</f>
      </c>
      <c r="N322" s="4">
        <f>K322/100*7</f>
      </c>
      <c r="O322" s="4">
        <f>N322*20%</f>
      </c>
      <c r="P322" s="4">
        <f>N322*2%</f>
      </c>
      <c r="Q322" s="4">
        <f>P322*20%</f>
      </c>
      <c r="R322" s="4">
        <v>0</v>
      </c>
      <c r="S322" s="4">
        <f>R322*20%</f>
      </c>
      <c r="T322" s="4">
        <v>1</v>
      </c>
      <c r="U322" s="4">
        <f>O322+Q322+S322</f>
      </c>
      <c r="V322" s="4">
        <f>L322-M322-N322-O322-P322-Q322-R322-S322-T322</f>
      </c>
      <c r="W322" s="4">
        <f>(V322-Y322)/J322*100</f>
      </c>
      <c r="X322" s="4">
        <f>M322-U322</f>
      </c>
      <c r="Z322" s="4">
        <f>V322-Y322</f>
      </c>
      <c r="AE322" t="s">
        <v>1</v>
      </c>
    </row>
    <row r="323" spans="1:31" x14ac:dyDescent="0.25">
      <c r="A323" s="8">
        <v>46162.5</v>
      </c>
      <c r="B323" t="s">
        <v>649</v>
      </c>
      <c r="C323" t="s">
        <v>1</v>
      </c>
      <c r="D323" s="9" t="s">
        <v>650</v>
      </c>
      <c r="E323" t="s">
        <v>125</v>
      </c>
      <c r="F323" t="s">
        <v>59</v>
      </c>
      <c r="G323" t="s">
        <v>126</v>
      </c>
      <c r="H323" t="s">
        <v>75</v>
      </c>
      <c r="I323">
        <v>1</v>
      </c>
      <c r="J323" s="4">
        <v>247</v>
      </c>
      <c r="K323" s="4">
        <v>296.4</v>
      </c>
      <c r="L323" s="4">
        <f>K323-J323</f>
      </c>
      <c r="M323" s="4">
        <f>L323*16.67%</f>
      </c>
      <c r="N323" s="4">
        <f>K323/100*7</f>
      </c>
      <c r="O323" s="4">
        <f>N323*20%</f>
      </c>
      <c r="P323" s="4">
        <f>N323*2%</f>
      </c>
      <c r="Q323" s="4">
        <f>P323*20%</f>
      </c>
      <c r="R323" s="4">
        <v>0</v>
      </c>
      <c r="S323" s="4">
        <f>R323*20%</f>
      </c>
      <c r="T323" s="4">
        <v>1</v>
      </c>
      <c r="U323" s="4">
        <f>O323+Q323+S323</f>
      </c>
      <c r="V323" s="4">
        <f>L323-M323-N323-O323-P323-Q323-R323-S323-T323</f>
      </c>
      <c r="W323" s="4">
        <f>(V323-Y323)/J323*100</f>
      </c>
      <c r="X323" s="4">
        <f>M323-U323</f>
      </c>
      <c r="Z323" s="4">
        <f>V323-Y323</f>
      </c>
      <c r="AE323" t="s">
        <v>1</v>
      </c>
    </row>
    <row r="324" spans="1:31" x14ac:dyDescent="0.25">
      <c r="A324" s="8">
        <v>46162.5</v>
      </c>
      <c r="B324" t="s">
        <v>651</v>
      </c>
      <c r="C324" t="s">
        <v>1</v>
      </c>
      <c r="D324" s="9" t="s">
        <v>652</v>
      </c>
      <c r="E324" t="s">
        <v>125</v>
      </c>
      <c r="F324" t="s">
        <v>70</v>
      </c>
      <c r="G324" t="s">
        <v>126</v>
      </c>
      <c r="H324" t="s">
        <v>102</v>
      </c>
      <c r="I324">
        <v>1</v>
      </c>
      <c r="J324" s="4">
        <v>235</v>
      </c>
      <c r="K324" s="4">
        <v>291.4</v>
      </c>
      <c r="L324" s="4">
        <f>K324-J324</f>
      </c>
      <c r="M324" s="4">
        <f>L324*16.67%</f>
      </c>
      <c r="N324" s="4">
        <f>K324/100*7</f>
      </c>
      <c r="O324" s="4">
        <f>N324*20%</f>
      </c>
      <c r="P324" s="4">
        <f>N324*2%</f>
      </c>
      <c r="Q324" s="4">
        <f>P324*20%</f>
      </c>
      <c r="R324" s="4">
        <v>0</v>
      </c>
      <c r="S324" s="4">
        <f>R324*20%</f>
      </c>
      <c r="T324" s="4">
        <v>1</v>
      </c>
      <c r="U324" s="4">
        <f>O324+Q324+S324</f>
      </c>
      <c r="V324" s="4">
        <f>L324-M324-N324-O324-P324-Q324-R324-S324-T324</f>
      </c>
      <c r="W324" s="4">
        <f>(V324-Y324)/J324*100</f>
      </c>
      <c r="X324" s="4">
        <f>M324-U324</f>
      </c>
      <c r="Z324" s="4">
        <f>V324-Y324</f>
      </c>
      <c r="AE324" t="s">
        <v>1</v>
      </c>
    </row>
    <row r="325" spans="1:31" x14ac:dyDescent="0.25">
      <c r="A325" s="8">
        <v>46162.5</v>
      </c>
      <c r="B325" t="s">
        <v>653</v>
      </c>
      <c r="C325" t="s">
        <v>1</v>
      </c>
      <c r="D325" s="9" t="s">
        <v>654</v>
      </c>
      <c r="E325" t="s">
        <v>292</v>
      </c>
      <c r="F325" t="s">
        <v>74</v>
      </c>
      <c r="G325" t="s">
        <v>126</v>
      </c>
      <c r="H325" t="s">
        <v>66</v>
      </c>
      <c r="I325">
        <v>1</v>
      </c>
      <c r="J325" s="4">
        <v>173</v>
      </c>
      <c r="K325" s="4">
        <v>243.93</v>
      </c>
      <c r="L325" s="4">
        <f>K325-J325</f>
      </c>
      <c r="M325" s="4">
        <f>L325*16.67%</f>
      </c>
      <c r="N325" s="4">
        <f>K325/100*7</f>
      </c>
      <c r="O325" s="4">
        <f>N325*20%</f>
      </c>
      <c r="P325" s="4">
        <f>N325*2%</f>
      </c>
      <c r="Q325" s="4">
        <f>P325*20%</f>
      </c>
      <c r="R325" s="4">
        <v>0</v>
      </c>
      <c r="S325" s="4">
        <f>R325*20%</f>
      </c>
      <c r="T325" s="4">
        <v>1</v>
      </c>
      <c r="U325" s="4">
        <f>O325+Q325+S325</f>
      </c>
      <c r="V325" s="4">
        <f>L325-M325-N325-O325-P325-Q325-R325-S325-T325</f>
      </c>
      <c r="W325" s="4">
        <f>(V325-Y325)/J325*100</f>
      </c>
      <c r="X325" s="4">
        <f>M325-U325</f>
      </c>
      <c r="Z325" s="4">
        <f>V325-Y325</f>
      </c>
      <c r="AE325" t="s">
        <v>1</v>
      </c>
    </row>
    <row r="326" spans="1:31" x14ac:dyDescent="0.25">
      <c r="A326" s="8">
        <v>46162.5</v>
      </c>
      <c r="B326" t="s">
        <v>655</v>
      </c>
      <c r="C326" t="s">
        <v>254</v>
      </c>
      <c r="D326" s="9" t="s">
        <v>1</v>
      </c>
      <c r="E326" t="s">
        <v>254</v>
      </c>
      <c r="F326" t="s">
        <v>1</v>
      </c>
      <c r="G326" t="s">
        <v>1</v>
      </c>
      <c r="H326" t="s">
        <v>61</v>
      </c>
      <c r="I326">
        <v>1</v>
      </c>
      <c r="J326" s="4">
        <v>0.8</v>
      </c>
      <c r="K326" s="4">
        <v>1.11</v>
      </c>
      <c r="L326" s="4">
        <f>K326-J326</f>
      </c>
      <c r="M326" s="4">
        <f>L326*16.67%</f>
      </c>
      <c r="N326" s="4">
        <f>K326/100*7</f>
      </c>
      <c r="O326" s="4">
        <f>N326*20%</f>
      </c>
      <c r="P326" s="4">
        <f>N326*2%</f>
      </c>
      <c r="Q326" s="4">
        <f>P326*20%</f>
      </c>
      <c r="R326" s="4">
        <v>0</v>
      </c>
      <c r="S326" s="4">
        <f>R326*20%</f>
      </c>
      <c r="T326" s="4">
        <v>0</v>
      </c>
      <c r="U326" s="4">
        <f>O326+Q326+S326</f>
      </c>
      <c r="V326" s="4">
        <f>L326-M326-N326-O326-P326-Q326-R326-S326-T326</f>
      </c>
      <c r="W326" s="4">
        <f>(V326-Y326)/J326*100</f>
      </c>
      <c r="X326" s="4">
        <f>M326-U326</f>
      </c>
      <c r="Z326" s="4">
        <f>V326-Y326</f>
      </c>
      <c r="AE326" t="s">
        <v>1</v>
      </c>
    </row>
    <row r="327" spans="1:31" x14ac:dyDescent="0.25">
      <c r="A327" s="8">
        <v>46162.5</v>
      </c>
      <c r="B327" t="s">
        <v>656</v>
      </c>
      <c r="C327" t="s">
        <v>189</v>
      </c>
      <c r="D327" s="9" t="s">
        <v>1</v>
      </c>
      <c r="E327" t="s">
        <v>189</v>
      </c>
      <c r="F327" t="s">
        <v>1</v>
      </c>
      <c r="G327" t="s">
        <v>1</v>
      </c>
      <c r="H327" t="s">
        <v>66</v>
      </c>
      <c r="I327">
        <v>1</v>
      </c>
      <c r="J327" s="4">
        <v>3.5</v>
      </c>
      <c r="K327" s="4">
        <v>4.41</v>
      </c>
      <c r="L327" s="4">
        <f>K327-J327</f>
      </c>
      <c r="M327" s="4">
        <f>L327*16.67%</f>
      </c>
      <c r="N327" s="4">
        <f>K327/100*7</f>
      </c>
      <c r="O327" s="4">
        <f>N327*20%</f>
      </c>
      <c r="P327" s="4">
        <f>N327*2%</f>
      </c>
      <c r="Q327" s="4">
        <f>P327*20%</f>
      </c>
      <c r="R327" s="4">
        <v>0</v>
      </c>
      <c r="S327" s="4">
        <f>R327*20%</f>
      </c>
      <c r="T327" s="4">
        <v>0</v>
      </c>
      <c r="U327" s="4">
        <f>O327+Q327+S327</f>
      </c>
      <c r="V327" s="4">
        <f>L327-M327-N327-O327-P327-Q327-R327-S327-T327</f>
      </c>
      <c r="W327" s="4">
        <f>(V327-Y327)/J327*100</f>
      </c>
      <c r="X327" s="4">
        <f>M327-U327</f>
      </c>
      <c r="Z327" s="4">
        <f>V327-Y327</f>
      </c>
      <c r="AE327" t="s">
        <v>1</v>
      </c>
    </row>
    <row r="328" spans="1:31" x14ac:dyDescent="0.25">
      <c r="A328" s="8">
        <v>46161.5</v>
      </c>
      <c r="B328" t="s">
        <v>657</v>
      </c>
      <c r="C328" t="s">
        <v>1</v>
      </c>
      <c r="D328" s="9" t="s">
        <v>658</v>
      </c>
      <c r="E328" t="s">
        <v>139</v>
      </c>
      <c r="F328" t="s">
        <v>70</v>
      </c>
      <c r="G328" t="s">
        <v>60</v>
      </c>
      <c r="H328" t="s">
        <v>66</v>
      </c>
      <c r="I328">
        <v>1</v>
      </c>
      <c r="J328" s="4">
        <v>369</v>
      </c>
      <c r="K328" s="4">
        <v>479.7</v>
      </c>
      <c r="L328" s="4">
        <f>K328-J328</f>
      </c>
      <c r="M328" s="4">
        <f>L328*16.67%</f>
      </c>
      <c r="N328" s="4">
        <f>K328/100*7</f>
      </c>
      <c r="O328" s="4">
        <f>N328*20%</f>
      </c>
      <c r="P328" s="4">
        <f>N328*2%</f>
      </c>
      <c r="Q328" s="4">
        <f>P328*20%</f>
      </c>
      <c r="R328" s="4">
        <v>0</v>
      </c>
      <c r="S328" s="4">
        <f>R328*20%</f>
      </c>
      <c r="T328" s="4">
        <v>1</v>
      </c>
      <c r="U328" s="4">
        <f>O328+Q328+S328</f>
      </c>
      <c r="V328" s="4">
        <f>L328-M328-N328-O328-P328-Q328-R328-S328-T328</f>
      </c>
      <c r="W328" s="4">
        <f>(V328-Y328)/J328*100</f>
      </c>
      <c r="X328" s="4">
        <f>M328-U328</f>
      </c>
      <c r="Z328" s="4">
        <f>V328-Y328</f>
      </c>
      <c r="AE328" t="s">
        <v>1</v>
      </c>
    </row>
    <row r="329" spans="1:31" x14ac:dyDescent="0.25">
      <c r="A329" s="8">
        <v>46161.5</v>
      </c>
      <c r="B329" t="s">
        <v>659</v>
      </c>
      <c r="C329" t="s">
        <v>174</v>
      </c>
      <c r="D329" s="9" t="s">
        <v>1</v>
      </c>
      <c r="E329" t="s">
        <v>174</v>
      </c>
      <c r="F329" t="s">
        <v>1</v>
      </c>
      <c r="G329" t="s">
        <v>1</v>
      </c>
      <c r="H329" t="s">
        <v>66</v>
      </c>
      <c r="I329">
        <v>1</v>
      </c>
      <c r="J329" s="4">
        <v>4.25</v>
      </c>
      <c r="K329" s="4">
        <v>5.1</v>
      </c>
      <c r="L329" s="4">
        <f>K329-J329</f>
      </c>
      <c r="M329" s="4">
        <f>L329*16.67%</f>
      </c>
      <c r="N329" s="4">
        <f>K329/100*7</f>
      </c>
      <c r="O329" s="4">
        <f>N329*20%</f>
      </c>
      <c r="P329" s="4">
        <f>N329*2%</f>
      </c>
      <c r="Q329" s="4">
        <f>P329*20%</f>
      </c>
      <c r="R329" s="4">
        <v>0</v>
      </c>
      <c r="S329" s="4">
        <f>R329*20%</f>
      </c>
      <c r="T329" s="4">
        <v>0</v>
      </c>
      <c r="U329" s="4">
        <f>O329+Q329+S329</f>
      </c>
      <c r="V329" s="4">
        <f>L329-M329-N329-O329-P329-Q329-R329-S329-T329</f>
      </c>
      <c r="W329" s="4">
        <f>(V329-Y329)/J329*100</f>
      </c>
      <c r="X329" s="4">
        <f>M329-U329</f>
      </c>
      <c r="Z329" s="4">
        <f>V329-Y329</f>
      </c>
      <c r="AE329" t="s">
        <v>1</v>
      </c>
    </row>
    <row r="330" spans="1:31" x14ac:dyDescent="0.25">
      <c r="A330" s="8">
        <v>46160.5</v>
      </c>
      <c r="B330" t="s">
        <v>660</v>
      </c>
      <c r="C330" t="s">
        <v>1</v>
      </c>
      <c r="D330" s="9" t="s">
        <v>661</v>
      </c>
      <c r="E330" t="s">
        <v>131</v>
      </c>
      <c r="F330" t="s">
        <v>70</v>
      </c>
      <c r="G330" t="s">
        <v>60</v>
      </c>
      <c r="H330" t="s">
        <v>78</v>
      </c>
      <c r="I330">
        <v>1</v>
      </c>
      <c r="J330" s="4">
        <v>309</v>
      </c>
      <c r="K330" s="4">
        <v>426.42</v>
      </c>
      <c r="L330" s="4">
        <f>K330-J330</f>
      </c>
      <c r="M330" s="4">
        <f>L330*16.67%</f>
      </c>
      <c r="N330" s="4">
        <f>K330/100*7</f>
      </c>
      <c r="O330" s="4">
        <f>N330*20%</f>
      </c>
      <c r="P330" s="4">
        <f>N330*2%</f>
      </c>
      <c r="Q330" s="4">
        <f>P330*20%</f>
      </c>
      <c r="R330" s="4">
        <v>0</v>
      </c>
      <c r="S330" s="4">
        <f>R330*20%</f>
      </c>
      <c r="T330" s="4">
        <v>1</v>
      </c>
      <c r="U330" s="4">
        <f>O330+Q330+S330</f>
      </c>
      <c r="V330" s="4">
        <f>L330-M330-N330-O330-P330-Q330-R330-S330-T330</f>
      </c>
      <c r="W330" s="4">
        <f>(V330-Y330)/J330*100</f>
      </c>
      <c r="X330" s="4">
        <f>M330-U330</f>
      </c>
      <c r="Z330" s="4">
        <f>V330-Y330</f>
      </c>
      <c r="AE330" t="s">
        <v>1</v>
      </c>
    </row>
    <row r="331" spans="1:31" x14ac:dyDescent="0.25">
      <c r="A331" s="8">
        <v>46159.5</v>
      </c>
      <c r="B331" t="s">
        <v>662</v>
      </c>
      <c r="C331" t="s">
        <v>1</v>
      </c>
      <c r="D331" s="9" t="s">
        <v>663</v>
      </c>
      <c r="E331" t="s">
        <v>134</v>
      </c>
      <c r="F331" t="s">
        <v>105</v>
      </c>
      <c r="G331" t="s">
        <v>95</v>
      </c>
      <c r="H331" t="s">
        <v>75</v>
      </c>
      <c r="I331">
        <v>1</v>
      </c>
      <c r="J331" s="4">
        <v>100</v>
      </c>
      <c r="K331" s="4">
        <v>125</v>
      </c>
      <c r="L331" s="4">
        <f>K331-J331</f>
      </c>
      <c r="M331" s="4">
        <f>L331*16.67%</f>
      </c>
      <c r="N331" s="4">
        <f>K331/100*7</f>
      </c>
      <c r="O331" s="4">
        <f>N331*20%</f>
      </c>
      <c r="P331" s="4">
        <f>N331*2%</f>
      </c>
      <c r="Q331" s="4">
        <f>P331*20%</f>
      </c>
      <c r="R331" s="4">
        <v>0</v>
      </c>
      <c r="S331" s="4">
        <f>R331*20%</f>
      </c>
      <c r="T331" s="4">
        <v>1</v>
      </c>
      <c r="U331" s="4">
        <f>O331+Q331+S331</f>
      </c>
      <c r="V331" s="4">
        <f>L331-M331-N331-O331-P331-Q331-R331-S331-T331</f>
      </c>
      <c r="W331" s="4">
        <f>(V331-Y331)/J331*100</f>
      </c>
      <c r="X331" s="4">
        <f>M331-U331</f>
      </c>
      <c r="Z331" s="4">
        <f>V331-Y331</f>
      </c>
      <c r="AE331" t="s">
        <v>1</v>
      </c>
    </row>
    <row r="332" spans="1:31" x14ac:dyDescent="0.25">
      <c r="A332" s="8">
        <v>46159.5</v>
      </c>
      <c r="B332" t="s">
        <v>664</v>
      </c>
      <c r="C332" t="s">
        <v>1</v>
      </c>
      <c r="D332" s="9" t="s">
        <v>665</v>
      </c>
      <c r="E332" t="s">
        <v>58</v>
      </c>
      <c r="F332" t="s">
        <v>105</v>
      </c>
      <c r="G332" t="s">
        <v>60</v>
      </c>
      <c r="H332" t="s">
        <v>102</v>
      </c>
      <c r="I332">
        <v>1</v>
      </c>
      <c r="J332" s="4">
        <v>450</v>
      </c>
      <c r="K332" s="4">
        <v>580.5</v>
      </c>
      <c r="L332" s="4">
        <f>K332-J332</f>
      </c>
      <c r="M332" s="4">
        <f>L332*16.67%</f>
      </c>
      <c r="N332" s="4">
        <f>K332/100*7</f>
      </c>
      <c r="O332" s="4">
        <f>N332*20%</f>
      </c>
      <c r="P332" s="4">
        <f>N332*2%</f>
      </c>
      <c r="Q332" s="4">
        <f>P332*20%</f>
      </c>
      <c r="R332" s="4">
        <v>0</v>
      </c>
      <c r="S332" s="4">
        <f>R332*20%</f>
      </c>
      <c r="T332" s="4">
        <v>1</v>
      </c>
      <c r="U332" s="4">
        <f>O332+Q332+S332</f>
      </c>
      <c r="V332" s="4">
        <f>L332-M332-N332-O332-P332-Q332-R332-S332-T332</f>
      </c>
      <c r="W332" s="4">
        <f>(V332-Y332)/J332*100</f>
      </c>
      <c r="X332" s="4">
        <f>M332-U332</f>
      </c>
      <c r="Z332" s="4">
        <f>V332-Y332</f>
      </c>
      <c r="AE332" t="s">
        <v>1</v>
      </c>
    </row>
    <row r="333" spans="1:31" x14ac:dyDescent="0.25">
      <c r="A333" s="8">
        <v>46159.5</v>
      </c>
      <c r="B333" t="s">
        <v>666</v>
      </c>
      <c r="C333" t="s">
        <v>1</v>
      </c>
      <c r="D333" s="9" t="s">
        <v>667</v>
      </c>
      <c r="E333" t="s">
        <v>91</v>
      </c>
      <c r="F333" t="s">
        <v>85</v>
      </c>
      <c r="G333" t="s">
        <v>65</v>
      </c>
      <c r="H333" t="s">
        <v>78</v>
      </c>
      <c r="I333">
        <v>1</v>
      </c>
      <c r="J333" s="4">
        <v>127</v>
      </c>
      <c r="K333" s="4">
        <v>167.64</v>
      </c>
      <c r="L333" s="4">
        <f>K333-J333</f>
      </c>
      <c r="M333" s="4">
        <f>L333*16.67%</f>
      </c>
      <c r="N333" s="4">
        <f>K333/100*7</f>
      </c>
      <c r="O333" s="4">
        <f>N333*20%</f>
      </c>
      <c r="P333" s="4">
        <f>N333*2%</f>
      </c>
      <c r="Q333" s="4">
        <f>P333*20%</f>
      </c>
      <c r="R333" s="4">
        <v>0</v>
      </c>
      <c r="S333" s="4">
        <f>R333*20%</f>
      </c>
      <c r="T333" s="4">
        <v>1</v>
      </c>
      <c r="U333" s="4">
        <f>O333+Q333+S333</f>
      </c>
      <c r="V333" s="4">
        <f>L333-M333-N333-O333-P333-Q333-R333-S333-T333</f>
      </c>
      <c r="W333" s="4">
        <f>(V333-Y333)/J333*100</f>
      </c>
      <c r="X333" s="4">
        <f>M333-U333</f>
      </c>
      <c r="Z333" s="4">
        <f>V333-Y333</f>
      </c>
      <c r="AE333" t="s">
        <v>1</v>
      </c>
    </row>
    <row r="334" spans="1:31" x14ac:dyDescent="0.25">
      <c r="A334" s="8">
        <v>46158.5</v>
      </c>
      <c r="B334" t="s">
        <v>668</v>
      </c>
      <c r="C334" t="s">
        <v>1</v>
      </c>
      <c r="D334" s="9" t="s">
        <v>669</v>
      </c>
      <c r="E334" t="s">
        <v>94</v>
      </c>
      <c r="F334" t="s">
        <v>88</v>
      </c>
      <c r="G334" t="s">
        <v>95</v>
      </c>
      <c r="H334" t="s">
        <v>66</v>
      </c>
      <c r="I334">
        <v>1</v>
      </c>
      <c r="J334" s="4">
        <v>64</v>
      </c>
      <c r="K334" s="4">
        <v>85.12</v>
      </c>
      <c r="L334" s="4">
        <f>K334-J334</f>
      </c>
      <c r="M334" s="4">
        <f>L334*16.67%</f>
      </c>
      <c r="N334" s="4">
        <f>K334/100*7</f>
      </c>
      <c r="O334" s="4">
        <f>N334*20%</f>
      </c>
      <c r="P334" s="4">
        <f>N334*2%</f>
      </c>
      <c r="Q334" s="4">
        <f>P334*20%</f>
      </c>
      <c r="R334" s="4">
        <v>0</v>
      </c>
      <c r="S334" s="4">
        <f>R334*20%</f>
      </c>
      <c r="T334" s="4">
        <v>1</v>
      </c>
      <c r="U334" s="4">
        <f>O334+Q334+S334</f>
      </c>
      <c r="V334" s="4">
        <f>L334-M334-N334-O334-P334-Q334-R334-S334-T334</f>
      </c>
      <c r="W334" s="4">
        <f>(V334-Y334)/J334*100</f>
      </c>
      <c r="X334" s="4">
        <f>M334-U334</f>
      </c>
      <c r="Z334" s="4">
        <f>V334-Y334</f>
      </c>
      <c r="AE334" t="s">
        <v>1</v>
      </c>
    </row>
    <row r="335" spans="1:31" x14ac:dyDescent="0.25">
      <c r="A335" s="8">
        <v>46158.5</v>
      </c>
      <c r="B335" t="s">
        <v>670</v>
      </c>
      <c r="C335" t="s">
        <v>1</v>
      </c>
      <c r="D335" s="9" t="s">
        <v>671</v>
      </c>
      <c r="E335" t="s">
        <v>125</v>
      </c>
      <c r="F335" t="s">
        <v>105</v>
      </c>
      <c r="G335" t="s">
        <v>126</v>
      </c>
      <c r="H335" t="s">
        <v>75</v>
      </c>
      <c r="I335">
        <v>1</v>
      </c>
      <c r="J335" s="4">
        <v>286</v>
      </c>
      <c r="K335" s="4">
        <v>331.76</v>
      </c>
      <c r="L335" s="4">
        <f>K335-J335</f>
      </c>
      <c r="M335" s="4">
        <f>L335*16.67%</f>
      </c>
      <c r="N335" s="4">
        <f>K335/100*7</f>
      </c>
      <c r="O335" s="4">
        <f>N335*20%</f>
      </c>
      <c r="P335" s="4">
        <f>N335*2%</f>
      </c>
      <c r="Q335" s="4">
        <f>P335*20%</f>
      </c>
      <c r="R335" s="4">
        <v>0</v>
      </c>
      <c r="S335" s="4">
        <f>R335*20%</f>
      </c>
      <c r="T335" s="4">
        <v>1</v>
      </c>
      <c r="U335" s="4">
        <f>O335+Q335+S335</f>
      </c>
      <c r="V335" s="4">
        <f>L335-M335-N335-O335-P335-Q335-R335-S335-T335</f>
      </c>
      <c r="W335" s="4">
        <f>(V335-Y335)/J335*100</f>
      </c>
      <c r="X335" s="4">
        <f>M335-U335</f>
      </c>
      <c r="Z335" s="4">
        <f>V335-Y335</f>
      </c>
      <c r="AE335" t="s">
        <v>1</v>
      </c>
    </row>
    <row r="336" spans="1:31" x14ac:dyDescent="0.25">
      <c r="A336" s="8">
        <v>46158.5</v>
      </c>
      <c r="B336" t="s">
        <v>672</v>
      </c>
      <c r="C336" t="s">
        <v>1</v>
      </c>
      <c r="D336" s="9" t="s">
        <v>673</v>
      </c>
      <c r="E336" t="s">
        <v>73</v>
      </c>
      <c r="F336" t="s">
        <v>88</v>
      </c>
      <c r="G336" t="s">
        <v>60</v>
      </c>
      <c r="H336" t="s">
        <v>66</v>
      </c>
      <c r="I336">
        <v>1</v>
      </c>
      <c r="J336" s="4">
        <v>372</v>
      </c>
      <c r="K336" s="4">
        <v>487.32</v>
      </c>
      <c r="L336" s="4">
        <f>K336-J336</f>
      </c>
      <c r="M336" s="4">
        <f>L336*16.67%</f>
      </c>
      <c r="N336" s="4">
        <f>K336/100*7</f>
      </c>
      <c r="O336" s="4">
        <f>N336*20%</f>
      </c>
      <c r="P336" s="4">
        <f>N336*2%</f>
      </c>
      <c r="Q336" s="4">
        <f>P336*20%</f>
      </c>
      <c r="R336" s="4">
        <v>0</v>
      </c>
      <c r="S336" s="4">
        <f>R336*20%</f>
      </c>
      <c r="T336" s="4">
        <v>1</v>
      </c>
      <c r="U336" s="4">
        <f>O336+Q336+S336</f>
      </c>
      <c r="V336" s="4">
        <f>L336-M336-N336-O336-P336-Q336-R336-S336-T336</f>
      </c>
      <c r="W336" s="4">
        <f>(V336-Y336)/J336*100</f>
      </c>
      <c r="X336" s="4">
        <f>M336-U336</f>
      </c>
      <c r="Z336" s="4">
        <f>V336-Y336</f>
      </c>
      <c r="AE336" t="s">
        <v>1</v>
      </c>
    </row>
    <row r="337" spans="1:31" x14ac:dyDescent="0.25">
      <c r="A337" s="8">
        <v>46158.5</v>
      </c>
      <c r="B337" t="s">
        <v>674</v>
      </c>
      <c r="C337" t="s">
        <v>1</v>
      </c>
      <c r="D337" s="9" t="s">
        <v>675</v>
      </c>
      <c r="E337" t="s">
        <v>172</v>
      </c>
      <c r="F337" t="s">
        <v>99</v>
      </c>
      <c r="G337" t="s">
        <v>65</v>
      </c>
      <c r="H337" t="s">
        <v>102</v>
      </c>
      <c r="I337">
        <v>1</v>
      </c>
      <c r="J337" s="4">
        <v>162</v>
      </c>
      <c r="K337" s="4">
        <v>204.12</v>
      </c>
      <c r="L337" s="4">
        <f>K337-J337</f>
      </c>
      <c r="M337" s="4">
        <f>L337*16.67%</f>
      </c>
      <c r="N337" s="4">
        <f>K337/100*7</f>
      </c>
      <c r="O337" s="4">
        <f>N337*20%</f>
      </c>
      <c r="P337" s="4">
        <f>N337*2%</f>
      </c>
      <c r="Q337" s="4">
        <f>P337*20%</f>
      </c>
      <c r="R337" s="4">
        <v>0</v>
      </c>
      <c r="S337" s="4">
        <f>R337*20%</f>
      </c>
      <c r="T337" s="4">
        <v>1</v>
      </c>
      <c r="U337" s="4">
        <f>O337+Q337+S337</f>
      </c>
      <c r="V337" s="4">
        <f>L337-M337-N337-O337-P337-Q337-R337-S337-T337</f>
      </c>
      <c r="W337" s="4">
        <f>(V337-Y337)/J337*100</f>
      </c>
      <c r="X337" s="4">
        <f>M337-U337</f>
      </c>
      <c r="Z337" s="4">
        <f>V337-Y337</f>
      </c>
      <c r="AE337" t="s">
        <v>1</v>
      </c>
    </row>
    <row r="338" spans="1:31" x14ac:dyDescent="0.25">
      <c r="A338" s="10">
        <v>46158.5</v>
      </c>
      <c r="B338" s="11" t="s">
        <v>676</v>
      </c>
      <c r="C338" s="11" t="s">
        <v>1</v>
      </c>
      <c r="D338" s="12" t="s">
        <v>677</v>
      </c>
      <c r="E338" s="11" t="s">
        <v>234</v>
      </c>
      <c r="F338" s="11" t="s">
        <v>74</v>
      </c>
      <c r="G338" s="11" t="s">
        <v>65</v>
      </c>
      <c r="H338" s="11" t="s">
        <v>66</v>
      </c>
      <c r="I338" s="11">
        <v>1</v>
      </c>
      <c r="J338" s="13">
        <v>182</v>
      </c>
      <c r="K338" s="13">
        <v>236.6</v>
      </c>
      <c r="L338" s="13">
        <f>K338-J338</f>
      </c>
      <c r="M338" s="13">
        <f>L338*16.67%</f>
      </c>
      <c r="N338" s="13">
        <f>K338/100*7</f>
      </c>
      <c r="O338" s="13">
        <f>N338*20%</f>
      </c>
      <c r="P338" s="13">
        <f>N338*2%</f>
      </c>
      <c r="Q338" s="13">
        <f>P338*20%</f>
      </c>
      <c r="R338" s="13">
        <v>0</v>
      </c>
      <c r="S338" s="13">
        <f>R338*20%</f>
      </c>
      <c r="T338" s="13">
        <v>1</v>
      </c>
      <c r="U338" s="13">
        <f>O338+Q338+S338</f>
      </c>
      <c r="V338" s="13">
        <v>0</v>
      </c>
      <c r="W338" s="13">
        <f>(V338-Y338)/J338*100</f>
      </c>
      <c r="X338" s="13">
        <f>M338-U338</f>
      </c>
      <c r="Y338" s="11"/>
      <c r="Z338" s="13">
        <f>V338-Y338</f>
      </c>
      <c r="AA338" s="10">
        <v>46241.5</v>
      </c>
      <c r="AB338" s="11" t="s">
        <v>678</v>
      </c>
      <c r="AC338" s="11">
        <v>2</v>
      </c>
      <c r="AD338" s="11" t="s">
        <v>679</v>
      </c>
      <c r="AE338" s="11" t="s">
        <v>1</v>
      </c>
    </row>
    <row r="339" spans="1:31" x14ac:dyDescent="0.25">
      <c r="A339" s="8">
        <v>46157.5</v>
      </c>
      <c r="B339" t="s">
        <v>680</v>
      </c>
      <c r="C339" t="s">
        <v>1</v>
      </c>
      <c r="D339" s="9" t="s">
        <v>681</v>
      </c>
      <c r="E339" t="s">
        <v>172</v>
      </c>
      <c r="F339" t="s">
        <v>59</v>
      </c>
      <c r="G339" t="s">
        <v>65</v>
      </c>
      <c r="H339" t="s">
        <v>75</v>
      </c>
      <c r="I339">
        <v>1</v>
      </c>
      <c r="J339" s="4">
        <v>149</v>
      </c>
      <c r="K339" s="4">
        <v>204.13</v>
      </c>
      <c r="L339" s="4">
        <f>K339-J339</f>
      </c>
      <c r="M339" s="4">
        <f>L339*16.67%</f>
      </c>
      <c r="N339" s="4">
        <f>K339/100*7</f>
      </c>
      <c r="O339" s="4">
        <f>N339*20%</f>
      </c>
      <c r="P339" s="4">
        <f>N339*2%</f>
      </c>
      <c r="Q339" s="4">
        <f>P339*20%</f>
      </c>
      <c r="R339" s="4">
        <v>0</v>
      </c>
      <c r="S339" s="4">
        <f>R339*20%</f>
      </c>
      <c r="T339" s="4">
        <v>1</v>
      </c>
      <c r="U339" s="4">
        <f>O339+Q339+S339</f>
      </c>
      <c r="V339" s="4">
        <f>L339-M339-N339-O339-P339-Q339-R339-S339-T339</f>
      </c>
      <c r="W339" s="4">
        <f>(V339-Y339)/J339*100</f>
      </c>
      <c r="X339" s="4">
        <f>M339-U339</f>
      </c>
      <c r="Z339" s="4">
        <f>V339-Y339</f>
      </c>
      <c r="AE339" t="s">
        <v>1</v>
      </c>
    </row>
    <row r="340" spans="1:31" x14ac:dyDescent="0.25">
      <c r="A340" s="10">
        <v>46157.5</v>
      </c>
      <c r="B340" s="11" t="s">
        <v>682</v>
      </c>
      <c r="C340" s="11" t="s">
        <v>1</v>
      </c>
      <c r="D340" s="12" t="s">
        <v>683</v>
      </c>
      <c r="E340" s="11" t="s">
        <v>172</v>
      </c>
      <c r="F340" s="11" t="s">
        <v>88</v>
      </c>
      <c r="G340" s="11" t="s">
        <v>65</v>
      </c>
      <c r="H340" s="11" t="s">
        <v>66</v>
      </c>
      <c r="I340" s="11">
        <v>1</v>
      </c>
      <c r="J340" s="13">
        <v>158</v>
      </c>
      <c r="K340" s="13">
        <v>191.18</v>
      </c>
      <c r="L340" s="13">
        <f>K340-J340</f>
      </c>
      <c r="M340" s="13">
        <f>L340*16.67%</f>
      </c>
      <c r="N340" s="13">
        <f>K340/100*7</f>
      </c>
      <c r="O340" s="13">
        <f>N340*20%</f>
      </c>
      <c r="P340" s="13">
        <f>N340*2%</f>
      </c>
      <c r="Q340" s="13">
        <f>P340*20%</f>
      </c>
      <c r="R340" s="13">
        <v>0</v>
      </c>
      <c r="S340" s="13">
        <f>R340*20%</f>
      </c>
      <c r="T340" s="13">
        <v>1</v>
      </c>
      <c r="U340" s="13">
        <f>O340+Q340+S340</f>
      </c>
      <c r="V340" s="13">
        <v>0</v>
      </c>
      <c r="W340" s="13">
        <f>(V340-Y340)/J340*100</f>
      </c>
      <c r="X340" s="13">
        <f>M340-U340</f>
      </c>
      <c r="Y340" s="11"/>
      <c r="Z340" s="13">
        <f>V340-Y340</f>
      </c>
      <c r="AA340" s="10">
        <v>46241.5</v>
      </c>
      <c r="AB340" s="11" t="s">
        <v>678</v>
      </c>
      <c r="AC340" s="11">
        <v>2</v>
      </c>
      <c r="AD340" s="11" t="s">
        <v>679</v>
      </c>
      <c r="AE340" s="11" t="s">
        <v>1</v>
      </c>
    </row>
    <row r="341" spans="1:31" x14ac:dyDescent="0.25">
      <c r="A341" s="8">
        <v>46157.5</v>
      </c>
      <c r="B341" t="s">
        <v>684</v>
      </c>
      <c r="C341" t="s">
        <v>254</v>
      </c>
      <c r="D341" s="9" t="s">
        <v>1</v>
      </c>
      <c r="E341" t="s">
        <v>254</v>
      </c>
      <c r="F341" t="s">
        <v>1</v>
      </c>
      <c r="G341" t="s">
        <v>1</v>
      </c>
      <c r="H341" t="s">
        <v>61</v>
      </c>
      <c r="I341">
        <v>3</v>
      </c>
      <c r="J341" s="4">
        <v>2.4</v>
      </c>
      <c r="K341" s="4">
        <v>3.19</v>
      </c>
      <c r="L341" s="4">
        <f>K341-J341</f>
      </c>
      <c r="M341" s="4">
        <f>L341*16.67%</f>
      </c>
      <c r="N341" s="4">
        <f>K341/100*7</f>
      </c>
      <c r="O341" s="4">
        <f>N341*20%</f>
      </c>
      <c r="P341" s="4">
        <f>N341*2%</f>
      </c>
      <c r="Q341" s="4">
        <f>P341*20%</f>
      </c>
      <c r="R341" s="4">
        <v>0</v>
      </c>
      <c r="S341" s="4">
        <f>R341*20%</f>
      </c>
      <c r="T341" s="4">
        <v>0</v>
      </c>
      <c r="U341" s="4">
        <f>O341+Q341+S341</f>
      </c>
      <c r="V341" s="4">
        <f>L341-M341-N341-O341-P341-Q341-R341-S341-T341</f>
      </c>
      <c r="W341" s="4">
        <f>(V341-Y341)/J341*100</f>
      </c>
      <c r="X341" s="4">
        <f>M341-U341</f>
      </c>
      <c r="Z341" s="4">
        <f>V341-Y341</f>
      </c>
      <c r="AE341" t="s">
        <v>1</v>
      </c>
    </row>
    <row r="342" spans="1:31" x14ac:dyDescent="0.25">
      <c r="A342" s="8">
        <v>46157.5</v>
      </c>
      <c r="B342" t="s">
        <v>685</v>
      </c>
      <c r="C342" t="s">
        <v>182</v>
      </c>
      <c r="D342" s="9" t="s">
        <v>1</v>
      </c>
      <c r="E342" t="s">
        <v>182</v>
      </c>
      <c r="F342" t="s">
        <v>1</v>
      </c>
      <c r="G342" t="s">
        <v>1</v>
      </c>
      <c r="H342" t="s">
        <v>75</v>
      </c>
      <c r="I342">
        <v>1</v>
      </c>
      <c r="J342" s="4">
        <v>1.9</v>
      </c>
      <c r="K342" s="4">
        <v>2.6</v>
      </c>
      <c r="L342" s="4">
        <f>K342-J342</f>
      </c>
      <c r="M342" s="4">
        <f>L342*16.67%</f>
      </c>
      <c r="N342" s="4">
        <f>K342/100*7</f>
      </c>
      <c r="O342" s="4">
        <f>N342*20%</f>
      </c>
      <c r="P342" s="4">
        <f>N342*2%</f>
      </c>
      <c r="Q342" s="4">
        <f>P342*20%</f>
      </c>
      <c r="R342" s="4">
        <v>0</v>
      </c>
      <c r="S342" s="4">
        <f>R342*20%</f>
      </c>
      <c r="T342" s="4">
        <v>0</v>
      </c>
      <c r="U342" s="4">
        <f>O342+Q342+S342</f>
      </c>
      <c r="V342" s="4">
        <f>L342-M342-N342-O342-P342-Q342-R342-S342-T342</f>
      </c>
      <c r="W342" s="4">
        <f>(V342-Y342)/J342*100</f>
      </c>
      <c r="X342" s="4">
        <f>M342-U342</f>
      </c>
      <c r="Z342" s="4">
        <f>V342-Y342</f>
      </c>
      <c r="AE342" t="s">
        <v>1</v>
      </c>
    </row>
    <row r="343" spans="1:31" x14ac:dyDescent="0.25">
      <c r="A343" s="8">
        <v>46157.5</v>
      </c>
      <c r="B343" t="s">
        <v>686</v>
      </c>
      <c r="C343" t="s">
        <v>189</v>
      </c>
      <c r="D343" s="9" t="s">
        <v>1</v>
      </c>
      <c r="E343" t="s">
        <v>189</v>
      </c>
      <c r="F343" t="s">
        <v>1</v>
      </c>
      <c r="G343" t="s">
        <v>1</v>
      </c>
      <c r="H343" t="s">
        <v>66</v>
      </c>
      <c r="I343">
        <v>4</v>
      </c>
      <c r="J343" s="4">
        <v>14</v>
      </c>
      <c r="K343" s="4">
        <v>18.76</v>
      </c>
      <c r="L343" s="4">
        <f>K343-J343</f>
      </c>
      <c r="M343" s="4">
        <f>L343*16.67%</f>
      </c>
      <c r="N343" s="4">
        <f>K343/100*7</f>
      </c>
      <c r="O343" s="4">
        <f>N343*20%</f>
      </c>
      <c r="P343" s="4">
        <f>N343*2%</f>
      </c>
      <c r="Q343" s="4">
        <f>P343*20%</f>
      </c>
      <c r="R343" s="4">
        <v>0</v>
      </c>
      <c r="S343" s="4">
        <f>R343*20%</f>
      </c>
      <c r="T343" s="4">
        <v>0</v>
      </c>
      <c r="U343" s="4">
        <f>O343+Q343+S343</f>
      </c>
      <c r="V343" s="4">
        <f>L343-M343-N343-O343-P343-Q343-R343-S343-T343</f>
      </c>
      <c r="W343" s="4">
        <f>(V343-Y343)/J343*100</f>
      </c>
      <c r="X343" s="4">
        <f>M343-U343</f>
      </c>
      <c r="Z343" s="4">
        <f>V343-Y343</f>
      </c>
      <c r="AE343" t="s">
        <v>1</v>
      </c>
    </row>
    <row r="344" spans="1:31" x14ac:dyDescent="0.25">
      <c r="A344" s="8">
        <v>46156.5</v>
      </c>
      <c r="B344" t="s">
        <v>687</v>
      </c>
      <c r="C344" t="s">
        <v>1</v>
      </c>
      <c r="D344" s="9" t="s">
        <v>688</v>
      </c>
      <c r="E344" t="s">
        <v>69</v>
      </c>
      <c r="F344" t="s">
        <v>74</v>
      </c>
      <c r="G344" t="s">
        <v>60</v>
      </c>
      <c r="H344" t="s">
        <v>102</v>
      </c>
      <c r="I344">
        <v>1</v>
      </c>
      <c r="J344" s="4">
        <v>497</v>
      </c>
      <c r="K344" s="4">
        <v>626.22</v>
      </c>
      <c r="L344" s="4">
        <f>K344-J344</f>
      </c>
      <c r="M344" s="4">
        <f>L344*16.67%</f>
      </c>
      <c r="N344" s="4">
        <f>K344/100*7</f>
      </c>
      <c r="O344" s="4">
        <f>N344*20%</f>
      </c>
      <c r="P344" s="4">
        <f>N344*2%</f>
      </c>
      <c r="Q344" s="4">
        <f>P344*20%</f>
      </c>
      <c r="R344" s="4">
        <v>0</v>
      </c>
      <c r="S344" s="4">
        <f>R344*20%</f>
      </c>
      <c r="T344" s="4">
        <v>1</v>
      </c>
      <c r="U344" s="4">
        <f>O344+Q344+S344</f>
      </c>
      <c r="V344" s="4">
        <f>L344-M344-N344-O344-P344-Q344-R344-S344-T344</f>
      </c>
      <c r="W344" s="4">
        <f>(V344-Y344)/J344*100</f>
      </c>
      <c r="X344" s="4">
        <f>M344-U344</f>
      </c>
      <c r="Z344" s="4">
        <f>V344-Y344</f>
      </c>
      <c r="AE344" t="s">
        <v>1</v>
      </c>
    </row>
    <row r="345" spans="1:31" x14ac:dyDescent="0.25">
      <c r="A345" s="8">
        <v>46156.5</v>
      </c>
      <c r="B345" t="s">
        <v>689</v>
      </c>
      <c r="C345" t="s">
        <v>1</v>
      </c>
      <c r="D345" s="9" t="s">
        <v>690</v>
      </c>
      <c r="E345" t="s">
        <v>94</v>
      </c>
      <c r="F345" t="s">
        <v>74</v>
      </c>
      <c r="G345" t="s">
        <v>95</v>
      </c>
      <c r="H345" t="s">
        <v>75</v>
      </c>
      <c r="I345">
        <v>1</v>
      </c>
      <c r="J345" s="4">
        <v>71</v>
      </c>
      <c r="K345" s="4">
        <v>90.17</v>
      </c>
      <c r="L345" s="4">
        <f>K345-J345</f>
      </c>
      <c r="M345" s="4">
        <f>L345*16.67%</f>
      </c>
      <c r="N345" s="4">
        <f>K345/100*7</f>
      </c>
      <c r="O345" s="4">
        <f>N345*20%</f>
      </c>
      <c r="P345" s="4">
        <f>N345*2%</f>
      </c>
      <c r="Q345" s="4">
        <f>P345*20%</f>
      </c>
      <c r="R345" s="4">
        <v>0</v>
      </c>
      <c r="S345" s="4">
        <f>R345*20%</f>
      </c>
      <c r="T345" s="4">
        <v>1</v>
      </c>
      <c r="U345" s="4">
        <f>O345+Q345+S345</f>
      </c>
      <c r="V345" s="4">
        <f>L345-M345-N345-O345-P345-Q345-R345-S345-T345</f>
      </c>
      <c r="W345" s="4">
        <f>(V345-Y345)/J345*100</f>
      </c>
      <c r="X345" s="4">
        <f>M345-U345</f>
      </c>
      <c r="Z345" s="4">
        <f>V345-Y345</f>
      </c>
      <c r="AE345" t="s">
        <v>1</v>
      </c>
    </row>
    <row r="346" spans="1:31" x14ac:dyDescent="0.25">
      <c r="A346" s="8">
        <v>46156.5</v>
      </c>
      <c r="B346" t="s">
        <v>691</v>
      </c>
      <c r="C346" t="s">
        <v>1</v>
      </c>
      <c r="D346" s="9" t="s">
        <v>692</v>
      </c>
      <c r="E346" t="s">
        <v>91</v>
      </c>
      <c r="F346" t="s">
        <v>105</v>
      </c>
      <c r="G346" t="s">
        <v>95</v>
      </c>
      <c r="H346" t="s">
        <v>61</v>
      </c>
      <c r="I346">
        <v>1</v>
      </c>
      <c r="J346" s="4">
        <v>105</v>
      </c>
      <c r="K346" s="4">
        <v>150.15</v>
      </c>
      <c r="L346" s="4">
        <f>K346-J346</f>
      </c>
      <c r="M346" s="4">
        <f>L346*16.67%</f>
      </c>
      <c r="N346" s="4">
        <f>K346/100*7</f>
      </c>
      <c r="O346" s="4">
        <f>N346*20%</f>
      </c>
      <c r="P346" s="4">
        <f>N346*2%</f>
      </c>
      <c r="Q346" s="4">
        <f>P346*20%</f>
      </c>
      <c r="R346" s="4">
        <v>0</v>
      </c>
      <c r="S346" s="4">
        <f>R346*20%</f>
      </c>
      <c r="T346" s="4">
        <v>1</v>
      </c>
      <c r="U346" s="4">
        <f>O346+Q346+S346</f>
      </c>
      <c r="V346" s="4">
        <f>L346-M346-N346-O346-P346-Q346-R346-S346-T346</f>
      </c>
      <c r="W346" s="4">
        <f>(V346-Y346)/J346*100</f>
      </c>
      <c r="X346" s="4">
        <f>M346-U346</f>
      </c>
      <c r="Z346" s="4">
        <f>V346-Y346</f>
      </c>
      <c r="AE346" t="s">
        <v>1</v>
      </c>
    </row>
    <row r="347" spans="1:31" x14ac:dyDescent="0.25">
      <c r="A347" s="8">
        <v>46156.5</v>
      </c>
      <c r="B347" t="s">
        <v>693</v>
      </c>
      <c r="C347" t="s">
        <v>177</v>
      </c>
      <c r="D347" s="9" t="s">
        <v>1</v>
      </c>
      <c r="E347" t="s">
        <v>177</v>
      </c>
      <c r="F347" t="s">
        <v>1</v>
      </c>
      <c r="G347" t="s">
        <v>1</v>
      </c>
      <c r="H347" t="s">
        <v>78</v>
      </c>
      <c r="I347">
        <v>1</v>
      </c>
      <c r="J347" s="4">
        <v>0.15</v>
      </c>
      <c r="K347" s="4">
        <v>0.21</v>
      </c>
      <c r="L347" s="4">
        <f>K347-J347</f>
      </c>
      <c r="M347" s="4">
        <f>L347*16.67%</f>
      </c>
      <c r="N347" s="4">
        <f>K347/100*7</f>
      </c>
      <c r="O347" s="4">
        <f>N347*20%</f>
      </c>
      <c r="P347" s="4">
        <f>N347*2%</f>
      </c>
      <c r="Q347" s="4">
        <f>P347*20%</f>
      </c>
      <c r="R347" s="4">
        <v>0</v>
      </c>
      <c r="S347" s="4">
        <f>R347*20%</f>
      </c>
      <c r="T347" s="4">
        <v>0</v>
      </c>
      <c r="U347" s="4">
        <f>O347+Q347+S347</f>
      </c>
      <c r="V347" s="4">
        <f>L347-M347-N347-O347-P347-Q347-R347-S347-T347</f>
      </c>
      <c r="W347" s="4">
        <f>(V347-Y347)/J347*100</f>
      </c>
      <c r="X347" s="4">
        <f>M347-U347</f>
      </c>
      <c r="Z347" s="4">
        <f>V347-Y347</f>
      </c>
      <c r="AE347" t="s">
        <v>1</v>
      </c>
    </row>
    <row r="348" spans="1:31" x14ac:dyDescent="0.25">
      <c r="A348" s="8">
        <v>46155.5</v>
      </c>
      <c r="B348" t="s">
        <v>694</v>
      </c>
      <c r="C348" t="s">
        <v>1</v>
      </c>
      <c r="D348" s="9" t="s">
        <v>695</v>
      </c>
      <c r="E348" t="s">
        <v>292</v>
      </c>
      <c r="F348" t="s">
        <v>105</v>
      </c>
      <c r="G348" t="s">
        <v>126</v>
      </c>
      <c r="H348" t="s">
        <v>66</v>
      </c>
      <c r="I348">
        <v>1</v>
      </c>
      <c r="J348" s="4">
        <v>209</v>
      </c>
      <c r="K348" s="4">
        <v>280.06</v>
      </c>
      <c r="L348" s="4">
        <f>K348-J348</f>
      </c>
      <c r="M348" s="4">
        <f>L348*16.67%</f>
      </c>
      <c r="N348" s="4">
        <f>K348/100*7</f>
      </c>
      <c r="O348" s="4">
        <f>N348*20%</f>
      </c>
      <c r="P348" s="4">
        <f>N348*2%</f>
      </c>
      <c r="Q348" s="4">
        <f>P348*20%</f>
      </c>
      <c r="R348" s="4">
        <v>0</v>
      </c>
      <c r="S348" s="4">
        <f>R348*20%</f>
      </c>
      <c r="T348" s="4">
        <v>1</v>
      </c>
      <c r="U348" s="4">
        <f>O348+Q348+S348</f>
      </c>
      <c r="V348" s="4">
        <f>L348-M348-N348-O348-P348-Q348-R348-S348-T348</f>
      </c>
      <c r="W348" s="4">
        <f>(V348-Y348)/J348*100</f>
      </c>
      <c r="X348" s="4">
        <f>M348-U348</f>
      </c>
      <c r="Z348" s="4">
        <f>V348-Y348</f>
      </c>
      <c r="AE348" t="s">
        <v>1</v>
      </c>
    </row>
    <row r="349" spans="1:31" x14ac:dyDescent="0.25">
      <c r="A349" s="8">
        <v>46155.5</v>
      </c>
      <c r="B349" t="s">
        <v>696</v>
      </c>
      <c r="C349" t="s">
        <v>1</v>
      </c>
      <c r="D349" s="9" t="s">
        <v>697</v>
      </c>
      <c r="E349" t="s">
        <v>58</v>
      </c>
      <c r="F349" t="s">
        <v>59</v>
      </c>
      <c r="G349" t="s">
        <v>60</v>
      </c>
      <c r="H349" t="s">
        <v>75</v>
      </c>
      <c r="I349">
        <v>1</v>
      </c>
      <c r="J349" s="4">
        <v>454</v>
      </c>
      <c r="K349" s="4">
        <v>621.98</v>
      </c>
      <c r="L349" s="4">
        <f>K349-J349</f>
      </c>
      <c r="M349" s="4">
        <f>L349*16.67%</f>
      </c>
      <c r="N349" s="4">
        <f>K349/100*7</f>
      </c>
      <c r="O349" s="4">
        <f>N349*20%</f>
      </c>
      <c r="P349" s="4">
        <f>N349*2%</f>
      </c>
      <c r="Q349" s="4">
        <f>P349*20%</f>
      </c>
      <c r="R349" s="4">
        <v>0</v>
      </c>
      <c r="S349" s="4">
        <f>R349*20%</f>
      </c>
      <c r="T349" s="4">
        <v>1</v>
      </c>
      <c r="U349" s="4">
        <f>O349+Q349+S349</f>
      </c>
      <c r="V349" s="4">
        <f>L349-M349-N349-O349-P349-Q349-R349-S349-T349</f>
      </c>
      <c r="W349" s="4">
        <f>(V349-Y349)/J349*100</f>
      </c>
      <c r="X349" s="4">
        <f>M349-U349</f>
      </c>
      <c r="Z349" s="4">
        <f>V349-Y349</f>
      </c>
      <c r="AE349" t="s">
        <v>1</v>
      </c>
    </row>
    <row r="350" spans="1:31" x14ac:dyDescent="0.25">
      <c r="A350" s="8">
        <v>46155.5</v>
      </c>
      <c r="B350" t="s">
        <v>698</v>
      </c>
      <c r="C350" t="s">
        <v>1</v>
      </c>
      <c r="D350" s="9" t="s">
        <v>699</v>
      </c>
      <c r="E350" t="s">
        <v>114</v>
      </c>
      <c r="F350" t="s">
        <v>74</v>
      </c>
      <c r="G350" t="s">
        <v>60</v>
      </c>
      <c r="H350" t="s">
        <v>66</v>
      </c>
      <c r="I350">
        <v>1</v>
      </c>
      <c r="J350" s="4">
        <v>245</v>
      </c>
      <c r="K350" s="4">
        <v>286.65</v>
      </c>
      <c r="L350" s="4">
        <f>K350-J350</f>
      </c>
      <c r="M350" s="4">
        <f>L350*16.67%</f>
      </c>
      <c r="N350" s="4">
        <f>K350/100*7</f>
      </c>
      <c r="O350" s="4">
        <f>N350*20%</f>
      </c>
      <c r="P350" s="4">
        <f>N350*2%</f>
      </c>
      <c r="Q350" s="4">
        <f>P350*20%</f>
      </c>
      <c r="R350" s="4">
        <v>0</v>
      </c>
      <c r="S350" s="4">
        <f>R350*20%</f>
      </c>
      <c r="T350" s="4">
        <v>1</v>
      </c>
      <c r="U350" s="4">
        <f>O350+Q350+S350</f>
      </c>
      <c r="V350" s="4">
        <f>L350-M350-N350-O350-P350-Q350-R350-S350-T350</f>
      </c>
      <c r="W350" s="4">
        <f>(V350-Y350)/J350*100</f>
      </c>
      <c r="X350" s="4">
        <f>M350-U350</f>
      </c>
      <c r="Z350" s="4">
        <f>V350-Y350</f>
      </c>
      <c r="AE350" t="s">
        <v>1</v>
      </c>
    </row>
    <row r="351" spans="1:31" x14ac:dyDescent="0.25">
      <c r="A351" s="8">
        <v>46154.5</v>
      </c>
      <c r="B351" t="s">
        <v>700</v>
      </c>
      <c r="C351" t="s">
        <v>1</v>
      </c>
      <c r="D351" s="9" t="s">
        <v>701</v>
      </c>
      <c r="E351" t="s">
        <v>69</v>
      </c>
      <c r="F351" t="s">
        <v>70</v>
      </c>
      <c r="G351" t="s">
        <v>60</v>
      </c>
      <c r="H351" t="s">
        <v>66</v>
      </c>
      <c r="I351">
        <v>1</v>
      </c>
      <c r="J351" s="4">
        <v>517</v>
      </c>
      <c r="K351" s="4">
        <v>687.61</v>
      </c>
      <c r="L351" s="4">
        <f>K351-J351</f>
      </c>
      <c r="M351" s="4">
        <f>L351*16.67%</f>
      </c>
      <c r="N351" s="4">
        <f>K351/100*7</f>
      </c>
      <c r="O351" s="4">
        <f>N351*20%</f>
      </c>
      <c r="P351" s="4">
        <f>N351*2%</f>
      </c>
      <c r="Q351" s="4">
        <f>P351*20%</f>
      </c>
      <c r="R351" s="4">
        <v>0</v>
      </c>
      <c r="S351" s="4">
        <f>R351*20%</f>
      </c>
      <c r="T351" s="4">
        <v>1</v>
      </c>
      <c r="U351" s="4">
        <f>O351+Q351+S351</f>
      </c>
      <c r="V351" s="4">
        <f>L351-M351-N351-O351-P351-Q351-R351-S351-T351</f>
      </c>
      <c r="W351" s="4">
        <f>(V351-Y351)/J351*100</f>
      </c>
      <c r="X351" s="4">
        <f>M351-U351</f>
      </c>
      <c r="Z351" s="4">
        <f>V351-Y351</f>
      </c>
      <c r="AE351" t="s">
        <v>1</v>
      </c>
    </row>
    <row r="352" spans="1:31" x14ac:dyDescent="0.25">
      <c r="A352" s="8">
        <v>46154.5</v>
      </c>
      <c r="B352" t="s">
        <v>702</v>
      </c>
      <c r="C352" t="s">
        <v>1</v>
      </c>
      <c r="D352" s="9" t="s">
        <v>703</v>
      </c>
      <c r="E352" t="s">
        <v>131</v>
      </c>
      <c r="F352" t="s">
        <v>70</v>
      </c>
      <c r="G352" t="s">
        <v>65</v>
      </c>
      <c r="H352" t="s">
        <v>78</v>
      </c>
      <c r="I352">
        <v>1</v>
      </c>
      <c r="J352" s="4">
        <v>282</v>
      </c>
      <c r="K352" s="4">
        <v>406.08</v>
      </c>
      <c r="L352" s="4">
        <f>K352-J352</f>
      </c>
      <c r="M352" s="4">
        <f>L352*16.67%</f>
      </c>
      <c r="N352" s="4">
        <f>K352/100*7</f>
      </c>
      <c r="O352" s="4">
        <f>N352*20%</f>
      </c>
      <c r="P352" s="4">
        <f>N352*2%</f>
      </c>
      <c r="Q352" s="4">
        <f>P352*20%</f>
      </c>
      <c r="R352" s="4">
        <v>0</v>
      </c>
      <c r="S352" s="4">
        <f>R352*20%</f>
      </c>
      <c r="T352" s="4">
        <v>1</v>
      </c>
      <c r="U352" s="4">
        <f>O352+Q352+S352</f>
      </c>
      <c r="V352" s="4">
        <f>L352-M352-N352-O352-P352-Q352-R352-S352-T352</f>
      </c>
      <c r="W352" s="4">
        <f>(V352-Y352)/J352*100</f>
      </c>
      <c r="X352" s="4">
        <f>M352-U352</f>
      </c>
      <c r="Z352" s="4">
        <f>V352-Y352</f>
      </c>
      <c r="AE352" t="s">
        <v>1</v>
      </c>
    </row>
    <row r="353" spans="1:31" x14ac:dyDescent="0.25">
      <c r="A353" s="8">
        <v>46154.5</v>
      </c>
      <c r="B353" t="s">
        <v>704</v>
      </c>
      <c r="C353" t="s">
        <v>1</v>
      </c>
      <c r="D353" s="9" t="s">
        <v>1</v>
      </c>
      <c r="E353" t="s">
        <v>1</v>
      </c>
      <c r="F353" t="s">
        <v>1</v>
      </c>
      <c r="G353" t="s">
        <v>1</v>
      </c>
      <c r="H353" t="s">
        <v>102</v>
      </c>
      <c r="I353">
        <v>1</v>
      </c>
      <c r="J353" s="4">
        <v>279</v>
      </c>
      <c r="K353" s="4">
        <v>390.6</v>
      </c>
      <c r="L353" s="4">
        <f>K353-J353</f>
      </c>
      <c r="M353" s="4">
        <f>L353*16.67%</f>
      </c>
      <c r="N353" s="4">
        <f>K353/100*7</f>
      </c>
      <c r="O353" s="4">
        <f>N353*20%</f>
      </c>
      <c r="P353" s="4">
        <f>N353*2%</f>
      </c>
      <c r="Q353" s="4">
        <f>P353*20%</f>
      </c>
      <c r="R353" s="4">
        <v>0</v>
      </c>
      <c r="S353" s="4">
        <f>R353*20%</f>
      </c>
      <c r="T353" s="4">
        <v>1</v>
      </c>
      <c r="U353" s="4">
        <f>O353+Q353+S353</f>
      </c>
      <c r="V353" s="4">
        <f>L353-M353-N353-O353-P353-Q353-R353-S353-T353</f>
      </c>
      <c r="W353" s="4">
        <f>(V353-Y353)/J353*100</f>
      </c>
      <c r="X353" s="4">
        <f>M353-U353</f>
      </c>
      <c r="Z353" s="4">
        <f>V353-Y353</f>
      </c>
      <c r="AE353" t="s">
        <v>1</v>
      </c>
    </row>
    <row r="354" spans="1:31" x14ac:dyDescent="0.25">
      <c r="A354" s="8">
        <v>46154.5</v>
      </c>
      <c r="B354" t="s">
        <v>705</v>
      </c>
      <c r="C354" t="s">
        <v>174</v>
      </c>
      <c r="D354" s="9" t="s">
        <v>1</v>
      </c>
      <c r="E354" t="s">
        <v>174</v>
      </c>
      <c r="F354" t="s">
        <v>1</v>
      </c>
      <c r="G354" t="s">
        <v>1</v>
      </c>
      <c r="H354" t="s">
        <v>66</v>
      </c>
      <c r="I354">
        <v>4</v>
      </c>
      <c r="J354" s="4">
        <v>17</v>
      </c>
      <c r="K354" s="4">
        <v>22.1</v>
      </c>
      <c r="L354" s="4">
        <f>K354-J354</f>
      </c>
      <c r="M354" s="4">
        <f>L354*16.67%</f>
      </c>
      <c r="N354" s="4">
        <f>K354/100*7</f>
      </c>
      <c r="O354" s="4">
        <f>N354*20%</f>
      </c>
      <c r="P354" s="4">
        <f>N354*2%</f>
      </c>
      <c r="Q354" s="4">
        <f>P354*20%</f>
      </c>
      <c r="R354" s="4">
        <v>0</v>
      </c>
      <c r="S354" s="4">
        <f>R354*20%</f>
      </c>
      <c r="T354" s="4">
        <v>0</v>
      </c>
      <c r="U354" s="4">
        <f>O354+Q354+S354</f>
      </c>
      <c r="V354" s="4">
        <f>L354-M354-N354-O354-P354-Q354-R354-S354-T354</f>
      </c>
      <c r="W354" s="4">
        <f>(V354-Y354)/J354*100</f>
      </c>
      <c r="X354" s="4">
        <f>M354-U354</f>
      </c>
      <c r="Z354" s="4">
        <f>V354-Y354</f>
      </c>
      <c r="AE354" t="s">
        <v>1</v>
      </c>
    </row>
    <row r="355" spans="1:31" x14ac:dyDescent="0.25">
      <c r="A355" s="8">
        <v>46154.5</v>
      </c>
      <c r="B355" t="s">
        <v>706</v>
      </c>
      <c r="C355" t="s">
        <v>182</v>
      </c>
      <c r="D355" s="9" t="s">
        <v>1</v>
      </c>
      <c r="E355" t="s">
        <v>182</v>
      </c>
      <c r="F355" t="s">
        <v>1</v>
      </c>
      <c r="G355" t="s">
        <v>1</v>
      </c>
      <c r="H355" t="s">
        <v>75</v>
      </c>
      <c r="I355">
        <v>4</v>
      </c>
      <c r="J355" s="4">
        <v>7.6</v>
      </c>
      <c r="K355" s="4">
        <v>8.89</v>
      </c>
      <c r="L355" s="4">
        <f>K355-J355</f>
      </c>
      <c r="M355" s="4">
        <f>L355*16.67%</f>
      </c>
      <c r="N355" s="4">
        <f>K355/100*7</f>
      </c>
      <c r="O355" s="4">
        <f>N355*20%</f>
      </c>
      <c r="P355" s="4">
        <f>N355*2%</f>
      </c>
      <c r="Q355" s="4">
        <f>P355*20%</f>
      </c>
      <c r="R355" s="4">
        <v>0</v>
      </c>
      <c r="S355" s="4">
        <f>R355*20%</f>
      </c>
      <c r="T355" s="4">
        <v>0</v>
      </c>
      <c r="U355" s="4">
        <f>O355+Q355+S355</f>
      </c>
      <c r="V355" s="4">
        <f>L355-M355-N355-O355-P355-Q355-R355-S355-T355</f>
      </c>
      <c r="W355" s="4">
        <f>(V355-Y355)/J355*100</f>
      </c>
      <c r="X355" s="4">
        <f>M355-U355</f>
      </c>
      <c r="Z355" s="4">
        <f>V355-Y355</f>
      </c>
      <c r="AE355" t="s">
        <v>1</v>
      </c>
    </row>
    <row r="356" spans="1:31" x14ac:dyDescent="0.25">
      <c r="A356" s="10">
        <v>46153.5</v>
      </c>
      <c r="B356" s="11" t="s">
        <v>707</v>
      </c>
      <c r="C356" s="11" t="s">
        <v>1</v>
      </c>
      <c r="D356" s="12" t="s">
        <v>708</v>
      </c>
      <c r="E356" s="11" t="s">
        <v>84</v>
      </c>
      <c r="F356" s="11" t="s">
        <v>59</v>
      </c>
      <c r="G356" s="11" t="s">
        <v>60</v>
      </c>
      <c r="H356" s="11" t="s">
        <v>102</v>
      </c>
      <c r="I356" s="11">
        <v>1</v>
      </c>
      <c r="J356" s="13">
        <v>757</v>
      </c>
      <c r="K356" s="13">
        <v>968.96</v>
      </c>
      <c r="L356" s="13">
        <f>K356-J356</f>
      </c>
      <c r="M356" s="13">
        <f>L356*16.67%</f>
      </c>
      <c r="N356" s="13">
        <f>K356/100*7</f>
      </c>
      <c r="O356" s="13">
        <f>N356*20%</f>
      </c>
      <c r="P356" s="13">
        <f>N356*2%</f>
      </c>
      <c r="Q356" s="13">
        <f>P356*20%</f>
      </c>
      <c r="R356" s="13">
        <v>0</v>
      </c>
      <c r="S356" s="13">
        <f>R356*20%</f>
      </c>
      <c r="T356" s="13">
        <v>1</v>
      </c>
      <c r="U356" s="13">
        <f>O356+Q356+S356</f>
      </c>
      <c r="V356" s="13">
        <v>0</v>
      </c>
      <c r="W356" s="13">
        <f>(V356-Y356)/J356*100</f>
      </c>
      <c r="X356" s="13">
        <f>M356-U356</f>
      </c>
      <c r="Y356" s="11"/>
      <c r="Z356" s="13">
        <f>V356-Y356</f>
      </c>
      <c r="AA356" s="10">
        <v>46241.5</v>
      </c>
      <c r="AB356" s="11" t="s">
        <v>678</v>
      </c>
      <c r="AC356" s="11">
        <v>2</v>
      </c>
      <c r="AD356" s="11" t="s">
        <v>679</v>
      </c>
      <c r="AE356" s="11" t="s">
        <v>1</v>
      </c>
    </row>
    <row r="357" spans="1:31" x14ac:dyDescent="0.25">
      <c r="A357" s="8">
        <v>46153.5</v>
      </c>
      <c r="B357" t="s">
        <v>709</v>
      </c>
      <c r="C357" t="s">
        <v>1</v>
      </c>
      <c r="D357" s="9" t="s">
        <v>710</v>
      </c>
      <c r="E357" t="s">
        <v>172</v>
      </c>
      <c r="F357" t="s">
        <v>70</v>
      </c>
      <c r="G357" t="s">
        <v>65</v>
      </c>
      <c r="H357" t="s">
        <v>61</v>
      </c>
      <c r="I357">
        <v>1</v>
      </c>
      <c r="J357" s="4">
        <v>156</v>
      </c>
      <c r="K357" s="4">
        <v>191.88</v>
      </c>
      <c r="L357" s="4">
        <f>K357-J357</f>
      </c>
      <c r="M357" s="4">
        <f>L357*16.67%</f>
      </c>
      <c r="N357" s="4">
        <f>K357/100*7</f>
      </c>
      <c r="O357" s="4">
        <f>N357*20%</f>
      </c>
      <c r="P357" s="4">
        <f>N357*2%</f>
      </c>
      <c r="Q357" s="4">
        <f>P357*20%</f>
      </c>
      <c r="R357" s="4">
        <v>0</v>
      </c>
      <c r="S357" s="4">
        <f>R357*20%</f>
      </c>
      <c r="T357" s="4">
        <v>1</v>
      </c>
      <c r="U357" s="4">
        <f>O357+Q357+S357</f>
      </c>
      <c r="V357" s="4">
        <f>L357-M357-N357-O357-P357-Q357-R357-S357-T357</f>
      </c>
      <c r="W357" s="4">
        <f>(V357-Y357)/J357*100</f>
      </c>
      <c r="X357" s="4">
        <f>M357-U357</f>
      </c>
      <c r="Z357" s="4">
        <f>V357-Y357</f>
      </c>
      <c r="AE357" t="s">
        <v>1</v>
      </c>
    </row>
    <row r="358" spans="1:31" x14ac:dyDescent="0.25">
      <c r="A358" s="8">
        <v>46153.5</v>
      </c>
      <c r="B358" t="s">
        <v>711</v>
      </c>
      <c r="C358" t="s">
        <v>1</v>
      </c>
      <c r="D358" s="9" t="s">
        <v>712</v>
      </c>
      <c r="E358" t="s">
        <v>234</v>
      </c>
      <c r="F358" t="s">
        <v>85</v>
      </c>
      <c r="G358" t="s">
        <v>65</v>
      </c>
      <c r="H358" t="s">
        <v>75</v>
      </c>
      <c r="I358">
        <v>1</v>
      </c>
      <c r="J358" s="4">
        <v>177</v>
      </c>
      <c r="K358" s="4">
        <v>240.72</v>
      </c>
      <c r="L358" s="4">
        <f>K358-J358</f>
      </c>
      <c r="M358" s="4">
        <f>L358*16.67%</f>
      </c>
      <c r="N358" s="4">
        <f>K358/100*7</f>
      </c>
      <c r="O358" s="4">
        <f>N358*20%</f>
      </c>
      <c r="P358" s="4">
        <f>N358*2%</f>
      </c>
      <c r="Q358" s="4">
        <f>P358*20%</f>
      </c>
      <c r="R358" s="4">
        <v>0</v>
      </c>
      <c r="S358" s="4">
        <f>R358*20%</f>
      </c>
      <c r="T358" s="4">
        <v>1</v>
      </c>
      <c r="U358" s="4">
        <f>O358+Q358+S358</f>
      </c>
      <c r="V358" s="4">
        <f>L358-M358-N358-O358-P358-Q358-R358-S358-T358</f>
      </c>
      <c r="W358" s="4">
        <f>(V358-Y358)/J358*100</f>
      </c>
      <c r="X358" s="4">
        <f>M358-U358</f>
      </c>
      <c r="Z358" s="4">
        <f>V358-Y358</f>
      </c>
      <c r="AE358" t="s">
        <v>1</v>
      </c>
    </row>
    <row r="359" spans="1:31" x14ac:dyDescent="0.25">
      <c r="A359" s="8">
        <v>46153.5</v>
      </c>
      <c r="B359" t="s">
        <v>713</v>
      </c>
      <c r="C359" t="s">
        <v>1</v>
      </c>
      <c r="D359" s="9" t="s">
        <v>714</v>
      </c>
      <c r="E359" t="s">
        <v>139</v>
      </c>
      <c r="F359" t="s">
        <v>70</v>
      </c>
      <c r="G359" t="s">
        <v>60</v>
      </c>
      <c r="H359" t="s">
        <v>61</v>
      </c>
      <c r="I359">
        <v>1</v>
      </c>
      <c r="J359" s="4">
        <v>307</v>
      </c>
      <c r="K359" s="4">
        <v>377.61</v>
      </c>
      <c r="L359" s="4">
        <f>K359-J359</f>
      </c>
      <c r="M359" s="4">
        <f>L359*16.67%</f>
      </c>
      <c r="N359" s="4">
        <f>K359/100*7</f>
      </c>
      <c r="O359" s="4">
        <f>N359*20%</f>
      </c>
      <c r="P359" s="4">
        <f>N359*2%</f>
      </c>
      <c r="Q359" s="4">
        <f>P359*20%</f>
      </c>
      <c r="R359" s="4">
        <v>0</v>
      </c>
      <c r="S359" s="4">
        <f>R359*20%</f>
      </c>
      <c r="T359" s="4">
        <v>1</v>
      </c>
      <c r="U359" s="4">
        <f>O359+Q359+S359</f>
      </c>
      <c r="V359" s="4">
        <f>L359-M359-N359-O359-P359-Q359-R359-S359-T359</f>
      </c>
      <c r="W359" s="4">
        <f>(V359-Y359)/J359*100</f>
      </c>
      <c r="X359" s="4">
        <f>M359-U359</f>
      </c>
      <c r="Z359" s="4">
        <f>V359-Y359</f>
      </c>
      <c r="AE359" t="s">
        <v>1</v>
      </c>
    </row>
    <row r="360" spans="1:31" x14ac:dyDescent="0.25">
      <c r="A360" s="8">
        <v>46153.5</v>
      </c>
      <c r="B360" t="s">
        <v>715</v>
      </c>
      <c r="C360" t="s">
        <v>254</v>
      </c>
      <c r="D360" s="9" t="s">
        <v>1</v>
      </c>
      <c r="E360" t="s">
        <v>254</v>
      </c>
      <c r="F360" t="s">
        <v>1</v>
      </c>
      <c r="G360" t="s">
        <v>1</v>
      </c>
      <c r="H360" t="s">
        <v>61</v>
      </c>
      <c r="I360">
        <v>3</v>
      </c>
      <c r="J360" s="4">
        <v>2.4</v>
      </c>
      <c r="K360" s="4">
        <v>3.48</v>
      </c>
      <c r="L360" s="4">
        <f>K360-J360</f>
      </c>
      <c r="M360" s="4">
        <f>L360*16.67%</f>
      </c>
      <c r="N360" s="4">
        <f>K360/100*7</f>
      </c>
      <c r="O360" s="4">
        <f>N360*20%</f>
      </c>
      <c r="P360" s="4">
        <f>N360*2%</f>
      </c>
      <c r="Q360" s="4">
        <f>P360*20%</f>
      </c>
      <c r="R360" s="4">
        <v>0</v>
      </c>
      <c r="S360" s="4">
        <f>R360*20%</f>
      </c>
      <c r="T360" s="4">
        <v>0</v>
      </c>
      <c r="U360" s="4">
        <f>O360+Q360+S360</f>
      </c>
      <c r="V360" s="4">
        <f>L360-M360-N360-O360-P360-Q360-R360-S360-T360</f>
      </c>
      <c r="W360" s="4">
        <f>(V360-Y360)/J360*100</f>
      </c>
      <c r="X360" s="4">
        <f>M360-U360</f>
      </c>
      <c r="Z360" s="4">
        <f>V360-Y360</f>
      </c>
      <c r="AE360" t="s">
        <v>1</v>
      </c>
    </row>
    <row r="361" spans="1:31" x14ac:dyDescent="0.25">
      <c r="A361" s="8">
        <v>46152.5</v>
      </c>
      <c r="B361" t="s">
        <v>716</v>
      </c>
      <c r="C361" t="s">
        <v>1</v>
      </c>
      <c r="D361" s="9" t="s">
        <v>717</v>
      </c>
      <c r="E361" t="s">
        <v>114</v>
      </c>
      <c r="F361" t="s">
        <v>88</v>
      </c>
      <c r="G361" t="s">
        <v>95</v>
      </c>
      <c r="H361" t="s">
        <v>66</v>
      </c>
      <c r="I361">
        <v>1</v>
      </c>
      <c r="J361" s="4">
        <v>228</v>
      </c>
      <c r="K361" s="4">
        <v>323.76</v>
      </c>
      <c r="L361" s="4">
        <f>K361-J361</f>
      </c>
      <c r="M361" s="4">
        <f>L361*16.67%</f>
      </c>
      <c r="N361" s="4">
        <f>K361/100*7</f>
      </c>
      <c r="O361" s="4">
        <f>N361*20%</f>
      </c>
      <c r="P361" s="4">
        <f>N361*2%</f>
      </c>
      <c r="Q361" s="4">
        <f>P361*20%</f>
      </c>
      <c r="R361" s="4">
        <v>0</v>
      </c>
      <c r="S361" s="4">
        <f>R361*20%</f>
      </c>
      <c r="T361" s="4">
        <v>1</v>
      </c>
      <c r="U361" s="4">
        <f>O361+Q361+S361</f>
      </c>
      <c r="V361" s="4">
        <f>L361-M361-N361-O361-P361-Q361-R361-S361-T361</f>
      </c>
      <c r="W361" s="4">
        <f>(V361-Y361)/J361*100</f>
      </c>
      <c r="X361" s="4">
        <f>M361-U361</f>
      </c>
      <c r="Z361" s="4">
        <f>V361-Y361</f>
      </c>
      <c r="AE361" t="s">
        <v>1</v>
      </c>
    </row>
    <row r="362" spans="1:31" x14ac:dyDescent="0.25">
      <c r="A362" s="8">
        <v>46152.5</v>
      </c>
      <c r="B362" t="s">
        <v>718</v>
      </c>
      <c r="C362" t="s">
        <v>1</v>
      </c>
      <c r="D362" s="9" t="s">
        <v>719</v>
      </c>
      <c r="E362" t="s">
        <v>58</v>
      </c>
      <c r="F362" t="s">
        <v>70</v>
      </c>
      <c r="G362" t="s">
        <v>60</v>
      </c>
      <c r="H362" t="s">
        <v>66</v>
      </c>
      <c r="I362">
        <v>1</v>
      </c>
      <c r="J362" s="4">
        <v>459</v>
      </c>
      <c r="K362" s="4">
        <v>587.52</v>
      </c>
      <c r="L362" s="4">
        <f>K362-J362</f>
      </c>
      <c r="M362" s="4">
        <f>L362*16.67%</f>
      </c>
      <c r="N362" s="4">
        <f>K362/100*7</f>
      </c>
      <c r="O362" s="4">
        <f>N362*20%</f>
      </c>
      <c r="P362" s="4">
        <f>N362*2%</f>
      </c>
      <c r="Q362" s="4">
        <f>P362*20%</f>
      </c>
      <c r="R362" s="4">
        <v>0</v>
      </c>
      <c r="S362" s="4">
        <f>R362*20%</f>
      </c>
      <c r="T362" s="4">
        <v>1</v>
      </c>
      <c r="U362" s="4">
        <f>O362+Q362+S362</f>
      </c>
      <c r="V362" s="4">
        <f>L362-M362-N362-O362-P362-Q362-R362-S362-T362</f>
      </c>
      <c r="W362" s="4">
        <f>(V362-Y362)/J362*100</f>
      </c>
      <c r="X362" s="4">
        <f>M362-U362</f>
      </c>
      <c r="Z362" s="4">
        <f>V362-Y362</f>
      </c>
      <c r="AE362" t="s">
        <v>1</v>
      </c>
    </row>
    <row r="363" spans="1:31" x14ac:dyDescent="0.25">
      <c r="A363" s="8">
        <v>46152.5</v>
      </c>
      <c r="B363" t="s">
        <v>720</v>
      </c>
      <c r="C363" t="s">
        <v>174</v>
      </c>
      <c r="D363" s="9" t="s">
        <v>1</v>
      </c>
      <c r="E363" t="s">
        <v>174</v>
      </c>
      <c r="F363" t="s">
        <v>1</v>
      </c>
      <c r="G363" t="s">
        <v>1</v>
      </c>
      <c r="H363" t="s">
        <v>66</v>
      </c>
      <c r="I363">
        <v>4</v>
      </c>
      <c r="J363" s="4">
        <v>17</v>
      </c>
      <c r="K363" s="4">
        <v>22.78</v>
      </c>
      <c r="L363" s="4">
        <f>K363-J363</f>
      </c>
      <c r="M363" s="4">
        <f>L363*16.67%</f>
      </c>
      <c r="N363" s="4">
        <f>K363/100*7</f>
      </c>
      <c r="O363" s="4">
        <f>N363*20%</f>
      </c>
      <c r="P363" s="4">
        <f>N363*2%</f>
      </c>
      <c r="Q363" s="4">
        <f>P363*20%</f>
      </c>
      <c r="R363" s="4">
        <v>0</v>
      </c>
      <c r="S363" s="4">
        <f>R363*20%</f>
      </c>
      <c r="T363" s="4">
        <v>0</v>
      </c>
      <c r="U363" s="4">
        <f>O363+Q363+S363</f>
      </c>
      <c r="V363" s="4">
        <f>L363-M363-N363-O363-P363-Q363-R363-S363-T363</f>
      </c>
      <c r="W363" s="4">
        <f>(V363-Y363)/J363*100</f>
      </c>
      <c r="X363" s="4">
        <f>M363-U363</f>
      </c>
      <c r="Z363" s="4">
        <f>V363-Y363</f>
      </c>
      <c r="AE363" t="s">
        <v>1</v>
      </c>
    </row>
    <row r="364" spans="1:31" x14ac:dyDescent="0.25">
      <c r="A364" s="8">
        <v>46152.5</v>
      </c>
      <c r="B364" t="s">
        <v>721</v>
      </c>
      <c r="C364" t="s">
        <v>185</v>
      </c>
      <c r="D364" s="9" t="s">
        <v>1</v>
      </c>
      <c r="E364" t="s">
        <v>185</v>
      </c>
      <c r="F364" t="s">
        <v>1</v>
      </c>
      <c r="G364" t="s">
        <v>1</v>
      </c>
      <c r="H364" t="s">
        <v>102</v>
      </c>
      <c r="I364">
        <v>3</v>
      </c>
      <c r="J364" s="4">
        <v>3.6</v>
      </c>
      <c r="K364" s="4">
        <v>4.43</v>
      </c>
      <c r="L364" s="4">
        <f>K364-J364</f>
      </c>
      <c r="M364" s="4">
        <f>L364*16.67%</f>
      </c>
      <c r="N364" s="4">
        <f>K364/100*7</f>
      </c>
      <c r="O364" s="4">
        <f>N364*20%</f>
      </c>
      <c r="P364" s="4">
        <f>N364*2%</f>
      </c>
      <c r="Q364" s="4">
        <f>P364*20%</f>
      </c>
      <c r="R364" s="4">
        <v>0</v>
      </c>
      <c r="S364" s="4">
        <f>R364*20%</f>
      </c>
      <c r="T364" s="4">
        <v>0</v>
      </c>
      <c r="U364" s="4">
        <f>O364+Q364+S364</f>
      </c>
      <c r="V364" s="4">
        <f>L364-M364-N364-O364-P364-Q364-R364-S364-T364</f>
      </c>
      <c r="W364" s="4">
        <f>(V364-Y364)/J364*100</f>
      </c>
      <c r="X364" s="4">
        <f>M364-U364</f>
      </c>
      <c r="Z364" s="4">
        <f>V364-Y364</f>
      </c>
      <c r="AE364" t="s">
        <v>1</v>
      </c>
    </row>
    <row r="365" spans="1:31" x14ac:dyDescent="0.25">
      <c r="A365" s="8">
        <v>46150.5</v>
      </c>
      <c r="B365" t="s">
        <v>722</v>
      </c>
      <c r="C365" t="s">
        <v>189</v>
      </c>
      <c r="D365" s="9" t="s">
        <v>1</v>
      </c>
      <c r="E365" t="s">
        <v>189</v>
      </c>
      <c r="F365" t="s">
        <v>1</v>
      </c>
      <c r="G365" t="s">
        <v>1</v>
      </c>
      <c r="H365" t="s">
        <v>66</v>
      </c>
      <c r="I365">
        <v>1</v>
      </c>
      <c r="J365" s="4">
        <v>3.5</v>
      </c>
      <c r="K365" s="4">
        <v>4.83</v>
      </c>
      <c r="L365" s="4">
        <f>K365-J365</f>
      </c>
      <c r="M365" s="4">
        <f>L365*16.67%</f>
      </c>
      <c r="N365" s="4">
        <f>K365/100*7</f>
      </c>
      <c r="O365" s="4">
        <f>N365*20%</f>
      </c>
      <c r="P365" s="4">
        <f>N365*2%</f>
      </c>
      <c r="Q365" s="4">
        <f>P365*20%</f>
      </c>
      <c r="R365" s="4">
        <v>0</v>
      </c>
      <c r="S365" s="4">
        <f>R365*20%</f>
      </c>
      <c r="T365" s="4">
        <v>0</v>
      </c>
      <c r="U365" s="4">
        <f>O365+Q365+S365</f>
      </c>
      <c r="V365" s="4">
        <f>L365-M365-N365-O365-P365-Q365-R365-S365-T365</f>
      </c>
      <c r="W365" s="4">
        <f>(V365-Y365)/J365*100</f>
      </c>
      <c r="X365" s="4">
        <f>M365-U365</f>
      </c>
      <c r="Z365" s="4">
        <f>V365-Y365</f>
      </c>
      <c r="AE365" t="s">
        <v>1</v>
      </c>
    </row>
    <row r="366" spans="1:31" x14ac:dyDescent="0.25">
      <c r="A366" s="8">
        <v>46149.5</v>
      </c>
      <c r="B366" t="s">
        <v>723</v>
      </c>
      <c r="C366" t="s">
        <v>1</v>
      </c>
      <c r="D366" s="9" t="s">
        <v>724</v>
      </c>
      <c r="E366" t="s">
        <v>134</v>
      </c>
      <c r="F366" t="s">
        <v>59</v>
      </c>
      <c r="G366" t="s">
        <v>95</v>
      </c>
      <c r="H366" t="s">
        <v>75</v>
      </c>
      <c r="I366">
        <v>1</v>
      </c>
      <c r="J366" s="4">
        <v>102</v>
      </c>
      <c r="K366" s="4">
        <v>134.64</v>
      </c>
      <c r="L366" s="4">
        <f>K366-J366</f>
      </c>
      <c r="M366" s="4">
        <f>L366*16.67%</f>
      </c>
      <c r="N366" s="4">
        <f>K366/100*7</f>
      </c>
      <c r="O366" s="4">
        <f>N366*20%</f>
      </c>
      <c r="P366" s="4">
        <f>N366*2%</f>
      </c>
      <c r="Q366" s="4">
        <f>P366*20%</f>
      </c>
      <c r="R366" s="4">
        <v>0</v>
      </c>
      <c r="S366" s="4">
        <f>R366*20%</f>
      </c>
      <c r="T366" s="4">
        <v>1</v>
      </c>
      <c r="U366" s="4">
        <f>O366+Q366+S366</f>
      </c>
      <c r="V366" s="4">
        <f>L366-M366-N366-O366-P366-Q366-R366-S366-T366</f>
      </c>
      <c r="W366" s="4">
        <f>(V366-Y366)/J366*100</f>
      </c>
      <c r="X366" s="4">
        <f>M366-U366</f>
      </c>
      <c r="Z366" s="4">
        <f>V366-Y366</f>
      </c>
      <c r="AE366" t="s">
        <v>1</v>
      </c>
    </row>
    <row r="367" spans="1:31" x14ac:dyDescent="0.25">
      <c r="A367" s="10">
        <v>46148.5</v>
      </c>
      <c r="B367" s="11" t="s">
        <v>725</v>
      </c>
      <c r="C367" s="11" t="s">
        <v>1</v>
      </c>
      <c r="D367" s="12" t="s">
        <v>726</v>
      </c>
      <c r="E367" s="11" t="s">
        <v>84</v>
      </c>
      <c r="F367" s="11" t="s">
        <v>59</v>
      </c>
      <c r="G367" s="11" t="s">
        <v>60</v>
      </c>
      <c r="H367" s="11" t="s">
        <v>102</v>
      </c>
      <c r="I367" s="11">
        <v>1</v>
      </c>
      <c r="J367" s="13">
        <v>715</v>
      </c>
      <c r="K367" s="13">
        <v>836.55</v>
      </c>
      <c r="L367" s="13">
        <f>K367-J367</f>
      </c>
      <c r="M367" s="13">
        <f>L367*16.67%</f>
      </c>
      <c r="N367" s="13">
        <f>K367/100*7</f>
      </c>
      <c r="O367" s="13">
        <f>N367*20%</f>
      </c>
      <c r="P367" s="13">
        <f>N367*2%</f>
      </c>
      <c r="Q367" s="13">
        <f>P367*20%</f>
      </c>
      <c r="R367" s="13">
        <v>0</v>
      </c>
      <c r="S367" s="13">
        <f>R367*20%</f>
      </c>
      <c r="T367" s="13">
        <v>1</v>
      </c>
      <c r="U367" s="13">
        <f>O367+Q367+S367</f>
      </c>
      <c r="V367" s="13">
        <v>0</v>
      </c>
      <c r="W367" s="13">
        <f>(V367-Y367)/J367*100</f>
      </c>
      <c r="X367" s="13">
        <f>M367-U367</f>
      </c>
      <c r="Y367" s="11"/>
      <c r="Z367" s="13">
        <f>V367-Y367</f>
      </c>
      <c r="AA367" s="10">
        <v>46241.5</v>
      </c>
      <c r="AB367" s="11" t="s">
        <v>678</v>
      </c>
      <c r="AC367" s="11">
        <v>2</v>
      </c>
      <c r="AD367" s="11" t="s">
        <v>679</v>
      </c>
      <c r="AE367" s="11" t="s">
        <v>1</v>
      </c>
    </row>
    <row r="368" spans="1:31" x14ac:dyDescent="0.25">
      <c r="A368" s="8">
        <v>46148.5</v>
      </c>
      <c r="B368" t="s">
        <v>727</v>
      </c>
      <c r="C368" t="s">
        <v>189</v>
      </c>
      <c r="D368" s="9" t="s">
        <v>1</v>
      </c>
      <c r="E368" t="s">
        <v>189</v>
      </c>
      <c r="F368" t="s">
        <v>1</v>
      </c>
      <c r="G368" t="s">
        <v>1</v>
      </c>
      <c r="H368" t="s">
        <v>66</v>
      </c>
      <c r="I368">
        <v>4</v>
      </c>
      <c r="J368" s="4">
        <v>14</v>
      </c>
      <c r="K368" s="4">
        <v>20.02</v>
      </c>
      <c r="L368" s="4">
        <f>K368-J368</f>
      </c>
      <c r="M368" s="4">
        <f>L368*16.67%</f>
      </c>
      <c r="N368" s="4">
        <f>K368/100*7</f>
      </c>
      <c r="O368" s="4">
        <f>N368*20%</f>
      </c>
      <c r="P368" s="4">
        <f>N368*2%</f>
      </c>
      <c r="Q368" s="4">
        <f>P368*20%</f>
      </c>
      <c r="R368" s="4">
        <v>0</v>
      </c>
      <c r="S368" s="4">
        <f>R368*20%</f>
      </c>
      <c r="T368" s="4">
        <v>0</v>
      </c>
      <c r="U368" s="4">
        <f>O368+Q368+S368</f>
      </c>
      <c r="V368" s="4">
        <f>L368-M368-N368-O368-P368-Q368-R368-S368-T368</f>
      </c>
      <c r="W368" s="4">
        <f>(V368-Y368)/J368*100</f>
      </c>
      <c r="X368" s="4">
        <f>M368-U368</f>
      </c>
      <c r="Z368" s="4">
        <f>V368-Y368</f>
      </c>
      <c r="AE368" t="s">
        <v>1</v>
      </c>
    </row>
    <row r="369" spans="1:31" x14ac:dyDescent="0.25">
      <c r="A369" s="10">
        <v>46147.5</v>
      </c>
      <c r="B369" s="11" t="s">
        <v>728</v>
      </c>
      <c r="C369" s="11" t="s">
        <v>1</v>
      </c>
      <c r="D369" s="12" t="s">
        <v>729</v>
      </c>
      <c r="E369" s="11" t="s">
        <v>64</v>
      </c>
      <c r="F369" s="11" t="s">
        <v>105</v>
      </c>
      <c r="G369" s="11" t="s">
        <v>65</v>
      </c>
      <c r="H369" s="11" t="s">
        <v>66</v>
      </c>
      <c r="I369" s="11">
        <v>1</v>
      </c>
      <c r="J369" s="13">
        <v>257</v>
      </c>
      <c r="K369" s="13">
        <v>295.55</v>
      </c>
      <c r="L369" s="13">
        <f>K369-J369</f>
      </c>
      <c r="M369" s="13">
        <f>L369*16.67%</f>
      </c>
      <c r="N369" s="13">
        <f>K369/100*7</f>
      </c>
      <c r="O369" s="13">
        <f>N369*20%</f>
      </c>
      <c r="P369" s="13">
        <f>N369*2%</f>
      </c>
      <c r="Q369" s="13">
        <f>P369*20%</f>
      </c>
      <c r="R369" s="13">
        <v>0</v>
      </c>
      <c r="S369" s="13">
        <f>R369*20%</f>
      </c>
      <c r="T369" s="13">
        <v>1</v>
      </c>
      <c r="U369" s="13">
        <f>O369+Q369+S369</f>
      </c>
      <c r="V369" s="13">
        <v>0</v>
      </c>
      <c r="W369" s="13">
        <f>(V369-Y369)/J369*100</f>
      </c>
      <c r="X369" s="13">
        <f>M369-U369</f>
      </c>
      <c r="Y369" s="11"/>
      <c r="Z369" s="13">
        <f>V369-Y369</f>
      </c>
      <c r="AA369" s="10">
        <v>46241.5</v>
      </c>
      <c r="AB369" s="11" t="s">
        <v>678</v>
      </c>
      <c r="AC369" s="11">
        <v>2</v>
      </c>
      <c r="AD369" s="11" t="s">
        <v>679</v>
      </c>
      <c r="AE369" s="11" t="s">
        <v>1</v>
      </c>
    </row>
    <row r="370" spans="1:31" x14ac:dyDescent="0.25">
      <c r="A370" s="8">
        <v>46146.5</v>
      </c>
      <c r="B370" t="s">
        <v>730</v>
      </c>
      <c r="C370" t="s">
        <v>1</v>
      </c>
      <c r="D370" s="9" t="s">
        <v>731</v>
      </c>
      <c r="E370" t="s">
        <v>134</v>
      </c>
      <c r="F370" t="s">
        <v>105</v>
      </c>
      <c r="G370" t="s">
        <v>95</v>
      </c>
      <c r="H370" t="s">
        <v>61</v>
      </c>
      <c r="I370">
        <v>1</v>
      </c>
      <c r="J370" s="4">
        <v>104</v>
      </c>
      <c r="K370" s="4">
        <v>149.76</v>
      </c>
      <c r="L370" s="4">
        <f>K370-J370</f>
      </c>
      <c r="M370" s="4">
        <f>L370*16.67%</f>
      </c>
      <c r="N370" s="4">
        <f>K370/100*7</f>
      </c>
      <c r="O370" s="4">
        <f>N370*20%</f>
      </c>
      <c r="P370" s="4">
        <f>N370*2%</f>
      </c>
      <c r="Q370" s="4">
        <f>P370*20%</f>
      </c>
      <c r="R370" s="4">
        <v>0</v>
      </c>
      <c r="S370" s="4">
        <f>R370*20%</f>
      </c>
      <c r="T370" s="4">
        <v>1</v>
      </c>
      <c r="U370" s="4">
        <f>O370+Q370+S370</f>
      </c>
      <c r="V370" s="4">
        <f>L370-M370-N370-O370-P370-Q370-R370-S370-T370</f>
      </c>
      <c r="W370" s="4">
        <f>(V370-Y370)/J370*100</f>
      </c>
      <c r="X370" s="4">
        <f>M370-U370</f>
      </c>
      <c r="Z370" s="4">
        <f>V370-Y370</f>
      </c>
      <c r="AE370" t="s">
        <v>1</v>
      </c>
    </row>
    <row r="371" spans="1:31" x14ac:dyDescent="0.25">
      <c r="A371" s="8">
        <v>46146.5</v>
      </c>
      <c r="B371" t="s">
        <v>732</v>
      </c>
      <c r="C371" t="s">
        <v>1</v>
      </c>
      <c r="D371" s="9" t="s">
        <v>733</v>
      </c>
      <c r="E371" t="s">
        <v>134</v>
      </c>
      <c r="F371" t="s">
        <v>85</v>
      </c>
      <c r="G371" t="s">
        <v>95</v>
      </c>
      <c r="H371" t="s">
        <v>61</v>
      </c>
      <c r="I371">
        <v>1</v>
      </c>
      <c r="J371" s="4">
        <v>140</v>
      </c>
      <c r="K371" s="4">
        <v>186.2</v>
      </c>
      <c r="L371" s="4">
        <f>K371-J371</f>
      </c>
      <c r="M371" s="4">
        <f>L371*16.67%</f>
      </c>
      <c r="N371" s="4">
        <f>K371/100*7</f>
      </c>
      <c r="O371" s="4">
        <f>N371*20%</f>
      </c>
      <c r="P371" s="4">
        <f>N371*2%</f>
      </c>
      <c r="Q371" s="4">
        <f>P371*20%</f>
      </c>
      <c r="R371" s="4">
        <v>0</v>
      </c>
      <c r="S371" s="4">
        <f>R371*20%</f>
      </c>
      <c r="T371" s="4">
        <v>1</v>
      </c>
      <c r="U371" s="4">
        <f>O371+Q371+S371</f>
      </c>
      <c r="V371" s="4">
        <f>L371-M371-N371-O371-P371-Q371-R371-S371-T371</f>
      </c>
      <c r="W371" s="4">
        <f>(V371-Y371)/J371*100</f>
      </c>
      <c r="X371" s="4">
        <f>M371-U371</f>
      </c>
      <c r="Z371" s="4">
        <f>V371-Y371</f>
      </c>
      <c r="AE371" t="s">
        <v>1</v>
      </c>
    </row>
    <row r="372" spans="1:31" x14ac:dyDescent="0.25">
      <c r="A372" s="8">
        <v>46146.5</v>
      </c>
      <c r="B372" t="s">
        <v>734</v>
      </c>
      <c r="C372" t="s">
        <v>182</v>
      </c>
      <c r="D372" s="9" t="s">
        <v>1</v>
      </c>
      <c r="E372" t="s">
        <v>182</v>
      </c>
      <c r="F372" t="s">
        <v>1</v>
      </c>
      <c r="G372" t="s">
        <v>1</v>
      </c>
      <c r="H372" t="s">
        <v>75</v>
      </c>
      <c r="I372">
        <v>2</v>
      </c>
      <c r="J372" s="4">
        <v>3.8</v>
      </c>
      <c r="K372" s="4">
        <v>5.09</v>
      </c>
      <c r="L372" s="4">
        <f>K372-J372</f>
      </c>
      <c r="M372" s="4">
        <f>L372*16.67%</f>
      </c>
      <c r="N372" s="4">
        <f>K372/100*7</f>
      </c>
      <c r="O372" s="4">
        <f>N372*20%</f>
      </c>
      <c r="P372" s="4">
        <f>N372*2%</f>
      </c>
      <c r="Q372" s="4">
        <f>P372*20%</f>
      </c>
      <c r="R372" s="4">
        <v>0</v>
      </c>
      <c r="S372" s="4">
        <f>R372*20%</f>
      </c>
      <c r="T372" s="4">
        <v>0</v>
      </c>
      <c r="U372" s="4">
        <f>O372+Q372+S372</f>
      </c>
      <c r="V372" s="4">
        <f>L372-M372-N372-O372-P372-Q372-R372-S372-T372</f>
      </c>
      <c r="W372" s="4">
        <f>(V372-Y372)/J372*100</f>
      </c>
      <c r="X372" s="4">
        <f>M372-U372</f>
      </c>
      <c r="Z372" s="4">
        <f>V372-Y372</f>
      </c>
      <c r="AE372" t="s">
        <v>1</v>
      </c>
    </row>
    <row r="373" spans="1:31" x14ac:dyDescent="0.25">
      <c r="A373" s="8">
        <v>46145.5</v>
      </c>
      <c r="B373" t="s">
        <v>735</v>
      </c>
      <c r="C373" t="s">
        <v>189</v>
      </c>
      <c r="D373" s="9" t="s">
        <v>1</v>
      </c>
      <c r="E373" t="s">
        <v>189</v>
      </c>
      <c r="F373" t="s">
        <v>1</v>
      </c>
      <c r="G373" t="s">
        <v>1</v>
      </c>
      <c r="H373" t="s">
        <v>66</v>
      </c>
      <c r="I373">
        <v>2</v>
      </c>
      <c r="J373" s="4">
        <v>7</v>
      </c>
      <c r="K373" s="4">
        <v>9.59</v>
      </c>
      <c r="L373" s="4">
        <f>K373-J373</f>
      </c>
      <c r="M373" s="4">
        <f>L373*16.67%</f>
      </c>
      <c r="N373" s="4">
        <f>K373/100*7</f>
      </c>
      <c r="O373" s="4">
        <f>N373*20%</f>
      </c>
      <c r="P373" s="4">
        <f>N373*2%</f>
      </c>
      <c r="Q373" s="4">
        <f>P373*20%</f>
      </c>
      <c r="R373" s="4">
        <v>0</v>
      </c>
      <c r="S373" s="4">
        <f>R373*20%</f>
      </c>
      <c r="T373" s="4">
        <v>0</v>
      </c>
      <c r="U373" s="4">
        <f>O373+Q373+S373</f>
      </c>
      <c r="V373" s="4">
        <f>L373-M373-N373-O373-P373-Q373-R373-S373-T373</f>
      </c>
      <c r="W373" s="4">
        <f>(V373-Y373)/J373*100</f>
      </c>
      <c r="X373" s="4">
        <f>M373-U373</f>
      </c>
      <c r="Z373" s="4">
        <f>V373-Y373</f>
      </c>
      <c r="AE373" t="s">
        <v>1</v>
      </c>
    </row>
    <row r="374" spans="1:31" x14ac:dyDescent="0.25">
      <c r="A374" s="8">
        <v>46145.5</v>
      </c>
      <c r="B374" t="s">
        <v>736</v>
      </c>
      <c r="C374" t="s">
        <v>182</v>
      </c>
      <c r="D374" s="9" t="s">
        <v>1</v>
      </c>
      <c r="E374" t="s">
        <v>182</v>
      </c>
      <c r="F374" t="s">
        <v>1</v>
      </c>
      <c r="G374" t="s">
        <v>1</v>
      </c>
      <c r="H374" t="s">
        <v>75</v>
      </c>
      <c r="I374">
        <v>4</v>
      </c>
      <c r="J374" s="4">
        <v>7.6</v>
      </c>
      <c r="K374" s="4">
        <v>8.82</v>
      </c>
      <c r="L374" s="4">
        <f>K374-J374</f>
      </c>
      <c r="M374" s="4">
        <f>L374*16.67%</f>
      </c>
      <c r="N374" s="4">
        <f>K374/100*7</f>
      </c>
      <c r="O374" s="4">
        <f>N374*20%</f>
      </c>
      <c r="P374" s="4">
        <f>N374*2%</f>
      </c>
      <c r="Q374" s="4">
        <f>P374*20%</f>
      </c>
      <c r="R374" s="4">
        <v>0</v>
      </c>
      <c r="S374" s="4">
        <f>R374*20%</f>
      </c>
      <c r="T374" s="4">
        <v>0</v>
      </c>
      <c r="U374" s="4">
        <f>O374+Q374+S374</f>
      </c>
      <c r="V374" s="4">
        <f>L374-M374-N374-O374-P374-Q374-R374-S374-T374</f>
      </c>
      <c r="W374" s="4">
        <f>(V374-Y374)/J374*100</f>
      </c>
      <c r="X374" s="4">
        <f>M374-U374</f>
      </c>
      <c r="Z374" s="4">
        <f>V374-Y374</f>
      </c>
      <c r="AE374" t="s">
        <v>1</v>
      </c>
    </row>
    <row r="375" spans="1:31" x14ac:dyDescent="0.25">
      <c r="A375" s="8">
        <v>46144.5</v>
      </c>
      <c r="B375" t="s">
        <v>737</v>
      </c>
      <c r="C375" t="s">
        <v>1</v>
      </c>
      <c r="D375" s="9" t="s">
        <v>738</v>
      </c>
      <c r="E375" t="s">
        <v>58</v>
      </c>
      <c r="F375" t="s">
        <v>105</v>
      </c>
      <c r="G375" t="s">
        <v>60</v>
      </c>
      <c r="H375" t="s">
        <v>66</v>
      </c>
      <c r="I375">
        <v>1</v>
      </c>
      <c r="J375" s="4">
        <v>444</v>
      </c>
      <c r="K375" s="4">
        <v>599.4</v>
      </c>
      <c r="L375" s="4">
        <f>K375-J375</f>
      </c>
      <c r="M375" s="4">
        <f>L375*16.67%</f>
      </c>
      <c r="N375" s="4">
        <f>K375/100*7</f>
      </c>
      <c r="O375" s="4">
        <f>N375*20%</f>
      </c>
      <c r="P375" s="4">
        <f>N375*2%</f>
      </c>
      <c r="Q375" s="4">
        <f>P375*20%</f>
      </c>
      <c r="R375" s="4">
        <v>0</v>
      </c>
      <c r="S375" s="4">
        <f>R375*20%</f>
      </c>
      <c r="T375" s="4">
        <v>1</v>
      </c>
      <c r="U375" s="4">
        <f>O375+Q375+S375</f>
      </c>
      <c r="V375" s="4">
        <f>L375-M375-N375-O375-P375-Q375-R375-S375-T375</f>
      </c>
      <c r="W375" s="4">
        <f>(V375-Y375)/J375*100</f>
      </c>
      <c r="X375" s="4">
        <f>M375-U375</f>
      </c>
      <c r="Z375" s="4">
        <f>V375-Y375</f>
      </c>
      <c r="AE375" t="s">
        <v>1</v>
      </c>
    </row>
    <row r="376" spans="1:31" x14ac:dyDescent="0.25">
      <c r="A376" s="8">
        <v>46143.5</v>
      </c>
      <c r="B376" t="s">
        <v>739</v>
      </c>
      <c r="C376" t="s">
        <v>174</v>
      </c>
      <c r="D376" s="9" t="s">
        <v>1</v>
      </c>
      <c r="E376" t="s">
        <v>174</v>
      </c>
      <c r="F376" t="s">
        <v>1</v>
      </c>
      <c r="G376" t="s">
        <v>1</v>
      </c>
      <c r="H376" t="s">
        <v>66</v>
      </c>
      <c r="I376">
        <v>4</v>
      </c>
      <c r="J376" s="4">
        <v>17</v>
      </c>
      <c r="K376" s="4">
        <v>24.65</v>
      </c>
      <c r="L376" s="4">
        <f>K376-J376</f>
      </c>
      <c r="M376" s="4">
        <f>L376*16.67%</f>
      </c>
      <c r="N376" s="4">
        <f>K376/100*7</f>
      </c>
      <c r="O376" s="4">
        <f>N376*20%</f>
      </c>
      <c r="P376" s="4">
        <f>N376*2%</f>
      </c>
      <c r="Q376" s="4">
        <f>P376*20%</f>
      </c>
      <c r="R376" s="4">
        <v>0</v>
      </c>
      <c r="S376" s="4">
        <f>R376*20%</f>
      </c>
      <c r="T376" s="4">
        <v>0</v>
      </c>
      <c r="U376" s="4">
        <f>O376+Q376+S376</f>
      </c>
      <c r="V376" s="4">
        <f>L376-M376-N376-O376-P376-Q376-R376-S376-T376</f>
      </c>
      <c r="W376" s="4">
        <f>(V376-Y376)/J376*100</f>
      </c>
      <c r="X376" s="4">
        <f>M376-U376</f>
      </c>
      <c r="Z376" s="4">
        <f>V376-Y376</f>
      </c>
      <c r="AE376" t="s">
        <v>1</v>
      </c>
    </row>
    <row r="377" spans="1:31" x14ac:dyDescent="0.25">
      <c r="A377" s="8">
        <v>46143.5</v>
      </c>
      <c r="B377" t="s">
        <v>740</v>
      </c>
      <c r="C377" t="s">
        <v>182</v>
      </c>
      <c r="D377" s="9" t="s">
        <v>1</v>
      </c>
      <c r="E377" t="s">
        <v>182</v>
      </c>
      <c r="F377" t="s">
        <v>1</v>
      </c>
      <c r="G377" t="s">
        <v>1</v>
      </c>
      <c r="H377" t="s">
        <v>75</v>
      </c>
      <c r="I377">
        <v>3</v>
      </c>
      <c r="J377" s="4">
        <v>5.7</v>
      </c>
      <c r="K377" s="4">
        <v>7.52</v>
      </c>
      <c r="L377" s="4">
        <f>K377-J377</f>
      </c>
      <c r="M377" s="4">
        <f>L377*16.67%</f>
      </c>
      <c r="N377" s="4">
        <f>K377/100*7</f>
      </c>
      <c r="O377" s="4">
        <f>N377*20%</f>
      </c>
      <c r="P377" s="4">
        <f>N377*2%</f>
      </c>
      <c r="Q377" s="4">
        <f>P377*20%</f>
      </c>
      <c r="R377" s="4">
        <v>0</v>
      </c>
      <c r="S377" s="4">
        <f>R377*20%</f>
      </c>
      <c r="T377" s="4">
        <v>0</v>
      </c>
      <c r="U377" s="4">
        <f>O377+Q377+S377</f>
      </c>
      <c r="V377" s="4">
        <f>L377-M377-N377-O377-P377-Q377-R377-S377-T377</f>
      </c>
      <c r="W377" s="4">
        <f>(V377-Y377)/J377*100</f>
      </c>
      <c r="X377" s="4">
        <f>M377-U377</f>
      </c>
      <c r="Z377" s="4">
        <f>V377-Y377</f>
      </c>
      <c r="AE377" t="s">
        <v>1</v>
      </c>
    </row>
    <row r="378" spans="1:31" x14ac:dyDescent="0.25">
      <c r="A378" s="8"/>
      <c r="D378" s="9"/>
      <c r="J378" s="4"/>
      <c r="K378" s="4"/>
      <c r="L378" s="4">
        <f>IF($K378="","",K378-J378)</f>
      </c>
      <c r="M378" s="4">
        <f>IF($K378="","",L378*16.67%)</f>
      </c>
      <c r="N378" s="4">
        <f>IF($K378="","",K378/100*7)</f>
      </c>
      <c r="O378" s="4">
        <f>IF($K378="","",N378*20%)</f>
      </c>
      <c r="P378" s="4">
        <f>IF($K378="","",N378*2%)</f>
      </c>
      <c r="Q378" s="4">
        <f>IF($K378="","",P378*20%)</f>
      </c>
      <c r="R378" s="4"/>
      <c r="S378" s="4">
        <f>IF($K378="","",R378*20%)</f>
      </c>
      <c r="T378" s="4">
        <v>1</v>
      </c>
      <c r="U378" s="4">
        <f>IF($K378="","",O378+Q378+S378)</f>
      </c>
      <c r="V378" s="4">
        <f>IF($K378="","",L378-M378-N378-O378-P378-Q378-R378-S378-T378)</f>
      </c>
      <c r="W378" s="4">
        <f>IF($K378="","",(V378-Y378)/J378*100)</f>
      </c>
      <c r="X378" s="4">
        <f>IF($K378="","",M378-U378)</f>
      </c>
      <c r="Z378" s="4">
        <f>IF($K378="","",V378-Y378)</f>
      </c>
    </row>
    <row r="379" spans="1:31" x14ac:dyDescent="0.25">
      <c r="A379" s="8"/>
      <c r="D379" s="9"/>
      <c r="J379" s="4"/>
      <c r="K379" s="4"/>
      <c r="L379" s="4">
        <f>IF($K379="","",K379-J379)</f>
      </c>
      <c r="M379" s="4">
        <f>IF($K379="","",L379*16.67%)</f>
      </c>
      <c r="N379" s="4">
        <f>IF($K379="","",K379/100*7)</f>
      </c>
      <c r="O379" s="4">
        <f>IF($K379="","",N379*20%)</f>
      </c>
      <c r="P379" s="4">
        <f>IF($K379="","",N379*2%)</f>
      </c>
      <c r="Q379" s="4">
        <f>IF($K379="","",P379*20%)</f>
      </c>
      <c r="R379" s="4"/>
      <c r="S379" s="4">
        <f>IF($K379="","",R379*20%)</f>
      </c>
      <c r="T379" s="4">
        <v>1</v>
      </c>
      <c r="U379" s="4">
        <f>IF($K379="","",O379+Q379+S379)</f>
      </c>
      <c r="V379" s="4">
        <f>IF($K379="","",L379-M379-N379-O379-P379-Q379-R379-S379-T379)</f>
      </c>
      <c r="W379" s="4">
        <f>IF($K379="","",(V379-Y379)/J379*100)</f>
      </c>
      <c r="X379" s="4">
        <f>IF($K379="","",M379-U379)</f>
      </c>
      <c r="Z379" s="4">
        <f>IF($K379="","",V379-Y379)</f>
      </c>
    </row>
    <row r="380" spans="1:31" x14ac:dyDescent="0.25">
      <c r="A380" s="8"/>
      <c r="D380" s="9"/>
      <c r="J380" s="4"/>
      <c r="K380" s="4"/>
      <c r="L380" s="4">
        <f>IF($K380="","",K380-J380)</f>
      </c>
      <c r="M380" s="4">
        <f>IF($K380="","",L380*16.67%)</f>
      </c>
      <c r="N380" s="4">
        <f>IF($K380="","",K380/100*7)</f>
      </c>
      <c r="O380" s="4">
        <f>IF($K380="","",N380*20%)</f>
      </c>
      <c r="P380" s="4">
        <f>IF($K380="","",N380*2%)</f>
      </c>
      <c r="Q380" s="4">
        <f>IF($K380="","",P380*20%)</f>
      </c>
      <c r="R380" s="4"/>
      <c r="S380" s="4">
        <f>IF($K380="","",R380*20%)</f>
      </c>
      <c r="T380" s="4">
        <v>1</v>
      </c>
      <c r="U380" s="4">
        <f>IF($K380="","",O380+Q380+S380)</f>
      </c>
      <c r="V380" s="4">
        <f>IF($K380="","",L380-M380-N380-O380-P380-Q380-R380-S380-T380)</f>
      </c>
      <c r="W380" s="4">
        <f>IF($K380="","",(V380-Y380)/J380*100)</f>
      </c>
      <c r="X380" s="4">
        <f>IF($K380="","",M380-U380)</f>
      </c>
      <c r="Z380" s="4">
        <f>IF($K380="","",V380-Y380)</f>
      </c>
    </row>
    <row r="381" spans="1:31" x14ac:dyDescent="0.25">
      <c r="A381" s="8"/>
      <c r="D381" s="9"/>
      <c r="J381" s="4"/>
      <c r="K381" s="4"/>
      <c r="L381" s="4">
        <f>IF($K381="","",K381-J381)</f>
      </c>
      <c r="M381" s="4">
        <f>IF($K381="","",L381*16.67%)</f>
      </c>
      <c r="N381" s="4">
        <f>IF($K381="","",K381/100*7)</f>
      </c>
      <c r="O381" s="4">
        <f>IF($K381="","",N381*20%)</f>
      </c>
      <c r="P381" s="4">
        <f>IF($K381="","",N381*2%)</f>
      </c>
      <c r="Q381" s="4">
        <f>IF($K381="","",P381*20%)</f>
      </c>
      <c r="R381" s="4"/>
      <c r="S381" s="4">
        <f>IF($K381="","",R381*20%)</f>
      </c>
      <c r="T381" s="4">
        <v>1</v>
      </c>
      <c r="U381" s="4">
        <f>IF($K381="","",O381+Q381+S381)</f>
      </c>
      <c r="V381" s="4">
        <f>IF($K381="","",L381-M381-N381-O381-P381-Q381-R381-S381-T381)</f>
      </c>
      <c r="W381" s="4">
        <f>IF($K381="","",(V381-Y381)/J381*100)</f>
      </c>
      <c r="X381" s="4">
        <f>IF($K381="","",M381-U381)</f>
      </c>
      <c r="Z381" s="4">
        <f>IF($K381="","",V381-Y381)</f>
      </c>
    </row>
    <row r="382" spans="1:31" x14ac:dyDescent="0.25">
      <c r="A382" s="8"/>
      <c r="D382" s="9"/>
      <c r="J382" s="4"/>
      <c r="K382" s="4"/>
      <c r="L382" s="4">
        <f>IF($K382="","",K382-J382)</f>
      </c>
      <c r="M382" s="4">
        <f>IF($K382="","",L382*16.67%)</f>
      </c>
      <c r="N382" s="4">
        <f>IF($K382="","",K382/100*7)</f>
      </c>
      <c r="O382" s="4">
        <f>IF($K382="","",N382*20%)</f>
      </c>
      <c r="P382" s="4">
        <f>IF($K382="","",N382*2%)</f>
      </c>
      <c r="Q382" s="4">
        <f>IF($K382="","",P382*20%)</f>
      </c>
      <c r="R382" s="4"/>
      <c r="S382" s="4">
        <f>IF($K382="","",R382*20%)</f>
      </c>
      <c r="T382" s="4">
        <v>1</v>
      </c>
      <c r="U382" s="4">
        <f>IF($K382="","",O382+Q382+S382)</f>
      </c>
      <c r="V382" s="4">
        <f>IF($K382="","",L382-M382-N382-O382-P382-Q382-R382-S382-T382)</f>
      </c>
      <c r="W382" s="4">
        <f>IF($K382="","",(V382-Y382)/J382*100)</f>
      </c>
      <c r="X382" s="4">
        <f>IF($K382="","",M382-U382)</f>
      </c>
      <c r="Z382" s="4">
        <f>IF($K382="","",V382-Y382)</f>
      </c>
    </row>
    <row r="383" spans="1:31" x14ac:dyDescent="0.25">
      <c r="A383" s="8"/>
      <c r="D383" s="9"/>
      <c r="J383" s="4"/>
      <c r="K383" s="4"/>
      <c r="L383" s="4">
        <f>IF($K383="","",K383-J383)</f>
      </c>
      <c r="M383" s="4">
        <f>IF($K383="","",L383*16.67%)</f>
      </c>
      <c r="N383" s="4">
        <f>IF($K383="","",K383/100*7)</f>
      </c>
      <c r="O383" s="4">
        <f>IF($K383="","",N383*20%)</f>
      </c>
      <c r="P383" s="4">
        <f>IF($K383="","",N383*2%)</f>
      </c>
      <c r="Q383" s="4">
        <f>IF($K383="","",P383*20%)</f>
      </c>
      <c r="R383" s="4"/>
      <c r="S383" s="4">
        <f>IF($K383="","",R383*20%)</f>
      </c>
      <c r="T383" s="4">
        <v>1</v>
      </c>
      <c r="U383" s="4">
        <f>IF($K383="","",O383+Q383+S383)</f>
      </c>
      <c r="V383" s="4">
        <f>IF($K383="","",L383-M383-N383-O383-P383-Q383-R383-S383-T383)</f>
      </c>
      <c r="W383" s="4">
        <f>IF($K383="","",(V383-Y383)/J383*100)</f>
      </c>
      <c r="X383" s="4">
        <f>IF($K383="","",M383-U383)</f>
      </c>
      <c r="Z383" s="4">
        <f>IF($K383="","",V383-Y383)</f>
      </c>
    </row>
    <row r="384" spans="1:31" x14ac:dyDescent="0.25">
      <c r="A384" s="8"/>
      <c r="D384" s="9"/>
      <c r="J384" s="4"/>
      <c r="K384" s="4"/>
      <c r="L384" s="4">
        <f>IF($K384="","",K384-J384)</f>
      </c>
      <c r="M384" s="4">
        <f>IF($K384="","",L384*16.67%)</f>
      </c>
      <c r="N384" s="4">
        <f>IF($K384="","",K384/100*7)</f>
      </c>
      <c r="O384" s="4">
        <f>IF($K384="","",N384*20%)</f>
      </c>
      <c r="P384" s="4">
        <f>IF($K384="","",N384*2%)</f>
      </c>
      <c r="Q384" s="4">
        <f>IF($K384="","",P384*20%)</f>
      </c>
      <c r="R384" s="4"/>
      <c r="S384" s="4">
        <f>IF($K384="","",R384*20%)</f>
      </c>
      <c r="T384" s="4">
        <v>1</v>
      </c>
      <c r="U384" s="4">
        <f>IF($K384="","",O384+Q384+S384)</f>
      </c>
      <c r="V384" s="4">
        <f>IF($K384="","",L384-M384-N384-O384-P384-Q384-R384-S384-T384)</f>
      </c>
      <c r="W384" s="4">
        <f>IF($K384="","",(V384-Y384)/J384*100)</f>
      </c>
      <c r="X384" s="4">
        <f>IF($K384="","",M384-U384)</f>
      </c>
      <c r="Z384" s="4">
        <f>IF($K384="","",V384-Y384)</f>
      </c>
    </row>
    <row r="385" spans="1:31" x14ac:dyDescent="0.25">
      <c r="A385" s="8"/>
      <c r="D385" s="9"/>
      <c r="J385" s="4"/>
      <c r="K385" s="4"/>
      <c r="L385" s="4">
        <f>IF($K385="","",K385-J385)</f>
      </c>
      <c r="M385" s="4">
        <f>IF($K385="","",L385*16.67%)</f>
      </c>
      <c r="N385" s="4">
        <f>IF($K385="","",K385/100*7)</f>
      </c>
      <c r="O385" s="4">
        <f>IF($K385="","",N385*20%)</f>
      </c>
      <c r="P385" s="4">
        <f>IF($K385="","",N385*2%)</f>
      </c>
      <c r="Q385" s="4">
        <f>IF($K385="","",P385*20%)</f>
      </c>
      <c r="R385" s="4"/>
      <c r="S385" s="4">
        <f>IF($K385="","",R385*20%)</f>
      </c>
      <c r="T385" s="4">
        <v>1</v>
      </c>
      <c r="U385" s="4">
        <f>IF($K385="","",O385+Q385+S385)</f>
      </c>
      <c r="V385" s="4">
        <f>IF($K385="","",L385-M385-N385-O385-P385-Q385-R385-S385-T385)</f>
      </c>
      <c r="W385" s="4">
        <f>IF($K385="","",(V385-Y385)/J385*100)</f>
      </c>
      <c r="X385" s="4">
        <f>IF($K385="","",M385-U385)</f>
      </c>
      <c r="Z385" s="4">
        <f>IF($K385="","",V385-Y385)</f>
      </c>
    </row>
    <row r="386" spans="1:31" x14ac:dyDescent="0.25">
      <c r="A386" s="8"/>
      <c r="D386" s="9"/>
      <c r="J386" s="4"/>
      <c r="K386" s="4"/>
      <c r="L386" s="4">
        <f>IF($K386="","",K386-J386)</f>
      </c>
      <c r="M386" s="4">
        <f>IF($K386="","",L386*16.67%)</f>
      </c>
      <c r="N386" s="4">
        <f>IF($K386="","",K386/100*7)</f>
      </c>
      <c r="O386" s="4">
        <f>IF($K386="","",N386*20%)</f>
      </c>
      <c r="P386" s="4">
        <f>IF($K386="","",N386*2%)</f>
      </c>
      <c r="Q386" s="4">
        <f>IF($K386="","",P386*20%)</f>
      </c>
      <c r="R386" s="4"/>
      <c r="S386" s="4">
        <f>IF($K386="","",R386*20%)</f>
      </c>
      <c r="T386" s="4">
        <v>1</v>
      </c>
      <c r="U386" s="4">
        <f>IF($K386="","",O386+Q386+S386)</f>
      </c>
      <c r="V386" s="4">
        <f>IF($K386="","",L386-M386-N386-O386-P386-Q386-R386-S386-T386)</f>
      </c>
      <c r="W386" s="4">
        <f>IF($K386="","",(V386-Y386)/J386*100)</f>
      </c>
      <c r="X386" s="4">
        <f>IF($K386="","",M386-U386)</f>
      </c>
      <c r="Z386" s="4">
        <f>IF($K386="","",V386-Y386)</f>
      </c>
    </row>
    <row r="387" spans="1:31" x14ac:dyDescent="0.25">
      <c r="A387" s="8"/>
      <c r="D387" s="9"/>
      <c r="J387" s="4"/>
      <c r="K387" s="4"/>
      <c r="L387" s="4">
        <f>IF($K387="","",K387-J387)</f>
      </c>
      <c r="M387" s="4">
        <f>IF($K387="","",L387*16.67%)</f>
      </c>
      <c r="N387" s="4">
        <f>IF($K387="","",K387/100*7)</f>
      </c>
      <c r="O387" s="4">
        <f>IF($K387="","",N387*20%)</f>
      </c>
      <c r="P387" s="4">
        <f>IF($K387="","",N387*2%)</f>
      </c>
      <c r="Q387" s="4">
        <f>IF($K387="","",P387*20%)</f>
      </c>
      <c r="R387" s="4"/>
      <c r="S387" s="4">
        <f>IF($K387="","",R387*20%)</f>
      </c>
      <c r="T387" s="4">
        <v>1</v>
      </c>
      <c r="U387" s="4">
        <f>IF($K387="","",O387+Q387+S387)</f>
      </c>
      <c r="V387" s="4">
        <f>IF($K387="","",L387-M387-N387-O387-P387-Q387-R387-S387-T387)</f>
      </c>
      <c r="W387" s="4">
        <f>IF($K387="","",(V387-Y387)/J387*100)</f>
      </c>
      <c r="X387" s="4">
        <f>IF($K387="","",M387-U387)</f>
      </c>
      <c r="Z387" s="4">
        <f>IF($K387="","",V387-Y387)</f>
      </c>
    </row>
    <row r="388" spans="1:31" x14ac:dyDescent="0.25">
      <c r="A388" s="8"/>
      <c r="D388" s="9"/>
      <c r="J388" s="4"/>
      <c r="K388" s="4"/>
      <c r="L388" s="4">
        <f>IF($K388="","",K388-J388)</f>
      </c>
      <c r="M388" s="4">
        <f>IF($K388="","",L388*16.67%)</f>
      </c>
      <c r="N388" s="4">
        <f>IF($K388="","",K388/100*7)</f>
      </c>
      <c r="O388" s="4">
        <f>IF($K388="","",N388*20%)</f>
      </c>
      <c r="P388" s="4">
        <f>IF($K388="","",N388*2%)</f>
      </c>
      <c r="Q388" s="4">
        <f>IF($K388="","",P388*20%)</f>
      </c>
      <c r="R388" s="4"/>
      <c r="S388" s="4">
        <f>IF($K388="","",R388*20%)</f>
      </c>
      <c r="T388" s="4">
        <v>1</v>
      </c>
      <c r="U388" s="4">
        <f>IF($K388="","",O388+Q388+S388)</f>
      </c>
      <c r="V388" s="4">
        <f>IF($K388="","",L388-M388-N388-O388-P388-Q388-R388-S388-T388)</f>
      </c>
      <c r="W388" s="4">
        <f>IF($K388="","",(V388-Y388)/J388*100)</f>
      </c>
      <c r="X388" s="4">
        <f>IF($K388="","",M388-U388)</f>
      </c>
      <c r="Z388" s="4">
        <f>IF($K388="","",V388-Y388)</f>
      </c>
    </row>
    <row r="389" spans="1:31" x14ac:dyDescent="0.25">
      <c r="A389" s="8"/>
      <c r="D389" s="9"/>
      <c r="J389" s="4"/>
      <c r="K389" s="4"/>
      <c r="L389" s="4">
        <f>IF($K389="","",K389-J389)</f>
      </c>
      <c r="M389" s="4">
        <f>IF($K389="","",L389*16.67%)</f>
      </c>
      <c r="N389" s="4">
        <f>IF($K389="","",K389/100*7)</f>
      </c>
      <c r="O389" s="4">
        <f>IF($K389="","",N389*20%)</f>
      </c>
      <c r="P389" s="4">
        <f>IF($K389="","",N389*2%)</f>
      </c>
      <c r="Q389" s="4">
        <f>IF($K389="","",P389*20%)</f>
      </c>
      <c r="R389" s="4"/>
      <c r="S389" s="4">
        <f>IF($K389="","",R389*20%)</f>
      </c>
      <c r="T389" s="4">
        <v>1</v>
      </c>
      <c r="U389" s="4">
        <f>IF($K389="","",O389+Q389+S389)</f>
      </c>
      <c r="V389" s="4">
        <f>IF($K389="","",L389-M389-N389-O389-P389-Q389-R389-S389-T389)</f>
      </c>
      <c r="W389" s="4">
        <f>IF($K389="","",(V389-Y389)/J389*100)</f>
      </c>
      <c r="X389" s="4">
        <f>IF($K389="","",M389-U389)</f>
      </c>
      <c r="Z389" s="4">
        <f>IF($K389="","",V389-Y389)</f>
      </c>
    </row>
    <row r="390" spans="1:31" x14ac:dyDescent="0.25">
      <c r="A390" s="8"/>
      <c r="D390" s="9"/>
      <c r="J390" s="4"/>
      <c r="K390" s="4"/>
      <c r="L390" s="4">
        <f>IF($K390="","",K390-J390)</f>
      </c>
      <c r="M390" s="4">
        <f>IF($K390="","",L390*16.67%)</f>
      </c>
      <c r="N390" s="4">
        <f>IF($K390="","",K390/100*7)</f>
      </c>
      <c r="O390" s="4">
        <f>IF($K390="","",N390*20%)</f>
      </c>
      <c r="P390" s="4">
        <f>IF($K390="","",N390*2%)</f>
      </c>
      <c r="Q390" s="4">
        <f>IF($K390="","",P390*20%)</f>
      </c>
      <c r="R390" s="4"/>
      <c r="S390" s="4">
        <f>IF($K390="","",R390*20%)</f>
      </c>
      <c r="T390" s="4">
        <v>1</v>
      </c>
      <c r="U390" s="4">
        <f>IF($K390="","",O390+Q390+S390)</f>
      </c>
      <c r="V390" s="4">
        <f>IF($K390="","",L390-M390-N390-O390-P390-Q390-R390-S390-T390)</f>
      </c>
      <c r="W390" s="4">
        <f>IF($K390="","",(V390-Y390)/J390*100)</f>
      </c>
      <c r="X390" s="4">
        <f>IF($K390="","",M390-U390)</f>
      </c>
      <c r="Z390" s="4">
        <f>IF($K390="","",V390-Y390)</f>
      </c>
    </row>
    <row r="391" spans="1:31" x14ac:dyDescent="0.25">
      <c r="A391" s="8"/>
      <c r="D391" s="9"/>
      <c r="J391" s="4"/>
      <c r="K391" s="4"/>
      <c r="L391" s="4">
        <f>IF($K391="","",K391-J391)</f>
      </c>
      <c r="M391" s="4">
        <f>IF($K391="","",L391*16.67%)</f>
      </c>
      <c r="N391" s="4">
        <f>IF($K391="","",K391/100*7)</f>
      </c>
      <c r="O391" s="4">
        <f>IF($K391="","",N391*20%)</f>
      </c>
      <c r="P391" s="4">
        <f>IF($K391="","",N391*2%)</f>
      </c>
      <c r="Q391" s="4">
        <f>IF($K391="","",P391*20%)</f>
      </c>
      <c r="R391" s="4"/>
      <c r="S391" s="4">
        <f>IF($K391="","",R391*20%)</f>
      </c>
      <c r="T391" s="4">
        <v>1</v>
      </c>
      <c r="U391" s="4">
        <f>IF($K391="","",O391+Q391+S391)</f>
      </c>
      <c r="V391" s="4">
        <f>IF($K391="","",L391-M391-N391-O391-P391-Q391-R391-S391-T391)</f>
      </c>
      <c r="W391" s="4">
        <f>IF($K391="","",(V391-Y391)/J391*100)</f>
      </c>
      <c r="X391" s="4">
        <f>IF($K391="","",M391-U391)</f>
      </c>
      <c r="Z391" s="4">
        <f>IF($K391="","",V391-Y391)</f>
      </c>
    </row>
    <row r="392" spans="1:31" x14ac:dyDescent="0.25">
      <c r="A392" s="8"/>
      <c r="D392" s="9"/>
      <c r="J392" s="4"/>
      <c r="K392" s="4"/>
      <c r="L392" s="4">
        <f>IF($K392="","",K392-J392)</f>
      </c>
      <c r="M392" s="4">
        <f>IF($K392="","",L392*16.67%)</f>
      </c>
      <c r="N392" s="4">
        <f>IF($K392="","",K392/100*7)</f>
      </c>
      <c r="O392" s="4">
        <f>IF($K392="","",N392*20%)</f>
      </c>
      <c r="P392" s="4">
        <f>IF($K392="","",N392*2%)</f>
      </c>
      <c r="Q392" s="4">
        <f>IF($K392="","",P392*20%)</f>
      </c>
      <c r="R392" s="4"/>
      <c r="S392" s="4">
        <f>IF($K392="","",R392*20%)</f>
      </c>
      <c r="T392" s="4">
        <v>1</v>
      </c>
      <c r="U392" s="4">
        <f>IF($K392="","",O392+Q392+S392)</f>
      </c>
      <c r="V392" s="4">
        <f>IF($K392="","",L392-M392-N392-O392-P392-Q392-R392-S392-T392)</f>
      </c>
      <c r="W392" s="4">
        <f>IF($K392="","",(V392-Y392)/J392*100)</f>
      </c>
      <c r="X392" s="4">
        <f>IF($K392="","",M392-U392)</f>
      </c>
      <c r="Z392" s="4">
        <f>IF($K392="","",V392-Y392)</f>
      </c>
    </row>
    <row r="393" spans="1:31" x14ac:dyDescent="0.25">
      <c r="A393" s="8"/>
      <c r="D393" s="9"/>
      <c r="J393" s="4"/>
      <c r="K393" s="4"/>
      <c r="L393" s="4">
        <f>IF($K393="","",K393-J393)</f>
      </c>
      <c r="M393" s="4">
        <f>IF($K393="","",L393*16.67%)</f>
      </c>
      <c r="N393" s="4">
        <f>IF($K393="","",K393/100*7)</f>
      </c>
      <c r="O393" s="4">
        <f>IF($K393="","",N393*20%)</f>
      </c>
      <c r="P393" s="4">
        <f>IF($K393="","",N393*2%)</f>
      </c>
      <c r="Q393" s="4">
        <f>IF($K393="","",P393*20%)</f>
      </c>
      <c r="R393" s="4"/>
      <c r="S393" s="4">
        <f>IF($K393="","",R393*20%)</f>
      </c>
      <c r="T393" s="4">
        <v>1</v>
      </c>
      <c r="U393" s="4">
        <f>IF($K393="","",O393+Q393+S393)</f>
      </c>
      <c r="V393" s="4">
        <f>IF($K393="","",L393-M393-N393-O393-P393-Q393-R393-S393-T393)</f>
      </c>
      <c r="W393" s="4">
        <f>IF($K393="","",(V393-Y393)/J393*100)</f>
      </c>
      <c r="X393" s="4">
        <f>IF($K393="","",M393-U393)</f>
      </c>
      <c r="Z393" s="4">
        <f>IF($K393="","",V393-Y393)</f>
      </c>
    </row>
    <row r="394" spans="1:31" x14ac:dyDescent="0.25">
      <c r="A394" s="8"/>
      <c r="D394" s="9"/>
      <c r="J394" s="4"/>
      <c r="K394" s="4"/>
      <c r="L394" s="4">
        <f>IF($K394="","",K394-J394)</f>
      </c>
      <c r="M394" s="4">
        <f>IF($K394="","",L394*16.67%)</f>
      </c>
      <c r="N394" s="4">
        <f>IF($K394="","",K394/100*7)</f>
      </c>
      <c r="O394" s="4">
        <f>IF($K394="","",N394*20%)</f>
      </c>
      <c r="P394" s="4">
        <f>IF($K394="","",N394*2%)</f>
      </c>
      <c r="Q394" s="4">
        <f>IF($K394="","",P394*20%)</f>
      </c>
      <c r="R394" s="4"/>
      <c r="S394" s="4">
        <f>IF($K394="","",R394*20%)</f>
      </c>
      <c r="T394" s="4">
        <v>1</v>
      </c>
      <c r="U394" s="4">
        <f>IF($K394="","",O394+Q394+S394)</f>
      </c>
      <c r="V394" s="4">
        <f>IF($K394="","",L394-M394-N394-O394-P394-Q394-R394-S394-T394)</f>
      </c>
      <c r="W394" s="4">
        <f>IF($K394="","",(V394-Y394)/J394*100)</f>
      </c>
      <c r="X394" s="4">
        <f>IF($K394="","",M394-U394)</f>
      </c>
      <c r="Z394" s="4">
        <f>IF($K394="","",V394-Y394)</f>
      </c>
    </row>
    <row r="395" spans="1:31" x14ac:dyDescent="0.25">
      <c r="A395" s="8"/>
      <c r="D395" s="9"/>
      <c r="J395" s="4"/>
      <c r="K395" s="4"/>
      <c r="L395" s="4">
        <f>IF($K395="","",K395-J395)</f>
      </c>
      <c r="M395" s="4">
        <f>IF($K395="","",L395*16.67%)</f>
      </c>
      <c r="N395" s="4">
        <f>IF($K395="","",K395/100*7)</f>
      </c>
      <c r="O395" s="4">
        <f>IF($K395="","",N395*20%)</f>
      </c>
      <c r="P395" s="4">
        <f>IF($K395="","",N395*2%)</f>
      </c>
      <c r="Q395" s="4">
        <f>IF($K395="","",P395*20%)</f>
      </c>
      <c r="R395" s="4"/>
      <c r="S395" s="4">
        <f>IF($K395="","",R395*20%)</f>
      </c>
      <c r="T395" s="4">
        <v>1</v>
      </c>
      <c r="U395" s="4">
        <f>IF($K395="","",O395+Q395+S395)</f>
      </c>
      <c r="V395" s="4">
        <f>IF($K395="","",L395-M395-N395-O395-P395-Q395-R395-S395-T395)</f>
      </c>
      <c r="W395" s="4">
        <f>IF($K395="","",(V395-Y395)/J395*100)</f>
      </c>
      <c r="X395" s="4">
        <f>IF($K395="","",M395-U395)</f>
      </c>
      <c r="Z395" s="4">
        <f>IF($K395="","",V395-Y395)</f>
      </c>
    </row>
    <row r="396" spans="1:31" x14ac:dyDescent="0.25">
      <c r="A396" s="8"/>
      <c r="D396" s="9"/>
      <c r="J396" s="4"/>
      <c r="K396" s="4"/>
      <c r="L396" s="4">
        <f>IF($K396="","",K396-J396)</f>
      </c>
      <c r="M396" s="4">
        <f>IF($K396="","",L396*16.67%)</f>
      </c>
      <c r="N396" s="4">
        <f>IF($K396="","",K396/100*7)</f>
      </c>
      <c r="O396" s="4">
        <f>IF($K396="","",N396*20%)</f>
      </c>
      <c r="P396" s="4">
        <f>IF($K396="","",N396*2%)</f>
      </c>
      <c r="Q396" s="4">
        <f>IF($K396="","",P396*20%)</f>
      </c>
      <c r="R396" s="4"/>
      <c r="S396" s="4">
        <f>IF($K396="","",R396*20%)</f>
      </c>
      <c r="T396" s="4">
        <v>1</v>
      </c>
      <c r="U396" s="4">
        <f>IF($K396="","",O396+Q396+S396)</f>
      </c>
      <c r="V396" s="4">
        <f>IF($K396="","",L396-M396-N396-O396-P396-Q396-R396-S396-T396)</f>
      </c>
      <c r="W396" s="4">
        <f>IF($K396="","",(V396-Y396)/J396*100)</f>
      </c>
      <c r="X396" s="4">
        <f>IF($K396="","",M396-U396)</f>
      </c>
      <c r="Z396" s="4">
        <f>IF($K396="","",V396-Y396)</f>
      </c>
    </row>
    <row r="397" spans="1:31" x14ac:dyDescent="0.25">
      <c r="A397" s="8"/>
      <c r="D397" s="9"/>
      <c r="J397" s="4"/>
      <c r="K397" s="4"/>
      <c r="L397" s="4">
        <f>IF($K397="","",K397-J397)</f>
      </c>
      <c r="M397" s="4">
        <f>IF($K397="","",L397*16.67%)</f>
      </c>
      <c r="N397" s="4">
        <f>IF($K397="","",K397/100*7)</f>
      </c>
      <c r="O397" s="4">
        <f>IF($K397="","",N397*20%)</f>
      </c>
      <c r="P397" s="4">
        <f>IF($K397="","",N397*2%)</f>
      </c>
      <c r="Q397" s="4">
        <f>IF($K397="","",P397*20%)</f>
      </c>
      <c r="R397" s="4"/>
      <c r="S397" s="4">
        <f>IF($K397="","",R397*20%)</f>
      </c>
      <c r="T397" s="4">
        <v>1</v>
      </c>
      <c r="U397" s="4">
        <f>IF($K397="","",O397+Q397+S397)</f>
      </c>
      <c r="V397" s="4">
        <f>IF($K397="","",L397-M397-N397-O397-P397-Q397-R397-S397-T397)</f>
      </c>
      <c r="W397" s="4">
        <f>IF($K397="","",(V397-Y397)/J397*100)</f>
      </c>
      <c r="X397" s="4">
        <f>IF($K397="","",M397-U397)</f>
      </c>
      <c r="Z397" s="4">
        <f>IF($K397="","",V397-Y397)</f>
      </c>
    </row>
    <row r="398" spans="1:31" x14ac:dyDescent="0.25">
      <c r="A398" s="8"/>
      <c r="D398" s="9"/>
      <c r="J398" s="4"/>
      <c r="K398" s="4"/>
      <c r="L398" s="4">
        <f>IF($K398="","",K398-J398)</f>
      </c>
      <c r="M398" s="4">
        <f>IF($K398="","",L398*16.67%)</f>
      </c>
      <c r="N398" s="4">
        <f>IF($K398="","",K398/100*7)</f>
      </c>
      <c r="O398" s="4">
        <f>IF($K398="","",N398*20%)</f>
      </c>
      <c r="P398" s="4">
        <f>IF($K398="","",N398*2%)</f>
      </c>
      <c r="Q398" s="4">
        <f>IF($K398="","",P398*20%)</f>
      </c>
      <c r="R398" s="4"/>
      <c r="S398" s="4">
        <f>IF($K398="","",R398*20%)</f>
      </c>
      <c r="T398" s="4">
        <v>1</v>
      </c>
      <c r="U398" s="4">
        <f>IF($K398="","",O398+Q398+S398)</f>
      </c>
      <c r="V398" s="4">
        <f>IF($K398="","",L398-M398-N398-O398-P398-Q398-R398-S398-T398)</f>
      </c>
      <c r="W398" s="4">
        <f>IF($K398="","",(V398-Y398)/J398*100)</f>
      </c>
      <c r="X398" s="4">
        <f>IF($K398="","",M398-U398)</f>
      </c>
      <c r="Z398" s="4">
        <f>IF($K398="","",V398-Y398)</f>
      </c>
    </row>
    <row r="399" spans="1:31" x14ac:dyDescent="0.25">
      <c r="A399" s="8"/>
      <c r="D399" s="9"/>
      <c r="J399" s="4"/>
      <c r="K399" s="4"/>
      <c r="L399" s="4">
        <f>IF($K399="","",K399-J399)</f>
      </c>
      <c r="M399" s="4">
        <f>IF($K399="","",L399*16.67%)</f>
      </c>
      <c r="N399" s="4">
        <f>IF($K399="","",K399/100*7)</f>
      </c>
      <c r="O399" s="4">
        <f>IF($K399="","",N399*20%)</f>
      </c>
      <c r="P399" s="4">
        <f>IF($K399="","",N399*2%)</f>
      </c>
      <c r="Q399" s="4">
        <f>IF($K399="","",P399*20%)</f>
      </c>
      <c r="R399" s="4"/>
      <c r="S399" s="4">
        <f>IF($K399="","",R399*20%)</f>
      </c>
      <c r="T399" s="4">
        <v>1</v>
      </c>
      <c r="U399" s="4">
        <f>IF($K399="","",O399+Q399+S399)</f>
      </c>
      <c r="V399" s="4">
        <f>IF($K399="","",L399-M399-N399-O399-P399-Q399-R399-S399-T399)</f>
      </c>
      <c r="W399" s="4">
        <f>IF($K399="","",(V399-Y399)/J399*100)</f>
      </c>
      <c r="X399" s="4">
        <f>IF($K399="","",M399-U399)</f>
      </c>
      <c r="Z399" s="4">
        <f>IF($K399="","",V399-Y399)</f>
      </c>
    </row>
    <row r="400" spans="1:31" x14ac:dyDescent="0.25">
      <c r="A400" s="8"/>
      <c r="D400" s="9"/>
      <c r="J400" s="4"/>
      <c r="K400" s="4"/>
      <c r="L400" s="4">
        <f>IF($K400="","",K400-J400)</f>
      </c>
      <c r="M400" s="4">
        <f>IF($K400="","",L400*16.67%)</f>
      </c>
      <c r="N400" s="4">
        <f>IF($K400="","",K400/100*7)</f>
      </c>
      <c r="O400" s="4">
        <f>IF($K400="","",N400*20%)</f>
      </c>
      <c r="P400" s="4">
        <f>IF($K400="","",N400*2%)</f>
      </c>
      <c r="Q400" s="4">
        <f>IF($K400="","",P400*20%)</f>
      </c>
      <c r="R400" s="4"/>
      <c r="S400" s="4">
        <f>IF($K400="","",R400*20%)</f>
      </c>
      <c r="T400" s="4">
        <v>1</v>
      </c>
      <c r="U400" s="4">
        <f>IF($K400="","",O400+Q400+S400)</f>
      </c>
      <c r="V400" s="4">
        <f>IF($K400="","",L400-M400-N400-O400-P400-Q400-R400-S400-T400)</f>
      </c>
      <c r="W400" s="4">
        <f>IF($K400="","",(V400-Y400)/J400*100)</f>
      </c>
      <c r="X400" s="4">
        <f>IF($K400="","",M400-U400)</f>
      </c>
      <c r="Z400" s="4">
        <f>IF($K400="","",V400-Y400)</f>
      </c>
    </row>
    <row r="401" spans="1:31" x14ac:dyDescent="0.25">
      <c r="A401" s="8"/>
      <c r="D401" s="9"/>
      <c r="J401" s="4"/>
      <c r="K401" s="4"/>
      <c r="L401" s="4">
        <f>IF($K401="","",K401-J401)</f>
      </c>
      <c r="M401" s="4">
        <f>IF($K401="","",L401*16.67%)</f>
      </c>
      <c r="N401" s="4">
        <f>IF($K401="","",K401/100*7)</f>
      </c>
      <c r="O401" s="4">
        <f>IF($K401="","",N401*20%)</f>
      </c>
      <c r="P401" s="4">
        <f>IF($K401="","",N401*2%)</f>
      </c>
      <c r="Q401" s="4">
        <f>IF($K401="","",P401*20%)</f>
      </c>
      <c r="R401" s="4"/>
      <c r="S401" s="4">
        <f>IF($K401="","",R401*20%)</f>
      </c>
      <c r="T401" s="4">
        <v>1</v>
      </c>
      <c r="U401" s="4">
        <f>IF($K401="","",O401+Q401+S401)</f>
      </c>
      <c r="V401" s="4">
        <f>IF($K401="","",L401-M401-N401-O401-P401-Q401-R401-S401-T401)</f>
      </c>
      <c r="W401" s="4">
        <f>IF($K401="","",(V401-Y401)/J401*100)</f>
      </c>
      <c r="X401" s="4">
        <f>IF($K401="","",M401-U401)</f>
      </c>
      <c r="Z401" s="4">
        <f>IF($K401="","",V401-Y401)</f>
      </c>
    </row>
    <row r="402" spans="1:31" x14ac:dyDescent="0.25">
      <c r="A402" s="8"/>
      <c r="D402" s="9"/>
      <c r="J402" s="4"/>
      <c r="K402" s="4"/>
      <c r="L402" s="4">
        <f>IF($K402="","",K402-J402)</f>
      </c>
      <c r="M402" s="4">
        <f>IF($K402="","",L402*16.67%)</f>
      </c>
      <c r="N402" s="4">
        <f>IF($K402="","",K402/100*7)</f>
      </c>
      <c r="O402" s="4">
        <f>IF($K402="","",N402*20%)</f>
      </c>
      <c r="P402" s="4">
        <f>IF($K402="","",N402*2%)</f>
      </c>
      <c r="Q402" s="4">
        <f>IF($K402="","",P402*20%)</f>
      </c>
      <c r="R402" s="4"/>
      <c r="S402" s="4">
        <f>IF($K402="","",R402*20%)</f>
      </c>
      <c r="T402" s="4">
        <v>1</v>
      </c>
      <c r="U402" s="4">
        <f>IF($K402="","",O402+Q402+S402)</f>
      </c>
      <c r="V402" s="4">
        <f>IF($K402="","",L402-M402-N402-O402-P402-Q402-R402-S402-T402)</f>
      </c>
      <c r="W402" s="4">
        <f>IF($K402="","",(V402-Y402)/J402*100)</f>
      </c>
      <c r="X402" s="4">
        <f>IF($K402="","",M402-U402)</f>
      </c>
      <c r="Z402" s="4">
        <f>IF($K402="","",V402-Y402)</f>
      </c>
    </row>
    <row r="403" spans="1:31" x14ac:dyDescent="0.25">
      <c r="A403" s="8"/>
      <c r="D403" s="9"/>
      <c r="J403" s="4"/>
      <c r="K403" s="4"/>
      <c r="L403" s="4">
        <f>IF($K403="","",K403-J403)</f>
      </c>
      <c r="M403" s="4">
        <f>IF($K403="","",L403*16.67%)</f>
      </c>
      <c r="N403" s="4">
        <f>IF($K403="","",K403/100*7)</f>
      </c>
      <c r="O403" s="4">
        <f>IF($K403="","",N403*20%)</f>
      </c>
      <c r="P403" s="4">
        <f>IF($K403="","",N403*2%)</f>
      </c>
      <c r="Q403" s="4">
        <f>IF($K403="","",P403*20%)</f>
      </c>
      <c r="R403" s="4"/>
      <c r="S403" s="4">
        <f>IF($K403="","",R403*20%)</f>
      </c>
      <c r="T403" s="4">
        <v>1</v>
      </c>
      <c r="U403" s="4">
        <f>IF($K403="","",O403+Q403+S403)</f>
      </c>
      <c r="V403" s="4">
        <f>IF($K403="","",L403-M403-N403-O403-P403-Q403-R403-S403-T403)</f>
      </c>
      <c r="W403" s="4">
        <f>IF($K403="","",(V403-Y403)/J403*100)</f>
      </c>
      <c r="X403" s="4">
        <f>IF($K403="","",M403-U403)</f>
      </c>
      <c r="Z403" s="4">
        <f>IF($K403="","",V403-Y403)</f>
      </c>
    </row>
    <row r="404" spans="1:31" x14ac:dyDescent="0.25">
      <c r="A404" s="8"/>
      <c r="D404" s="9"/>
      <c r="J404" s="4"/>
      <c r="K404" s="4"/>
      <c r="L404" s="4">
        <f>IF($K404="","",K404-J404)</f>
      </c>
      <c r="M404" s="4">
        <f>IF($K404="","",L404*16.67%)</f>
      </c>
      <c r="N404" s="4">
        <f>IF($K404="","",K404/100*7)</f>
      </c>
      <c r="O404" s="4">
        <f>IF($K404="","",N404*20%)</f>
      </c>
      <c r="P404" s="4">
        <f>IF($K404="","",N404*2%)</f>
      </c>
      <c r="Q404" s="4">
        <f>IF($K404="","",P404*20%)</f>
      </c>
      <c r="R404" s="4"/>
      <c r="S404" s="4">
        <f>IF($K404="","",R404*20%)</f>
      </c>
      <c r="T404" s="4">
        <v>1</v>
      </c>
      <c r="U404" s="4">
        <f>IF($K404="","",O404+Q404+S404)</f>
      </c>
      <c r="V404" s="4">
        <f>IF($K404="","",L404-M404-N404-O404-P404-Q404-R404-S404-T404)</f>
      </c>
      <c r="W404" s="4">
        <f>IF($K404="","",(V404-Y404)/J404*100)</f>
      </c>
      <c r="X404" s="4">
        <f>IF($K404="","",M404-U404)</f>
      </c>
      <c r="Z404" s="4">
        <f>IF($K404="","",V404-Y404)</f>
      </c>
    </row>
    <row r="405" spans="1:31" x14ac:dyDescent="0.25">
      <c r="A405" s="8"/>
      <c r="D405" s="9"/>
      <c r="J405" s="4"/>
      <c r="K405" s="4"/>
      <c r="L405" s="4">
        <f>IF($K405="","",K405-J405)</f>
      </c>
      <c r="M405" s="4">
        <f>IF($K405="","",L405*16.67%)</f>
      </c>
      <c r="N405" s="4">
        <f>IF($K405="","",K405/100*7)</f>
      </c>
      <c r="O405" s="4">
        <f>IF($K405="","",N405*20%)</f>
      </c>
      <c r="P405" s="4">
        <f>IF($K405="","",N405*2%)</f>
      </c>
      <c r="Q405" s="4">
        <f>IF($K405="","",P405*20%)</f>
      </c>
      <c r="R405" s="4"/>
      <c r="S405" s="4">
        <f>IF($K405="","",R405*20%)</f>
      </c>
      <c r="T405" s="4">
        <v>1</v>
      </c>
      <c r="U405" s="4">
        <f>IF($K405="","",O405+Q405+S405)</f>
      </c>
      <c r="V405" s="4">
        <f>IF($K405="","",L405-M405-N405-O405-P405-Q405-R405-S405-T405)</f>
      </c>
      <c r="W405" s="4">
        <f>IF($K405="","",(V405-Y405)/J405*100)</f>
      </c>
      <c r="X405" s="4">
        <f>IF($K405="","",M405-U405)</f>
      </c>
      <c r="Z405" s="4">
        <f>IF($K405="","",V405-Y405)</f>
      </c>
    </row>
    <row r="406" spans="1:31" x14ac:dyDescent="0.25">
      <c r="A406" s="8"/>
      <c r="D406" s="9"/>
      <c r="J406" s="4"/>
      <c r="K406" s="4"/>
      <c r="L406" s="4">
        <f>IF($K406="","",K406-J406)</f>
      </c>
      <c r="M406" s="4">
        <f>IF($K406="","",L406*16.67%)</f>
      </c>
      <c r="N406" s="4">
        <f>IF($K406="","",K406/100*7)</f>
      </c>
      <c r="O406" s="4">
        <f>IF($K406="","",N406*20%)</f>
      </c>
      <c r="P406" s="4">
        <f>IF($K406="","",N406*2%)</f>
      </c>
      <c r="Q406" s="4">
        <f>IF($K406="","",P406*20%)</f>
      </c>
      <c r="R406" s="4"/>
      <c r="S406" s="4">
        <f>IF($K406="","",R406*20%)</f>
      </c>
      <c r="T406" s="4">
        <v>1</v>
      </c>
      <c r="U406" s="4">
        <f>IF($K406="","",O406+Q406+S406)</f>
      </c>
      <c r="V406" s="4">
        <f>IF($K406="","",L406-M406-N406-O406-P406-Q406-R406-S406-T406)</f>
      </c>
      <c r="W406" s="4">
        <f>IF($K406="","",(V406-Y406)/J406*100)</f>
      </c>
      <c r="X406" s="4">
        <f>IF($K406="","",M406-U406)</f>
      </c>
      <c r="Z406" s="4">
        <f>IF($K406="","",V406-Y406)</f>
      </c>
    </row>
    <row r="407" spans="1:31" x14ac:dyDescent="0.25">
      <c r="A407" s="8"/>
      <c r="D407" s="9"/>
      <c r="J407" s="4"/>
      <c r="K407" s="4"/>
      <c r="L407" s="4">
        <f>IF($K407="","",K407-J407)</f>
      </c>
      <c r="M407" s="4">
        <f>IF($K407="","",L407*16.67%)</f>
      </c>
      <c r="N407" s="4">
        <f>IF($K407="","",K407/100*7)</f>
      </c>
      <c r="O407" s="4">
        <f>IF($K407="","",N407*20%)</f>
      </c>
      <c r="P407" s="4">
        <f>IF($K407="","",N407*2%)</f>
      </c>
      <c r="Q407" s="4">
        <f>IF($K407="","",P407*20%)</f>
      </c>
      <c r="R407" s="4"/>
      <c r="S407" s="4">
        <f>IF($K407="","",R407*20%)</f>
      </c>
      <c r="T407" s="4">
        <v>1</v>
      </c>
      <c r="U407" s="4">
        <f>IF($K407="","",O407+Q407+S407)</f>
      </c>
      <c r="V407" s="4">
        <f>IF($K407="","",L407-M407-N407-O407-P407-Q407-R407-S407-T407)</f>
      </c>
      <c r="W407" s="4">
        <f>IF($K407="","",(V407-Y407)/J407*100)</f>
      </c>
      <c r="X407" s="4">
        <f>IF($K407="","",M407-U407)</f>
      </c>
      <c r="Z407" s="4">
        <f>IF($K407="","",V407-Y407)</f>
      </c>
    </row>
    <row r="408" spans="1:31" x14ac:dyDescent="0.25">
      <c r="A408" s="8"/>
      <c r="D408" s="9"/>
      <c r="J408" s="4"/>
      <c r="K408" s="4"/>
      <c r="L408" s="4">
        <f>IF($K408="","",K408-J408)</f>
      </c>
      <c r="M408" s="4">
        <f>IF($K408="","",L408*16.67%)</f>
      </c>
      <c r="N408" s="4">
        <f>IF($K408="","",K408/100*7)</f>
      </c>
      <c r="O408" s="4">
        <f>IF($K408="","",N408*20%)</f>
      </c>
      <c r="P408" s="4">
        <f>IF($K408="","",N408*2%)</f>
      </c>
      <c r="Q408" s="4">
        <f>IF($K408="","",P408*20%)</f>
      </c>
      <c r="R408" s="4"/>
      <c r="S408" s="4">
        <f>IF($K408="","",R408*20%)</f>
      </c>
      <c r="T408" s="4">
        <v>1</v>
      </c>
      <c r="U408" s="4">
        <f>IF($K408="","",O408+Q408+S408)</f>
      </c>
      <c r="V408" s="4">
        <f>IF($K408="","",L408-M408-N408-O408-P408-Q408-R408-S408-T408)</f>
      </c>
      <c r="W408" s="4">
        <f>IF($K408="","",(V408-Y408)/J408*100)</f>
      </c>
      <c r="X408" s="4">
        <f>IF($K408="","",M408-U408)</f>
      </c>
      <c r="Z408" s="4">
        <f>IF($K408="","",V408-Y408)</f>
      </c>
    </row>
    <row r="409" spans="1:31" x14ac:dyDescent="0.25">
      <c r="A409" s="8"/>
      <c r="D409" s="9"/>
      <c r="J409" s="4"/>
      <c r="K409" s="4"/>
      <c r="L409" s="4">
        <f>IF($K409="","",K409-J409)</f>
      </c>
      <c r="M409" s="4">
        <f>IF($K409="","",L409*16.67%)</f>
      </c>
      <c r="N409" s="4">
        <f>IF($K409="","",K409/100*7)</f>
      </c>
      <c r="O409" s="4">
        <f>IF($K409="","",N409*20%)</f>
      </c>
      <c r="P409" s="4">
        <f>IF($K409="","",N409*2%)</f>
      </c>
      <c r="Q409" s="4">
        <f>IF($K409="","",P409*20%)</f>
      </c>
      <c r="R409" s="4"/>
      <c r="S409" s="4">
        <f>IF($K409="","",R409*20%)</f>
      </c>
      <c r="T409" s="4">
        <v>1</v>
      </c>
      <c r="U409" s="4">
        <f>IF($K409="","",O409+Q409+S409)</f>
      </c>
      <c r="V409" s="4">
        <f>IF($K409="","",L409-M409-N409-O409-P409-Q409-R409-S409-T409)</f>
      </c>
      <c r="W409" s="4">
        <f>IF($K409="","",(V409-Y409)/J409*100)</f>
      </c>
      <c r="X409" s="4">
        <f>IF($K409="","",M409-U409)</f>
      </c>
      <c r="Z409" s="4">
        <f>IF($K409="","",V409-Y409)</f>
      </c>
    </row>
    <row r="410" spans="1:31" x14ac:dyDescent="0.25">
      <c r="A410" s="8"/>
      <c r="D410" s="9"/>
      <c r="J410" s="4"/>
      <c r="K410" s="4"/>
      <c r="L410" s="4">
        <f>IF($K410="","",K410-J410)</f>
      </c>
      <c r="M410" s="4">
        <f>IF($K410="","",L410*16.67%)</f>
      </c>
      <c r="N410" s="4">
        <f>IF($K410="","",K410/100*7)</f>
      </c>
      <c r="O410" s="4">
        <f>IF($K410="","",N410*20%)</f>
      </c>
      <c r="P410" s="4">
        <f>IF($K410="","",N410*2%)</f>
      </c>
      <c r="Q410" s="4">
        <f>IF($K410="","",P410*20%)</f>
      </c>
      <c r="R410" s="4"/>
      <c r="S410" s="4">
        <f>IF($K410="","",R410*20%)</f>
      </c>
      <c r="T410" s="4">
        <v>1</v>
      </c>
      <c r="U410" s="4">
        <f>IF($K410="","",O410+Q410+S410)</f>
      </c>
      <c r="V410" s="4">
        <f>IF($K410="","",L410-M410-N410-O410-P410-Q410-R410-S410-T410)</f>
      </c>
      <c r="W410" s="4">
        <f>IF($K410="","",(V410-Y410)/J410*100)</f>
      </c>
      <c r="X410" s="4">
        <f>IF($K410="","",M410-U410)</f>
      </c>
      <c r="Z410" s="4">
        <f>IF($K410="","",V410-Y410)</f>
      </c>
    </row>
    <row r="411" spans="1:31" x14ac:dyDescent="0.25">
      <c r="A411" s="8"/>
      <c r="D411" s="9"/>
      <c r="J411" s="4"/>
      <c r="K411" s="4"/>
      <c r="L411" s="4">
        <f>IF($K411="","",K411-J411)</f>
      </c>
      <c r="M411" s="4">
        <f>IF($K411="","",L411*16.67%)</f>
      </c>
      <c r="N411" s="4">
        <f>IF($K411="","",K411/100*7)</f>
      </c>
      <c r="O411" s="4">
        <f>IF($K411="","",N411*20%)</f>
      </c>
      <c r="P411" s="4">
        <f>IF($K411="","",N411*2%)</f>
      </c>
      <c r="Q411" s="4">
        <f>IF($K411="","",P411*20%)</f>
      </c>
      <c r="R411" s="4"/>
      <c r="S411" s="4">
        <f>IF($K411="","",R411*20%)</f>
      </c>
      <c r="T411" s="4">
        <v>1</v>
      </c>
      <c r="U411" s="4">
        <f>IF($K411="","",O411+Q411+S411)</f>
      </c>
      <c r="V411" s="4">
        <f>IF($K411="","",L411-M411-N411-O411-P411-Q411-R411-S411-T411)</f>
      </c>
      <c r="W411" s="4">
        <f>IF($K411="","",(V411-Y411)/J411*100)</f>
      </c>
      <c r="X411" s="4">
        <f>IF($K411="","",M411-U411)</f>
      </c>
      <c r="Z411" s="4">
        <f>IF($K411="","",V411-Y411)</f>
      </c>
    </row>
    <row r="412" spans="1:31" x14ac:dyDescent="0.25">
      <c r="A412" s="8"/>
      <c r="D412" s="9"/>
      <c r="J412" s="4"/>
      <c r="K412" s="4"/>
      <c r="L412" s="4">
        <f>IF($K412="","",K412-J412)</f>
      </c>
      <c r="M412" s="4">
        <f>IF($K412="","",L412*16.67%)</f>
      </c>
      <c r="N412" s="4">
        <f>IF($K412="","",K412/100*7)</f>
      </c>
      <c r="O412" s="4">
        <f>IF($K412="","",N412*20%)</f>
      </c>
      <c r="P412" s="4">
        <f>IF($K412="","",N412*2%)</f>
      </c>
      <c r="Q412" s="4">
        <f>IF($K412="","",P412*20%)</f>
      </c>
      <c r="R412" s="4"/>
      <c r="S412" s="4">
        <f>IF($K412="","",R412*20%)</f>
      </c>
      <c r="T412" s="4">
        <v>1</v>
      </c>
      <c r="U412" s="4">
        <f>IF($K412="","",O412+Q412+S412)</f>
      </c>
      <c r="V412" s="4">
        <f>IF($K412="","",L412-M412-N412-O412-P412-Q412-R412-S412-T412)</f>
      </c>
      <c r="W412" s="4">
        <f>IF($K412="","",(V412-Y412)/J412*100)</f>
      </c>
      <c r="X412" s="4">
        <f>IF($K412="","",M412-U412)</f>
      </c>
      <c r="Z412" s="4">
        <f>IF($K412="","",V412-Y412)</f>
      </c>
    </row>
    <row r="413" spans="1:31" x14ac:dyDescent="0.25">
      <c r="A413" s="8"/>
      <c r="D413" s="9"/>
      <c r="J413" s="4"/>
      <c r="K413" s="4"/>
      <c r="L413" s="4">
        <f>IF($K413="","",K413-J413)</f>
      </c>
      <c r="M413" s="4">
        <f>IF($K413="","",L413*16.67%)</f>
      </c>
      <c r="N413" s="4">
        <f>IF($K413="","",K413/100*7)</f>
      </c>
      <c r="O413" s="4">
        <f>IF($K413="","",N413*20%)</f>
      </c>
      <c r="P413" s="4">
        <f>IF($K413="","",N413*2%)</f>
      </c>
      <c r="Q413" s="4">
        <f>IF($K413="","",P413*20%)</f>
      </c>
      <c r="R413" s="4"/>
      <c r="S413" s="4">
        <f>IF($K413="","",R413*20%)</f>
      </c>
      <c r="T413" s="4">
        <v>1</v>
      </c>
      <c r="U413" s="4">
        <f>IF($K413="","",O413+Q413+S413)</f>
      </c>
      <c r="V413" s="4">
        <f>IF($K413="","",L413-M413-N413-O413-P413-Q413-R413-S413-T413)</f>
      </c>
      <c r="W413" s="4">
        <f>IF($K413="","",(V413-Y413)/J413*100)</f>
      </c>
      <c r="X413" s="4">
        <f>IF($K413="","",M413-U413)</f>
      </c>
      <c r="Z413" s="4">
        <f>IF($K413="","",V413-Y413)</f>
      </c>
    </row>
    <row r="414" spans="1:31" x14ac:dyDescent="0.25">
      <c r="A414" s="8"/>
      <c r="D414" s="9"/>
      <c r="J414" s="4"/>
      <c r="K414" s="4"/>
      <c r="L414" s="4">
        <f>IF($K414="","",K414-J414)</f>
      </c>
      <c r="M414" s="4">
        <f>IF($K414="","",L414*16.67%)</f>
      </c>
      <c r="N414" s="4">
        <f>IF($K414="","",K414/100*7)</f>
      </c>
      <c r="O414" s="4">
        <f>IF($K414="","",N414*20%)</f>
      </c>
      <c r="P414" s="4">
        <f>IF($K414="","",N414*2%)</f>
      </c>
      <c r="Q414" s="4">
        <f>IF($K414="","",P414*20%)</f>
      </c>
      <c r="R414" s="4"/>
      <c r="S414" s="4">
        <f>IF($K414="","",R414*20%)</f>
      </c>
      <c r="T414" s="4">
        <v>1</v>
      </c>
      <c r="U414" s="4">
        <f>IF($K414="","",O414+Q414+S414)</f>
      </c>
      <c r="V414" s="4">
        <f>IF($K414="","",L414-M414-N414-O414-P414-Q414-R414-S414-T414)</f>
      </c>
      <c r="W414" s="4">
        <f>IF($K414="","",(V414-Y414)/J414*100)</f>
      </c>
      <c r="X414" s="4">
        <f>IF($K414="","",M414-U414)</f>
      </c>
      <c r="Z414" s="4">
        <f>IF($K414="","",V414-Y414)</f>
      </c>
    </row>
    <row r="415" spans="1:31" x14ac:dyDescent="0.25">
      <c r="A415" s="8"/>
      <c r="D415" s="9"/>
      <c r="J415" s="4"/>
      <c r="K415" s="4"/>
      <c r="L415" s="4">
        <f>IF($K415="","",K415-J415)</f>
      </c>
      <c r="M415" s="4">
        <f>IF($K415="","",L415*16.67%)</f>
      </c>
      <c r="N415" s="4">
        <f>IF($K415="","",K415/100*7)</f>
      </c>
      <c r="O415" s="4">
        <f>IF($K415="","",N415*20%)</f>
      </c>
      <c r="P415" s="4">
        <f>IF($K415="","",N415*2%)</f>
      </c>
      <c r="Q415" s="4">
        <f>IF($K415="","",P415*20%)</f>
      </c>
      <c r="R415" s="4"/>
      <c r="S415" s="4">
        <f>IF($K415="","",R415*20%)</f>
      </c>
      <c r="T415" s="4">
        <v>1</v>
      </c>
      <c r="U415" s="4">
        <f>IF($K415="","",O415+Q415+S415)</f>
      </c>
      <c r="V415" s="4">
        <f>IF($K415="","",L415-M415-N415-O415-P415-Q415-R415-S415-T415)</f>
      </c>
      <c r="W415" s="4">
        <f>IF($K415="","",(V415-Y415)/J415*100)</f>
      </c>
      <c r="X415" s="4">
        <f>IF($K415="","",M415-U415)</f>
      </c>
      <c r="Z415" s="4">
        <f>IF($K415="","",V415-Y415)</f>
      </c>
    </row>
    <row r="416" spans="1:31" x14ac:dyDescent="0.25">
      <c r="A416" s="8"/>
      <c r="D416" s="9"/>
      <c r="J416" s="4"/>
      <c r="K416" s="4"/>
      <c r="L416" s="4">
        <f>IF($K416="","",K416-J416)</f>
      </c>
      <c r="M416" s="4">
        <f>IF($K416="","",L416*16.67%)</f>
      </c>
      <c r="N416" s="4">
        <f>IF($K416="","",K416/100*7)</f>
      </c>
      <c r="O416" s="4">
        <f>IF($K416="","",N416*20%)</f>
      </c>
      <c r="P416" s="4">
        <f>IF($K416="","",N416*2%)</f>
      </c>
      <c r="Q416" s="4">
        <f>IF($K416="","",P416*20%)</f>
      </c>
      <c r="R416" s="4"/>
      <c r="S416" s="4">
        <f>IF($K416="","",R416*20%)</f>
      </c>
      <c r="T416" s="4">
        <v>1</v>
      </c>
      <c r="U416" s="4">
        <f>IF($K416="","",O416+Q416+S416)</f>
      </c>
      <c r="V416" s="4">
        <f>IF($K416="","",L416-M416-N416-O416-P416-Q416-R416-S416-T416)</f>
      </c>
      <c r="W416" s="4">
        <f>IF($K416="","",(V416-Y416)/J416*100)</f>
      </c>
      <c r="X416" s="4">
        <f>IF($K416="","",M416-U416)</f>
      </c>
      <c r="Z416" s="4">
        <f>IF($K416="","",V416-Y416)</f>
      </c>
    </row>
    <row r="417" spans="1:31" x14ac:dyDescent="0.25">
      <c r="A417" s="8"/>
      <c r="D417" s="9"/>
      <c r="J417" s="4"/>
      <c r="K417" s="4"/>
      <c r="L417" s="4">
        <f>IF($K417="","",K417-J417)</f>
      </c>
      <c r="M417" s="4">
        <f>IF($K417="","",L417*16.67%)</f>
      </c>
      <c r="N417" s="4">
        <f>IF($K417="","",K417/100*7)</f>
      </c>
      <c r="O417" s="4">
        <f>IF($K417="","",N417*20%)</f>
      </c>
      <c r="P417" s="4">
        <f>IF($K417="","",N417*2%)</f>
      </c>
      <c r="Q417" s="4">
        <f>IF($K417="","",P417*20%)</f>
      </c>
      <c r="R417" s="4"/>
      <c r="S417" s="4">
        <f>IF($K417="","",R417*20%)</f>
      </c>
      <c r="T417" s="4">
        <v>1</v>
      </c>
      <c r="U417" s="4">
        <f>IF($K417="","",O417+Q417+S417)</f>
      </c>
      <c r="V417" s="4">
        <f>IF($K417="","",L417-M417-N417-O417-P417-Q417-R417-S417-T417)</f>
      </c>
      <c r="W417" s="4">
        <f>IF($K417="","",(V417-Y417)/J417*100)</f>
      </c>
      <c r="X417" s="4">
        <f>IF($K417="","",M417-U417)</f>
      </c>
      <c r="Z417" s="4">
        <f>IF($K417="","",V417-Y417)</f>
      </c>
    </row>
    <row r="418" spans="1:31" x14ac:dyDescent="0.25">
      <c r="A418" s="8"/>
      <c r="D418" s="9"/>
      <c r="J418" s="4"/>
      <c r="K418" s="4"/>
      <c r="L418" s="4">
        <f>IF($K418="","",K418-J418)</f>
      </c>
      <c r="M418" s="4">
        <f>IF($K418="","",L418*16.67%)</f>
      </c>
      <c r="N418" s="4">
        <f>IF($K418="","",K418/100*7)</f>
      </c>
      <c r="O418" s="4">
        <f>IF($K418="","",N418*20%)</f>
      </c>
      <c r="P418" s="4">
        <f>IF($K418="","",N418*2%)</f>
      </c>
      <c r="Q418" s="4">
        <f>IF($K418="","",P418*20%)</f>
      </c>
      <c r="R418" s="4"/>
      <c r="S418" s="4">
        <f>IF($K418="","",R418*20%)</f>
      </c>
      <c r="T418" s="4">
        <v>1</v>
      </c>
      <c r="U418" s="4">
        <f>IF($K418="","",O418+Q418+S418)</f>
      </c>
      <c r="V418" s="4">
        <f>IF($K418="","",L418-M418-N418-O418-P418-Q418-R418-S418-T418)</f>
      </c>
      <c r="W418" s="4">
        <f>IF($K418="","",(V418-Y418)/J418*100)</f>
      </c>
      <c r="X418" s="4">
        <f>IF($K418="","",M418-U418)</f>
      </c>
      <c r="Z418" s="4">
        <f>IF($K418="","",V418-Y418)</f>
      </c>
    </row>
    <row r="419" spans="1:31" x14ac:dyDescent="0.25">
      <c r="A419" s="8"/>
      <c r="D419" s="9"/>
      <c r="J419" s="4"/>
      <c r="K419" s="4"/>
      <c r="L419" s="4">
        <f>IF($K419="","",K419-J419)</f>
      </c>
      <c r="M419" s="4">
        <f>IF($K419="","",L419*16.67%)</f>
      </c>
      <c r="N419" s="4">
        <f>IF($K419="","",K419/100*7)</f>
      </c>
      <c r="O419" s="4">
        <f>IF($K419="","",N419*20%)</f>
      </c>
      <c r="P419" s="4">
        <f>IF($K419="","",N419*2%)</f>
      </c>
      <c r="Q419" s="4">
        <f>IF($K419="","",P419*20%)</f>
      </c>
      <c r="R419" s="4"/>
      <c r="S419" s="4">
        <f>IF($K419="","",R419*20%)</f>
      </c>
      <c r="T419" s="4">
        <v>1</v>
      </c>
      <c r="U419" s="4">
        <f>IF($K419="","",O419+Q419+S419)</f>
      </c>
      <c r="V419" s="4">
        <f>IF($K419="","",L419-M419-N419-O419-P419-Q419-R419-S419-T419)</f>
      </c>
      <c r="W419" s="4">
        <f>IF($K419="","",(V419-Y419)/J419*100)</f>
      </c>
      <c r="X419" s="4">
        <f>IF($K419="","",M419-U419)</f>
      </c>
      <c r="Z419" s="4">
        <f>IF($K419="","",V419-Y419)</f>
      </c>
    </row>
    <row r="420" spans="1:31" x14ac:dyDescent="0.25">
      <c r="A420" s="8"/>
      <c r="D420" s="9"/>
      <c r="J420" s="4"/>
      <c r="K420" s="4"/>
      <c r="L420" s="4">
        <f>IF($K420="","",K420-J420)</f>
      </c>
      <c r="M420" s="4">
        <f>IF($K420="","",L420*16.67%)</f>
      </c>
      <c r="N420" s="4">
        <f>IF($K420="","",K420/100*7)</f>
      </c>
      <c r="O420" s="4">
        <f>IF($K420="","",N420*20%)</f>
      </c>
      <c r="P420" s="4">
        <f>IF($K420="","",N420*2%)</f>
      </c>
      <c r="Q420" s="4">
        <f>IF($K420="","",P420*20%)</f>
      </c>
      <c r="R420" s="4"/>
      <c r="S420" s="4">
        <f>IF($K420="","",R420*20%)</f>
      </c>
      <c r="T420" s="4">
        <v>1</v>
      </c>
      <c r="U420" s="4">
        <f>IF($K420="","",O420+Q420+S420)</f>
      </c>
      <c r="V420" s="4">
        <f>IF($K420="","",L420-M420-N420-O420-P420-Q420-R420-S420-T420)</f>
      </c>
      <c r="W420" s="4">
        <f>IF($K420="","",(V420-Y420)/J420*100)</f>
      </c>
      <c r="X420" s="4">
        <f>IF($K420="","",M420-U420)</f>
      </c>
      <c r="Z420" s="4">
        <f>IF($K420="","",V420-Y420)</f>
      </c>
    </row>
    <row r="421" spans="1:31" x14ac:dyDescent="0.25">
      <c r="A421" s="8"/>
      <c r="D421" s="9"/>
      <c r="J421" s="4"/>
      <c r="K421" s="4"/>
      <c r="L421" s="4">
        <f>IF($K421="","",K421-J421)</f>
      </c>
      <c r="M421" s="4">
        <f>IF($K421="","",L421*16.67%)</f>
      </c>
      <c r="N421" s="4">
        <f>IF($K421="","",K421/100*7)</f>
      </c>
      <c r="O421" s="4">
        <f>IF($K421="","",N421*20%)</f>
      </c>
      <c r="P421" s="4">
        <f>IF($K421="","",N421*2%)</f>
      </c>
      <c r="Q421" s="4">
        <f>IF($K421="","",P421*20%)</f>
      </c>
      <c r="R421" s="4"/>
      <c r="S421" s="4">
        <f>IF($K421="","",R421*20%)</f>
      </c>
      <c r="T421" s="4">
        <v>1</v>
      </c>
      <c r="U421" s="4">
        <f>IF($K421="","",O421+Q421+S421)</f>
      </c>
      <c r="V421" s="4">
        <f>IF($K421="","",L421-M421-N421-O421-P421-Q421-R421-S421-T421)</f>
      </c>
      <c r="W421" s="4">
        <f>IF($K421="","",(V421-Y421)/J421*100)</f>
      </c>
      <c r="X421" s="4">
        <f>IF($K421="","",M421-U421)</f>
      </c>
      <c r="Z421" s="4">
        <f>IF($K421="","",V421-Y421)</f>
      </c>
    </row>
    <row r="422" spans="1:31" x14ac:dyDescent="0.25">
      <c r="A422" s="8"/>
      <c r="D422" s="9"/>
      <c r="J422" s="4"/>
      <c r="K422" s="4"/>
      <c r="L422" s="4">
        <f>IF($K422="","",K422-J422)</f>
      </c>
      <c r="M422" s="4">
        <f>IF($K422="","",L422*16.67%)</f>
      </c>
      <c r="N422" s="4">
        <f>IF($K422="","",K422/100*7)</f>
      </c>
      <c r="O422" s="4">
        <f>IF($K422="","",N422*20%)</f>
      </c>
      <c r="P422" s="4">
        <f>IF($K422="","",N422*2%)</f>
      </c>
      <c r="Q422" s="4">
        <f>IF($K422="","",P422*20%)</f>
      </c>
      <c r="R422" s="4"/>
      <c r="S422" s="4">
        <f>IF($K422="","",R422*20%)</f>
      </c>
      <c r="T422" s="4">
        <v>1</v>
      </c>
      <c r="U422" s="4">
        <f>IF($K422="","",O422+Q422+S422)</f>
      </c>
      <c r="V422" s="4">
        <f>IF($K422="","",L422-M422-N422-O422-P422-Q422-R422-S422-T422)</f>
      </c>
      <c r="W422" s="4">
        <f>IF($K422="","",(V422-Y422)/J422*100)</f>
      </c>
      <c r="X422" s="4">
        <f>IF($K422="","",M422-U422)</f>
      </c>
      <c r="Z422" s="4">
        <f>IF($K422="","",V422-Y422)</f>
      </c>
    </row>
    <row r="423" spans="1:31" x14ac:dyDescent="0.25">
      <c r="A423" s="8"/>
      <c r="D423" s="9"/>
      <c r="J423" s="4"/>
      <c r="K423" s="4"/>
      <c r="L423" s="4">
        <f>IF($K423="","",K423-J423)</f>
      </c>
      <c r="M423" s="4">
        <f>IF($K423="","",L423*16.67%)</f>
      </c>
      <c r="N423" s="4">
        <f>IF($K423="","",K423/100*7)</f>
      </c>
      <c r="O423" s="4">
        <f>IF($K423="","",N423*20%)</f>
      </c>
      <c r="P423" s="4">
        <f>IF($K423="","",N423*2%)</f>
      </c>
      <c r="Q423" s="4">
        <f>IF($K423="","",P423*20%)</f>
      </c>
      <c r="R423" s="4"/>
      <c r="S423" s="4">
        <f>IF($K423="","",R423*20%)</f>
      </c>
      <c r="T423" s="4">
        <v>1</v>
      </c>
      <c r="U423" s="4">
        <f>IF($K423="","",O423+Q423+S423)</f>
      </c>
      <c r="V423" s="4">
        <f>IF($K423="","",L423-M423-N423-O423-P423-Q423-R423-S423-T423)</f>
      </c>
      <c r="W423" s="4">
        <f>IF($K423="","",(V423-Y423)/J423*100)</f>
      </c>
      <c r="X423" s="4">
        <f>IF($K423="","",M423-U423)</f>
      </c>
      <c r="Z423" s="4">
        <f>IF($K423="","",V423-Y423)</f>
      </c>
    </row>
    <row r="424" spans="1:31" x14ac:dyDescent="0.25">
      <c r="A424" s="8"/>
      <c r="D424" s="9"/>
      <c r="J424" s="4"/>
      <c r="K424" s="4"/>
      <c r="L424" s="4">
        <f>IF($K424="","",K424-J424)</f>
      </c>
      <c r="M424" s="4">
        <f>IF($K424="","",L424*16.67%)</f>
      </c>
      <c r="N424" s="4">
        <f>IF($K424="","",K424/100*7)</f>
      </c>
      <c r="O424" s="4">
        <f>IF($K424="","",N424*20%)</f>
      </c>
      <c r="P424" s="4">
        <f>IF($K424="","",N424*2%)</f>
      </c>
      <c r="Q424" s="4">
        <f>IF($K424="","",P424*20%)</f>
      </c>
      <c r="R424" s="4"/>
      <c r="S424" s="4">
        <f>IF($K424="","",R424*20%)</f>
      </c>
      <c r="T424" s="4">
        <v>1</v>
      </c>
      <c r="U424" s="4">
        <f>IF($K424="","",O424+Q424+S424)</f>
      </c>
      <c r="V424" s="4">
        <f>IF($K424="","",L424-M424-N424-O424-P424-Q424-R424-S424-T424)</f>
      </c>
      <c r="W424" s="4">
        <f>IF($K424="","",(V424-Y424)/J424*100)</f>
      </c>
      <c r="X424" s="4">
        <f>IF($K424="","",M424-U424)</f>
      </c>
      <c r="Z424" s="4">
        <f>IF($K424="","",V424-Y424)</f>
      </c>
    </row>
    <row r="425" spans="1:31" x14ac:dyDescent="0.25">
      <c r="A425" s="8"/>
      <c r="D425" s="9"/>
      <c r="J425" s="4"/>
      <c r="K425" s="4"/>
      <c r="L425" s="4">
        <f>IF($K425="","",K425-J425)</f>
      </c>
      <c r="M425" s="4">
        <f>IF($K425="","",L425*16.67%)</f>
      </c>
      <c r="N425" s="4">
        <f>IF($K425="","",K425/100*7)</f>
      </c>
      <c r="O425" s="4">
        <f>IF($K425="","",N425*20%)</f>
      </c>
      <c r="P425" s="4">
        <f>IF($K425="","",N425*2%)</f>
      </c>
      <c r="Q425" s="4">
        <f>IF($K425="","",P425*20%)</f>
      </c>
      <c r="R425" s="4"/>
      <c r="S425" s="4">
        <f>IF($K425="","",R425*20%)</f>
      </c>
      <c r="T425" s="4">
        <v>1</v>
      </c>
      <c r="U425" s="4">
        <f>IF($K425="","",O425+Q425+S425)</f>
      </c>
      <c r="V425" s="4">
        <f>IF($K425="","",L425-M425-N425-O425-P425-Q425-R425-S425-T425)</f>
      </c>
      <c r="W425" s="4">
        <f>IF($K425="","",(V425-Y425)/J425*100)</f>
      </c>
      <c r="X425" s="4">
        <f>IF($K425="","",M425-U425)</f>
      </c>
      <c r="Z425" s="4">
        <f>IF($K425="","",V425-Y425)</f>
      </c>
    </row>
    <row r="426" spans="1:31" x14ac:dyDescent="0.25">
      <c r="A426" s="8"/>
      <c r="D426" s="9"/>
      <c r="J426" s="4"/>
      <c r="K426" s="4"/>
      <c r="L426" s="4">
        <f>IF($K426="","",K426-J426)</f>
      </c>
      <c r="M426" s="4">
        <f>IF($K426="","",L426*16.67%)</f>
      </c>
      <c r="N426" s="4">
        <f>IF($K426="","",K426/100*7)</f>
      </c>
      <c r="O426" s="4">
        <f>IF($K426="","",N426*20%)</f>
      </c>
      <c r="P426" s="4">
        <f>IF($K426="","",N426*2%)</f>
      </c>
      <c r="Q426" s="4">
        <f>IF($K426="","",P426*20%)</f>
      </c>
      <c r="R426" s="4"/>
      <c r="S426" s="4">
        <f>IF($K426="","",R426*20%)</f>
      </c>
      <c r="T426" s="4">
        <v>1</v>
      </c>
      <c r="U426" s="4">
        <f>IF($K426="","",O426+Q426+S426)</f>
      </c>
      <c r="V426" s="4">
        <f>IF($K426="","",L426-M426-N426-O426-P426-Q426-R426-S426-T426)</f>
      </c>
      <c r="W426" s="4">
        <f>IF($K426="","",(V426-Y426)/J426*100)</f>
      </c>
      <c r="X426" s="4">
        <f>IF($K426="","",M426-U426)</f>
      </c>
      <c r="Z426" s="4">
        <f>IF($K426="","",V426-Y426)</f>
      </c>
    </row>
    <row r="427" spans="1:31" x14ac:dyDescent="0.25">
      <c r="A427" s="8"/>
      <c r="D427" s="9"/>
      <c r="J427" s="4"/>
      <c r="K427" s="4"/>
      <c r="L427" s="4">
        <f>IF($K427="","",K427-J427)</f>
      </c>
      <c r="M427" s="4">
        <f>IF($K427="","",L427*16.67%)</f>
      </c>
      <c r="N427" s="4">
        <f>IF($K427="","",K427/100*7)</f>
      </c>
      <c r="O427" s="4">
        <f>IF($K427="","",N427*20%)</f>
      </c>
      <c r="P427" s="4">
        <f>IF($K427="","",N427*2%)</f>
      </c>
      <c r="Q427" s="4">
        <f>IF($K427="","",P427*20%)</f>
      </c>
      <c r="R427" s="4"/>
      <c r="S427" s="4">
        <f>IF($K427="","",R427*20%)</f>
      </c>
      <c r="T427" s="4">
        <v>1</v>
      </c>
      <c r="U427" s="4">
        <f>IF($K427="","",O427+Q427+S427)</f>
      </c>
      <c r="V427" s="4">
        <f>IF($K427="","",L427-M427-N427-O427-P427-Q427-R427-S427-T427)</f>
      </c>
      <c r="W427" s="4">
        <f>IF($K427="","",(V427-Y427)/J427*100)</f>
      </c>
      <c r="X427" s="4">
        <f>IF($K427="","",M427-U427)</f>
      </c>
      <c r="Z427" s="4">
        <f>IF($K427="","",V427-Y427)</f>
      </c>
    </row>
    <row r="428" spans="1:31" x14ac:dyDescent="0.25">
      <c r="A428" s="8"/>
      <c r="D428" s="9"/>
      <c r="J428" s="4"/>
      <c r="K428" s="4"/>
      <c r="L428" s="4">
        <f>IF($K428="","",K428-J428)</f>
      </c>
      <c r="M428" s="4">
        <f>IF($K428="","",L428*16.67%)</f>
      </c>
      <c r="N428" s="4">
        <f>IF($K428="","",K428/100*7)</f>
      </c>
      <c r="O428" s="4">
        <f>IF($K428="","",N428*20%)</f>
      </c>
      <c r="P428" s="4">
        <f>IF($K428="","",N428*2%)</f>
      </c>
      <c r="Q428" s="4">
        <f>IF($K428="","",P428*20%)</f>
      </c>
      <c r="R428" s="4"/>
      <c r="S428" s="4">
        <f>IF($K428="","",R428*20%)</f>
      </c>
      <c r="T428" s="4">
        <v>1</v>
      </c>
      <c r="U428" s="4">
        <f>IF($K428="","",O428+Q428+S428)</f>
      </c>
      <c r="V428" s="4">
        <f>IF($K428="","",L428-M428-N428-O428-P428-Q428-R428-S428-T428)</f>
      </c>
      <c r="W428" s="4">
        <f>IF($K428="","",(V428-Y428)/J428*100)</f>
      </c>
      <c r="X428" s="4">
        <f>IF($K428="","",M428-U428)</f>
      </c>
      <c r="Z428" s="4">
        <f>IF($K428="","",V428-Y428)</f>
      </c>
    </row>
    <row r="429" spans="1:31" x14ac:dyDescent="0.25">
      <c r="A429" s="8"/>
      <c r="D429" s="9"/>
      <c r="J429" s="4"/>
      <c r="K429" s="4"/>
      <c r="L429" s="4">
        <f>IF($K429="","",K429-J429)</f>
      </c>
      <c r="M429" s="4">
        <f>IF($K429="","",L429*16.67%)</f>
      </c>
      <c r="N429" s="4">
        <f>IF($K429="","",K429/100*7)</f>
      </c>
      <c r="O429" s="4">
        <f>IF($K429="","",N429*20%)</f>
      </c>
      <c r="P429" s="4">
        <f>IF($K429="","",N429*2%)</f>
      </c>
      <c r="Q429" s="4">
        <f>IF($K429="","",P429*20%)</f>
      </c>
      <c r="R429" s="4"/>
      <c r="S429" s="4">
        <f>IF($K429="","",R429*20%)</f>
      </c>
      <c r="T429" s="4">
        <v>1</v>
      </c>
      <c r="U429" s="4">
        <f>IF($K429="","",O429+Q429+S429)</f>
      </c>
      <c r="V429" s="4">
        <f>IF($K429="","",L429-M429-N429-O429-P429-Q429-R429-S429-T429)</f>
      </c>
      <c r="W429" s="4">
        <f>IF($K429="","",(V429-Y429)/J429*100)</f>
      </c>
      <c r="X429" s="4">
        <f>IF($K429="","",M429-U429)</f>
      </c>
      <c r="Z429" s="4">
        <f>IF($K429="","",V429-Y429)</f>
      </c>
    </row>
    <row r="430" spans="1:31" x14ac:dyDescent="0.25">
      <c r="A430" s="8"/>
      <c r="D430" s="9"/>
      <c r="J430" s="4"/>
      <c r="K430" s="4"/>
      <c r="L430" s="4">
        <f>IF($K430="","",K430-J430)</f>
      </c>
      <c r="M430" s="4">
        <f>IF($K430="","",L430*16.67%)</f>
      </c>
      <c r="N430" s="4">
        <f>IF($K430="","",K430/100*7)</f>
      </c>
      <c r="O430" s="4">
        <f>IF($K430="","",N430*20%)</f>
      </c>
      <c r="P430" s="4">
        <f>IF($K430="","",N430*2%)</f>
      </c>
      <c r="Q430" s="4">
        <f>IF($K430="","",P430*20%)</f>
      </c>
      <c r="R430" s="4"/>
      <c r="S430" s="4">
        <f>IF($K430="","",R430*20%)</f>
      </c>
      <c r="T430" s="4">
        <v>1</v>
      </c>
      <c r="U430" s="4">
        <f>IF($K430="","",O430+Q430+S430)</f>
      </c>
      <c r="V430" s="4">
        <f>IF($K430="","",L430-M430-N430-O430-P430-Q430-R430-S430-T430)</f>
      </c>
      <c r="W430" s="4">
        <f>IF($K430="","",(V430-Y430)/J430*100)</f>
      </c>
      <c r="X430" s="4">
        <f>IF($K430="","",M430-U430)</f>
      </c>
      <c r="Z430" s="4">
        <f>IF($K430="","",V430-Y430)</f>
      </c>
    </row>
    <row r="431" spans="1:31" x14ac:dyDescent="0.25">
      <c r="A431" s="8"/>
      <c r="D431" s="9"/>
      <c r="J431" s="4"/>
      <c r="K431" s="4"/>
      <c r="L431" s="4">
        <f>IF($K431="","",K431-J431)</f>
      </c>
      <c r="M431" s="4">
        <f>IF($K431="","",L431*16.67%)</f>
      </c>
      <c r="N431" s="4">
        <f>IF($K431="","",K431/100*7)</f>
      </c>
      <c r="O431" s="4">
        <f>IF($K431="","",N431*20%)</f>
      </c>
      <c r="P431" s="4">
        <f>IF($K431="","",N431*2%)</f>
      </c>
      <c r="Q431" s="4">
        <f>IF($K431="","",P431*20%)</f>
      </c>
      <c r="R431" s="4"/>
      <c r="S431" s="4">
        <f>IF($K431="","",R431*20%)</f>
      </c>
      <c r="T431" s="4">
        <v>1</v>
      </c>
      <c r="U431" s="4">
        <f>IF($K431="","",O431+Q431+S431)</f>
      </c>
      <c r="V431" s="4">
        <f>IF($K431="","",L431-M431-N431-O431-P431-Q431-R431-S431-T431)</f>
      </c>
      <c r="W431" s="4">
        <f>IF($K431="","",(V431-Y431)/J431*100)</f>
      </c>
      <c r="X431" s="4">
        <f>IF($K431="","",M431-U431)</f>
      </c>
      <c r="Z431" s="4">
        <f>IF($K431="","",V431-Y431)</f>
      </c>
    </row>
    <row r="432" spans="1:31" x14ac:dyDescent="0.25">
      <c r="A432" s="8"/>
      <c r="D432" s="9"/>
      <c r="J432" s="4"/>
      <c r="K432" s="4"/>
      <c r="L432" s="4">
        <f>IF($K432="","",K432-J432)</f>
      </c>
      <c r="M432" s="4">
        <f>IF($K432="","",L432*16.67%)</f>
      </c>
      <c r="N432" s="4">
        <f>IF($K432="","",K432/100*7)</f>
      </c>
      <c r="O432" s="4">
        <f>IF($K432="","",N432*20%)</f>
      </c>
      <c r="P432" s="4">
        <f>IF($K432="","",N432*2%)</f>
      </c>
      <c r="Q432" s="4">
        <f>IF($K432="","",P432*20%)</f>
      </c>
      <c r="R432" s="4"/>
      <c r="S432" s="4">
        <f>IF($K432="","",R432*20%)</f>
      </c>
      <c r="T432" s="4">
        <v>1</v>
      </c>
      <c r="U432" s="4">
        <f>IF($K432="","",O432+Q432+S432)</f>
      </c>
      <c r="V432" s="4">
        <f>IF($K432="","",L432-M432-N432-O432-P432-Q432-R432-S432-T432)</f>
      </c>
      <c r="W432" s="4">
        <f>IF($K432="","",(V432-Y432)/J432*100)</f>
      </c>
      <c r="X432" s="4">
        <f>IF($K432="","",M432-U432)</f>
      </c>
      <c r="Z432" s="4">
        <f>IF($K432="","",V432-Y432)</f>
      </c>
    </row>
    <row r="433" spans="1:31" x14ac:dyDescent="0.25">
      <c r="A433" s="8"/>
      <c r="D433" s="9"/>
      <c r="J433" s="4"/>
      <c r="K433" s="4"/>
      <c r="L433" s="4">
        <f>IF($K433="","",K433-J433)</f>
      </c>
      <c r="M433" s="4">
        <f>IF($K433="","",L433*16.67%)</f>
      </c>
      <c r="N433" s="4">
        <f>IF($K433="","",K433/100*7)</f>
      </c>
      <c r="O433" s="4">
        <f>IF($K433="","",N433*20%)</f>
      </c>
      <c r="P433" s="4">
        <f>IF($K433="","",N433*2%)</f>
      </c>
      <c r="Q433" s="4">
        <f>IF($K433="","",P433*20%)</f>
      </c>
      <c r="R433" s="4"/>
      <c r="S433" s="4">
        <f>IF($K433="","",R433*20%)</f>
      </c>
      <c r="T433" s="4">
        <v>1</v>
      </c>
      <c r="U433" s="4">
        <f>IF($K433="","",O433+Q433+S433)</f>
      </c>
      <c r="V433" s="4">
        <f>IF($K433="","",L433-M433-N433-O433-P433-Q433-R433-S433-T433)</f>
      </c>
      <c r="W433" s="4">
        <f>IF($K433="","",(V433-Y433)/J433*100)</f>
      </c>
      <c r="X433" s="4">
        <f>IF($K433="","",M433-U433)</f>
      </c>
      <c r="Z433" s="4">
        <f>IF($K433="","",V433-Y433)</f>
      </c>
    </row>
    <row r="434" spans="1:31" x14ac:dyDescent="0.25">
      <c r="A434" s="8"/>
      <c r="D434" s="9"/>
      <c r="J434" s="4"/>
      <c r="K434" s="4"/>
      <c r="L434" s="4">
        <f>IF($K434="","",K434-J434)</f>
      </c>
      <c r="M434" s="4">
        <f>IF($K434="","",L434*16.67%)</f>
      </c>
      <c r="N434" s="4">
        <f>IF($K434="","",K434/100*7)</f>
      </c>
      <c r="O434" s="4">
        <f>IF($K434="","",N434*20%)</f>
      </c>
      <c r="P434" s="4">
        <f>IF($K434="","",N434*2%)</f>
      </c>
      <c r="Q434" s="4">
        <f>IF($K434="","",P434*20%)</f>
      </c>
      <c r="R434" s="4"/>
      <c r="S434" s="4">
        <f>IF($K434="","",R434*20%)</f>
      </c>
      <c r="T434" s="4">
        <v>1</v>
      </c>
      <c r="U434" s="4">
        <f>IF($K434="","",O434+Q434+S434)</f>
      </c>
      <c r="V434" s="4">
        <f>IF($K434="","",L434-M434-N434-O434-P434-Q434-R434-S434-T434)</f>
      </c>
      <c r="W434" s="4">
        <f>IF($K434="","",(V434-Y434)/J434*100)</f>
      </c>
      <c r="X434" s="4">
        <f>IF($K434="","",M434-U434)</f>
      </c>
      <c r="Z434" s="4">
        <f>IF($K434="","",V434-Y434)</f>
      </c>
    </row>
    <row r="435" spans="1:31" x14ac:dyDescent="0.25">
      <c r="A435" s="8"/>
      <c r="D435" s="9"/>
      <c r="J435" s="4"/>
      <c r="K435" s="4"/>
      <c r="L435" s="4">
        <f>IF($K435="","",K435-J435)</f>
      </c>
      <c r="M435" s="4">
        <f>IF($K435="","",L435*16.67%)</f>
      </c>
      <c r="N435" s="4">
        <f>IF($K435="","",K435/100*7)</f>
      </c>
      <c r="O435" s="4">
        <f>IF($K435="","",N435*20%)</f>
      </c>
      <c r="P435" s="4">
        <f>IF($K435="","",N435*2%)</f>
      </c>
      <c r="Q435" s="4">
        <f>IF($K435="","",P435*20%)</f>
      </c>
      <c r="R435" s="4"/>
      <c r="S435" s="4">
        <f>IF($K435="","",R435*20%)</f>
      </c>
      <c r="T435" s="4">
        <v>1</v>
      </c>
      <c r="U435" s="4">
        <f>IF($K435="","",O435+Q435+S435)</f>
      </c>
      <c r="V435" s="4">
        <f>IF($K435="","",L435-M435-N435-O435-P435-Q435-R435-S435-T435)</f>
      </c>
      <c r="W435" s="4">
        <f>IF($K435="","",(V435-Y435)/J435*100)</f>
      </c>
      <c r="X435" s="4">
        <f>IF($K435="","",M435-U435)</f>
      </c>
      <c r="Z435" s="4">
        <f>IF($K435="","",V435-Y435)</f>
      </c>
    </row>
    <row r="436" spans="1:31" x14ac:dyDescent="0.25">
      <c r="A436" s="8"/>
      <c r="D436" s="9"/>
      <c r="J436" s="4"/>
      <c r="K436" s="4"/>
      <c r="L436" s="4">
        <f>IF($K436="","",K436-J436)</f>
      </c>
      <c r="M436" s="4">
        <f>IF($K436="","",L436*16.67%)</f>
      </c>
      <c r="N436" s="4">
        <f>IF($K436="","",K436/100*7)</f>
      </c>
      <c r="O436" s="4">
        <f>IF($K436="","",N436*20%)</f>
      </c>
      <c r="P436" s="4">
        <f>IF($K436="","",N436*2%)</f>
      </c>
      <c r="Q436" s="4">
        <f>IF($K436="","",P436*20%)</f>
      </c>
      <c r="R436" s="4"/>
      <c r="S436" s="4">
        <f>IF($K436="","",R436*20%)</f>
      </c>
      <c r="T436" s="4">
        <v>1</v>
      </c>
      <c r="U436" s="4">
        <f>IF($K436="","",O436+Q436+S436)</f>
      </c>
      <c r="V436" s="4">
        <f>IF($K436="","",L436-M436-N436-O436-P436-Q436-R436-S436-T436)</f>
      </c>
      <c r="W436" s="4">
        <f>IF($K436="","",(V436-Y436)/J436*100)</f>
      </c>
      <c r="X436" s="4">
        <f>IF($K436="","",M436-U436)</f>
      </c>
      <c r="Z436" s="4">
        <f>IF($K436="","",V436-Y436)</f>
      </c>
    </row>
    <row r="437" spans="1:31" x14ac:dyDescent="0.25">
      <c r="A437" s="8"/>
      <c r="D437" s="9"/>
      <c r="J437" s="4"/>
      <c r="K437" s="4"/>
      <c r="L437" s="4">
        <f>IF($K437="","",K437-J437)</f>
      </c>
      <c r="M437" s="4">
        <f>IF($K437="","",L437*16.67%)</f>
      </c>
      <c r="N437" s="4">
        <f>IF($K437="","",K437/100*7)</f>
      </c>
      <c r="O437" s="4">
        <f>IF($K437="","",N437*20%)</f>
      </c>
      <c r="P437" s="4">
        <f>IF($K437="","",N437*2%)</f>
      </c>
      <c r="Q437" s="4">
        <f>IF($K437="","",P437*20%)</f>
      </c>
      <c r="R437" s="4"/>
      <c r="S437" s="4">
        <f>IF($K437="","",R437*20%)</f>
      </c>
      <c r="T437" s="4">
        <v>1</v>
      </c>
      <c r="U437" s="4">
        <f>IF($K437="","",O437+Q437+S437)</f>
      </c>
      <c r="V437" s="4">
        <f>IF($K437="","",L437-M437-N437-O437-P437-Q437-R437-S437-T437)</f>
      </c>
      <c r="W437" s="4">
        <f>IF($K437="","",(V437-Y437)/J437*100)</f>
      </c>
      <c r="X437" s="4">
        <f>IF($K437="","",M437-U437)</f>
      </c>
      <c r="Z437" s="4">
        <f>IF($K437="","",V437-Y437)</f>
      </c>
    </row>
    <row r="438" spans="1:31" x14ac:dyDescent="0.25">
      <c r="A438" s="8"/>
      <c r="D438" s="9"/>
      <c r="J438" s="4"/>
      <c r="K438" s="4"/>
      <c r="L438" s="4">
        <f>IF($K438="","",K438-J438)</f>
      </c>
      <c r="M438" s="4">
        <f>IF($K438="","",L438*16.67%)</f>
      </c>
      <c r="N438" s="4">
        <f>IF($K438="","",K438/100*7)</f>
      </c>
      <c r="O438" s="4">
        <f>IF($K438="","",N438*20%)</f>
      </c>
      <c r="P438" s="4">
        <f>IF($K438="","",N438*2%)</f>
      </c>
      <c r="Q438" s="4">
        <f>IF($K438="","",P438*20%)</f>
      </c>
      <c r="R438" s="4"/>
      <c r="S438" s="4">
        <f>IF($K438="","",R438*20%)</f>
      </c>
      <c r="T438" s="4">
        <v>1</v>
      </c>
      <c r="U438" s="4">
        <f>IF($K438="","",O438+Q438+S438)</f>
      </c>
      <c r="V438" s="4">
        <f>IF($K438="","",L438-M438-N438-O438-P438-Q438-R438-S438-T438)</f>
      </c>
      <c r="W438" s="4">
        <f>IF($K438="","",(V438-Y438)/J438*100)</f>
      </c>
      <c r="X438" s="4">
        <f>IF($K438="","",M438-U438)</f>
      </c>
      <c r="Z438" s="4">
        <f>IF($K438="","",V438-Y438)</f>
      </c>
    </row>
    <row r="439" spans="1:31" x14ac:dyDescent="0.25">
      <c r="A439" s="8"/>
      <c r="D439" s="9"/>
      <c r="J439" s="4"/>
      <c r="K439" s="4"/>
      <c r="L439" s="4">
        <f>IF($K439="","",K439-J439)</f>
      </c>
      <c r="M439" s="4">
        <f>IF($K439="","",L439*16.67%)</f>
      </c>
      <c r="N439" s="4">
        <f>IF($K439="","",K439/100*7)</f>
      </c>
      <c r="O439" s="4">
        <f>IF($K439="","",N439*20%)</f>
      </c>
      <c r="P439" s="4">
        <f>IF($K439="","",N439*2%)</f>
      </c>
      <c r="Q439" s="4">
        <f>IF($K439="","",P439*20%)</f>
      </c>
      <c r="R439" s="4"/>
      <c r="S439" s="4">
        <f>IF($K439="","",R439*20%)</f>
      </c>
      <c r="T439" s="4">
        <v>1</v>
      </c>
      <c r="U439" s="4">
        <f>IF($K439="","",O439+Q439+S439)</f>
      </c>
      <c r="V439" s="4">
        <f>IF($K439="","",L439-M439-N439-O439-P439-Q439-R439-S439-T439)</f>
      </c>
      <c r="W439" s="4">
        <f>IF($K439="","",(V439-Y439)/J439*100)</f>
      </c>
      <c r="X439" s="4">
        <f>IF($K439="","",M439-U439)</f>
      </c>
      <c r="Z439" s="4">
        <f>IF($K439="","",V439-Y439)</f>
      </c>
    </row>
    <row r="440" spans="1:31" x14ac:dyDescent="0.25">
      <c r="A440" s="8"/>
      <c r="D440" s="9"/>
      <c r="J440" s="4"/>
      <c r="K440" s="4"/>
      <c r="L440" s="4">
        <f>IF($K440="","",K440-J440)</f>
      </c>
      <c r="M440" s="4">
        <f>IF($K440="","",L440*16.67%)</f>
      </c>
      <c r="N440" s="4">
        <f>IF($K440="","",K440/100*7)</f>
      </c>
      <c r="O440" s="4">
        <f>IF($K440="","",N440*20%)</f>
      </c>
      <c r="P440" s="4">
        <f>IF($K440="","",N440*2%)</f>
      </c>
      <c r="Q440" s="4">
        <f>IF($K440="","",P440*20%)</f>
      </c>
      <c r="R440" s="4"/>
      <c r="S440" s="4">
        <f>IF($K440="","",R440*20%)</f>
      </c>
      <c r="T440" s="4">
        <v>1</v>
      </c>
      <c r="U440" s="4">
        <f>IF($K440="","",O440+Q440+S440)</f>
      </c>
      <c r="V440" s="4">
        <f>IF($K440="","",L440-M440-N440-O440-P440-Q440-R440-S440-T440)</f>
      </c>
      <c r="W440" s="4">
        <f>IF($K440="","",(V440-Y440)/J440*100)</f>
      </c>
      <c r="X440" s="4">
        <f>IF($K440="","",M440-U440)</f>
      </c>
      <c r="Z440" s="4">
        <f>IF($K440="","",V440-Y440)</f>
      </c>
    </row>
    <row r="441" spans="1:31" x14ac:dyDescent="0.25">
      <c r="A441" s="8"/>
      <c r="D441" s="9"/>
      <c r="J441" s="4"/>
      <c r="K441" s="4"/>
      <c r="L441" s="4">
        <f>IF($K441="","",K441-J441)</f>
      </c>
      <c r="M441" s="4">
        <f>IF($K441="","",L441*16.67%)</f>
      </c>
      <c r="N441" s="4">
        <f>IF($K441="","",K441/100*7)</f>
      </c>
      <c r="O441" s="4">
        <f>IF($K441="","",N441*20%)</f>
      </c>
      <c r="P441" s="4">
        <f>IF($K441="","",N441*2%)</f>
      </c>
      <c r="Q441" s="4">
        <f>IF($K441="","",P441*20%)</f>
      </c>
      <c r="R441" s="4"/>
      <c r="S441" s="4">
        <f>IF($K441="","",R441*20%)</f>
      </c>
      <c r="T441" s="4">
        <v>1</v>
      </c>
      <c r="U441" s="4">
        <f>IF($K441="","",O441+Q441+S441)</f>
      </c>
      <c r="V441" s="4">
        <f>IF($K441="","",L441-M441-N441-O441-P441-Q441-R441-S441-T441)</f>
      </c>
      <c r="W441" s="4">
        <f>IF($K441="","",(V441-Y441)/J441*100)</f>
      </c>
      <c r="X441" s="4">
        <f>IF($K441="","",M441-U441)</f>
      </c>
      <c r="Z441" s="4">
        <f>IF($K441="","",V441-Y441)</f>
      </c>
    </row>
    <row r="442" spans="1:31" x14ac:dyDescent="0.25">
      <c r="A442" s="8"/>
      <c r="D442" s="9"/>
      <c r="J442" s="4"/>
      <c r="K442" s="4"/>
      <c r="L442" s="4">
        <f>IF($K442="","",K442-J442)</f>
      </c>
      <c r="M442" s="4">
        <f>IF($K442="","",L442*16.67%)</f>
      </c>
      <c r="N442" s="4">
        <f>IF($K442="","",K442/100*7)</f>
      </c>
      <c r="O442" s="4">
        <f>IF($K442="","",N442*20%)</f>
      </c>
      <c r="P442" s="4">
        <f>IF($K442="","",N442*2%)</f>
      </c>
      <c r="Q442" s="4">
        <f>IF($K442="","",P442*20%)</f>
      </c>
      <c r="R442" s="4"/>
      <c r="S442" s="4">
        <f>IF($K442="","",R442*20%)</f>
      </c>
      <c r="T442" s="4">
        <v>1</v>
      </c>
      <c r="U442" s="4">
        <f>IF($K442="","",O442+Q442+S442)</f>
      </c>
      <c r="V442" s="4">
        <f>IF($K442="","",L442-M442-N442-O442-P442-Q442-R442-S442-T442)</f>
      </c>
      <c r="W442" s="4">
        <f>IF($K442="","",(V442-Y442)/J442*100)</f>
      </c>
      <c r="X442" s="4">
        <f>IF($K442="","",M442-U442)</f>
      </c>
      <c r="Z442" s="4">
        <f>IF($K442="","",V442-Y442)</f>
      </c>
    </row>
    <row r="443" spans="1:31" x14ac:dyDescent="0.25">
      <c r="A443" s="8"/>
      <c r="D443" s="9"/>
      <c r="J443" s="4"/>
      <c r="K443" s="4"/>
      <c r="L443" s="4">
        <f>IF($K443="","",K443-J443)</f>
      </c>
      <c r="M443" s="4">
        <f>IF($K443="","",L443*16.67%)</f>
      </c>
      <c r="N443" s="4">
        <f>IF($K443="","",K443/100*7)</f>
      </c>
      <c r="O443" s="4">
        <f>IF($K443="","",N443*20%)</f>
      </c>
      <c r="P443" s="4">
        <f>IF($K443="","",N443*2%)</f>
      </c>
      <c r="Q443" s="4">
        <f>IF($K443="","",P443*20%)</f>
      </c>
      <c r="R443" s="4"/>
      <c r="S443" s="4">
        <f>IF($K443="","",R443*20%)</f>
      </c>
      <c r="T443" s="4">
        <v>1</v>
      </c>
      <c r="U443" s="4">
        <f>IF($K443="","",O443+Q443+S443)</f>
      </c>
      <c r="V443" s="4">
        <f>IF($K443="","",L443-M443-N443-O443-P443-Q443-R443-S443-T443)</f>
      </c>
      <c r="W443" s="4">
        <f>IF($K443="","",(V443-Y443)/J443*100)</f>
      </c>
      <c r="X443" s="4">
        <f>IF($K443="","",M443-U443)</f>
      </c>
      <c r="Z443" s="4">
        <f>IF($K443="","",V443-Y443)</f>
      </c>
    </row>
    <row r="444" spans="1:31" x14ac:dyDescent="0.25">
      <c r="A444" s="8"/>
      <c r="D444" s="9"/>
      <c r="J444" s="4"/>
      <c r="K444" s="4"/>
      <c r="L444" s="4">
        <f>IF($K444="","",K444-J444)</f>
      </c>
      <c r="M444" s="4">
        <f>IF($K444="","",L444*16.67%)</f>
      </c>
      <c r="N444" s="4">
        <f>IF($K444="","",K444/100*7)</f>
      </c>
      <c r="O444" s="4">
        <f>IF($K444="","",N444*20%)</f>
      </c>
      <c r="P444" s="4">
        <f>IF($K444="","",N444*2%)</f>
      </c>
      <c r="Q444" s="4">
        <f>IF($K444="","",P444*20%)</f>
      </c>
      <c r="R444" s="4"/>
      <c r="S444" s="4">
        <f>IF($K444="","",R444*20%)</f>
      </c>
      <c r="T444" s="4">
        <v>1</v>
      </c>
      <c r="U444" s="4">
        <f>IF($K444="","",O444+Q444+S444)</f>
      </c>
      <c r="V444" s="4">
        <f>IF($K444="","",L444-M444-N444-O444-P444-Q444-R444-S444-T444)</f>
      </c>
      <c r="W444" s="4">
        <f>IF($K444="","",(V444-Y444)/J444*100)</f>
      </c>
      <c r="X444" s="4">
        <f>IF($K444="","",M444-U444)</f>
      </c>
      <c r="Z444" s="4">
        <f>IF($K444="","",V444-Y444)</f>
      </c>
    </row>
    <row r="445" spans="1:31" x14ac:dyDescent="0.25">
      <c r="A445" s="8"/>
      <c r="D445" s="9"/>
      <c r="J445" s="4"/>
      <c r="K445" s="4"/>
      <c r="L445" s="4">
        <f>IF($K445="","",K445-J445)</f>
      </c>
      <c r="M445" s="4">
        <f>IF($K445="","",L445*16.67%)</f>
      </c>
      <c r="N445" s="4">
        <f>IF($K445="","",K445/100*7)</f>
      </c>
      <c r="O445" s="4">
        <f>IF($K445="","",N445*20%)</f>
      </c>
      <c r="P445" s="4">
        <f>IF($K445="","",N445*2%)</f>
      </c>
      <c r="Q445" s="4">
        <f>IF($K445="","",P445*20%)</f>
      </c>
      <c r="R445" s="4"/>
      <c r="S445" s="4">
        <f>IF($K445="","",R445*20%)</f>
      </c>
      <c r="T445" s="4">
        <v>1</v>
      </c>
      <c r="U445" s="4">
        <f>IF($K445="","",O445+Q445+S445)</f>
      </c>
      <c r="V445" s="4">
        <f>IF($K445="","",L445-M445-N445-O445-P445-Q445-R445-S445-T445)</f>
      </c>
      <c r="W445" s="4">
        <f>IF($K445="","",(V445-Y445)/J445*100)</f>
      </c>
      <c r="X445" s="4">
        <f>IF($K445="","",M445-U445)</f>
      </c>
      <c r="Z445" s="4">
        <f>IF($K445="","",V445-Y445)</f>
      </c>
    </row>
    <row r="446" spans="1:31" x14ac:dyDescent="0.25">
      <c r="A446" s="8"/>
      <c r="D446" s="9"/>
      <c r="J446" s="4"/>
      <c r="K446" s="4"/>
      <c r="L446" s="4">
        <f>IF($K446="","",K446-J446)</f>
      </c>
      <c r="M446" s="4">
        <f>IF($K446="","",L446*16.67%)</f>
      </c>
      <c r="N446" s="4">
        <f>IF($K446="","",K446/100*7)</f>
      </c>
      <c r="O446" s="4">
        <f>IF($K446="","",N446*20%)</f>
      </c>
      <c r="P446" s="4">
        <f>IF($K446="","",N446*2%)</f>
      </c>
      <c r="Q446" s="4">
        <f>IF($K446="","",P446*20%)</f>
      </c>
      <c r="R446" s="4"/>
      <c r="S446" s="4">
        <f>IF($K446="","",R446*20%)</f>
      </c>
      <c r="T446" s="4">
        <v>1</v>
      </c>
      <c r="U446" s="4">
        <f>IF($K446="","",O446+Q446+S446)</f>
      </c>
      <c r="V446" s="4">
        <f>IF($K446="","",L446-M446-N446-O446-P446-Q446-R446-S446-T446)</f>
      </c>
      <c r="W446" s="4">
        <f>IF($K446="","",(V446-Y446)/J446*100)</f>
      </c>
      <c r="X446" s="4">
        <f>IF($K446="","",M446-U446)</f>
      </c>
      <c r="Z446" s="4">
        <f>IF($K446="","",V446-Y446)</f>
      </c>
    </row>
    <row r="447" spans="1:31" x14ac:dyDescent="0.25">
      <c r="A447" s="8"/>
      <c r="D447" s="9"/>
      <c r="J447" s="4"/>
      <c r="K447" s="4"/>
      <c r="L447" s="4">
        <f>IF($K447="","",K447-J447)</f>
      </c>
      <c r="M447" s="4">
        <f>IF($K447="","",L447*16.67%)</f>
      </c>
      <c r="N447" s="4">
        <f>IF($K447="","",K447/100*7)</f>
      </c>
      <c r="O447" s="4">
        <f>IF($K447="","",N447*20%)</f>
      </c>
      <c r="P447" s="4">
        <f>IF($K447="","",N447*2%)</f>
      </c>
      <c r="Q447" s="4">
        <f>IF($K447="","",P447*20%)</f>
      </c>
      <c r="R447" s="4"/>
      <c r="S447" s="4">
        <f>IF($K447="","",R447*20%)</f>
      </c>
      <c r="T447" s="4">
        <v>1</v>
      </c>
      <c r="U447" s="4">
        <f>IF($K447="","",O447+Q447+S447)</f>
      </c>
      <c r="V447" s="4">
        <f>IF($K447="","",L447-M447-N447-O447-P447-Q447-R447-S447-T447)</f>
      </c>
      <c r="W447" s="4">
        <f>IF($K447="","",(V447-Y447)/J447*100)</f>
      </c>
      <c r="X447" s="4">
        <f>IF($K447="","",M447-U447)</f>
      </c>
      <c r="Z447" s="4">
        <f>IF($K447="","",V447-Y447)</f>
      </c>
    </row>
    <row r="448" spans="1:31" x14ac:dyDescent="0.25">
      <c r="A448" s="8"/>
      <c r="D448" s="9"/>
      <c r="J448" s="4"/>
      <c r="K448" s="4"/>
      <c r="L448" s="4">
        <f>IF($K448="","",K448-J448)</f>
      </c>
      <c r="M448" s="4">
        <f>IF($K448="","",L448*16.67%)</f>
      </c>
      <c r="N448" s="4">
        <f>IF($K448="","",K448/100*7)</f>
      </c>
      <c r="O448" s="4">
        <f>IF($K448="","",N448*20%)</f>
      </c>
      <c r="P448" s="4">
        <f>IF($K448="","",N448*2%)</f>
      </c>
      <c r="Q448" s="4">
        <f>IF($K448="","",P448*20%)</f>
      </c>
      <c r="R448" s="4"/>
      <c r="S448" s="4">
        <f>IF($K448="","",R448*20%)</f>
      </c>
      <c r="T448" s="4">
        <v>1</v>
      </c>
      <c r="U448" s="4">
        <f>IF($K448="","",O448+Q448+S448)</f>
      </c>
      <c r="V448" s="4">
        <f>IF($K448="","",L448-M448-N448-O448-P448-Q448-R448-S448-T448)</f>
      </c>
      <c r="W448" s="4">
        <f>IF($K448="","",(V448-Y448)/J448*100)</f>
      </c>
      <c r="X448" s="4">
        <f>IF($K448="","",M448-U448)</f>
      </c>
      <c r="Z448" s="4">
        <f>IF($K448="","",V448-Y448)</f>
      </c>
    </row>
    <row r="449" spans="1:31" x14ac:dyDescent="0.25">
      <c r="A449" s="8"/>
      <c r="D449" s="9"/>
      <c r="J449" s="4"/>
      <c r="K449" s="4"/>
      <c r="L449" s="4">
        <f>IF($K449="","",K449-J449)</f>
      </c>
      <c r="M449" s="4">
        <f>IF($K449="","",L449*16.67%)</f>
      </c>
      <c r="N449" s="4">
        <f>IF($K449="","",K449/100*7)</f>
      </c>
      <c r="O449" s="4">
        <f>IF($K449="","",N449*20%)</f>
      </c>
      <c r="P449" s="4">
        <f>IF($K449="","",N449*2%)</f>
      </c>
      <c r="Q449" s="4">
        <f>IF($K449="","",P449*20%)</f>
      </c>
      <c r="R449" s="4"/>
      <c r="S449" s="4">
        <f>IF($K449="","",R449*20%)</f>
      </c>
      <c r="T449" s="4">
        <v>1</v>
      </c>
      <c r="U449" s="4">
        <f>IF($K449="","",O449+Q449+S449)</f>
      </c>
      <c r="V449" s="4">
        <f>IF($K449="","",L449-M449-N449-O449-P449-Q449-R449-S449-T449)</f>
      </c>
      <c r="W449" s="4">
        <f>IF($K449="","",(V449-Y449)/J449*100)</f>
      </c>
      <c r="X449" s="4">
        <f>IF($K449="","",M449-U449)</f>
      </c>
      <c r="Z449" s="4">
        <f>IF($K449="","",V449-Y449)</f>
      </c>
    </row>
    <row r="450" spans="1:31" x14ac:dyDescent="0.25">
      <c r="A450" s="8"/>
      <c r="D450" s="9"/>
      <c r="J450" s="4"/>
      <c r="K450" s="4"/>
      <c r="L450" s="4">
        <f>IF($K450="","",K450-J450)</f>
      </c>
      <c r="M450" s="4">
        <f>IF($K450="","",L450*16.67%)</f>
      </c>
      <c r="N450" s="4">
        <f>IF($K450="","",K450/100*7)</f>
      </c>
      <c r="O450" s="4">
        <f>IF($K450="","",N450*20%)</f>
      </c>
      <c r="P450" s="4">
        <f>IF($K450="","",N450*2%)</f>
      </c>
      <c r="Q450" s="4">
        <f>IF($K450="","",P450*20%)</f>
      </c>
      <c r="R450" s="4"/>
      <c r="S450" s="4">
        <f>IF($K450="","",R450*20%)</f>
      </c>
      <c r="T450" s="4">
        <v>1</v>
      </c>
      <c r="U450" s="4">
        <f>IF($K450="","",O450+Q450+S450)</f>
      </c>
      <c r="V450" s="4">
        <f>IF($K450="","",L450-M450-N450-O450-P450-Q450-R450-S450-T450)</f>
      </c>
      <c r="W450" s="4">
        <f>IF($K450="","",(V450-Y450)/J450*100)</f>
      </c>
      <c r="X450" s="4">
        <f>IF($K450="","",M450-U450)</f>
      </c>
      <c r="Z450" s="4">
        <f>IF($K450="","",V450-Y450)</f>
      </c>
    </row>
    <row r="451" spans="1:31" x14ac:dyDescent="0.25">
      <c r="A451" s="8"/>
      <c r="D451" s="9"/>
      <c r="J451" s="4"/>
      <c r="K451" s="4"/>
      <c r="L451" s="4">
        <f>IF($K451="","",K451-J451)</f>
      </c>
      <c r="M451" s="4">
        <f>IF($K451="","",L451*16.67%)</f>
      </c>
      <c r="N451" s="4">
        <f>IF($K451="","",K451/100*7)</f>
      </c>
      <c r="O451" s="4">
        <f>IF($K451="","",N451*20%)</f>
      </c>
      <c r="P451" s="4">
        <f>IF($K451="","",N451*2%)</f>
      </c>
      <c r="Q451" s="4">
        <f>IF($K451="","",P451*20%)</f>
      </c>
      <c r="R451" s="4"/>
      <c r="S451" s="4">
        <f>IF($K451="","",R451*20%)</f>
      </c>
      <c r="T451" s="4">
        <v>1</v>
      </c>
      <c r="U451" s="4">
        <f>IF($K451="","",O451+Q451+S451)</f>
      </c>
      <c r="V451" s="4">
        <f>IF($K451="","",L451-M451-N451-O451-P451-Q451-R451-S451-T451)</f>
      </c>
      <c r="W451" s="4">
        <f>IF($K451="","",(V451-Y451)/J451*100)</f>
      </c>
      <c r="X451" s="4">
        <f>IF($K451="","",M451-U451)</f>
      </c>
      <c r="Z451" s="4">
        <f>IF($K451="","",V451-Y451)</f>
      </c>
    </row>
    <row r="452" spans="1:31" x14ac:dyDescent="0.25">
      <c r="A452" s="8"/>
      <c r="D452" s="9"/>
      <c r="J452" s="4"/>
      <c r="K452" s="4"/>
      <c r="L452" s="4">
        <f>IF($K452="","",K452-J452)</f>
      </c>
      <c r="M452" s="4">
        <f>IF($K452="","",L452*16.67%)</f>
      </c>
      <c r="N452" s="4">
        <f>IF($K452="","",K452/100*7)</f>
      </c>
      <c r="O452" s="4">
        <f>IF($K452="","",N452*20%)</f>
      </c>
      <c r="P452" s="4">
        <f>IF($K452="","",N452*2%)</f>
      </c>
      <c r="Q452" s="4">
        <f>IF($K452="","",P452*20%)</f>
      </c>
      <c r="R452" s="4"/>
      <c r="S452" s="4">
        <f>IF($K452="","",R452*20%)</f>
      </c>
      <c r="T452" s="4">
        <v>1</v>
      </c>
      <c r="U452" s="4">
        <f>IF($K452="","",O452+Q452+S452)</f>
      </c>
      <c r="V452" s="4">
        <f>IF($K452="","",L452-M452-N452-O452-P452-Q452-R452-S452-T452)</f>
      </c>
      <c r="W452" s="4">
        <f>IF($K452="","",(V452-Y452)/J452*100)</f>
      </c>
      <c r="X452" s="4">
        <f>IF($K452="","",M452-U452)</f>
      </c>
      <c r="Z452" s="4">
        <f>IF($K452="","",V452-Y452)</f>
      </c>
    </row>
    <row r="453" spans="1:31" x14ac:dyDescent="0.25">
      <c r="A453" s="8"/>
      <c r="D453" s="9"/>
      <c r="J453" s="4"/>
      <c r="K453" s="4"/>
      <c r="L453" s="4">
        <f>IF($K453="","",K453-J453)</f>
      </c>
      <c r="M453" s="4">
        <f>IF($K453="","",L453*16.67%)</f>
      </c>
      <c r="N453" s="4">
        <f>IF($K453="","",K453/100*7)</f>
      </c>
      <c r="O453" s="4">
        <f>IF($K453="","",N453*20%)</f>
      </c>
      <c r="P453" s="4">
        <f>IF($K453="","",N453*2%)</f>
      </c>
      <c r="Q453" s="4">
        <f>IF($K453="","",P453*20%)</f>
      </c>
      <c r="R453" s="4"/>
      <c r="S453" s="4">
        <f>IF($K453="","",R453*20%)</f>
      </c>
      <c r="T453" s="4">
        <v>1</v>
      </c>
      <c r="U453" s="4">
        <f>IF($K453="","",O453+Q453+S453)</f>
      </c>
      <c r="V453" s="4">
        <f>IF($K453="","",L453-M453-N453-O453-P453-Q453-R453-S453-T453)</f>
      </c>
      <c r="W453" s="4">
        <f>IF($K453="","",(V453-Y453)/J453*100)</f>
      </c>
      <c r="X453" s="4">
        <f>IF($K453="","",M453-U453)</f>
      </c>
      <c r="Z453" s="4">
        <f>IF($K453="","",V453-Y453)</f>
      </c>
    </row>
    <row r="454" spans="1:31" x14ac:dyDescent="0.25">
      <c r="A454" s="8"/>
      <c r="D454" s="9"/>
      <c r="J454" s="4"/>
      <c r="K454" s="4"/>
      <c r="L454" s="4">
        <f>IF($K454="","",K454-J454)</f>
      </c>
      <c r="M454" s="4">
        <f>IF($K454="","",L454*16.67%)</f>
      </c>
      <c r="N454" s="4">
        <f>IF($K454="","",K454/100*7)</f>
      </c>
      <c r="O454" s="4">
        <f>IF($K454="","",N454*20%)</f>
      </c>
      <c r="P454" s="4">
        <f>IF($K454="","",N454*2%)</f>
      </c>
      <c r="Q454" s="4">
        <f>IF($K454="","",P454*20%)</f>
      </c>
      <c r="R454" s="4"/>
      <c r="S454" s="4">
        <f>IF($K454="","",R454*20%)</f>
      </c>
      <c r="T454" s="4">
        <v>1</v>
      </c>
      <c r="U454" s="4">
        <f>IF($K454="","",O454+Q454+S454)</f>
      </c>
      <c r="V454" s="4">
        <f>IF($K454="","",L454-M454-N454-O454-P454-Q454-R454-S454-T454)</f>
      </c>
      <c r="W454" s="4">
        <f>IF($K454="","",(V454-Y454)/J454*100)</f>
      </c>
      <c r="X454" s="4">
        <f>IF($K454="","",M454-U454)</f>
      </c>
      <c r="Z454" s="4">
        <f>IF($K454="","",V454-Y454)</f>
      </c>
    </row>
    <row r="455" spans="1:31" x14ac:dyDescent="0.25">
      <c r="A455" s="8"/>
      <c r="D455" s="9"/>
      <c r="J455" s="4"/>
      <c r="K455" s="4"/>
      <c r="L455" s="4">
        <f>IF($K455="","",K455-J455)</f>
      </c>
      <c r="M455" s="4">
        <f>IF($K455="","",L455*16.67%)</f>
      </c>
      <c r="N455" s="4">
        <f>IF($K455="","",K455/100*7)</f>
      </c>
      <c r="O455" s="4">
        <f>IF($K455="","",N455*20%)</f>
      </c>
      <c r="P455" s="4">
        <f>IF($K455="","",N455*2%)</f>
      </c>
      <c r="Q455" s="4">
        <f>IF($K455="","",P455*20%)</f>
      </c>
      <c r="R455" s="4"/>
      <c r="S455" s="4">
        <f>IF($K455="","",R455*20%)</f>
      </c>
      <c r="T455" s="4">
        <v>1</v>
      </c>
      <c r="U455" s="4">
        <f>IF($K455="","",O455+Q455+S455)</f>
      </c>
      <c r="V455" s="4">
        <f>IF($K455="","",L455-M455-N455-O455-P455-Q455-R455-S455-T455)</f>
      </c>
      <c r="W455" s="4">
        <f>IF($K455="","",(V455-Y455)/J455*100)</f>
      </c>
      <c r="X455" s="4">
        <f>IF($K455="","",M455-U455)</f>
      </c>
      <c r="Z455" s="4">
        <f>IF($K455="","",V455-Y455)</f>
      </c>
    </row>
    <row r="456" spans="1:31" x14ac:dyDescent="0.25">
      <c r="A456" s="8"/>
      <c r="D456" s="9"/>
      <c r="J456" s="4"/>
      <c r="K456" s="4"/>
      <c r="L456" s="4">
        <f>IF($K456="","",K456-J456)</f>
      </c>
      <c r="M456" s="4">
        <f>IF($K456="","",L456*16.67%)</f>
      </c>
      <c r="N456" s="4">
        <f>IF($K456="","",K456/100*7)</f>
      </c>
      <c r="O456" s="4">
        <f>IF($K456="","",N456*20%)</f>
      </c>
      <c r="P456" s="4">
        <f>IF($K456="","",N456*2%)</f>
      </c>
      <c r="Q456" s="4">
        <f>IF($K456="","",P456*20%)</f>
      </c>
      <c r="R456" s="4"/>
      <c r="S456" s="4">
        <f>IF($K456="","",R456*20%)</f>
      </c>
      <c r="T456" s="4">
        <v>1</v>
      </c>
      <c r="U456" s="4">
        <f>IF($K456="","",O456+Q456+S456)</f>
      </c>
      <c r="V456" s="4">
        <f>IF($K456="","",L456-M456-N456-O456-P456-Q456-R456-S456-T456)</f>
      </c>
      <c r="W456" s="4">
        <f>IF($K456="","",(V456-Y456)/J456*100)</f>
      </c>
      <c r="X456" s="4">
        <f>IF($K456="","",M456-U456)</f>
      </c>
      <c r="Z456" s="4">
        <f>IF($K456="","",V456-Y456)</f>
      </c>
    </row>
    <row r="457" spans="1:31" x14ac:dyDescent="0.25">
      <c r="A457" s="8"/>
      <c r="D457" s="9"/>
      <c r="J457" s="4"/>
      <c r="K457" s="4"/>
      <c r="L457" s="4">
        <f>IF($K457="","",K457-J457)</f>
      </c>
      <c r="M457" s="4">
        <f>IF($K457="","",L457*16.67%)</f>
      </c>
      <c r="N457" s="4">
        <f>IF($K457="","",K457/100*7)</f>
      </c>
      <c r="O457" s="4">
        <f>IF($K457="","",N457*20%)</f>
      </c>
      <c r="P457" s="4">
        <f>IF($K457="","",N457*2%)</f>
      </c>
      <c r="Q457" s="4">
        <f>IF($K457="","",P457*20%)</f>
      </c>
      <c r="R457" s="4"/>
      <c r="S457" s="4">
        <f>IF($K457="","",R457*20%)</f>
      </c>
      <c r="T457" s="4">
        <v>1</v>
      </c>
      <c r="U457" s="4">
        <f>IF($K457="","",O457+Q457+S457)</f>
      </c>
      <c r="V457" s="4">
        <f>IF($K457="","",L457-M457-N457-O457-P457-Q457-R457-S457-T457)</f>
      </c>
      <c r="W457" s="4">
        <f>IF($K457="","",(V457-Y457)/J457*100)</f>
      </c>
      <c r="X457" s="4">
        <f>IF($K457="","",M457-U457)</f>
      </c>
      <c r="Z457" s="4">
        <f>IF($K457="","",V457-Y457)</f>
      </c>
    </row>
    <row r="458" spans="1:31" x14ac:dyDescent="0.25">
      <c r="A458" s="8"/>
      <c r="D458" s="9"/>
      <c r="J458" s="4"/>
      <c r="K458" s="4"/>
      <c r="L458" s="4">
        <f>IF($K458="","",K458-J458)</f>
      </c>
      <c r="M458" s="4">
        <f>IF($K458="","",L458*16.67%)</f>
      </c>
      <c r="N458" s="4">
        <f>IF($K458="","",K458/100*7)</f>
      </c>
      <c r="O458" s="4">
        <f>IF($K458="","",N458*20%)</f>
      </c>
      <c r="P458" s="4">
        <f>IF($K458="","",N458*2%)</f>
      </c>
      <c r="Q458" s="4">
        <f>IF($K458="","",P458*20%)</f>
      </c>
      <c r="R458" s="4"/>
      <c r="S458" s="4">
        <f>IF($K458="","",R458*20%)</f>
      </c>
      <c r="T458" s="4">
        <v>1</v>
      </c>
      <c r="U458" s="4">
        <f>IF($K458="","",O458+Q458+S458)</f>
      </c>
      <c r="V458" s="4">
        <f>IF($K458="","",L458-M458-N458-O458-P458-Q458-R458-S458-T458)</f>
      </c>
      <c r="W458" s="4">
        <f>IF($K458="","",(V458-Y458)/J458*100)</f>
      </c>
      <c r="X458" s="4">
        <f>IF($K458="","",M458-U458)</f>
      </c>
      <c r="Z458" s="4">
        <f>IF($K458="","",V458-Y458)</f>
      </c>
    </row>
    <row r="459" spans="1:31" x14ac:dyDescent="0.25">
      <c r="A459" s="8"/>
      <c r="D459" s="9"/>
      <c r="J459" s="4"/>
      <c r="K459" s="4"/>
      <c r="L459" s="4">
        <f>IF($K459="","",K459-J459)</f>
      </c>
      <c r="M459" s="4">
        <f>IF($K459="","",L459*16.67%)</f>
      </c>
      <c r="N459" s="4">
        <f>IF($K459="","",K459/100*7)</f>
      </c>
      <c r="O459" s="4">
        <f>IF($K459="","",N459*20%)</f>
      </c>
      <c r="P459" s="4">
        <f>IF($K459="","",N459*2%)</f>
      </c>
      <c r="Q459" s="4">
        <f>IF($K459="","",P459*20%)</f>
      </c>
      <c r="R459" s="4"/>
      <c r="S459" s="4">
        <f>IF($K459="","",R459*20%)</f>
      </c>
      <c r="T459" s="4">
        <v>1</v>
      </c>
      <c r="U459" s="4">
        <f>IF($K459="","",O459+Q459+S459)</f>
      </c>
      <c r="V459" s="4">
        <f>IF($K459="","",L459-M459-N459-O459-P459-Q459-R459-S459-T459)</f>
      </c>
      <c r="W459" s="4">
        <f>IF($K459="","",(V459-Y459)/J459*100)</f>
      </c>
      <c r="X459" s="4">
        <f>IF($K459="","",M459-U459)</f>
      </c>
      <c r="Z459" s="4">
        <f>IF($K459="","",V459-Y459)</f>
      </c>
    </row>
    <row r="460" spans="1:31" x14ac:dyDescent="0.25">
      <c r="A460" s="8"/>
      <c r="D460" s="9"/>
      <c r="J460" s="4"/>
      <c r="K460" s="4"/>
      <c r="L460" s="4">
        <f>IF($K460="","",K460-J460)</f>
      </c>
      <c r="M460" s="4">
        <f>IF($K460="","",L460*16.67%)</f>
      </c>
      <c r="N460" s="4">
        <f>IF($K460="","",K460/100*7)</f>
      </c>
      <c r="O460" s="4">
        <f>IF($K460="","",N460*20%)</f>
      </c>
      <c r="P460" s="4">
        <f>IF($K460="","",N460*2%)</f>
      </c>
      <c r="Q460" s="4">
        <f>IF($K460="","",P460*20%)</f>
      </c>
      <c r="R460" s="4"/>
      <c r="S460" s="4">
        <f>IF($K460="","",R460*20%)</f>
      </c>
      <c r="T460" s="4">
        <v>1</v>
      </c>
      <c r="U460" s="4">
        <f>IF($K460="","",O460+Q460+S460)</f>
      </c>
      <c r="V460" s="4">
        <f>IF($K460="","",L460-M460-N460-O460-P460-Q460-R460-S460-T460)</f>
      </c>
      <c r="W460" s="4">
        <f>IF($K460="","",(V460-Y460)/J460*100)</f>
      </c>
      <c r="X460" s="4">
        <f>IF($K460="","",M460-U460)</f>
      </c>
      <c r="Z460" s="4">
        <f>IF($K460="","",V460-Y460)</f>
      </c>
    </row>
    <row r="461" spans="1:31" x14ac:dyDescent="0.25">
      <c r="A461" s="8"/>
      <c r="D461" s="9"/>
      <c r="J461" s="4"/>
      <c r="K461" s="4"/>
      <c r="L461" s="4">
        <f>IF($K461="","",K461-J461)</f>
      </c>
      <c r="M461" s="4">
        <f>IF($K461="","",L461*16.67%)</f>
      </c>
      <c r="N461" s="4">
        <f>IF($K461="","",K461/100*7)</f>
      </c>
      <c r="O461" s="4">
        <f>IF($K461="","",N461*20%)</f>
      </c>
      <c r="P461" s="4">
        <f>IF($K461="","",N461*2%)</f>
      </c>
      <c r="Q461" s="4">
        <f>IF($K461="","",P461*20%)</f>
      </c>
      <c r="R461" s="4"/>
      <c r="S461" s="4">
        <f>IF($K461="","",R461*20%)</f>
      </c>
      <c r="T461" s="4">
        <v>1</v>
      </c>
      <c r="U461" s="4">
        <f>IF($K461="","",O461+Q461+S461)</f>
      </c>
      <c r="V461" s="4">
        <f>IF($K461="","",L461-M461-N461-O461-P461-Q461-R461-S461-T461)</f>
      </c>
      <c r="W461" s="4">
        <f>IF($K461="","",(V461-Y461)/J461*100)</f>
      </c>
      <c r="X461" s="4">
        <f>IF($K461="","",M461-U461)</f>
      </c>
      <c r="Z461" s="4">
        <f>IF($K461="","",V461-Y461)</f>
      </c>
    </row>
    <row r="462" spans="1:31" x14ac:dyDescent="0.25">
      <c r="A462" s="8"/>
      <c r="D462" s="9"/>
      <c r="J462" s="4"/>
      <c r="K462" s="4"/>
      <c r="L462" s="4">
        <f>IF($K462="","",K462-J462)</f>
      </c>
      <c r="M462" s="4">
        <f>IF($K462="","",L462*16.67%)</f>
      </c>
      <c r="N462" s="4">
        <f>IF($K462="","",K462/100*7)</f>
      </c>
      <c r="O462" s="4">
        <f>IF($K462="","",N462*20%)</f>
      </c>
      <c r="P462" s="4">
        <f>IF($K462="","",N462*2%)</f>
      </c>
      <c r="Q462" s="4">
        <f>IF($K462="","",P462*20%)</f>
      </c>
      <c r="R462" s="4"/>
      <c r="S462" s="4">
        <f>IF($K462="","",R462*20%)</f>
      </c>
      <c r="T462" s="4">
        <v>1</v>
      </c>
      <c r="U462" s="4">
        <f>IF($K462="","",O462+Q462+S462)</f>
      </c>
      <c r="V462" s="4">
        <f>IF($K462="","",L462-M462-N462-O462-P462-Q462-R462-S462-T462)</f>
      </c>
      <c r="W462" s="4">
        <f>IF($K462="","",(V462-Y462)/J462*100)</f>
      </c>
      <c r="X462" s="4">
        <f>IF($K462="","",M462-U462)</f>
      </c>
      <c r="Z462" s="4">
        <f>IF($K462="","",V462-Y462)</f>
      </c>
    </row>
    <row r="463" spans="1:31" x14ac:dyDescent="0.25">
      <c r="A463" s="8"/>
      <c r="D463" s="9"/>
      <c r="J463" s="4"/>
      <c r="K463" s="4"/>
      <c r="L463" s="4">
        <f>IF($K463="","",K463-J463)</f>
      </c>
      <c r="M463" s="4">
        <f>IF($K463="","",L463*16.67%)</f>
      </c>
      <c r="N463" s="4">
        <f>IF($K463="","",K463/100*7)</f>
      </c>
      <c r="O463" s="4">
        <f>IF($K463="","",N463*20%)</f>
      </c>
      <c r="P463" s="4">
        <f>IF($K463="","",N463*2%)</f>
      </c>
      <c r="Q463" s="4">
        <f>IF($K463="","",P463*20%)</f>
      </c>
      <c r="R463" s="4"/>
      <c r="S463" s="4">
        <f>IF($K463="","",R463*20%)</f>
      </c>
      <c r="T463" s="4">
        <v>1</v>
      </c>
      <c r="U463" s="4">
        <f>IF($K463="","",O463+Q463+S463)</f>
      </c>
      <c r="V463" s="4">
        <f>IF($K463="","",L463-M463-N463-O463-P463-Q463-R463-S463-T463)</f>
      </c>
      <c r="W463" s="4">
        <f>IF($K463="","",(V463-Y463)/J463*100)</f>
      </c>
      <c r="X463" s="4">
        <f>IF($K463="","",M463-U463)</f>
      </c>
      <c r="Z463" s="4">
        <f>IF($K463="","",V463-Y463)</f>
      </c>
    </row>
    <row r="464" spans="1:31" x14ac:dyDescent="0.25">
      <c r="A464" s="8"/>
      <c r="D464" s="9"/>
      <c r="J464" s="4"/>
      <c r="K464" s="4"/>
      <c r="L464" s="4">
        <f>IF($K464="","",K464-J464)</f>
      </c>
      <c r="M464" s="4">
        <f>IF($K464="","",L464*16.67%)</f>
      </c>
      <c r="N464" s="4">
        <f>IF($K464="","",K464/100*7)</f>
      </c>
      <c r="O464" s="4">
        <f>IF($K464="","",N464*20%)</f>
      </c>
      <c r="P464" s="4">
        <f>IF($K464="","",N464*2%)</f>
      </c>
      <c r="Q464" s="4">
        <f>IF($K464="","",P464*20%)</f>
      </c>
      <c r="R464" s="4"/>
      <c r="S464" s="4">
        <f>IF($K464="","",R464*20%)</f>
      </c>
      <c r="T464" s="4">
        <v>1</v>
      </c>
      <c r="U464" s="4">
        <f>IF($K464="","",O464+Q464+S464)</f>
      </c>
      <c r="V464" s="4">
        <f>IF($K464="","",L464-M464-N464-O464-P464-Q464-R464-S464-T464)</f>
      </c>
      <c r="W464" s="4">
        <f>IF($K464="","",(V464-Y464)/J464*100)</f>
      </c>
      <c r="X464" s="4">
        <f>IF($K464="","",M464-U464)</f>
      </c>
      <c r="Z464" s="4">
        <f>IF($K464="","",V464-Y464)</f>
      </c>
    </row>
    <row r="465" spans="1:31" x14ac:dyDescent="0.25">
      <c r="A465" s="8"/>
      <c r="D465" s="9"/>
      <c r="J465" s="4"/>
      <c r="K465" s="4"/>
      <c r="L465" s="4">
        <f>IF($K465="","",K465-J465)</f>
      </c>
      <c r="M465" s="4">
        <f>IF($K465="","",L465*16.67%)</f>
      </c>
      <c r="N465" s="4">
        <f>IF($K465="","",K465/100*7)</f>
      </c>
      <c r="O465" s="4">
        <f>IF($K465="","",N465*20%)</f>
      </c>
      <c r="P465" s="4">
        <f>IF($K465="","",N465*2%)</f>
      </c>
      <c r="Q465" s="4">
        <f>IF($K465="","",P465*20%)</f>
      </c>
      <c r="R465" s="4"/>
      <c r="S465" s="4">
        <f>IF($K465="","",R465*20%)</f>
      </c>
      <c r="T465" s="4">
        <v>1</v>
      </c>
      <c r="U465" s="4">
        <f>IF($K465="","",O465+Q465+S465)</f>
      </c>
      <c r="V465" s="4">
        <f>IF($K465="","",L465-M465-N465-O465-P465-Q465-R465-S465-T465)</f>
      </c>
      <c r="W465" s="4">
        <f>IF($K465="","",(V465-Y465)/J465*100)</f>
      </c>
      <c r="X465" s="4">
        <f>IF($K465="","",M465-U465)</f>
      </c>
      <c r="Z465" s="4">
        <f>IF($K465="","",V465-Y465)</f>
      </c>
    </row>
    <row r="466" spans="1:31" x14ac:dyDescent="0.25">
      <c r="A466" s="8"/>
      <c r="D466" s="9"/>
      <c r="J466" s="4"/>
      <c r="K466" s="4"/>
      <c r="L466" s="4">
        <f>IF($K466="","",K466-J466)</f>
      </c>
      <c r="M466" s="4">
        <f>IF($K466="","",L466*16.67%)</f>
      </c>
      <c r="N466" s="4">
        <f>IF($K466="","",K466/100*7)</f>
      </c>
      <c r="O466" s="4">
        <f>IF($K466="","",N466*20%)</f>
      </c>
      <c r="P466" s="4">
        <f>IF($K466="","",N466*2%)</f>
      </c>
      <c r="Q466" s="4">
        <f>IF($K466="","",P466*20%)</f>
      </c>
      <c r="R466" s="4"/>
      <c r="S466" s="4">
        <f>IF($K466="","",R466*20%)</f>
      </c>
      <c r="T466" s="4">
        <v>1</v>
      </c>
      <c r="U466" s="4">
        <f>IF($K466="","",O466+Q466+S466)</f>
      </c>
      <c r="V466" s="4">
        <f>IF($K466="","",L466-M466-N466-O466-P466-Q466-R466-S466-T466)</f>
      </c>
      <c r="W466" s="4">
        <f>IF($K466="","",(V466-Y466)/J466*100)</f>
      </c>
      <c r="X466" s="4">
        <f>IF($K466="","",M466-U466)</f>
      </c>
      <c r="Z466" s="4">
        <f>IF($K466="","",V466-Y466)</f>
      </c>
    </row>
    <row r="467" spans="1:31" x14ac:dyDescent="0.25">
      <c r="A467" s="8"/>
      <c r="D467" s="9"/>
      <c r="J467" s="4"/>
      <c r="K467" s="4"/>
      <c r="L467" s="4">
        <f>IF($K467="","",K467-J467)</f>
      </c>
      <c r="M467" s="4">
        <f>IF($K467="","",L467*16.67%)</f>
      </c>
      <c r="N467" s="4">
        <f>IF($K467="","",K467/100*7)</f>
      </c>
      <c r="O467" s="4">
        <f>IF($K467="","",N467*20%)</f>
      </c>
      <c r="P467" s="4">
        <f>IF($K467="","",N467*2%)</f>
      </c>
      <c r="Q467" s="4">
        <f>IF($K467="","",P467*20%)</f>
      </c>
      <c r="R467" s="4"/>
      <c r="S467" s="4">
        <f>IF($K467="","",R467*20%)</f>
      </c>
      <c r="T467" s="4">
        <v>1</v>
      </c>
      <c r="U467" s="4">
        <f>IF($K467="","",O467+Q467+S467)</f>
      </c>
      <c r="V467" s="4">
        <f>IF($K467="","",L467-M467-N467-O467-P467-Q467-R467-S467-T467)</f>
      </c>
      <c r="W467" s="4">
        <f>IF($K467="","",(V467-Y467)/J467*100)</f>
      </c>
      <c r="X467" s="4">
        <f>IF($K467="","",M467-U467)</f>
      </c>
      <c r="Z467" s="4">
        <f>IF($K467="","",V467-Y467)</f>
      </c>
    </row>
    <row r="468" spans="1:31" x14ac:dyDescent="0.25">
      <c r="A468" s="8"/>
      <c r="D468" s="9"/>
      <c r="J468" s="4"/>
      <c r="K468" s="4"/>
      <c r="L468" s="4">
        <f>IF($K468="","",K468-J468)</f>
      </c>
      <c r="M468" s="4">
        <f>IF($K468="","",L468*16.67%)</f>
      </c>
      <c r="N468" s="4">
        <f>IF($K468="","",K468/100*7)</f>
      </c>
      <c r="O468" s="4">
        <f>IF($K468="","",N468*20%)</f>
      </c>
      <c r="P468" s="4">
        <f>IF($K468="","",N468*2%)</f>
      </c>
      <c r="Q468" s="4">
        <f>IF($K468="","",P468*20%)</f>
      </c>
      <c r="R468" s="4"/>
      <c r="S468" s="4">
        <f>IF($K468="","",R468*20%)</f>
      </c>
      <c r="T468" s="4">
        <v>1</v>
      </c>
      <c r="U468" s="4">
        <f>IF($K468="","",O468+Q468+S468)</f>
      </c>
      <c r="V468" s="4">
        <f>IF($K468="","",L468-M468-N468-O468-P468-Q468-R468-S468-T468)</f>
      </c>
      <c r="W468" s="4">
        <f>IF($K468="","",(V468-Y468)/J468*100)</f>
      </c>
      <c r="X468" s="4">
        <f>IF($K468="","",M468-U468)</f>
      </c>
      <c r="Z468" s="4">
        <f>IF($K468="","",V468-Y468)</f>
      </c>
    </row>
    <row r="469" spans="1:31" x14ac:dyDescent="0.25">
      <c r="A469" s="8"/>
      <c r="D469" s="9"/>
      <c r="J469" s="4"/>
      <c r="K469" s="4"/>
      <c r="L469" s="4">
        <f>IF($K469="","",K469-J469)</f>
      </c>
      <c r="M469" s="4">
        <f>IF($K469="","",L469*16.67%)</f>
      </c>
      <c r="N469" s="4">
        <f>IF($K469="","",K469/100*7)</f>
      </c>
      <c r="O469" s="4">
        <f>IF($K469="","",N469*20%)</f>
      </c>
      <c r="P469" s="4">
        <f>IF($K469="","",N469*2%)</f>
      </c>
      <c r="Q469" s="4">
        <f>IF($K469="","",P469*20%)</f>
      </c>
      <c r="R469" s="4"/>
      <c r="S469" s="4">
        <f>IF($K469="","",R469*20%)</f>
      </c>
      <c r="T469" s="4">
        <v>1</v>
      </c>
      <c r="U469" s="4">
        <f>IF($K469="","",O469+Q469+S469)</f>
      </c>
      <c r="V469" s="4">
        <f>IF($K469="","",L469-M469-N469-O469-P469-Q469-R469-S469-T469)</f>
      </c>
      <c r="W469" s="4">
        <f>IF($K469="","",(V469-Y469)/J469*100)</f>
      </c>
      <c r="X469" s="4">
        <f>IF($K469="","",M469-U469)</f>
      </c>
      <c r="Z469" s="4">
        <f>IF($K469="","",V469-Y469)</f>
      </c>
    </row>
    <row r="470" spans="1:31" x14ac:dyDescent="0.25">
      <c r="A470" s="8"/>
      <c r="D470" s="9"/>
      <c r="J470" s="4"/>
      <c r="K470" s="4"/>
      <c r="L470" s="4">
        <f>IF($K470="","",K470-J470)</f>
      </c>
      <c r="M470" s="4">
        <f>IF($K470="","",L470*16.67%)</f>
      </c>
      <c r="N470" s="4">
        <f>IF($K470="","",K470/100*7)</f>
      </c>
      <c r="O470" s="4">
        <f>IF($K470="","",N470*20%)</f>
      </c>
      <c r="P470" s="4">
        <f>IF($K470="","",N470*2%)</f>
      </c>
      <c r="Q470" s="4">
        <f>IF($K470="","",P470*20%)</f>
      </c>
      <c r="R470" s="4"/>
      <c r="S470" s="4">
        <f>IF($K470="","",R470*20%)</f>
      </c>
      <c r="T470" s="4">
        <v>1</v>
      </c>
      <c r="U470" s="4">
        <f>IF($K470="","",O470+Q470+S470)</f>
      </c>
      <c r="V470" s="4">
        <f>IF($K470="","",L470-M470-N470-O470-P470-Q470-R470-S470-T470)</f>
      </c>
      <c r="W470" s="4">
        <f>IF($K470="","",(V470-Y470)/J470*100)</f>
      </c>
      <c r="X470" s="4">
        <f>IF($K470="","",M470-U470)</f>
      </c>
      <c r="Z470" s="4">
        <f>IF($K470="","",V470-Y470)</f>
      </c>
    </row>
    <row r="471" spans="1:31" x14ac:dyDescent="0.25">
      <c r="A471" s="8"/>
      <c r="D471" s="9"/>
      <c r="J471" s="4"/>
      <c r="K471" s="4"/>
      <c r="L471" s="4">
        <f>IF($K471="","",K471-J471)</f>
      </c>
      <c r="M471" s="4">
        <f>IF($K471="","",L471*16.67%)</f>
      </c>
      <c r="N471" s="4">
        <f>IF($K471="","",K471/100*7)</f>
      </c>
      <c r="O471" s="4">
        <f>IF($K471="","",N471*20%)</f>
      </c>
      <c r="P471" s="4">
        <f>IF($K471="","",N471*2%)</f>
      </c>
      <c r="Q471" s="4">
        <f>IF($K471="","",P471*20%)</f>
      </c>
      <c r="R471" s="4"/>
      <c r="S471" s="4">
        <f>IF($K471="","",R471*20%)</f>
      </c>
      <c r="T471" s="4">
        <v>1</v>
      </c>
      <c r="U471" s="4">
        <f>IF($K471="","",O471+Q471+S471)</f>
      </c>
      <c r="V471" s="4">
        <f>IF($K471="","",L471-M471-N471-O471-P471-Q471-R471-S471-T471)</f>
      </c>
      <c r="W471" s="4">
        <f>IF($K471="","",(V471-Y471)/J471*100)</f>
      </c>
      <c r="X471" s="4">
        <f>IF($K471="","",M471-U471)</f>
      </c>
      <c r="Z471" s="4">
        <f>IF($K471="","",V471-Y471)</f>
      </c>
    </row>
    <row r="472" spans="1:31" x14ac:dyDescent="0.25">
      <c r="A472" s="8"/>
      <c r="D472" s="9"/>
      <c r="J472" s="4"/>
      <c r="K472" s="4"/>
      <c r="L472" s="4">
        <f>IF($K472="","",K472-J472)</f>
      </c>
      <c r="M472" s="4">
        <f>IF($K472="","",L472*16.67%)</f>
      </c>
      <c r="N472" s="4">
        <f>IF($K472="","",K472/100*7)</f>
      </c>
      <c r="O472" s="4">
        <f>IF($K472="","",N472*20%)</f>
      </c>
      <c r="P472" s="4">
        <f>IF($K472="","",N472*2%)</f>
      </c>
      <c r="Q472" s="4">
        <f>IF($K472="","",P472*20%)</f>
      </c>
      <c r="R472" s="4"/>
      <c r="S472" s="4">
        <f>IF($K472="","",R472*20%)</f>
      </c>
      <c r="T472" s="4">
        <v>1</v>
      </c>
      <c r="U472" s="4">
        <f>IF($K472="","",O472+Q472+S472)</f>
      </c>
      <c r="V472" s="4">
        <f>IF($K472="","",L472-M472-N472-O472-P472-Q472-R472-S472-T472)</f>
      </c>
      <c r="W472" s="4">
        <f>IF($K472="","",(V472-Y472)/J472*100)</f>
      </c>
      <c r="X472" s="4">
        <f>IF($K472="","",M472-U472)</f>
      </c>
      <c r="Z472" s="4">
        <f>IF($K472="","",V472-Y472)</f>
      </c>
    </row>
    <row r="473" spans="1:31" x14ac:dyDescent="0.25">
      <c r="A473" s="8"/>
      <c r="D473" s="9"/>
      <c r="J473" s="4"/>
      <c r="K473" s="4"/>
      <c r="L473" s="4">
        <f>IF($K473="","",K473-J473)</f>
      </c>
      <c r="M473" s="4">
        <f>IF($K473="","",L473*16.67%)</f>
      </c>
      <c r="N473" s="4">
        <f>IF($K473="","",K473/100*7)</f>
      </c>
      <c r="O473" s="4">
        <f>IF($K473="","",N473*20%)</f>
      </c>
      <c r="P473" s="4">
        <f>IF($K473="","",N473*2%)</f>
      </c>
      <c r="Q473" s="4">
        <f>IF($K473="","",P473*20%)</f>
      </c>
      <c r="R473" s="4"/>
      <c r="S473" s="4">
        <f>IF($K473="","",R473*20%)</f>
      </c>
      <c r="T473" s="4">
        <v>1</v>
      </c>
      <c r="U473" s="4">
        <f>IF($K473="","",O473+Q473+S473)</f>
      </c>
      <c r="V473" s="4">
        <f>IF($K473="","",L473-M473-N473-O473-P473-Q473-R473-S473-T473)</f>
      </c>
      <c r="W473" s="4">
        <f>IF($K473="","",(V473-Y473)/J473*100)</f>
      </c>
      <c r="X473" s="4">
        <f>IF($K473="","",M473-U473)</f>
      </c>
      <c r="Z473" s="4">
        <f>IF($K473="","",V473-Y473)</f>
      </c>
    </row>
    <row r="474" spans="1:31" x14ac:dyDescent="0.25">
      <c r="A474" s="8"/>
      <c r="D474" s="9"/>
      <c r="J474" s="4"/>
      <c r="K474" s="4"/>
      <c r="L474" s="4">
        <f>IF($K474="","",K474-J474)</f>
      </c>
      <c r="M474" s="4">
        <f>IF($K474="","",L474*16.67%)</f>
      </c>
      <c r="N474" s="4">
        <f>IF($K474="","",K474/100*7)</f>
      </c>
      <c r="O474" s="4">
        <f>IF($K474="","",N474*20%)</f>
      </c>
      <c r="P474" s="4">
        <f>IF($K474="","",N474*2%)</f>
      </c>
      <c r="Q474" s="4">
        <f>IF($K474="","",P474*20%)</f>
      </c>
      <c r="R474" s="4"/>
      <c r="S474" s="4">
        <f>IF($K474="","",R474*20%)</f>
      </c>
      <c r="T474" s="4">
        <v>1</v>
      </c>
      <c r="U474" s="4">
        <f>IF($K474="","",O474+Q474+S474)</f>
      </c>
      <c r="V474" s="4">
        <f>IF($K474="","",L474-M474-N474-O474-P474-Q474-R474-S474-T474)</f>
      </c>
      <c r="W474" s="4">
        <f>IF($K474="","",(V474-Y474)/J474*100)</f>
      </c>
      <c r="X474" s="4">
        <f>IF($K474="","",M474-U474)</f>
      </c>
      <c r="Z474" s="4">
        <f>IF($K474="","",V474-Y474)</f>
      </c>
    </row>
    <row r="475" spans="1:31" x14ac:dyDescent="0.25">
      <c r="A475" s="8"/>
      <c r="D475" s="9"/>
      <c r="J475" s="4"/>
      <c r="K475" s="4"/>
      <c r="L475" s="4">
        <f>IF($K475="","",K475-J475)</f>
      </c>
      <c r="M475" s="4">
        <f>IF($K475="","",L475*16.67%)</f>
      </c>
      <c r="N475" s="4">
        <f>IF($K475="","",K475/100*7)</f>
      </c>
      <c r="O475" s="4">
        <f>IF($K475="","",N475*20%)</f>
      </c>
      <c r="P475" s="4">
        <f>IF($K475="","",N475*2%)</f>
      </c>
      <c r="Q475" s="4">
        <f>IF($K475="","",P475*20%)</f>
      </c>
      <c r="R475" s="4"/>
      <c r="S475" s="4">
        <f>IF($K475="","",R475*20%)</f>
      </c>
      <c r="T475" s="4">
        <v>1</v>
      </c>
      <c r="U475" s="4">
        <f>IF($K475="","",O475+Q475+S475)</f>
      </c>
      <c r="V475" s="4">
        <f>IF($K475="","",L475-M475-N475-O475-P475-Q475-R475-S475-T475)</f>
      </c>
      <c r="W475" s="4">
        <f>IF($K475="","",(V475-Y475)/J475*100)</f>
      </c>
      <c r="X475" s="4">
        <f>IF($K475="","",M475-U475)</f>
      </c>
      <c r="Z475" s="4">
        <f>IF($K475="","",V475-Y475)</f>
      </c>
    </row>
    <row r="476" spans="1:31" x14ac:dyDescent="0.25">
      <c r="A476" s="8"/>
      <c r="D476" s="9"/>
      <c r="J476" s="4"/>
      <c r="K476" s="4"/>
      <c r="L476" s="4">
        <f>IF($K476="","",K476-J476)</f>
      </c>
      <c r="M476" s="4">
        <f>IF($K476="","",L476*16.67%)</f>
      </c>
      <c r="N476" s="4">
        <f>IF($K476="","",K476/100*7)</f>
      </c>
      <c r="O476" s="4">
        <f>IF($K476="","",N476*20%)</f>
      </c>
      <c r="P476" s="4">
        <f>IF($K476="","",N476*2%)</f>
      </c>
      <c r="Q476" s="4">
        <f>IF($K476="","",P476*20%)</f>
      </c>
      <c r="R476" s="4"/>
      <c r="S476" s="4">
        <f>IF($K476="","",R476*20%)</f>
      </c>
      <c r="T476" s="4">
        <v>1</v>
      </c>
      <c r="U476" s="4">
        <f>IF($K476="","",O476+Q476+S476)</f>
      </c>
      <c r="V476" s="4">
        <f>IF($K476="","",L476-M476-N476-O476-P476-Q476-R476-S476-T476)</f>
      </c>
      <c r="W476" s="4">
        <f>IF($K476="","",(V476-Y476)/J476*100)</f>
      </c>
      <c r="X476" s="4">
        <f>IF($K476="","",M476-U476)</f>
      </c>
      <c r="Z476" s="4">
        <f>IF($K476="","",V476-Y476)</f>
      </c>
    </row>
    <row r="477" spans="1:31" x14ac:dyDescent="0.25">
      <c r="A477" s="8"/>
      <c r="D477" s="9"/>
      <c r="J477" s="4"/>
      <c r="K477" s="4"/>
      <c r="L477" s="4">
        <f>IF($K477="","",K477-J477)</f>
      </c>
      <c r="M477" s="4">
        <f>IF($K477="","",L477*16.67%)</f>
      </c>
      <c r="N477" s="4">
        <f>IF($K477="","",K477/100*7)</f>
      </c>
      <c r="O477" s="4">
        <f>IF($K477="","",N477*20%)</f>
      </c>
      <c r="P477" s="4">
        <f>IF($K477="","",N477*2%)</f>
      </c>
      <c r="Q477" s="4">
        <f>IF($K477="","",P477*20%)</f>
      </c>
      <c r="R477" s="4"/>
      <c r="S477" s="4">
        <f>IF($K477="","",R477*20%)</f>
      </c>
      <c r="T477" s="4">
        <v>1</v>
      </c>
      <c r="U477" s="4">
        <f>IF($K477="","",O477+Q477+S477)</f>
      </c>
      <c r="V477" s="4">
        <f>IF($K477="","",L477-M477-N477-O477-P477-Q477-R477-S477-T477)</f>
      </c>
      <c r="W477" s="4">
        <f>IF($K477="","",(V477-Y477)/J477*100)</f>
      </c>
      <c r="X477" s="4">
        <f>IF($K477="","",M477-U477)</f>
      </c>
      <c r="Z477" s="4">
        <f>IF($K477="","",V477-Y477)</f>
      </c>
    </row>
    <row r="478" spans="1:31" x14ac:dyDescent="0.25">
      <c r="A478" s="8"/>
      <c r="D478" s="9"/>
      <c r="J478" s="4"/>
      <c r="K478" s="4"/>
      <c r="L478" s="4">
        <f>IF($K478="","",K478-J478)</f>
      </c>
      <c r="M478" s="4">
        <f>IF($K478="","",L478*16.67%)</f>
      </c>
      <c r="N478" s="4">
        <f>IF($K478="","",K478/100*7)</f>
      </c>
      <c r="O478" s="4">
        <f>IF($K478="","",N478*20%)</f>
      </c>
      <c r="P478" s="4">
        <f>IF($K478="","",N478*2%)</f>
      </c>
      <c r="Q478" s="4">
        <f>IF($K478="","",P478*20%)</f>
      </c>
      <c r="R478" s="4"/>
      <c r="S478" s="4">
        <f>IF($K478="","",R478*20%)</f>
      </c>
      <c r="T478" s="4">
        <v>1</v>
      </c>
      <c r="U478" s="4">
        <f>IF($K478="","",O478+Q478+S478)</f>
      </c>
      <c r="V478" s="4">
        <f>IF($K478="","",L478-M478-N478-O478-P478-Q478-R478-S478-T478)</f>
      </c>
      <c r="W478" s="4">
        <f>IF($K478="","",(V478-Y478)/J478*100)</f>
      </c>
      <c r="X478" s="4">
        <f>IF($K478="","",M478-U478)</f>
      </c>
      <c r="Z478" s="4">
        <f>IF($K478="","",V478-Y478)</f>
      </c>
    </row>
    <row r="479" spans="1:31" x14ac:dyDescent="0.25">
      <c r="A479" s="8"/>
      <c r="D479" s="9"/>
      <c r="J479" s="4"/>
      <c r="K479" s="4"/>
      <c r="L479" s="4">
        <f>IF($K479="","",K479-J479)</f>
      </c>
      <c r="M479" s="4">
        <f>IF($K479="","",L479*16.67%)</f>
      </c>
      <c r="N479" s="4">
        <f>IF($K479="","",K479/100*7)</f>
      </c>
      <c r="O479" s="4">
        <f>IF($K479="","",N479*20%)</f>
      </c>
      <c r="P479" s="4">
        <f>IF($K479="","",N479*2%)</f>
      </c>
      <c r="Q479" s="4">
        <f>IF($K479="","",P479*20%)</f>
      </c>
      <c r="R479" s="4"/>
      <c r="S479" s="4">
        <f>IF($K479="","",R479*20%)</f>
      </c>
      <c r="T479" s="4">
        <v>1</v>
      </c>
      <c r="U479" s="4">
        <f>IF($K479="","",O479+Q479+S479)</f>
      </c>
      <c r="V479" s="4">
        <f>IF($K479="","",L479-M479-N479-O479-P479-Q479-R479-S479-T479)</f>
      </c>
      <c r="W479" s="4">
        <f>IF($K479="","",(V479-Y479)/J479*100)</f>
      </c>
      <c r="X479" s="4">
        <f>IF($K479="","",M479-U479)</f>
      </c>
      <c r="Z479" s="4">
        <f>IF($K479="","",V479-Y479)</f>
      </c>
    </row>
    <row r="480" spans="1:31" x14ac:dyDescent="0.25">
      <c r="A480" s="8"/>
      <c r="D480" s="9"/>
      <c r="J480" s="4"/>
      <c r="K480" s="4"/>
      <c r="L480" s="4">
        <f>IF($K480="","",K480-J480)</f>
      </c>
      <c r="M480" s="4">
        <f>IF($K480="","",L480*16.67%)</f>
      </c>
      <c r="N480" s="4">
        <f>IF($K480="","",K480/100*7)</f>
      </c>
      <c r="O480" s="4">
        <f>IF($K480="","",N480*20%)</f>
      </c>
      <c r="P480" s="4">
        <f>IF($K480="","",N480*2%)</f>
      </c>
      <c r="Q480" s="4">
        <f>IF($K480="","",P480*20%)</f>
      </c>
      <c r="R480" s="4"/>
      <c r="S480" s="4">
        <f>IF($K480="","",R480*20%)</f>
      </c>
      <c r="T480" s="4">
        <v>1</v>
      </c>
      <c r="U480" s="4">
        <f>IF($K480="","",O480+Q480+S480)</f>
      </c>
      <c r="V480" s="4">
        <f>IF($K480="","",L480-M480-N480-O480-P480-Q480-R480-S480-T480)</f>
      </c>
      <c r="W480" s="4">
        <f>IF($K480="","",(V480-Y480)/J480*100)</f>
      </c>
      <c r="X480" s="4">
        <f>IF($K480="","",M480-U480)</f>
      </c>
      <c r="Z480" s="4">
        <f>IF($K480="","",V480-Y480)</f>
      </c>
    </row>
    <row r="481" spans="1:31" x14ac:dyDescent="0.25">
      <c r="A481" s="8"/>
      <c r="D481" s="9"/>
      <c r="J481" s="4"/>
      <c r="K481" s="4"/>
      <c r="L481" s="4">
        <f>IF($K481="","",K481-J481)</f>
      </c>
      <c r="M481" s="4">
        <f>IF($K481="","",L481*16.67%)</f>
      </c>
      <c r="N481" s="4">
        <f>IF($K481="","",K481/100*7)</f>
      </c>
      <c r="O481" s="4">
        <f>IF($K481="","",N481*20%)</f>
      </c>
      <c r="P481" s="4">
        <f>IF($K481="","",N481*2%)</f>
      </c>
      <c r="Q481" s="4">
        <f>IF($K481="","",P481*20%)</f>
      </c>
      <c r="R481" s="4"/>
      <c r="S481" s="4">
        <f>IF($K481="","",R481*20%)</f>
      </c>
      <c r="T481" s="4">
        <v>1</v>
      </c>
      <c r="U481" s="4">
        <f>IF($K481="","",O481+Q481+S481)</f>
      </c>
      <c r="V481" s="4">
        <f>IF($K481="","",L481-M481-N481-O481-P481-Q481-R481-S481-T481)</f>
      </c>
      <c r="W481" s="4">
        <f>IF($K481="","",(V481-Y481)/J481*100)</f>
      </c>
      <c r="X481" s="4">
        <f>IF($K481="","",M481-U481)</f>
      </c>
      <c r="Z481" s="4">
        <f>IF($K481="","",V481-Y481)</f>
      </c>
    </row>
    <row r="482" spans="1:31" x14ac:dyDescent="0.25">
      <c r="A482" s="8"/>
      <c r="D482" s="9"/>
      <c r="J482" s="4"/>
      <c r="K482" s="4"/>
      <c r="L482" s="4">
        <f>IF($K482="","",K482-J482)</f>
      </c>
      <c r="M482" s="4">
        <f>IF($K482="","",L482*16.67%)</f>
      </c>
      <c r="N482" s="4">
        <f>IF($K482="","",K482/100*7)</f>
      </c>
      <c r="O482" s="4">
        <f>IF($K482="","",N482*20%)</f>
      </c>
      <c r="P482" s="4">
        <f>IF($K482="","",N482*2%)</f>
      </c>
      <c r="Q482" s="4">
        <f>IF($K482="","",P482*20%)</f>
      </c>
      <c r="R482" s="4"/>
      <c r="S482" s="4">
        <f>IF($K482="","",R482*20%)</f>
      </c>
      <c r="T482" s="4">
        <v>1</v>
      </c>
      <c r="U482" s="4">
        <f>IF($K482="","",O482+Q482+S482)</f>
      </c>
      <c r="V482" s="4">
        <f>IF($K482="","",L482-M482-N482-O482-P482-Q482-R482-S482-T482)</f>
      </c>
      <c r="W482" s="4">
        <f>IF($K482="","",(V482-Y482)/J482*100)</f>
      </c>
      <c r="X482" s="4">
        <f>IF($K482="","",M482-U482)</f>
      </c>
      <c r="Z482" s="4">
        <f>IF($K482="","",V482-Y482)</f>
      </c>
    </row>
    <row r="483" spans="1:31" x14ac:dyDescent="0.25">
      <c r="A483" s="8"/>
      <c r="D483" s="9"/>
      <c r="J483" s="4"/>
      <c r="K483" s="4"/>
      <c r="L483" s="4">
        <f>IF($K483="","",K483-J483)</f>
      </c>
      <c r="M483" s="4">
        <f>IF($K483="","",L483*16.67%)</f>
      </c>
      <c r="N483" s="4">
        <f>IF($K483="","",K483/100*7)</f>
      </c>
      <c r="O483" s="4">
        <f>IF($K483="","",N483*20%)</f>
      </c>
      <c r="P483" s="4">
        <f>IF($K483="","",N483*2%)</f>
      </c>
      <c r="Q483" s="4">
        <f>IF($K483="","",P483*20%)</f>
      </c>
      <c r="R483" s="4"/>
      <c r="S483" s="4">
        <f>IF($K483="","",R483*20%)</f>
      </c>
      <c r="T483" s="4">
        <v>1</v>
      </c>
      <c r="U483" s="4">
        <f>IF($K483="","",O483+Q483+S483)</f>
      </c>
      <c r="V483" s="4">
        <f>IF($K483="","",L483-M483-N483-O483-P483-Q483-R483-S483-T483)</f>
      </c>
      <c r="W483" s="4">
        <f>IF($K483="","",(V483-Y483)/J483*100)</f>
      </c>
      <c r="X483" s="4">
        <f>IF($K483="","",M483-U483)</f>
      </c>
      <c r="Z483" s="4">
        <f>IF($K483="","",V483-Y483)</f>
      </c>
    </row>
    <row r="484" spans="1:31" x14ac:dyDescent="0.25">
      <c r="A484" s="8"/>
      <c r="D484" s="9"/>
      <c r="J484" s="4"/>
      <c r="K484" s="4"/>
      <c r="L484" s="4">
        <f>IF($K484="","",K484-J484)</f>
      </c>
      <c r="M484" s="4">
        <f>IF($K484="","",L484*16.67%)</f>
      </c>
      <c r="N484" s="4">
        <f>IF($K484="","",K484/100*7)</f>
      </c>
      <c r="O484" s="4">
        <f>IF($K484="","",N484*20%)</f>
      </c>
      <c r="P484" s="4">
        <f>IF($K484="","",N484*2%)</f>
      </c>
      <c r="Q484" s="4">
        <f>IF($K484="","",P484*20%)</f>
      </c>
      <c r="R484" s="4"/>
      <c r="S484" s="4">
        <f>IF($K484="","",R484*20%)</f>
      </c>
      <c r="T484" s="4">
        <v>1</v>
      </c>
      <c r="U484" s="4">
        <f>IF($K484="","",O484+Q484+S484)</f>
      </c>
      <c r="V484" s="4">
        <f>IF($K484="","",L484-M484-N484-O484-P484-Q484-R484-S484-T484)</f>
      </c>
      <c r="W484" s="4">
        <f>IF($K484="","",(V484-Y484)/J484*100)</f>
      </c>
      <c r="X484" s="4">
        <f>IF($K484="","",M484-U484)</f>
      </c>
      <c r="Z484" s="4">
        <f>IF($K484="","",V484-Y484)</f>
      </c>
    </row>
    <row r="485" spans="1:31" x14ac:dyDescent="0.25">
      <c r="A485" s="8"/>
      <c r="D485" s="9"/>
      <c r="J485" s="4"/>
      <c r="K485" s="4"/>
      <c r="L485" s="4">
        <f>IF($K485="","",K485-J485)</f>
      </c>
      <c r="M485" s="4">
        <f>IF($K485="","",L485*16.67%)</f>
      </c>
      <c r="N485" s="4">
        <f>IF($K485="","",K485/100*7)</f>
      </c>
      <c r="O485" s="4">
        <f>IF($K485="","",N485*20%)</f>
      </c>
      <c r="P485" s="4">
        <f>IF($K485="","",N485*2%)</f>
      </c>
      <c r="Q485" s="4">
        <f>IF($K485="","",P485*20%)</f>
      </c>
      <c r="R485" s="4"/>
      <c r="S485" s="4">
        <f>IF($K485="","",R485*20%)</f>
      </c>
      <c r="T485" s="4">
        <v>1</v>
      </c>
      <c r="U485" s="4">
        <f>IF($K485="","",O485+Q485+S485)</f>
      </c>
      <c r="V485" s="4">
        <f>IF($K485="","",L485-M485-N485-O485-P485-Q485-R485-S485-T485)</f>
      </c>
      <c r="W485" s="4">
        <f>IF($K485="","",(V485-Y485)/J485*100)</f>
      </c>
      <c r="X485" s="4">
        <f>IF($K485="","",M485-U485)</f>
      </c>
      <c r="Z485" s="4">
        <f>IF($K485="","",V485-Y485)</f>
      </c>
    </row>
    <row r="486" spans="1:31" x14ac:dyDescent="0.25">
      <c r="A486" s="8"/>
      <c r="D486" s="9"/>
      <c r="J486" s="4"/>
      <c r="K486" s="4"/>
      <c r="L486" s="4">
        <f>IF($K486="","",K486-J486)</f>
      </c>
      <c r="M486" s="4">
        <f>IF($K486="","",L486*16.67%)</f>
      </c>
      <c r="N486" s="4">
        <f>IF($K486="","",K486/100*7)</f>
      </c>
      <c r="O486" s="4">
        <f>IF($K486="","",N486*20%)</f>
      </c>
      <c r="P486" s="4">
        <f>IF($K486="","",N486*2%)</f>
      </c>
      <c r="Q486" s="4">
        <f>IF($K486="","",P486*20%)</f>
      </c>
      <c r="R486" s="4"/>
      <c r="S486" s="4">
        <f>IF($K486="","",R486*20%)</f>
      </c>
      <c r="T486" s="4">
        <v>1</v>
      </c>
      <c r="U486" s="4">
        <f>IF($K486="","",O486+Q486+S486)</f>
      </c>
      <c r="V486" s="4">
        <f>IF($K486="","",L486-M486-N486-O486-P486-Q486-R486-S486-T486)</f>
      </c>
      <c r="W486" s="4">
        <f>IF($K486="","",(V486-Y486)/J486*100)</f>
      </c>
      <c r="X486" s="4">
        <f>IF($K486="","",M486-U486)</f>
      </c>
      <c r="Z486" s="4">
        <f>IF($K486="","",V486-Y486)</f>
      </c>
    </row>
    <row r="487" spans="1:31" x14ac:dyDescent="0.25">
      <c r="A487" s="8"/>
      <c r="D487" s="9"/>
      <c r="J487" s="4"/>
      <c r="K487" s="4"/>
      <c r="L487" s="4">
        <f>IF($K487="","",K487-J487)</f>
      </c>
      <c r="M487" s="4">
        <f>IF($K487="","",L487*16.67%)</f>
      </c>
      <c r="N487" s="4">
        <f>IF($K487="","",K487/100*7)</f>
      </c>
      <c r="O487" s="4">
        <f>IF($K487="","",N487*20%)</f>
      </c>
      <c r="P487" s="4">
        <f>IF($K487="","",N487*2%)</f>
      </c>
      <c r="Q487" s="4">
        <f>IF($K487="","",P487*20%)</f>
      </c>
      <c r="R487" s="4"/>
      <c r="S487" s="4">
        <f>IF($K487="","",R487*20%)</f>
      </c>
      <c r="T487" s="4">
        <v>1</v>
      </c>
      <c r="U487" s="4">
        <f>IF($K487="","",O487+Q487+S487)</f>
      </c>
      <c r="V487" s="4">
        <f>IF($K487="","",L487-M487-N487-O487-P487-Q487-R487-S487-T487)</f>
      </c>
      <c r="W487" s="4">
        <f>IF($K487="","",(V487-Y487)/J487*100)</f>
      </c>
      <c r="X487" s="4">
        <f>IF($K487="","",M487-U487)</f>
      </c>
      <c r="Z487" s="4">
        <f>IF($K487="","",V487-Y487)</f>
      </c>
    </row>
    <row r="488" spans="1:31" x14ac:dyDescent="0.25">
      <c r="A488" s="8"/>
      <c r="D488" s="9"/>
      <c r="J488" s="4"/>
      <c r="K488" s="4"/>
      <c r="L488" s="4">
        <f>IF($K488="","",K488-J488)</f>
      </c>
      <c r="M488" s="4">
        <f>IF($K488="","",L488*16.67%)</f>
      </c>
      <c r="N488" s="4">
        <f>IF($K488="","",K488/100*7)</f>
      </c>
      <c r="O488" s="4">
        <f>IF($K488="","",N488*20%)</f>
      </c>
      <c r="P488" s="4">
        <f>IF($K488="","",N488*2%)</f>
      </c>
      <c r="Q488" s="4">
        <f>IF($K488="","",P488*20%)</f>
      </c>
      <c r="R488" s="4"/>
      <c r="S488" s="4">
        <f>IF($K488="","",R488*20%)</f>
      </c>
      <c r="T488" s="4">
        <v>1</v>
      </c>
      <c r="U488" s="4">
        <f>IF($K488="","",O488+Q488+S488)</f>
      </c>
      <c r="V488" s="4">
        <f>IF($K488="","",L488-M488-N488-O488-P488-Q488-R488-S488-T488)</f>
      </c>
      <c r="W488" s="4">
        <f>IF($K488="","",(V488-Y488)/J488*100)</f>
      </c>
      <c r="X488" s="4">
        <f>IF($K488="","",M488-U488)</f>
      </c>
      <c r="Z488" s="4">
        <f>IF($K488="","",V488-Y488)</f>
      </c>
    </row>
    <row r="489" spans="1:31" x14ac:dyDescent="0.25">
      <c r="A489" s="8"/>
      <c r="D489" s="9"/>
      <c r="J489" s="4"/>
      <c r="K489" s="4"/>
      <c r="L489" s="4">
        <f>IF($K489="","",K489-J489)</f>
      </c>
      <c r="M489" s="4">
        <f>IF($K489="","",L489*16.67%)</f>
      </c>
      <c r="N489" s="4">
        <f>IF($K489="","",K489/100*7)</f>
      </c>
      <c r="O489" s="4">
        <f>IF($K489="","",N489*20%)</f>
      </c>
      <c r="P489" s="4">
        <f>IF($K489="","",N489*2%)</f>
      </c>
      <c r="Q489" s="4">
        <f>IF($K489="","",P489*20%)</f>
      </c>
      <c r="R489" s="4"/>
      <c r="S489" s="4">
        <f>IF($K489="","",R489*20%)</f>
      </c>
      <c r="T489" s="4">
        <v>1</v>
      </c>
      <c r="U489" s="4">
        <f>IF($K489="","",O489+Q489+S489)</f>
      </c>
      <c r="V489" s="4">
        <f>IF($K489="","",L489-M489-N489-O489-P489-Q489-R489-S489-T489)</f>
      </c>
      <c r="W489" s="4">
        <f>IF($K489="","",(V489-Y489)/J489*100)</f>
      </c>
      <c r="X489" s="4">
        <f>IF($K489="","",M489-U489)</f>
      </c>
      <c r="Z489" s="4">
        <f>IF($K489="","",V489-Y489)</f>
      </c>
    </row>
    <row r="490" spans="1:31" x14ac:dyDescent="0.25">
      <c r="A490" s="8"/>
      <c r="D490" s="9"/>
      <c r="J490" s="4"/>
      <c r="K490" s="4"/>
      <c r="L490" s="4">
        <f>IF($K490="","",K490-J490)</f>
      </c>
      <c r="M490" s="4">
        <f>IF($K490="","",L490*16.67%)</f>
      </c>
      <c r="N490" s="4">
        <f>IF($K490="","",K490/100*7)</f>
      </c>
      <c r="O490" s="4">
        <f>IF($K490="","",N490*20%)</f>
      </c>
      <c r="P490" s="4">
        <f>IF($K490="","",N490*2%)</f>
      </c>
      <c r="Q490" s="4">
        <f>IF($K490="","",P490*20%)</f>
      </c>
      <c r="R490" s="4"/>
      <c r="S490" s="4">
        <f>IF($K490="","",R490*20%)</f>
      </c>
      <c r="T490" s="4">
        <v>1</v>
      </c>
      <c r="U490" s="4">
        <f>IF($K490="","",O490+Q490+S490)</f>
      </c>
      <c r="V490" s="4">
        <f>IF($K490="","",L490-M490-N490-O490-P490-Q490-R490-S490-T490)</f>
      </c>
      <c r="W490" s="4">
        <f>IF($K490="","",(V490-Y490)/J490*100)</f>
      </c>
      <c r="X490" s="4">
        <f>IF($K490="","",M490-U490)</f>
      </c>
      <c r="Z490" s="4">
        <f>IF($K490="","",V490-Y490)</f>
      </c>
    </row>
    <row r="491" spans="1:31" x14ac:dyDescent="0.25">
      <c r="A491" s="8"/>
      <c r="D491" s="9"/>
      <c r="J491" s="4"/>
      <c r="K491" s="4"/>
      <c r="L491" s="4">
        <f>IF($K491="","",K491-J491)</f>
      </c>
      <c r="M491" s="4">
        <f>IF($K491="","",L491*16.67%)</f>
      </c>
      <c r="N491" s="4">
        <f>IF($K491="","",K491/100*7)</f>
      </c>
      <c r="O491" s="4">
        <f>IF($K491="","",N491*20%)</f>
      </c>
      <c r="P491" s="4">
        <f>IF($K491="","",N491*2%)</f>
      </c>
      <c r="Q491" s="4">
        <f>IF($K491="","",P491*20%)</f>
      </c>
      <c r="R491" s="4"/>
      <c r="S491" s="4">
        <f>IF($K491="","",R491*20%)</f>
      </c>
      <c r="T491" s="4">
        <v>1</v>
      </c>
      <c r="U491" s="4">
        <f>IF($K491="","",O491+Q491+S491)</f>
      </c>
      <c r="V491" s="4">
        <f>IF($K491="","",L491-M491-N491-O491-P491-Q491-R491-S491-T491)</f>
      </c>
      <c r="W491" s="4">
        <f>IF($K491="","",(V491-Y491)/J491*100)</f>
      </c>
      <c r="X491" s="4">
        <f>IF($K491="","",M491-U491)</f>
      </c>
      <c r="Z491" s="4">
        <f>IF($K491="","",V491-Y491)</f>
      </c>
    </row>
    <row r="492" spans="1:31" x14ac:dyDescent="0.25">
      <c r="A492" s="8"/>
      <c r="D492" s="9"/>
      <c r="J492" s="4"/>
      <c r="K492" s="4"/>
      <c r="L492" s="4">
        <f>IF($K492="","",K492-J492)</f>
      </c>
      <c r="M492" s="4">
        <f>IF($K492="","",L492*16.67%)</f>
      </c>
      <c r="N492" s="4">
        <f>IF($K492="","",K492/100*7)</f>
      </c>
      <c r="O492" s="4">
        <f>IF($K492="","",N492*20%)</f>
      </c>
      <c r="P492" s="4">
        <f>IF($K492="","",N492*2%)</f>
      </c>
      <c r="Q492" s="4">
        <f>IF($K492="","",P492*20%)</f>
      </c>
      <c r="R492" s="4"/>
      <c r="S492" s="4">
        <f>IF($K492="","",R492*20%)</f>
      </c>
      <c r="T492" s="4">
        <v>1</v>
      </c>
      <c r="U492" s="4">
        <f>IF($K492="","",O492+Q492+S492)</f>
      </c>
      <c r="V492" s="4">
        <f>IF($K492="","",L492-M492-N492-O492-P492-Q492-R492-S492-T492)</f>
      </c>
      <c r="W492" s="4">
        <f>IF($K492="","",(V492-Y492)/J492*100)</f>
      </c>
      <c r="X492" s="4">
        <f>IF($K492="","",M492-U492)</f>
      </c>
      <c r="Z492" s="4">
        <f>IF($K492="","",V492-Y492)</f>
      </c>
    </row>
    <row r="493" spans="1:31" x14ac:dyDescent="0.25">
      <c r="A493" s="8"/>
      <c r="D493" s="9"/>
      <c r="J493" s="4"/>
      <c r="K493" s="4"/>
      <c r="L493" s="4">
        <f>IF($K493="","",K493-J493)</f>
      </c>
      <c r="M493" s="4">
        <f>IF($K493="","",L493*16.67%)</f>
      </c>
      <c r="N493" s="4">
        <f>IF($K493="","",K493/100*7)</f>
      </c>
      <c r="O493" s="4">
        <f>IF($K493="","",N493*20%)</f>
      </c>
      <c r="P493" s="4">
        <f>IF($K493="","",N493*2%)</f>
      </c>
      <c r="Q493" s="4">
        <f>IF($K493="","",P493*20%)</f>
      </c>
      <c r="R493" s="4"/>
      <c r="S493" s="4">
        <f>IF($K493="","",R493*20%)</f>
      </c>
      <c r="T493" s="4">
        <v>1</v>
      </c>
      <c r="U493" s="4">
        <f>IF($K493="","",O493+Q493+S493)</f>
      </c>
      <c r="V493" s="4">
        <f>IF($K493="","",L493-M493-N493-O493-P493-Q493-R493-S493-T493)</f>
      </c>
      <c r="W493" s="4">
        <f>IF($K493="","",(V493-Y493)/J493*100)</f>
      </c>
      <c r="X493" s="4">
        <f>IF($K493="","",M493-U493)</f>
      </c>
      <c r="Z493" s="4">
        <f>IF($K493="","",V493-Y493)</f>
      </c>
    </row>
    <row r="494" spans="1:31" x14ac:dyDescent="0.25">
      <c r="A494" s="8"/>
      <c r="D494" s="9"/>
      <c r="J494" s="4"/>
      <c r="K494" s="4"/>
      <c r="L494" s="4">
        <f>IF($K494="","",K494-J494)</f>
      </c>
      <c r="M494" s="4">
        <f>IF($K494="","",L494*16.67%)</f>
      </c>
      <c r="N494" s="4">
        <f>IF($K494="","",K494/100*7)</f>
      </c>
      <c r="O494" s="4">
        <f>IF($K494="","",N494*20%)</f>
      </c>
      <c r="P494" s="4">
        <f>IF($K494="","",N494*2%)</f>
      </c>
      <c r="Q494" s="4">
        <f>IF($K494="","",P494*20%)</f>
      </c>
      <c r="R494" s="4"/>
      <c r="S494" s="4">
        <f>IF($K494="","",R494*20%)</f>
      </c>
      <c r="T494" s="4">
        <v>1</v>
      </c>
      <c r="U494" s="4">
        <f>IF($K494="","",O494+Q494+S494)</f>
      </c>
      <c r="V494" s="4">
        <f>IF($K494="","",L494-M494-N494-O494-P494-Q494-R494-S494-T494)</f>
      </c>
      <c r="W494" s="4">
        <f>IF($K494="","",(V494-Y494)/J494*100)</f>
      </c>
      <c r="X494" s="4">
        <f>IF($K494="","",M494-U494)</f>
      </c>
      <c r="Z494" s="4">
        <f>IF($K494="","",V494-Y494)</f>
      </c>
    </row>
    <row r="495" spans="1:31" x14ac:dyDescent="0.25">
      <c r="A495" s="8"/>
      <c r="D495" s="9"/>
      <c r="J495" s="4"/>
      <c r="K495" s="4"/>
      <c r="L495" s="4">
        <f>IF($K495="","",K495-J495)</f>
      </c>
      <c r="M495" s="4">
        <f>IF($K495="","",L495*16.67%)</f>
      </c>
      <c r="N495" s="4">
        <f>IF($K495="","",K495/100*7)</f>
      </c>
      <c r="O495" s="4">
        <f>IF($K495="","",N495*20%)</f>
      </c>
      <c r="P495" s="4">
        <f>IF($K495="","",N495*2%)</f>
      </c>
      <c r="Q495" s="4">
        <f>IF($K495="","",P495*20%)</f>
      </c>
      <c r="R495" s="4"/>
      <c r="S495" s="4">
        <f>IF($K495="","",R495*20%)</f>
      </c>
      <c r="T495" s="4">
        <v>1</v>
      </c>
      <c r="U495" s="4">
        <f>IF($K495="","",O495+Q495+S495)</f>
      </c>
      <c r="V495" s="4">
        <f>IF($K495="","",L495-M495-N495-O495-P495-Q495-R495-S495-T495)</f>
      </c>
      <c r="W495" s="4">
        <f>IF($K495="","",(V495-Y495)/J495*100)</f>
      </c>
      <c r="X495" s="4">
        <f>IF($K495="","",M495-U495)</f>
      </c>
      <c r="Z495" s="4">
        <f>IF($K495="","",V495-Y495)</f>
      </c>
    </row>
    <row r="496" spans="1:31" x14ac:dyDescent="0.25">
      <c r="A496" s="8"/>
      <c r="D496" s="9"/>
      <c r="J496" s="4"/>
      <c r="K496" s="4"/>
      <c r="L496" s="4">
        <f>IF($K496="","",K496-J496)</f>
      </c>
      <c r="M496" s="4">
        <f>IF($K496="","",L496*16.67%)</f>
      </c>
      <c r="N496" s="4">
        <f>IF($K496="","",K496/100*7)</f>
      </c>
      <c r="O496" s="4">
        <f>IF($K496="","",N496*20%)</f>
      </c>
      <c r="P496" s="4">
        <f>IF($K496="","",N496*2%)</f>
      </c>
      <c r="Q496" s="4">
        <f>IF($K496="","",P496*20%)</f>
      </c>
      <c r="R496" s="4"/>
      <c r="S496" s="4">
        <f>IF($K496="","",R496*20%)</f>
      </c>
      <c r="T496" s="4">
        <v>1</v>
      </c>
      <c r="U496" s="4">
        <f>IF($K496="","",O496+Q496+S496)</f>
      </c>
      <c r="V496" s="4">
        <f>IF($K496="","",L496-M496-N496-O496-P496-Q496-R496-S496-T496)</f>
      </c>
      <c r="W496" s="4">
        <f>IF($K496="","",(V496-Y496)/J496*100)</f>
      </c>
      <c r="X496" s="4">
        <f>IF($K496="","",M496-U496)</f>
      </c>
      <c r="Z496" s="4">
        <f>IF($K496="","",V496-Y496)</f>
      </c>
    </row>
    <row r="497" spans="1:31" x14ac:dyDescent="0.25">
      <c r="A497" s="8"/>
      <c r="D497" s="9"/>
      <c r="J497" s="4"/>
      <c r="K497" s="4"/>
      <c r="L497" s="4">
        <f>IF($K497="","",K497-J497)</f>
      </c>
      <c r="M497" s="4">
        <f>IF($K497="","",L497*16.67%)</f>
      </c>
      <c r="N497" s="4">
        <f>IF($K497="","",K497/100*7)</f>
      </c>
      <c r="O497" s="4">
        <f>IF($K497="","",N497*20%)</f>
      </c>
      <c r="P497" s="4">
        <f>IF($K497="","",N497*2%)</f>
      </c>
      <c r="Q497" s="4">
        <f>IF($K497="","",P497*20%)</f>
      </c>
      <c r="R497" s="4"/>
      <c r="S497" s="4">
        <f>IF($K497="","",R497*20%)</f>
      </c>
      <c r="T497" s="4">
        <v>1</v>
      </c>
      <c r="U497" s="4">
        <f>IF($K497="","",O497+Q497+S497)</f>
      </c>
      <c r="V497" s="4">
        <f>IF($K497="","",L497-M497-N497-O497-P497-Q497-R497-S497-T497)</f>
      </c>
      <c r="W497" s="4">
        <f>IF($K497="","",(V497-Y497)/J497*100)</f>
      </c>
      <c r="X497" s="4">
        <f>IF($K497="","",M497-U497)</f>
      </c>
      <c r="Z497" s="4">
        <f>IF($K497="","",V497-Y497)</f>
      </c>
    </row>
    <row r="498" spans="1:31" x14ac:dyDescent="0.25">
      <c r="A498" s="8"/>
      <c r="D498" s="9"/>
      <c r="J498" s="4"/>
      <c r="K498" s="4"/>
      <c r="L498" s="4">
        <f>IF($K498="","",K498-J498)</f>
      </c>
      <c r="M498" s="4">
        <f>IF($K498="","",L498*16.67%)</f>
      </c>
      <c r="N498" s="4">
        <f>IF($K498="","",K498/100*7)</f>
      </c>
      <c r="O498" s="4">
        <f>IF($K498="","",N498*20%)</f>
      </c>
      <c r="P498" s="4">
        <f>IF($K498="","",N498*2%)</f>
      </c>
      <c r="Q498" s="4">
        <f>IF($K498="","",P498*20%)</f>
      </c>
      <c r="R498" s="4"/>
      <c r="S498" s="4">
        <f>IF($K498="","",R498*20%)</f>
      </c>
      <c r="T498" s="4">
        <v>1</v>
      </c>
      <c r="U498" s="4">
        <f>IF($K498="","",O498+Q498+S498)</f>
      </c>
      <c r="V498" s="4">
        <f>IF($K498="","",L498-M498-N498-O498-P498-Q498-R498-S498-T498)</f>
      </c>
      <c r="W498" s="4">
        <f>IF($K498="","",(V498-Y498)/J498*100)</f>
      </c>
      <c r="X498" s="4">
        <f>IF($K498="","",M498-U498)</f>
      </c>
      <c r="Z498" s="4">
        <f>IF($K498="","",V498-Y498)</f>
      </c>
    </row>
    <row r="499" spans="1:31" x14ac:dyDescent="0.25">
      <c r="A499" s="8"/>
      <c r="D499" s="9"/>
      <c r="J499" s="4"/>
      <c r="K499" s="4"/>
      <c r="L499" s="4">
        <f>IF($K499="","",K499-J499)</f>
      </c>
      <c r="M499" s="4">
        <f>IF($K499="","",L499*16.67%)</f>
      </c>
      <c r="N499" s="4">
        <f>IF($K499="","",K499/100*7)</f>
      </c>
      <c r="O499" s="4">
        <f>IF($K499="","",N499*20%)</f>
      </c>
      <c r="P499" s="4">
        <f>IF($K499="","",N499*2%)</f>
      </c>
      <c r="Q499" s="4">
        <f>IF($K499="","",P499*20%)</f>
      </c>
      <c r="R499" s="4"/>
      <c r="S499" s="4">
        <f>IF($K499="","",R499*20%)</f>
      </c>
      <c r="T499" s="4">
        <v>1</v>
      </c>
      <c r="U499" s="4">
        <f>IF($K499="","",O499+Q499+S499)</f>
      </c>
      <c r="V499" s="4">
        <f>IF($K499="","",L499-M499-N499-O499-P499-Q499-R499-S499-T499)</f>
      </c>
      <c r="W499" s="4">
        <f>IF($K499="","",(V499-Y499)/J499*100)</f>
      </c>
      <c r="X499" s="4">
        <f>IF($K499="","",M499-U499)</f>
      </c>
      <c r="Z499" s="4">
        <f>IF($K499="","",V499-Y499)</f>
      </c>
    </row>
    <row r="500" spans="1:31" x14ac:dyDescent="0.25">
      <c r="A500" s="8"/>
      <c r="D500" s="9"/>
      <c r="J500" s="4"/>
      <c r="K500" s="4"/>
      <c r="L500" s="4">
        <f>IF($K500="","",K500-J500)</f>
      </c>
      <c r="M500" s="4">
        <f>IF($K500="","",L500*16.67%)</f>
      </c>
      <c r="N500" s="4">
        <f>IF($K500="","",K500/100*7)</f>
      </c>
      <c r="O500" s="4">
        <f>IF($K500="","",N500*20%)</f>
      </c>
      <c r="P500" s="4">
        <f>IF($K500="","",N500*2%)</f>
      </c>
      <c r="Q500" s="4">
        <f>IF($K500="","",P500*20%)</f>
      </c>
      <c r="R500" s="4"/>
      <c r="S500" s="4">
        <f>IF($K500="","",R500*20%)</f>
      </c>
      <c r="T500" s="4">
        <v>1</v>
      </c>
      <c r="U500" s="4">
        <f>IF($K500="","",O500+Q500+S500)</f>
      </c>
      <c r="V500" s="4">
        <f>IF($K500="","",L500-M500-N500-O500-P500-Q500-R500-S500-T500)</f>
      </c>
      <c r="W500" s="4">
        <f>IF($K500="","",(V500-Y500)/J500*100)</f>
      </c>
      <c r="X500" s="4">
        <f>IF($K500="","",M500-U500)</f>
      </c>
      <c r="Z500" s="4">
        <f>IF($K500="","",V500-Y500)</f>
      </c>
    </row>
    <row r="501" spans="1:31" x14ac:dyDescent="0.25">
      <c r="A501" s="8"/>
      <c r="D501" s="9"/>
      <c r="J501" s="4"/>
      <c r="K501" s="4"/>
      <c r="L501" s="4">
        <f>IF($K501="","",K501-J501)</f>
      </c>
      <c r="M501" s="4">
        <f>IF($K501="","",L501*16.67%)</f>
      </c>
      <c r="N501" s="4">
        <f>IF($K501="","",K501/100*7)</f>
      </c>
      <c r="O501" s="4">
        <f>IF($K501="","",N501*20%)</f>
      </c>
      <c r="P501" s="4">
        <f>IF($K501="","",N501*2%)</f>
      </c>
      <c r="Q501" s="4">
        <f>IF($K501="","",P501*20%)</f>
      </c>
      <c r="R501" s="4"/>
      <c r="S501" s="4">
        <f>IF($K501="","",R501*20%)</f>
      </c>
      <c r="T501" s="4">
        <v>1</v>
      </c>
      <c r="U501" s="4">
        <f>IF($K501="","",O501+Q501+S501)</f>
      </c>
      <c r="V501" s="4">
        <f>IF($K501="","",L501-M501-N501-O501-P501-Q501-R501-S501-T501)</f>
      </c>
      <c r="W501" s="4">
        <f>IF($K501="","",(V501-Y501)/J501*100)</f>
      </c>
      <c r="X501" s="4">
        <f>IF($K501="","",M501-U501)</f>
      </c>
      <c r="Z501" s="4">
        <f>IF($K501="","",V501-Y501)</f>
      </c>
    </row>
    <row r="502" spans="1:31" x14ac:dyDescent="0.25">
      <c r="A502" s="8"/>
      <c r="D502" s="9"/>
      <c r="J502" s="4"/>
      <c r="K502" s="4"/>
      <c r="L502" s="4">
        <f>IF($K502="","",K502-J502)</f>
      </c>
      <c r="M502" s="4">
        <f>IF($K502="","",L502*16.67%)</f>
      </c>
      <c r="N502" s="4">
        <f>IF($K502="","",K502/100*7)</f>
      </c>
      <c r="O502" s="4">
        <f>IF($K502="","",N502*20%)</f>
      </c>
      <c r="P502" s="4">
        <f>IF($K502="","",N502*2%)</f>
      </c>
      <c r="Q502" s="4">
        <f>IF($K502="","",P502*20%)</f>
      </c>
      <c r="R502" s="4"/>
      <c r="S502" s="4">
        <f>IF($K502="","",R502*20%)</f>
      </c>
      <c r="T502" s="4">
        <v>1</v>
      </c>
      <c r="U502" s="4">
        <f>IF($K502="","",O502+Q502+S502)</f>
      </c>
      <c r="V502" s="4">
        <f>IF($K502="","",L502-M502-N502-O502-P502-Q502-R502-S502-T502)</f>
      </c>
      <c r="W502" s="4">
        <f>IF($K502="","",(V502-Y502)/J502*100)</f>
      </c>
      <c r="X502" s="4">
        <f>IF($K502="","",M502-U502)</f>
      </c>
      <c r="Z502" s="4">
        <f>IF($K502="","",V502-Y502)</f>
      </c>
    </row>
    <row r="503" spans="1:31" x14ac:dyDescent="0.25">
      <c r="A503" s="8"/>
      <c r="D503" s="9"/>
      <c r="J503" s="4"/>
      <c r="K503" s="4"/>
      <c r="L503" s="4">
        <f>IF($K503="","",K503-J503)</f>
      </c>
      <c r="M503" s="4">
        <f>IF($K503="","",L503*16.67%)</f>
      </c>
      <c r="N503" s="4">
        <f>IF($K503="","",K503/100*7)</f>
      </c>
      <c r="O503" s="4">
        <f>IF($K503="","",N503*20%)</f>
      </c>
      <c r="P503" s="4">
        <f>IF($K503="","",N503*2%)</f>
      </c>
      <c r="Q503" s="4">
        <f>IF($K503="","",P503*20%)</f>
      </c>
      <c r="R503" s="4"/>
      <c r="S503" s="4">
        <f>IF($K503="","",R503*20%)</f>
      </c>
      <c r="T503" s="4">
        <v>1</v>
      </c>
      <c r="U503" s="4">
        <f>IF($K503="","",O503+Q503+S503)</f>
      </c>
      <c r="V503" s="4">
        <f>IF($K503="","",L503-M503-N503-O503-P503-Q503-R503-S503-T503)</f>
      </c>
      <c r="W503" s="4">
        <f>IF($K503="","",(V503-Y503)/J503*100)</f>
      </c>
      <c r="X503" s="4">
        <f>IF($K503="","",M503-U503)</f>
      </c>
      <c r="Z503" s="4">
        <f>IF($K503="","",V503-Y503)</f>
      </c>
    </row>
    <row r="504" spans="1:31" x14ac:dyDescent="0.25">
      <c r="A504" s="8"/>
      <c r="D504" s="9"/>
      <c r="J504" s="4"/>
      <c r="K504" s="4"/>
      <c r="L504" s="4">
        <f>IF($K504="","",K504-J504)</f>
      </c>
      <c r="M504" s="4">
        <f>IF($K504="","",L504*16.67%)</f>
      </c>
      <c r="N504" s="4">
        <f>IF($K504="","",K504/100*7)</f>
      </c>
      <c r="O504" s="4">
        <f>IF($K504="","",N504*20%)</f>
      </c>
      <c r="P504" s="4">
        <f>IF($K504="","",N504*2%)</f>
      </c>
      <c r="Q504" s="4">
        <f>IF($K504="","",P504*20%)</f>
      </c>
      <c r="R504" s="4"/>
      <c r="S504" s="4">
        <f>IF($K504="","",R504*20%)</f>
      </c>
      <c r="T504" s="4">
        <v>1</v>
      </c>
      <c r="U504" s="4">
        <f>IF($K504="","",O504+Q504+S504)</f>
      </c>
      <c r="V504" s="4">
        <f>IF($K504="","",L504-M504-N504-O504-P504-Q504-R504-S504-T504)</f>
      </c>
      <c r="W504" s="4">
        <f>IF($K504="","",(V504-Y504)/J504*100)</f>
      </c>
      <c r="X504" s="4">
        <f>IF($K504="","",M504-U504)</f>
      </c>
      <c r="Z504" s="4">
        <f>IF($K504="","",V504-Y504)</f>
      </c>
    </row>
    <row r="505" spans="1:31" x14ac:dyDescent="0.25">
      <c r="A505" s="8"/>
      <c r="D505" s="9"/>
      <c r="J505" s="4"/>
      <c r="K505" s="4"/>
      <c r="L505" s="4">
        <f>IF($K505="","",K505-J505)</f>
      </c>
      <c r="M505" s="4">
        <f>IF($K505="","",L505*16.67%)</f>
      </c>
      <c r="N505" s="4">
        <f>IF($K505="","",K505/100*7)</f>
      </c>
      <c r="O505" s="4">
        <f>IF($K505="","",N505*20%)</f>
      </c>
      <c r="P505" s="4">
        <f>IF($K505="","",N505*2%)</f>
      </c>
      <c r="Q505" s="4">
        <f>IF($K505="","",P505*20%)</f>
      </c>
      <c r="R505" s="4"/>
      <c r="S505" s="4">
        <f>IF($K505="","",R505*20%)</f>
      </c>
      <c r="T505" s="4">
        <v>1</v>
      </c>
      <c r="U505" s="4">
        <f>IF($K505="","",O505+Q505+S505)</f>
      </c>
      <c r="V505" s="4">
        <f>IF($K505="","",L505-M505-N505-O505-P505-Q505-R505-S505-T505)</f>
      </c>
      <c r="W505" s="4">
        <f>IF($K505="","",(V505-Y505)/J505*100)</f>
      </c>
      <c r="X505" s="4">
        <f>IF($K505="","",M505-U505)</f>
      </c>
      <c r="Z505" s="4">
        <f>IF($K505="","",V505-Y505)</f>
      </c>
    </row>
    <row r="506" spans="1:31" x14ac:dyDescent="0.25">
      <c r="A506" s="8"/>
      <c r="D506" s="9"/>
      <c r="J506" s="4"/>
      <c r="K506" s="4"/>
      <c r="L506" s="4">
        <f>IF($K506="","",K506-J506)</f>
      </c>
      <c r="M506" s="4">
        <f>IF($K506="","",L506*16.67%)</f>
      </c>
      <c r="N506" s="4">
        <f>IF($K506="","",K506/100*7)</f>
      </c>
      <c r="O506" s="4">
        <f>IF($K506="","",N506*20%)</f>
      </c>
      <c r="P506" s="4">
        <f>IF($K506="","",N506*2%)</f>
      </c>
      <c r="Q506" s="4">
        <f>IF($K506="","",P506*20%)</f>
      </c>
      <c r="R506" s="4"/>
      <c r="S506" s="4">
        <f>IF($K506="","",R506*20%)</f>
      </c>
      <c r="T506" s="4">
        <v>1</v>
      </c>
      <c r="U506" s="4">
        <f>IF($K506="","",O506+Q506+S506)</f>
      </c>
      <c r="V506" s="4">
        <f>IF($K506="","",L506-M506-N506-O506-P506-Q506-R506-S506-T506)</f>
      </c>
      <c r="W506" s="4">
        <f>IF($K506="","",(V506-Y506)/J506*100)</f>
      </c>
      <c r="X506" s="4">
        <f>IF($K506="","",M506-U506)</f>
      </c>
      <c r="Z506" s="4">
        <f>IF($K506="","",V506-Y506)</f>
      </c>
    </row>
    <row r="507" spans="1:31" x14ac:dyDescent="0.25">
      <c r="A507" s="8"/>
      <c r="D507" s="9"/>
      <c r="J507" s="4"/>
      <c r="K507" s="4"/>
      <c r="L507" s="4">
        <f>IF($K507="","",K507-J507)</f>
      </c>
      <c r="M507" s="4">
        <f>IF($K507="","",L507*16.67%)</f>
      </c>
      <c r="N507" s="4">
        <f>IF($K507="","",K507/100*7)</f>
      </c>
      <c r="O507" s="4">
        <f>IF($K507="","",N507*20%)</f>
      </c>
      <c r="P507" s="4">
        <f>IF($K507="","",N507*2%)</f>
      </c>
      <c r="Q507" s="4">
        <f>IF($K507="","",P507*20%)</f>
      </c>
      <c r="R507" s="4"/>
      <c r="S507" s="4">
        <f>IF($K507="","",R507*20%)</f>
      </c>
      <c r="T507" s="4">
        <v>1</v>
      </c>
      <c r="U507" s="4">
        <f>IF($K507="","",O507+Q507+S507)</f>
      </c>
      <c r="V507" s="4">
        <f>IF($K507="","",L507-M507-N507-O507-P507-Q507-R507-S507-T507)</f>
      </c>
      <c r="W507" s="4">
        <f>IF($K507="","",(V507-Y507)/J507*100)</f>
      </c>
      <c r="X507" s="4">
        <f>IF($K507="","",M507-U507)</f>
      </c>
      <c r="Z507" s="4">
        <f>IF($K507="","",V507-Y507)</f>
      </c>
    </row>
    <row r="508" spans="1:31" x14ac:dyDescent="0.25">
      <c r="A508" s="8"/>
      <c r="D508" s="9"/>
      <c r="J508" s="4"/>
      <c r="K508" s="4"/>
      <c r="L508" s="4">
        <f>IF($K508="","",K508-J508)</f>
      </c>
      <c r="M508" s="4">
        <f>IF($K508="","",L508*16.67%)</f>
      </c>
      <c r="N508" s="4">
        <f>IF($K508="","",K508/100*7)</f>
      </c>
      <c r="O508" s="4">
        <f>IF($K508="","",N508*20%)</f>
      </c>
      <c r="P508" s="4">
        <f>IF($K508="","",N508*2%)</f>
      </c>
      <c r="Q508" s="4">
        <f>IF($K508="","",P508*20%)</f>
      </c>
      <c r="R508" s="4"/>
      <c r="S508" s="4">
        <f>IF($K508="","",R508*20%)</f>
      </c>
      <c r="T508" s="4">
        <v>1</v>
      </c>
      <c r="U508" s="4">
        <f>IF($K508="","",O508+Q508+S508)</f>
      </c>
      <c r="V508" s="4">
        <f>IF($K508="","",L508-M508-N508-O508-P508-Q508-R508-S508-T508)</f>
      </c>
      <c r="W508" s="4">
        <f>IF($K508="","",(V508-Y508)/J508*100)</f>
      </c>
      <c r="X508" s="4">
        <f>IF($K508="","",M508-U508)</f>
      </c>
      <c r="Z508" s="4">
        <f>IF($K508="","",V508-Y508)</f>
      </c>
    </row>
    <row r="509" spans="1:31" x14ac:dyDescent="0.25">
      <c r="A509" s="8"/>
      <c r="D509" s="9"/>
      <c r="J509" s="4"/>
      <c r="K509" s="4"/>
      <c r="L509" s="4">
        <f>IF($K509="","",K509-J509)</f>
      </c>
      <c r="M509" s="4">
        <f>IF($K509="","",L509*16.67%)</f>
      </c>
      <c r="N509" s="4">
        <f>IF($K509="","",K509/100*7)</f>
      </c>
      <c r="O509" s="4">
        <f>IF($K509="","",N509*20%)</f>
      </c>
      <c r="P509" s="4">
        <f>IF($K509="","",N509*2%)</f>
      </c>
      <c r="Q509" s="4">
        <f>IF($K509="","",P509*20%)</f>
      </c>
      <c r="R509" s="4"/>
      <c r="S509" s="4">
        <f>IF($K509="","",R509*20%)</f>
      </c>
      <c r="T509" s="4">
        <v>1</v>
      </c>
      <c r="U509" s="4">
        <f>IF($K509="","",O509+Q509+S509)</f>
      </c>
      <c r="V509" s="4">
        <f>IF($K509="","",L509-M509-N509-O509-P509-Q509-R509-S509-T509)</f>
      </c>
      <c r="W509" s="4">
        <f>IF($K509="","",(V509-Y509)/J509*100)</f>
      </c>
      <c r="X509" s="4">
        <f>IF($K509="","",M509-U509)</f>
      </c>
      <c r="Z509" s="4">
        <f>IF($K509="","",V509-Y509)</f>
      </c>
    </row>
    <row r="510" spans="1:31" x14ac:dyDescent="0.25">
      <c r="A510" s="8"/>
      <c r="D510" s="9"/>
      <c r="J510" s="4"/>
      <c r="K510" s="4"/>
      <c r="L510" s="4">
        <f>IF($K510="","",K510-J510)</f>
      </c>
      <c r="M510" s="4">
        <f>IF($K510="","",L510*16.67%)</f>
      </c>
      <c r="N510" s="4">
        <f>IF($K510="","",K510/100*7)</f>
      </c>
      <c r="O510" s="4">
        <f>IF($K510="","",N510*20%)</f>
      </c>
      <c r="P510" s="4">
        <f>IF($K510="","",N510*2%)</f>
      </c>
      <c r="Q510" s="4">
        <f>IF($K510="","",P510*20%)</f>
      </c>
      <c r="R510" s="4"/>
      <c r="S510" s="4">
        <f>IF($K510="","",R510*20%)</f>
      </c>
      <c r="T510" s="4">
        <v>1</v>
      </c>
      <c r="U510" s="4">
        <f>IF($K510="","",O510+Q510+S510)</f>
      </c>
      <c r="V510" s="4">
        <f>IF($K510="","",L510-M510-N510-O510-P510-Q510-R510-S510-T510)</f>
      </c>
      <c r="W510" s="4">
        <f>IF($K510="","",(V510-Y510)/J510*100)</f>
      </c>
      <c r="X510" s="4">
        <f>IF($K510="","",M510-U510)</f>
      </c>
      <c r="Z510" s="4">
        <f>IF($K510="","",V510-Y510)</f>
      </c>
    </row>
    <row r="511" spans="1:31" x14ac:dyDescent="0.25">
      <c r="A511" s="8"/>
      <c r="D511" s="9"/>
      <c r="J511" s="4"/>
      <c r="K511" s="4"/>
      <c r="L511" s="4">
        <f>IF($K511="","",K511-J511)</f>
      </c>
      <c r="M511" s="4">
        <f>IF($K511="","",L511*16.67%)</f>
      </c>
      <c r="N511" s="4">
        <f>IF($K511="","",K511/100*7)</f>
      </c>
      <c r="O511" s="4">
        <f>IF($K511="","",N511*20%)</f>
      </c>
      <c r="P511" s="4">
        <f>IF($K511="","",N511*2%)</f>
      </c>
      <c r="Q511" s="4">
        <f>IF($K511="","",P511*20%)</f>
      </c>
      <c r="R511" s="4"/>
      <c r="S511" s="4">
        <f>IF($K511="","",R511*20%)</f>
      </c>
      <c r="T511" s="4">
        <v>1</v>
      </c>
      <c r="U511" s="4">
        <f>IF($K511="","",O511+Q511+S511)</f>
      </c>
      <c r="V511" s="4">
        <f>IF($K511="","",L511-M511-N511-O511-P511-Q511-R511-S511-T511)</f>
      </c>
      <c r="W511" s="4">
        <f>IF($K511="","",(V511-Y511)/J511*100)</f>
      </c>
      <c r="X511" s="4">
        <f>IF($K511="","",M511-U511)</f>
      </c>
      <c r="Z511" s="4">
        <f>IF($K511="","",V511-Y511)</f>
      </c>
    </row>
    <row r="512" spans="1:31" x14ac:dyDescent="0.25">
      <c r="A512" s="8"/>
      <c r="D512" s="9"/>
      <c r="J512" s="4"/>
      <c r="K512" s="4"/>
      <c r="L512" s="4">
        <f>IF($K512="","",K512-J512)</f>
      </c>
      <c r="M512" s="4">
        <f>IF($K512="","",L512*16.67%)</f>
      </c>
      <c r="N512" s="4">
        <f>IF($K512="","",K512/100*7)</f>
      </c>
      <c r="O512" s="4">
        <f>IF($K512="","",N512*20%)</f>
      </c>
      <c r="P512" s="4">
        <f>IF($K512="","",N512*2%)</f>
      </c>
      <c r="Q512" s="4">
        <f>IF($K512="","",P512*20%)</f>
      </c>
      <c r="R512" s="4"/>
      <c r="S512" s="4">
        <f>IF($K512="","",R512*20%)</f>
      </c>
      <c r="T512" s="4">
        <v>1</v>
      </c>
      <c r="U512" s="4">
        <f>IF($K512="","",O512+Q512+S512)</f>
      </c>
      <c r="V512" s="4">
        <f>IF($K512="","",L512-M512-N512-O512-P512-Q512-R512-S512-T512)</f>
      </c>
      <c r="W512" s="4">
        <f>IF($K512="","",(V512-Y512)/J512*100)</f>
      </c>
      <c r="X512" s="4">
        <f>IF($K512="","",M512-U512)</f>
      </c>
      <c r="Z512" s="4">
        <f>IF($K512="","",V512-Y512)</f>
      </c>
    </row>
    <row r="513" spans="1:31" x14ac:dyDescent="0.25">
      <c r="A513" s="8"/>
      <c r="D513" s="9"/>
      <c r="J513" s="4"/>
      <c r="K513" s="4"/>
      <c r="L513" s="4">
        <f>IF($K513="","",K513-J513)</f>
      </c>
      <c r="M513" s="4">
        <f>IF($K513="","",L513*16.67%)</f>
      </c>
      <c r="N513" s="4">
        <f>IF($K513="","",K513/100*7)</f>
      </c>
      <c r="O513" s="4">
        <f>IF($K513="","",N513*20%)</f>
      </c>
      <c r="P513" s="4">
        <f>IF($K513="","",N513*2%)</f>
      </c>
      <c r="Q513" s="4">
        <f>IF($K513="","",P513*20%)</f>
      </c>
      <c r="R513" s="4"/>
      <c r="S513" s="4">
        <f>IF($K513="","",R513*20%)</f>
      </c>
      <c r="T513" s="4">
        <v>1</v>
      </c>
      <c r="U513" s="4">
        <f>IF($K513="","",O513+Q513+S513)</f>
      </c>
      <c r="V513" s="4">
        <f>IF($K513="","",L513-M513-N513-O513-P513-Q513-R513-S513-T513)</f>
      </c>
      <c r="W513" s="4">
        <f>IF($K513="","",(V513-Y513)/J513*100)</f>
      </c>
      <c r="X513" s="4">
        <f>IF($K513="","",M513-U513)</f>
      </c>
      <c r="Z513" s="4">
        <f>IF($K513="","",V513-Y513)</f>
      </c>
    </row>
    <row r="514" spans="1:31" x14ac:dyDescent="0.25">
      <c r="A514" s="8"/>
      <c r="D514" s="9"/>
      <c r="J514" s="4"/>
      <c r="K514" s="4"/>
      <c r="L514" s="4">
        <f>IF($K514="","",K514-J514)</f>
      </c>
      <c r="M514" s="4">
        <f>IF($K514="","",L514*16.67%)</f>
      </c>
      <c r="N514" s="4">
        <f>IF($K514="","",K514/100*7)</f>
      </c>
      <c r="O514" s="4">
        <f>IF($K514="","",N514*20%)</f>
      </c>
      <c r="P514" s="4">
        <f>IF($K514="","",N514*2%)</f>
      </c>
      <c r="Q514" s="4">
        <f>IF($K514="","",P514*20%)</f>
      </c>
      <c r="R514" s="4"/>
      <c r="S514" s="4">
        <f>IF($K514="","",R514*20%)</f>
      </c>
      <c r="T514" s="4">
        <v>1</v>
      </c>
      <c r="U514" s="4">
        <f>IF($K514="","",O514+Q514+S514)</f>
      </c>
      <c r="V514" s="4">
        <f>IF($K514="","",L514-M514-N514-O514-P514-Q514-R514-S514-T514)</f>
      </c>
      <c r="W514" s="4">
        <f>IF($K514="","",(V514-Y514)/J514*100)</f>
      </c>
      <c r="X514" s="4">
        <f>IF($K514="","",M514-U514)</f>
      </c>
      <c r="Z514" s="4">
        <f>IF($K514="","",V514-Y514)</f>
      </c>
    </row>
    <row r="515" spans="1:31" x14ac:dyDescent="0.25">
      <c r="A515" s="8"/>
      <c r="D515" s="9"/>
      <c r="J515" s="4"/>
      <c r="K515" s="4"/>
      <c r="L515" s="4">
        <f>IF($K515="","",K515-J515)</f>
      </c>
      <c r="M515" s="4">
        <f>IF($K515="","",L515*16.67%)</f>
      </c>
      <c r="N515" s="4">
        <f>IF($K515="","",K515/100*7)</f>
      </c>
      <c r="O515" s="4">
        <f>IF($K515="","",N515*20%)</f>
      </c>
      <c r="P515" s="4">
        <f>IF($K515="","",N515*2%)</f>
      </c>
      <c r="Q515" s="4">
        <f>IF($K515="","",P515*20%)</f>
      </c>
      <c r="R515" s="4"/>
      <c r="S515" s="4">
        <f>IF($K515="","",R515*20%)</f>
      </c>
      <c r="T515" s="4">
        <v>1</v>
      </c>
      <c r="U515" s="4">
        <f>IF($K515="","",O515+Q515+S515)</f>
      </c>
      <c r="V515" s="4">
        <f>IF($K515="","",L515-M515-N515-O515-P515-Q515-R515-S515-T515)</f>
      </c>
      <c r="W515" s="4">
        <f>IF($K515="","",(V515-Y515)/J515*100)</f>
      </c>
      <c r="X515" s="4">
        <f>IF($K515="","",M515-U515)</f>
      </c>
      <c r="Z515" s="4">
        <f>IF($K515="","",V515-Y515)</f>
      </c>
    </row>
    <row r="516" spans="1:31" x14ac:dyDescent="0.25">
      <c r="A516" s="8"/>
      <c r="D516" s="9"/>
      <c r="J516" s="4"/>
      <c r="K516" s="4"/>
      <c r="L516" s="4">
        <f>IF($K516="","",K516-J516)</f>
      </c>
      <c r="M516" s="4">
        <f>IF($K516="","",L516*16.67%)</f>
      </c>
      <c r="N516" s="4">
        <f>IF($K516="","",K516/100*7)</f>
      </c>
      <c r="O516" s="4">
        <f>IF($K516="","",N516*20%)</f>
      </c>
      <c r="P516" s="4">
        <f>IF($K516="","",N516*2%)</f>
      </c>
      <c r="Q516" s="4">
        <f>IF($K516="","",P516*20%)</f>
      </c>
      <c r="R516" s="4"/>
      <c r="S516" s="4">
        <f>IF($K516="","",R516*20%)</f>
      </c>
      <c r="T516" s="4">
        <v>1</v>
      </c>
      <c r="U516" s="4">
        <f>IF($K516="","",O516+Q516+S516)</f>
      </c>
      <c r="V516" s="4">
        <f>IF($K516="","",L516-M516-N516-O516-P516-Q516-R516-S516-T516)</f>
      </c>
      <c r="W516" s="4">
        <f>IF($K516="","",(V516-Y516)/J516*100)</f>
      </c>
      <c r="X516" s="4">
        <f>IF($K516="","",M516-U516)</f>
      </c>
      <c r="Z516" s="4">
        <f>IF($K516="","",V516-Y516)</f>
      </c>
    </row>
    <row r="517" spans="1:31" x14ac:dyDescent="0.25">
      <c r="A517" s="8"/>
      <c r="D517" s="9"/>
      <c r="J517" s="4"/>
      <c r="K517" s="4"/>
      <c r="L517" s="4">
        <f>IF($K517="","",K517-J517)</f>
      </c>
      <c r="M517" s="4">
        <f>IF($K517="","",L517*16.67%)</f>
      </c>
      <c r="N517" s="4">
        <f>IF($K517="","",K517/100*7)</f>
      </c>
      <c r="O517" s="4">
        <f>IF($K517="","",N517*20%)</f>
      </c>
      <c r="P517" s="4">
        <f>IF($K517="","",N517*2%)</f>
      </c>
      <c r="Q517" s="4">
        <f>IF($K517="","",P517*20%)</f>
      </c>
      <c r="R517" s="4"/>
      <c r="S517" s="4">
        <f>IF($K517="","",R517*20%)</f>
      </c>
      <c r="T517" s="4">
        <v>1</v>
      </c>
      <c r="U517" s="4">
        <f>IF($K517="","",O517+Q517+S517)</f>
      </c>
      <c r="V517" s="4">
        <f>IF($K517="","",L517-M517-N517-O517-P517-Q517-R517-S517-T517)</f>
      </c>
      <c r="W517" s="4">
        <f>IF($K517="","",(V517-Y517)/J517*100)</f>
      </c>
      <c r="X517" s="4">
        <f>IF($K517="","",M517-U517)</f>
      </c>
      <c r="Z517" s="4">
        <f>IF($K517="","",V517-Y517)</f>
      </c>
    </row>
    <row r="518" spans="1:31" x14ac:dyDescent="0.25">
      <c r="A518" s="8"/>
      <c r="D518" s="9"/>
      <c r="J518" s="4"/>
      <c r="K518" s="4"/>
      <c r="L518" s="4">
        <f>IF($K518="","",K518-J518)</f>
      </c>
      <c r="M518" s="4">
        <f>IF($K518="","",L518*16.67%)</f>
      </c>
      <c r="N518" s="4">
        <f>IF($K518="","",K518/100*7)</f>
      </c>
      <c r="O518" s="4">
        <f>IF($K518="","",N518*20%)</f>
      </c>
      <c r="P518" s="4">
        <f>IF($K518="","",N518*2%)</f>
      </c>
      <c r="Q518" s="4">
        <f>IF($K518="","",P518*20%)</f>
      </c>
      <c r="R518" s="4"/>
      <c r="S518" s="4">
        <f>IF($K518="","",R518*20%)</f>
      </c>
      <c r="T518" s="4">
        <v>1</v>
      </c>
      <c r="U518" s="4">
        <f>IF($K518="","",O518+Q518+S518)</f>
      </c>
      <c r="V518" s="4">
        <f>IF($K518="","",L518-M518-N518-O518-P518-Q518-R518-S518-T518)</f>
      </c>
      <c r="W518" s="4">
        <f>IF($K518="","",(V518-Y518)/J518*100)</f>
      </c>
      <c r="X518" s="4">
        <f>IF($K518="","",M518-U518)</f>
      </c>
      <c r="Z518" s="4">
        <f>IF($K518="","",V518-Y518)</f>
      </c>
    </row>
    <row r="519" spans="1:31" x14ac:dyDescent="0.25">
      <c r="A519" s="8"/>
      <c r="D519" s="9"/>
      <c r="J519" s="4"/>
      <c r="K519" s="4"/>
      <c r="L519" s="4">
        <f>IF($K519="","",K519-J519)</f>
      </c>
      <c r="M519" s="4">
        <f>IF($K519="","",L519*16.67%)</f>
      </c>
      <c r="N519" s="4">
        <f>IF($K519="","",K519/100*7)</f>
      </c>
      <c r="O519" s="4">
        <f>IF($K519="","",N519*20%)</f>
      </c>
      <c r="P519" s="4">
        <f>IF($K519="","",N519*2%)</f>
      </c>
      <c r="Q519" s="4">
        <f>IF($K519="","",P519*20%)</f>
      </c>
      <c r="R519" s="4"/>
      <c r="S519" s="4">
        <f>IF($K519="","",R519*20%)</f>
      </c>
      <c r="T519" s="4">
        <v>1</v>
      </c>
      <c r="U519" s="4">
        <f>IF($K519="","",O519+Q519+S519)</f>
      </c>
      <c r="V519" s="4">
        <f>IF($K519="","",L519-M519-N519-O519-P519-Q519-R519-S519-T519)</f>
      </c>
      <c r="W519" s="4">
        <f>IF($K519="","",(V519-Y519)/J519*100)</f>
      </c>
      <c r="X519" s="4">
        <f>IF($K519="","",M519-U519)</f>
      </c>
      <c r="Z519" s="4">
        <f>IF($K519="","",V519-Y519)</f>
      </c>
    </row>
    <row r="520" spans="1:31" x14ac:dyDescent="0.25">
      <c r="A520" s="8"/>
      <c r="D520" s="9"/>
      <c r="J520" s="4"/>
      <c r="K520" s="4"/>
      <c r="L520" s="4">
        <f>IF($K520="","",K520-J520)</f>
      </c>
      <c r="M520" s="4">
        <f>IF($K520="","",L520*16.67%)</f>
      </c>
      <c r="N520" s="4">
        <f>IF($K520="","",K520/100*7)</f>
      </c>
      <c r="O520" s="4">
        <f>IF($K520="","",N520*20%)</f>
      </c>
      <c r="P520" s="4">
        <f>IF($K520="","",N520*2%)</f>
      </c>
      <c r="Q520" s="4">
        <f>IF($K520="","",P520*20%)</f>
      </c>
      <c r="R520" s="4"/>
      <c r="S520" s="4">
        <f>IF($K520="","",R520*20%)</f>
      </c>
      <c r="T520" s="4">
        <v>1</v>
      </c>
      <c r="U520" s="4">
        <f>IF($K520="","",O520+Q520+S520)</f>
      </c>
      <c r="V520" s="4">
        <f>IF($K520="","",L520-M520-N520-O520-P520-Q520-R520-S520-T520)</f>
      </c>
      <c r="W520" s="4">
        <f>IF($K520="","",(V520-Y520)/J520*100)</f>
      </c>
      <c r="X520" s="4">
        <f>IF($K520="","",M520-U520)</f>
      </c>
      <c r="Z520" s="4">
        <f>IF($K520="","",V520-Y520)</f>
      </c>
    </row>
    <row r="521" spans="1:31" x14ac:dyDescent="0.25">
      <c r="A521" s="8"/>
      <c r="D521" s="9"/>
      <c r="J521" s="4"/>
      <c r="K521" s="4"/>
      <c r="L521" s="4">
        <f>IF($K521="","",K521-J521)</f>
      </c>
      <c r="M521" s="4">
        <f>IF($K521="","",L521*16.67%)</f>
      </c>
      <c r="N521" s="4">
        <f>IF($K521="","",K521/100*7)</f>
      </c>
      <c r="O521" s="4">
        <f>IF($K521="","",N521*20%)</f>
      </c>
      <c r="P521" s="4">
        <f>IF($K521="","",N521*2%)</f>
      </c>
      <c r="Q521" s="4">
        <f>IF($K521="","",P521*20%)</f>
      </c>
      <c r="R521" s="4"/>
      <c r="S521" s="4">
        <f>IF($K521="","",R521*20%)</f>
      </c>
      <c r="T521" s="4">
        <v>1</v>
      </c>
      <c r="U521" s="4">
        <f>IF($K521="","",O521+Q521+S521)</f>
      </c>
      <c r="V521" s="4">
        <f>IF($K521="","",L521-M521-N521-O521-P521-Q521-R521-S521-T521)</f>
      </c>
      <c r="W521" s="4">
        <f>IF($K521="","",(V521-Y521)/J521*100)</f>
      </c>
      <c r="X521" s="4">
        <f>IF($K521="","",M521-U521)</f>
      </c>
      <c r="Z521" s="4">
        <f>IF($K521="","",V521-Y521)</f>
      </c>
    </row>
    <row r="522" spans="1:31" x14ac:dyDescent="0.25">
      <c r="A522" s="8"/>
      <c r="D522" s="9"/>
      <c r="J522" s="4"/>
      <c r="K522" s="4"/>
      <c r="L522" s="4">
        <f>IF($K522="","",K522-J522)</f>
      </c>
      <c r="M522" s="4">
        <f>IF($K522="","",L522*16.67%)</f>
      </c>
      <c r="N522" s="4">
        <f>IF($K522="","",K522/100*7)</f>
      </c>
      <c r="O522" s="4">
        <f>IF($K522="","",N522*20%)</f>
      </c>
      <c r="P522" s="4">
        <f>IF($K522="","",N522*2%)</f>
      </c>
      <c r="Q522" s="4">
        <f>IF($K522="","",P522*20%)</f>
      </c>
      <c r="R522" s="4"/>
      <c r="S522" s="4">
        <f>IF($K522="","",R522*20%)</f>
      </c>
      <c r="T522" s="4">
        <v>1</v>
      </c>
      <c r="U522" s="4">
        <f>IF($K522="","",O522+Q522+S522)</f>
      </c>
      <c r="V522" s="4">
        <f>IF($K522="","",L522-M522-N522-O522-P522-Q522-R522-S522-T522)</f>
      </c>
      <c r="W522" s="4">
        <f>IF($K522="","",(V522-Y522)/J522*100)</f>
      </c>
      <c r="X522" s="4">
        <f>IF($K522="","",M522-U522)</f>
      </c>
      <c r="Z522" s="4">
        <f>IF($K522="","",V522-Y522)</f>
      </c>
    </row>
    <row r="523" spans="1:31" x14ac:dyDescent="0.25">
      <c r="A523" s="8"/>
      <c r="D523" s="9"/>
      <c r="J523" s="4"/>
      <c r="K523" s="4"/>
      <c r="L523" s="4">
        <f>IF($K523="","",K523-J523)</f>
      </c>
      <c r="M523" s="4">
        <f>IF($K523="","",L523*16.67%)</f>
      </c>
      <c r="N523" s="4">
        <f>IF($K523="","",K523/100*7)</f>
      </c>
      <c r="O523" s="4">
        <f>IF($K523="","",N523*20%)</f>
      </c>
      <c r="P523" s="4">
        <f>IF($K523="","",N523*2%)</f>
      </c>
      <c r="Q523" s="4">
        <f>IF($K523="","",P523*20%)</f>
      </c>
      <c r="R523" s="4"/>
      <c r="S523" s="4">
        <f>IF($K523="","",R523*20%)</f>
      </c>
      <c r="T523" s="4">
        <v>1</v>
      </c>
      <c r="U523" s="4">
        <f>IF($K523="","",O523+Q523+S523)</f>
      </c>
      <c r="V523" s="4">
        <f>IF($K523="","",L523-M523-N523-O523-P523-Q523-R523-S523-T523)</f>
      </c>
      <c r="W523" s="4">
        <f>IF($K523="","",(V523-Y523)/J523*100)</f>
      </c>
      <c r="X523" s="4">
        <f>IF($K523="","",M523-U523)</f>
      </c>
      <c r="Z523" s="4">
        <f>IF($K523="","",V523-Y523)</f>
      </c>
    </row>
    <row r="524" spans="1:31" x14ac:dyDescent="0.25">
      <c r="A524" s="8"/>
      <c r="D524" s="9"/>
      <c r="J524" s="4"/>
      <c r="K524" s="4"/>
      <c r="L524" s="4">
        <f>IF($K524="","",K524-J524)</f>
      </c>
      <c r="M524" s="4">
        <f>IF($K524="","",L524*16.67%)</f>
      </c>
      <c r="N524" s="4">
        <f>IF($K524="","",K524/100*7)</f>
      </c>
      <c r="O524" s="4">
        <f>IF($K524="","",N524*20%)</f>
      </c>
      <c r="P524" s="4">
        <f>IF($K524="","",N524*2%)</f>
      </c>
      <c r="Q524" s="4">
        <f>IF($K524="","",P524*20%)</f>
      </c>
      <c r="R524" s="4"/>
      <c r="S524" s="4">
        <f>IF($K524="","",R524*20%)</f>
      </c>
      <c r="T524" s="4">
        <v>1</v>
      </c>
      <c r="U524" s="4">
        <f>IF($K524="","",O524+Q524+S524)</f>
      </c>
      <c r="V524" s="4">
        <f>IF($K524="","",L524-M524-N524-O524-P524-Q524-R524-S524-T524)</f>
      </c>
      <c r="W524" s="4">
        <f>IF($K524="","",(V524-Y524)/J524*100)</f>
      </c>
      <c r="X524" s="4">
        <f>IF($K524="","",M524-U524)</f>
      </c>
      <c r="Z524" s="4">
        <f>IF($K524="","",V524-Y524)</f>
      </c>
    </row>
    <row r="525" spans="1:31" x14ac:dyDescent="0.25">
      <c r="A525" s="8"/>
      <c r="D525" s="9"/>
      <c r="J525" s="4"/>
      <c r="K525" s="4"/>
      <c r="L525" s="4">
        <f>IF($K525="","",K525-J525)</f>
      </c>
      <c r="M525" s="4">
        <f>IF($K525="","",L525*16.67%)</f>
      </c>
      <c r="N525" s="4">
        <f>IF($K525="","",K525/100*7)</f>
      </c>
      <c r="O525" s="4">
        <f>IF($K525="","",N525*20%)</f>
      </c>
      <c r="P525" s="4">
        <f>IF($K525="","",N525*2%)</f>
      </c>
      <c r="Q525" s="4">
        <f>IF($K525="","",P525*20%)</f>
      </c>
      <c r="R525" s="4"/>
      <c r="S525" s="4">
        <f>IF($K525="","",R525*20%)</f>
      </c>
      <c r="T525" s="4">
        <v>1</v>
      </c>
      <c r="U525" s="4">
        <f>IF($K525="","",O525+Q525+S525)</f>
      </c>
      <c r="V525" s="4">
        <f>IF($K525="","",L525-M525-N525-O525-P525-Q525-R525-S525-T525)</f>
      </c>
      <c r="W525" s="4">
        <f>IF($K525="","",(V525-Y525)/J525*100)</f>
      </c>
      <c r="X525" s="4">
        <f>IF($K525="","",M525-U525)</f>
      </c>
      <c r="Z525" s="4">
        <f>IF($K525="","",V525-Y525)</f>
      </c>
    </row>
    <row r="526" spans="1:31" x14ac:dyDescent="0.25">
      <c r="A526" s="8"/>
      <c r="D526" s="9"/>
      <c r="J526" s="4"/>
      <c r="K526" s="4"/>
      <c r="L526" s="4">
        <f>IF($K526="","",K526-J526)</f>
      </c>
      <c r="M526" s="4">
        <f>IF($K526="","",L526*16.67%)</f>
      </c>
      <c r="N526" s="4">
        <f>IF($K526="","",K526/100*7)</f>
      </c>
      <c r="O526" s="4">
        <f>IF($K526="","",N526*20%)</f>
      </c>
      <c r="P526" s="4">
        <f>IF($K526="","",N526*2%)</f>
      </c>
      <c r="Q526" s="4">
        <f>IF($K526="","",P526*20%)</f>
      </c>
      <c r="R526" s="4"/>
      <c r="S526" s="4">
        <f>IF($K526="","",R526*20%)</f>
      </c>
      <c r="T526" s="4">
        <v>1</v>
      </c>
      <c r="U526" s="4">
        <f>IF($K526="","",O526+Q526+S526)</f>
      </c>
      <c r="V526" s="4">
        <f>IF($K526="","",L526-M526-N526-O526-P526-Q526-R526-S526-T526)</f>
      </c>
      <c r="W526" s="4">
        <f>IF($K526="","",(V526-Y526)/J526*100)</f>
      </c>
      <c r="X526" s="4">
        <f>IF($K526="","",M526-U526)</f>
      </c>
      <c r="Z526" s="4">
        <f>IF($K526="","",V526-Y526)</f>
      </c>
    </row>
    <row r="527" spans="1:31" x14ac:dyDescent="0.25">
      <c r="A527" s="8"/>
      <c r="D527" s="9"/>
      <c r="J527" s="4"/>
      <c r="K527" s="4"/>
      <c r="L527" s="4">
        <f>IF($K527="","",K527-J527)</f>
      </c>
      <c r="M527" s="4">
        <f>IF($K527="","",L527*16.67%)</f>
      </c>
      <c r="N527" s="4">
        <f>IF($K527="","",K527/100*7)</f>
      </c>
      <c r="O527" s="4">
        <f>IF($K527="","",N527*20%)</f>
      </c>
      <c r="P527" s="4">
        <f>IF($K527="","",N527*2%)</f>
      </c>
      <c r="Q527" s="4">
        <f>IF($K527="","",P527*20%)</f>
      </c>
      <c r="R527" s="4"/>
      <c r="S527" s="4">
        <f>IF($K527="","",R527*20%)</f>
      </c>
      <c r="T527" s="4">
        <v>1</v>
      </c>
      <c r="U527" s="4">
        <f>IF($K527="","",O527+Q527+S527)</f>
      </c>
      <c r="V527" s="4">
        <f>IF($K527="","",L527-M527-N527-O527-P527-Q527-R527-S527-T527)</f>
      </c>
      <c r="W527" s="4">
        <f>IF($K527="","",(V527-Y527)/J527*100)</f>
      </c>
      <c r="X527" s="4">
        <f>IF($K527="","",M527-U527)</f>
      </c>
      <c r="Z527" s="4">
        <f>IF($K527="","",V527-Y527)</f>
      </c>
    </row>
    <row r="528" spans="1:31" x14ac:dyDescent="0.25">
      <c r="A528" s="8"/>
      <c r="D528" s="9"/>
      <c r="J528" s="4"/>
      <c r="K528" s="4"/>
      <c r="L528" s="4">
        <f>IF($K528="","",K528-J528)</f>
      </c>
      <c r="M528" s="4">
        <f>IF($K528="","",L528*16.67%)</f>
      </c>
      <c r="N528" s="4">
        <f>IF($K528="","",K528/100*7)</f>
      </c>
      <c r="O528" s="4">
        <f>IF($K528="","",N528*20%)</f>
      </c>
      <c r="P528" s="4">
        <f>IF($K528="","",N528*2%)</f>
      </c>
      <c r="Q528" s="4">
        <f>IF($K528="","",P528*20%)</f>
      </c>
      <c r="R528" s="4"/>
      <c r="S528" s="4">
        <f>IF($K528="","",R528*20%)</f>
      </c>
      <c r="T528" s="4">
        <v>1</v>
      </c>
      <c r="U528" s="4">
        <f>IF($K528="","",O528+Q528+S528)</f>
      </c>
      <c r="V528" s="4">
        <f>IF($K528="","",L528-M528-N528-O528-P528-Q528-R528-S528-T528)</f>
      </c>
      <c r="W528" s="4">
        <f>IF($K528="","",(V528-Y528)/J528*100)</f>
      </c>
      <c r="X528" s="4">
        <f>IF($K528="","",M528-U528)</f>
      </c>
      <c r="Z528" s="4">
        <f>IF($K528="","",V528-Y528)</f>
      </c>
    </row>
    <row r="529" spans="1:31" x14ac:dyDescent="0.25">
      <c r="A529" s="8"/>
      <c r="D529" s="9"/>
      <c r="J529" s="4"/>
      <c r="K529" s="4"/>
      <c r="L529" s="4">
        <f>IF($K529="","",K529-J529)</f>
      </c>
      <c r="M529" s="4">
        <f>IF($K529="","",L529*16.67%)</f>
      </c>
      <c r="N529" s="4">
        <f>IF($K529="","",K529/100*7)</f>
      </c>
      <c r="O529" s="4">
        <f>IF($K529="","",N529*20%)</f>
      </c>
      <c r="P529" s="4">
        <f>IF($K529="","",N529*2%)</f>
      </c>
      <c r="Q529" s="4">
        <f>IF($K529="","",P529*20%)</f>
      </c>
      <c r="R529" s="4"/>
      <c r="S529" s="4">
        <f>IF($K529="","",R529*20%)</f>
      </c>
      <c r="T529" s="4">
        <v>1</v>
      </c>
      <c r="U529" s="4">
        <f>IF($K529="","",O529+Q529+S529)</f>
      </c>
      <c r="V529" s="4">
        <f>IF($K529="","",L529-M529-N529-O529-P529-Q529-R529-S529-T529)</f>
      </c>
      <c r="W529" s="4">
        <f>IF($K529="","",(V529-Y529)/J529*100)</f>
      </c>
      <c r="X529" s="4">
        <f>IF($K529="","",M529-U529)</f>
      </c>
      <c r="Z529" s="4">
        <f>IF($K529="","",V529-Y529)</f>
      </c>
    </row>
    <row r="530" spans="1:31" x14ac:dyDescent="0.25">
      <c r="A530" s="8"/>
      <c r="D530" s="9"/>
      <c r="J530" s="4"/>
      <c r="K530" s="4"/>
      <c r="L530" s="4">
        <f>IF($K530="","",K530-J530)</f>
      </c>
      <c r="M530" s="4">
        <f>IF($K530="","",L530*16.67%)</f>
      </c>
      <c r="N530" s="4">
        <f>IF($K530="","",K530/100*7)</f>
      </c>
      <c r="O530" s="4">
        <f>IF($K530="","",N530*20%)</f>
      </c>
      <c r="P530" s="4">
        <f>IF($K530="","",N530*2%)</f>
      </c>
      <c r="Q530" s="4">
        <f>IF($K530="","",P530*20%)</f>
      </c>
      <c r="R530" s="4"/>
      <c r="S530" s="4">
        <f>IF($K530="","",R530*20%)</f>
      </c>
      <c r="T530" s="4">
        <v>1</v>
      </c>
      <c r="U530" s="4">
        <f>IF($K530="","",O530+Q530+S530)</f>
      </c>
      <c r="V530" s="4">
        <f>IF($K530="","",L530-M530-N530-O530-P530-Q530-R530-S530-T530)</f>
      </c>
      <c r="W530" s="4">
        <f>IF($K530="","",(V530-Y530)/J530*100)</f>
      </c>
      <c r="X530" s="4">
        <f>IF($K530="","",M530-U530)</f>
      </c>
      <c r="Z530" s="4">
        <f>IF($K530="","",V530-Y530)</f>
      </c>
    </row>
    <row r="531" spans="1:31" x14ac:dyDescent="0.25">
      <c r="A531" s="8"/>
      <c r="D531" s="9"/>
      <c r="J531" s="4"/>
      <c r="K531" s="4"/>
      <c r="L531" s="4">
        <f>IF($K531="","",K531-J531)</f>
      </c>
      <c r="M531" s="4">
        <f>IF($K531="","",L531*16.67%)</f>
      </c>
      <c r="N531" s="4">
        <f>IF($K531="","",K531/100*7)</f>
      </c>
      <c r="O531" s="4">
        <f>IF($K531="","",N531*20%)</f>
      </c>
      <c r="P531" s="4">
        <f>IF($K531="","",N531*2%)</f>
      </c>
      <c r="Q531" s="4">
        <f>IF($K531="","",P531*20%)</f>
      </c>
      <c r="R531" s="4"/>
      <c r="S531" s="4">
        <f>IF($K531="","",R531*20%)</f>
      </c>
      <c r="T531" s="4">
        <v>1</v>
      </c>
      <c r="U531" s="4">
        <f>IF($K531="","",O531+Q531+S531)</f>
      </c>
      <c r="V531" s="4">
        <f>IF($K531="","",L531-M531-N531-O531-P531-Q531-R531-S531-T531)</f>
      </c>
      <c r="W531" s="4">
        <f>IF($K531="","",(V531-Y531)/J531*100)</f>
      </c>
      <c r="X531" s="4">
        <f>IF($K531="","",M531-U531)</f>
      </c>
      <c r="Z531" s="4">
        <f>IF($K531="","",V531-Y531)</f>
      </c>
    </row>
    <row r="532" spans="1:31" x14ac:dyDescent="0.25">
      <c r="A532" s="8"/>
      <c r="D532" s="9"/>
      <c r="J532" s="4"/>
      <c r="K532" s="4"/>
      <c r="L532" s="4">
        <f>IF($K532="","",K532-J532)</f>
      </c>
      <c r="M532" s="4">
        <f>IF($K532="","",L532*16.67%)</f>
      </c>
      <c r="N532" s="4">
        <f>IF($K532="","",K532/100*7)</f>
      </c>
      <c r="O532" s="4">
        <f>IF($K532="","",N532*20%)</f>
      </c>
      <c r="P532" s="4">
        <f>IF($K532="","",N532*2%)</f>
      </c>
      <c r="Q532" s="4">
        <f>IF($K532="","",P532*20%)</f>
      </c>
      <c r="R532" s="4"/>
      <c r="S532" s="4">
        <f>IF($K532="","",R532*20%)</f>
      </c>
      <c r="T532" s="4">
        <v>1</v>
      </c>
      <c r="U532" s="4">
        <f>IF($K532="","",O532+Q532+S532)</f>
      </c>
      <c r="V532" s="4">
        <f>IF($K532="","",L532-M532-N532-O532-P532-Q532-R532-S532-T532)</f>
      </c>
      <c r="W532" s="4">
        <f>IF($K532="","",(V532-Y532)/J532*100)</f>
      </c>
      <c r="X532" s="4">
        <f>IF($K532="","",M532-U532)</f>
      </c>
      <c r="Z532" s="4">
        <f>IF($K532="","",V532-Y532)</f>
      </c>
    </row>
    <row r="533" spans="1:31" x14ac:dyDescent="0.25">
      <c r="A533" s="8"/>
      <c r="D533" s="9"/>
      <c r="J533" s="4"/>
      <c r="K533" s="4"/>
      <c r="L533" s="4">
        <f>IF($K533="","",K533-J533)</f>
      </c>
      <c r="M533" s="4">
        <f>IF($K533="","",L533*16.67%)</f>
      </c>
      <c r="N533" s="4">
        <f>IF($K533="","",K533/100*7)</f>
      </c>
      <c r="O533" s="4">
        <f>IF($K533="","",N533*20%)</f>
      </c>
      <c r="P533" s="4">
        <f>IF($K533="","",N533*2%)</f>
      </c>
      <c r="Q533" s="4">
        <f>IF($K533="","",P533*20%)</f>
      </c>
      <c r="R533" s="4"/>
      <c r="S533" s="4">
        <f>IF($K533="","",R533*20%)</f>
      </c>
      <c r="T533" s="4">
        <v>1</v>
      </c>
      <c r="U533" s="4">
        <f>IF($K533="","",O533+Q533+S533)</f>
      </c>
      <c r="V533" s="4">
        <f>IF($K533="","",L533-M533-N533-O533-P533-Q533-R533-S533-T533)</f>
      </c>
      <c r="W533" s="4">
        <f>IF($K533="","",(V533-Y533)/J533*100)</f>
      </c>
      <c r="X533" s="4">
        <f>IF($K533="","",M533-U533)</f>
      </c>
      <c r="Z533" s="4">
        <f>IF($K533="","",V533-Y533)</f>
      </c>
    </row>
    <row r="534" spans="1:31" x14ac:dyDescent="0.25">
      <c r="A534" s="8"/>
      <c r="D534" s="9"/>
      <c r="J534" s="4"/>
      <c r="K534" s="4"/>
      <c r="L534" s="4">
        <f>IF($K534="","",K534-J534)</f>
      </c>
      <c r="M534" s="4">
        <f>IF($K534="","",L534*16.67%)</f>
      </c>
      <c r="N534" s="4">
        <f>IF($K534="","",K534/100*7)</f>
      </c>
      <c r="O534" s="4">
        <f>IF($K534="","",N534*20%)</f>
      </c>
      <c r="P534" s="4">
        <f>IF($K534="","",N534*2%)</f>
      </c>
      <c r="Q534" s="4">
        <f>IF($K534="","",P534*20%)</f>
      </c>
      <c r="R534" s="4"/>
      <c r="S534" s="4">
        <f>IF($K534="","",R534*20%)</f>
      </c>
      <c r="T534" s="4">
        <v>1</v>
      </c>
      <c r="U534" s="4">
        <f>IF($K534="","",O534+Q534+S534)</f>
      </c>
      <c r="V534" s="4">
        <f>IF($K534="","",L534-M534-N534-O534-P534-Q534-R534-S534-T534)</f>
      </c>
      <c r="W534" s="4">
        <f>IF($K534="","",(V534-Y534)/J534*100)</f>
      </c>
      <c r="X534" s="4">
        <f>IF($K534="","",M534-U534)</f>
      </c>
      <c r="Z534" s="4">
        <f>IF($K534="","",V534-Y534)</f>
      </c>
    </row>
    <row r="535" spans="1:31" x14ac:dyDescent="0.25">
      <c r="A535" s="8"/>
      <c r="D535" s="9"/>
      <c r="J535" s="4"/>
      <c r="K535" s="4"/>
      <c r="L535" s="4">
        <f>IF($K535="","",K535-J535)</f>
      </c>
      <c r="M535" s="4">
        <f>IF($K535="","",L535*16.67%)</f>
      </c>
      <c r="N535" s="4">
        <f>IF($K535="","",K535/100*7)</f>
      </c>
      <c r="O535" s="4">
        <f>IF($K535="","",N535*20%)</f>
      </c>
      <c r="P535" s="4">
        <f>IF($K535="","",N535*2%)</f>
      </c>
      <c r="Q535" s="4">
        <f>IF($K535="","",P535*20%)</f>
      </c>
      <c r="R535" s="4"/>
      <c r="S535" s="4">
        <f>IF($K535="","",R535*20%)</f>
      </c>
      <c r="T535" s="4">
        <v>1</v>
      </c>
      <c r="U535" s="4">
        <f>IF($K535="","",O535+Q535+S535)</f>
      </c>
      <c r="V535" s="4">
        <f>IF($K535="","",L535-M535-N535-O535-P535-Q535-R535-S535-T535)</f>
      </c>
      <c r="W535" s="4">
        <f>IF($K535="","",(V535-Y535)/J535*100)</f>
      </c>
      <c r="X535" s="4">
        <f>IF($K535="","",M535-U535)</f>
      </c>
      <c r="Z535" s="4">
        <f>IF($K535="","",V535-Y535)</f>
      </c>
    </row>
    <row r="536" spans="1:31" x14ac:dyDescent="0.25">
      <c r="A536" s="8"/>
      <c r="D536" s="9"/>
      <c r="J536" s="4"/>
      <c r="K536" s="4"/>
      <c r="L536" s="4">
        <f>IF($K536="","",K536-J536)</f>
      </c>
      <c r="M536" s="4">
        <f>IF($K536="","",L536*16.67%)</f>
      </c>
      <c r="N536" s="4">
        <f>IF($K536="","",K536/100*7)</f>
      </c>
      <c r="O536" s="4">
        <f>IF($K536="","",N536*20%)</f>
      </c>
      <c r="P536" s="4">
        <f>IF($K536="","",N536*2%)</f>
      </c>
      <c r="Q536" s="4">
        <f>IF($K536="","",P536*20%)</f>
      </c>
      <c r="R536" s="4"/>
      <c r="S536" s="4">
        <f>IF($K536="","",R536*20%)</f>
      </c>
      <c r="T536" s="4">
        <v>1</v>
      </c>
      <c r="U536" s="4">
        <f>IF($K536="","",O536+Q536+S536)</f>
      </c>
      <c r="V536" s="4">
        <f>IF($K536="","",L536-M536-N536-O536-P536-Q536-R536-S536-T536)</f>
      </c>
      <c r="W536" s="4">
        <f>IF($K536="","",(V536-Y536)/J536*100)</f>
      </c>
      <c r="X536" s="4">
        <f>IF($K536="","",M536-U536)</f>
      </c>
      <c r="Z536" s="4">
        <f>IF($K536="","",V536-Y536)</f>
      </c>
    </row>
    <row r="537" spans="1:31" x14ac:dyDescent="0.25">
      <c r="A537" s="8"/>
      <c r="D537" s="9"/>
      <c r="J537" s="4"/>
      <c r="K537" s="4"/>
      <c r="L537" s="4">
        <f>IF($K537="","",K537-J537)</f>
      </c>
      <c r="M537" s="4">
        <f>IF($K537="","",L537*16.67%)</f>
      </c>
      <c r="N537" s="4">
        <f>IF($K537="","",K537/100*7)</f>
      </c>
      <c r="O537" s="4">
        <f>IF($K537="","",N537*20%)</f>
      </c>
      <c r="P537" s="4">
        <f>IF($K537="","",N537*2%)</f>
      </c>
      <c r="Q537" s="4">
        <f>IF($K537="","",P537*20%)</f>
      </c>
      <c r="R537" s="4"/>
      <c r="S537" s="4">
        <f>IF($K537="","",R537*20%)</f>
      </c>
      <c r="T537" s="4">
        <v>1</v>
      </c>
      <c r="U537" s="4">
        <f>IF($K537="","",O537+Q537+S537)</f>
      </c>
      <c r="V537" s="4">
        <f>IF($K537="","",L537-M537-N537-O537-P537-Q537-R537-S537-T537)</f>
      </c>
      <c r="W537" s="4">
        <f>IF($K537="","",(V537-Y537)/J537*100)</f>
      </c>
      <c r="X537" s="4">
        <f>IF($K537="","",M537-U537)</f>
      </c>
      <c r="Z537" s="4">
        <f>IF($K537="","",V537-Y537)</f>
      </c>
    </row>
    <row r="538" spans="1:31" x14ac:dyDescent="0.25">
      <c r="A538" s="8"/>
      <c r="D538" s="9"/>
      <c r="J538" s="4"/>
      <c r="K538" s="4"/>
      <c r="L538" s="4">
        <f>IF($K538="","",K538-J538)</f>
      </c>
      <c r="M538" s="4">
        <f>IF($K538="","",L538*16.67%)</f>
      </c>
      <c r="N538" s="4">
        <f>IF($K538="","",K538/100*7)</f>
      </c>
      <c r="O538" s="4">
        <f>IF($K538="","",N538*20%)</f>
      </c>
      <c r="P538" s="4">
        <f>IF($K538="","",N538*2%)</f>
      </c>
      <c r="Q538" s="4">
        <f>IF($K538="","",P538*20%)</f>
      </c>
      <c r="R538" s="4"/>
      <c r="S538" s="4">
        <f>IF($K538="","",R538*20%)</f>
      </c>
      <c r="T538" s="4">
        <v>1</v>
      </c>
      <c r="U538" s="4">
        <f>IF($K538="","",O538+Q538+S538)</f>
      </c>
      <c r="V538" s="4">
        <f>IF($K538="","",L538-M538-N538-O538-P538-Q538-R538-S538-T538)</f>
      </c>
      <c r="W538" s="4">
        <f>IF($K538="","",(V538-Y538)/J538*100)</f>
      </c>
      <c r="X538" s="4">
        <f>IF($K538="","",M538-U538)</f>
      </c>
      <c r="Z538" s="4">
        <f>IF($K538="","",V538-Y538)</f>
      </c>
    </row>
    <row r="539" spans="1:31" x14ac:dyDescent="0.25">
      <c r="A539" s="8"/>
      <c r="D539" s="9"/>
      <c r="J539" s="4"/>
      <c r="K539" s="4"/>
      <c r="L539" s="4">
        <f>IF($K539="","",K539-J539)</f>
      </c>
      <c r="M539" s="4">
        <f>IF($K539="","",L539*16.67%)</f>
      </c>
      <c r="N539" s="4">
        <f>IF($K539="","",K539/100*7)</f>
      </c>
      <c r="O539" s="4">
        <f>IF($K539="","",N539*20%)</f>
      </c>
      <c r="P539" s="4">
        <f>IF($K539="","",N539*2%)</f>
      </c>
      <c r="Q539" s="4">
        <f>IF($K539="","",P539*20%)</f>
      </c>
      <c r="R539" s="4"/>
      <c r="S539" s="4">
        <f>IF($K539="","",R539*20%)</f>
      </c>
      <c r="T539" s="4">
        <v>1</v>
      </c>
      <c r="U539" s="4">
        <f>IF($K539="","",O539+Q539+S539)</f>
      </c>
      <c r="V539" s="4">
        <f>IF($K539="","",L539-M539-N539-O539-P539-Q539-R539-S539-T539)</f>
      </c>
      <c r="W539" s="4">
        <f>IF($K539="","",(V539-Y539)/J539*100)</f>
      </c>
      <c r="X539" s="4">
        <f>IF($K539="","",M539-U539)</f>
      </c>
      <c r="Z539" s="4">
        <f>IF($K539="","",V539-Y539)</f>
      </c>
    </row>
    <row r="540" spans="1:31" x14ac:dyDescent="0.25">
      <c r="A540" s="8"/>
      <c r="D540" s="9"/>
      <c r="J540" s="4"/>
      <c r="K540" s="4"/>
      <c r="L540" s="4">
        <f>IF($K540="","",K540-J540)</f>
      </c>
      <c r="M540" s="4">
        <f>IF($K540="","",L540*16.67%)</f>
      </c>
      <c r="N540" s="4">
        <f>IF($K540="","",K540/100*7)</f>
      </c>
      <c r="O540" s="4">
        <f>IF($K540="","",N540*20%)</f>
      </c>
      <c r="P540" s="4">
        <f>IF($K540="","",N540*2%)</f>
      </c>
      <c r="Q540" s="4">
        <f>IF($K540="","",P540*20%)</f>
      </c>
      <c r="R540" s="4"/>
      <c r="S540" s="4">
        <f>IF($K540="","",R540*20%)</f>
      </c>
      <c r="T540" s="4">
        <v>1</v>
      </c>
      <c r="U540" s="4">
        <f>IF($K540="","",O540+Q540+S540)</f>
      </c>
      <c r="V540" s="4">
        <f>IF($K540="","",L540-M540-N540-O540-P540-Q540-R540-S540-T540)</f>
      </c>
      <c r="W540" s="4">
        <f>IF($K540="","",(V540-Y540)/J540*100)</f>
      </c>
      <c r="X540" s="4">
        <f>IF($K540="","",M540-U540)</f>
      </c>
      <c r="Z540" s="4">
        <f>IF($K540="","",V540-Y540)</f>
      </c>
    </row>
    <row r="541" spans="1:31" x14ac:dyDescent="0.25">
      <c r="A541" s="8"/>
      <c r="D541" s="9"/>
      <c r="J541" s="4"/>
      <c r="K541" s="4"/>
      <c r="L541" s="4">
        <f>IF($K541="","",K541-J541)</f>
      </c>
      <c r="M541" s="4">
        <f>IF($K541="","",L541*16.67%)</f>
      </c>
      <c r="N541" s="4">
        <f>IF($K541="","",K541/100*7)</f>
      </c>
      <c r="O541" s="4">
        <f>IF($K541="","",N541*20%)</f>
      </c>
      <c r="P541" s="4">
        <f>IF($K541="","",N541*2%)</f>
      </c>
      <c r="Q541" s="4">
        <f>IF($K541="","",P541*20%)</f>
      </c>
      <c r="R541" s="4"/>
      <c r="S541" s="4">
        <f>IF($K541="","",R541*20%)</f>
      </c>
      <c r="T541" s="4">
        <v>1</v>
      </c>
      <c r="U541" s="4">
        <f>IF($K541="","",O541+Q541+S541)</f>
      </c>
      <c r="V541" s="4">
        <f>IF($K541="","",L541-M541-N541-O541-P541-Q541-R541-S541-T541)</f>
      </c>
      <c r="W541" s="4">
        <f>IF($K541="","",(V541-Y541)/J541*100)</f>
      </c>
      <c r="X541" s="4">
        <f>IF($K541="","",M541-U541)</f>
      </c>
      <c r="Z541" s="4">
        <f>IF($K541="","",V541-Y541)</f>
      </c>
    </row>
    <row r="542" spans="1:31" x14ac:dyDescent="0.25">
      <c r="A542" s="8"/>
      <c r="D542" s="9"/>
      <c r="J542" s="4"/>
      <c r="K542" s="4"/>
      <c r="L542" s="4">
        <f>IF($K542="","",K542-J542)</f>
      </c>
      <c r="M542" s="4">
        <f>IF($K542="","",L542*16.67%)</f>
      </c>
      <c r="N542" s="4">
        <f>IF($K542="","",K542/100*7)</f>
      </c>
      <c r="O542" s="4">
        <f>IF($K542="","",N542*20%)</f>
      </c>
      <c r="P542" s="4">
        <f>IF($K542="","",N542*2%)</f>
      </c>
      <c r="Q542" s="4">
        <f>IF($K542="","",P542*20%)</f>
      </c>
      <c r="R542" s="4"/>
      <c r="S542" s="4">
        <f>IF($K542="","",R542*20%)</f>
      </c>
      <c r="T542" s="4">
        <v>1</v>
      </c>
      <c r="U542" s="4">
        <f>IF($K542="","",O542+Q542+S542)</f>
      </c>
      <c r="V542" s="4">
        <f>IF($K542="","",L542-M542-N542-O542-P542-Q542-R542-S542-T542)</f>
      </c>
      <c r="W542" s="4">
        <f>IF($K542="","",(V542-Y542)/J542*100)</f>
      </c>
      <c r="X542" s="4">
        <f>IF($K542="","",M542-U542)</f>
      </c>
      <c r="Z542" s="4">
        <f>IF($K542="","",V542-Y542)</f>
      </c>
    </row>
    <row r="543" spans="1:31" x14ac:dyDescent="0.25">
      <c r="A543" s="8"/>
      <c r="D543" s="9"/>
      <c r="J543" s="4"/>
      <c r="K543" s="4"/>
      <c r="L543" s="4">
        <f>IF($K543="","",K543-J543)</f>
      </c>
      <c r="M543" s="4">
        <f>IF($K543="","",L543*16.67%)</f>
      </c>
      <c r="N543" s="4">
        <f>IF($K543="","",K543/100*7)</f>
      </c>
      <c r="O543" s="4">
        <f>IF($K543="","",N543*20%)</f>
      </c>
      <c r="P543" s="4">
        <f>IF($K543="","",N543*2%)</f>
      </c>
      <c r="Q543" s="4">
        <f>IF($K543="","",P543*20%)</f>
      </c>
      <c r="R543" s="4"/>
      <c r="S543" s="4">
        <f>IF($K543="","",R543*20%)</f>
      </c>
      <c r="T543" s="4">
        <v>1</v>
      </c>
      <c r="U543" s="4">
        <f>IF($K543="","",O543+Q543+S543)</f>
      </c>
      <c r="V543" s="4">
        <f>IF($K543="","",L543-M543-N543-O543-P543-Q543-R543-S543-T543)</f>
      </c>
      <c r="W543" s="4">
        <f>IF($K543="","",(V543-Y543)/J543*100)</f>
      </c>
      <c r="X543" s="4">
        <f>IF($K543="","",M543-U543)</f>
      </c>
      <c r="Z543" s="4">
        <f>IF($K543="","",V543-Y543)</f>
      </c>
    </row>
    <row r="544" spans="1:31" x14ac:dyDescent="0.25">
      <c r="A544" s="8"/>
      <c r="D544" s="9"/>
      <c r="J544" s="4"/>
      <c r="K544" s="4"/>
      <c r="L544" s="4">
        <f>IF($K544="","",K544-J544)</f>
      </c>
      <c r="M544" s="4">
        <f>IF($K544="","",L544*16.67%)</f>
      </c>
      <c r="N544" s="4">
        <f>IF($K544="","",K544/100*7)</f>
      </c>
      <c r="O544" s="4">
        <f>IF($K544="","",N544*20%)</f>
      </c>
      <c r="P544" s="4">
        <f>IF($K544="","",N544*2%)</f>
      </c>
      <c r="Q544" s="4">
        <f>IF($K544="","",P544*20%)</f>
      </c>
      <c r="R544" s="4"/>
      <c r="S544" s="4">
        <f>IF($K544="","",R544*20%)</f>
      </c>
      <c r="T544" s="4">
        <v>1</v>
      </c>
      <c r="U544" s="4">
        <f>IF($K544="","",O544+Q544+S544)</f>
      </c>
      <c r="V544" s="4">
        <f>IF($K544="","",L544-M544-N544-O544-P544-Q544-R544-S544-T544)</f>
      </c>
      <c r="W544" s="4">
        <f>IF($K544="","",(V544-Y544)/J544*100)</f>
      </c>
      <c r="X544" s="4">
        <f>IF($K544="","",M544-U544)</f>
      </c>
      <c r="Z544" s="4">
        <f>IF($K544="","",V544-Y544)</f>
      </c>
    </row>
    <row r="545" spans="1:31" x14ac:dyDescent="0.25">
      <c r="A545" s="8"/>
      <c r="D545" s="9"/>
      <c r="J545" s="4"/>
      <c r="K545" s="4"/>
      <c r="L545" s="4">
        <f>IF($K545="","",K545-J545)</f>
      </c>
      <c r="M545" s="4">
        <f>IF($K545="","",L545*16.67%)</f>
      </c>
      <c r="N545" s="4">
        <f>IF($K545="","",K545/100*7)</f>
      </c>
      <c r="O545" s="4">
        <f>IF($K545="","",N545*20%)</f>
      </c>
      <c r="P545" s="4">
        <f>IF($K545="","",N545*2%)</f>
      </c>
      <c r="Q545" s="4">
        <f>IF($K545="","",P545*20%)</f>
      </c>
      <c r="R545" s="4"/>
      <c r="S545" s="4">
        <f>IF($K545="","",R545*20%)</f>
      </c>
      <c r="T545" s="4">
        <v>1</v>
      </c>
      <c r="U545" s="4">
        <f>IF($K545="","",O545+Q545+S545)</f>
      </c>
      <c r="V545" s="4">
        <f>IF($K545="","",L545-M545-N545-O545-P545-Q545-R545-S545-T545)</f>
      </c>
      <c r="W545" s="4">
        <f>IF($K545="","",(V545-Y545)/J545*100)</f>
      </c>
      <c r="X545" s="4">
        <f>IF($K545="","",M545-U545)</f>
      </c>
      <c r="Z545" s="4">
        <f>IF($K545="","",V545-Y545)</f>
      </c>
    </row>
    <row r="546" spans="1:31" x14ac:dyDescent="0.25">
      <c r="A546" s="8"/>
      <c r="D546" s="9"/>
      <c r="J546" s="4"/>
      <c r="K546" s="4"/>
      <c r="L546" s="4">
        <f>IF($K546="","",K546-J546)</f>
      </c>
      <c r="M546" s="4">
        <f>IF($K546="","",L546*16.67%)</f>
      </c>
      <c r="N546" s="4">
        <f>IF($K546="","",K546/100*7)</f>
      </c>
      <c r="O546" s="4">
        <f>IF($K546="","",N546*20%)</f>
      </c>
      <c r="P546" s="4">
        <f>IF($K546="","",N546*2%)</f>
      </c>
      <c r="Q546" s="4">
        <f>IF($K546="","",P546*20%)</f>
      </c>
      <c r="R546" s="4"/>
      <c r="S546" s="4">
        <f>IF($K546="","",R546*20%)</f>
      </c>
      <c r="T546" s="4">
        <v>1</v>
      </c>
      <c r="U546" s="4">
        <f>IF($K546="","",O546+Q546+S546)</f>
      </c>
      <c r="V546" s="4">
        <f>IF($K546="","",L546-M546-N546-O546-P546-Q546-R546-S546-T546)</f>
      </c>
      <c r="W546" s="4">
        <f>IF($K546="","",(V546-Y546)/J546*100)</f>
      </c>
      <c r="X546" s="4">
        <f>IF($K546="","",M546-U546)</f>
      </c>
      <c r="Z546" s="4">
        <f>IF($K546="","",V546-Y546)</f>
      </c>
    </row>
    <row r="547" spans="1:31" x14ac:dyDescent="0.25">
      <c r="A547" s="8"/>
      <c r="D547" s="9"/>
      <c r="J547" s="4"/>
      <c r="K547" s="4"/>
      <c r="L547" s="4">
        <f>IF($K547="","",K547-J547)</f>
      </c>
      <c r="M547" s="4">
        <f>IF($K547="","",L547*16.67%)</f>
      </c>
      <c r="N547" s="4">
        <f>IF($K547="","",K547/100*7)</f>
      </c>
      <c r="O547" s="4">
        <f>IF($K547="","",N547*20%)</f>
      </c>
      <c r="P547" s="4">
        <f>IF($K547="","",N547*2%)</f>
      </c>
      <c r="Q547" s="4">
        <f>IF($K547="","",P547*20%)</f>
      </c>
      <c r="R547" s="4"/>
      <c r="S547" s="4">
        <f>IF($K547="","",R547*20%)</f>
      </c>
      <c r="T547" s="4">
        <v>1</v>
      </c>
      <c r="U547" s="4">
        <f>IF($K547="","",O547+Q547+S547)</f>
      </c>
      <c r="V547" s="4">
        <f>IF($K547="","",L547-M547-N547-O547-P547-Q547-R547-S547-T547)</f>
      </c>
      <c r="W547" s="4">
        <f>IF($K547="","",(V547-Y547)/J547*100)</f>
      </c>
      <c r="X547" s="4">
        <f>IF($K547="","",M547-U547)</f>
      </c>
      <c r="Z547" s="4">
        <f>IF($K547="","",V547-Y547)</f>
      </c>
    </row>
    <row r="548" spans="1:31" x14ac:dyDescent="0.25">
      <c r="A548" s="8"/>
      <c r="D548" s="9"/>
      <c r="J548" s="4"/>
      <c r="K548" s="4"/>
      <c r="L548" s="4">
        <f>IF($K548="","",K548-J548)</f>
      </c>
      <c r="M548" s="4">
        <f>IF($K548="","",L548*16.67%)</f>
      </c>
      <c r="N548" s="4">
        <f>IF($K548="","",K548/100*7)</f>
      </c>
      <c r="O548" s="4">
        <f>IF($K548="","",N548*20%)</f>
      </c>
      <c r="P548" s="4">
        <f>IF($K548="","",N548*2%)</f>
      </c>
      <c r="Q548" s="4">
        <f>IF($K548="","",P548*20%)</f>
      </c>
      <c r="R548" s="4"/>
      <c r="S548" s="4">
        <f>IF($K548="","",R548*20%)</f>
      </c>
      <c r="T548" s="4">
        <v>1</v>
      </c>
      <c r="U548" s="4">
        <f>IF($K548="","",O548+Q548+S548)</f>
      </c>
      <c r="V548" s="4">
        <f>IF($K548="","",L548-M548-N548-O548-P548-Q548-R548-S548-T548)</f>
      </c>
      <c r="W548" s="4">
        <f>IF($K548="","",(V548-Y548)/J548*100)</f>
      </c>
      <c r="X548" s="4">
        <f>IF($K548="","",M548-U548)</f>
      </c>
      <c r="Z548" s="4">
        <f>IF($K548="","",V548-Y548)</f>
      </c>
    </row>
    <row r="549" spans="1:31" x14ac:dyDescent="0.25">
      <c r="A549" s="8"/>
      <c r="D549" s="9"/>
      <c r="J549" s="4"/>
      <c r="K549" s="4"/>
      <c r="L549" s="4">
        <f>IF($K549="","",K549-J549)</f>
      </c>
      <c r="M549" s="4">
        <f>IF($K549="","",L549*16.67%)</f>
      </c>
      <c r="N549" s="4">
        <f>IF($K549="","",K549/100*7)</f>
      </c>
      <c r="O549" s="4">
        <f>IF($K549="","",N549*20%)</f>
      </c>
      <c r="P549" s="4">
        <f>IF($K549="","",N549*2%)</f>
      </c>
      <c r="Q549" s="4">
        <f>IF($K549="","",P549*20%)</f>
      </c>
      <c r="R549" s="4"/>
      <c r="S549" s="4">
        <f>IF($K549="","",R549*20%)</f>
      </c>
      <c r="T549" s="4">
        <v>1</v>
      </c>
      <c r="U549" s="4">
        <f>IF($K549="","",O549+Q549+S549)</f>
      </c>
      <c r="V549" s="4">
        <f>IF($K549="","",L549-M549-N549-O549-P549-Q549-R549-S549-T549)</f>
      </c>
      <c r="W549" s="4">
        <f>IF($K549="","",(V549-Y549)/J549*100)</f>
      </c>
      <c r="X549" s="4">
        <f>IF($K549="","",M549-U549)</f>
      </c>
      <c r="Z549" s="4">
        <f>IF($K549="","",V549-Y549)</f>
      </c>
    </row>
    <row r="550" spans="1:31" x14ac:dyDescent="0.25">
      <c r="A550" s="8"/>
      <c r="D550" s="9"/>
      <c r="J550" s="4"/>
      <c r="K550" s="4"/>
      <c r="L550" s="4">
        <f>IF($K550="","",K550-J550)</f>
      </c>
      <c r="M550" s="4">
        <f>IF($K550="","",L550*16.67%)</f>
      </c>
      <c r="N550" s="4">
        <f>IF($K550="","",K550/100*7)</f>
      </c>
      <c r="O550" s="4">
        <f>IF($K550="","",N550*20%)</f>
      </c>
      <c r="P550" s="4">
        <f>IF($K550="","",N550*2%)</f>
      </c>
      <c r="Q550" s="4">
        <f>IF($K550="","",P550*20%)</f>
      </c>
      <c r="R550" s="4"/>
      <c r="S550" s="4">
        <f>IF($K550="","",R550*20%)</f>
      </c>
      <c r="T550" s="4">
        <v>1</v>
      </c>
      <c r="U550" s="4">
        <f>IF($K550="","",O550+Q550+S550)</f>
      </c>
      <c r="V550" s="4">
        <f>IF($K550="","",L550-M550-N550-O550-P550-Q550-R550-S550-T550)</f>
      </c>
      <c r="W550" s="4">
        <f>IF($K550="","",(V550-Y550)/J550*100)</f>
      </c>
      <c r="X550" s="4">
        <f>IF($K550="","",M550-U550)</f>
      </c>
      <c r="Z550" s="4">
        <f>IF($K550="","",V550-Y550)</f>
      </c>
    </row>
    <row r="551" spans="1:31" x14ac:dyDescent="0.25">
      <c r="A551" s="8"/>
      <c r="D551" s="9"/>
      <c r="J551" s="4"/>
      <c r="K551" s="4"/>
      <c r="L551" s="4">
        <f>IF($K551="","",K551-J551)</f>
      </c>
      <c r="M551" s="4">
        <f>IF($K551="","",L551*16.67%)</f>
      </c>
      <c r="N551" s="4">
        <f>IF($K551="","",K551/100*7)</f>
      </c>
      <c r="O551" s="4">
        <f>IF($K551="","",N551*20%)</f>
      </c>
      <c r="P551" s="4">
        <f>IF($K551="","",N551*2%)</f>
      </c>
      <c r="Q551" s="4">
        <f>IF($K551="","",P551*20%)</f>
      </c>
      <c r="R551" s="4"/>
      <c r="S551" s="4">
        <f>IF($K551="","",R551*20%)</f>
      </c>
      <c r="T551" s="4">
        <v>1</v>
      </c>
      <c r="U551" s="4">
        <f>IF($K551="","",O551+Q551+S551)</f>
      </c>
      <c r="V551" s="4">
        <f>IF($K551="","",L551-M551-N551-O551-P551-Q551-R551-S551-T551)</f>
      </c>
      <c r="W551" s="4">
        <f>IF($K551="","",(V551-Y551)/J551*100)</f>
      </c>
      <c r="X551" s="4">
        <f>IF($K551="","",M551-U551)</f>
      </c>
      <c r="Z551" s="4">
        <f>IF($K551="","",V551-Y551)</f>
      </c>
    </row>
    <row r="552" spans="1:31" x14ac:dyDescent="0.25">
      <c r="A552" s="8"/>
      <c r="D552" s="9"/>
      <c r="J552" s="4"/>
      <c r="K552" s="4"/>
      <c r="L552" s="4">
        <f>IF($K552="","",K552-J552)</f>
      </c>
      <c r="M552" s="4">
        <f>IF($K552="","",L552*16.67%)</f>
      </c>
      <c r="N552" s="4">
        <f>IF($K552="","",K552/100*7)</f>
      </c>
      <c r="O552" s="4">
        <f>IF($K552="","",N552*20%)</f>
      </c>
      <c r="P552" s="4">
        <f>IF($K552="","",N552*2%)</f>
      </c>
      <c r="Q552" s="4">
        <f>IF($K552="","",P552*20%)</f>
      </c>
      <c r="R552" s="4"/>
      <c r="S552" s="4">
        <f>IF($K552="","",R552*20%)</f>
      </c>
      <c r="T552" s="4">
        <v>1</v>
      </c>
      <c r="U552" s="4">
        <f>IF($K552="","",O552+Q552+S552)</f>
      </c>
      <c r="V552" s="4">
        <f>IF($K552="","",L552-M552-N552-O552-P552-Q552-R552-S552-T552)</f>
      </c>
      <c r="W552" s="4">
        <f>IF($K552="","",(V552-Y552)/J552*100)</f>
      </c>
      <c r="X552" s="4">
        <f>IF($K552="","",M552-U552)</f>
      </c>
      <c r="Z552" s="4">
        <f>IF($K552="","",V552-Y552)</f>
      </c>
    </row>
    <row r="553" spans="1:31" x14ac:dyDescent="0.25">
      <c r="A553" s="8"/>
      <c r="D553" s="9"/>
      <c r="J553" s="4"/>
      <c r="K553" s="4"/>
      <c r="L553" s="4">
        <f>IF($K553="","",K553-J553)</f>
      </c>
      <c r="M553" s="4">
        <f>IF($K553="","",L553*16.67%)</f>
      </c>
      <c r="N553" s="4">
        <f>IF($K553="","",K553/100*7)</f>
      </c>
      <c r="O553" s="4">
        <f>IF($K553="","",N553*20%)</f>
      </c>
      <c r="P553" s="4">
        <f>IF($K553="","",N553*2%)</f>
      </c>
      <c r="Q553" s="4">
        <f>IF($K553="","",P553*20%)</f>
      </c>
      <c r="R553" s="4"/>
      <c r="S553" s="4">
        <f>IF($K553="","",R553*20%)</f>
      </c>
      <c r="T553" s="4">
        <v>1</v>
      </c>
      <c r="U553" s="4">
        <f>IF($K553="","",O553+Q553+S553)</f>
      </c>
      <c r="V553" s="4">
        <f>IF($K553="","",L553-M553-N553-O553-P553-Q553-R553-S553-T553)</f>
      </c>
      <c r="W553" s="4">
        <f>IF($K553="","",(V553-Y553)/J553*100)</f>
      </c>
      <c r="X553" s="4">
        <f>IF($K553="","",M553-U553)</f>
      </c>
      <c r="Z553" s="4">
        <f>IF($K553="","",V553-Y553)</f>
      </c>
    </row>
    <row r="554" spans="1:31" x14ac:dyDescent="0.25">
      <c r="A554" s="8"/>
      <c r="D554" s="9"/>
      <c r="J554" s="4"/>
      <c r="K554" s="4"/>
      <c r="L554" s="4">
        <f>IF($K554="","",K554-J554)</f>
      </c>
      <c r="M554" s="4">
        <f>IF($K554="","",L554*16.67%)</f>
      </c>
      <c r="N554" s="4">
        <f>IF($K554="","",K554/100*7)</f>
      </c>
      <c r="O554" s="4">
        <f>IF($K554="","",N554*20%)</f>
      </c>
      <c r="P554" s="4">
        <f>IF($K554="","",N554*2%)</f>
      </c>
      <c r="Q554" s="4">
        <f>IF($K554="","",P554*20%)</f>
      </c>
      <c r="R554" s="4"/>
      <c r="S554" s="4">
        <f>IF($K554="","",R554*20%)</f>
      </c>
      <c r="T554" s="4">
        <v>1</v>
      </c>
      <c r="U554" s="4">
        <f>IF($K554="","",O554+Q554+S554)</f>
      </c>
      <c r="V554" s="4">
        <f>IF($K554="","",L554-M554-N554-O554-P554-Q554-R554-S554-T554)</f>
      </c>
      <c r="W554" s="4">
        <f>IF($K554="","",(V554-Y554)/J554*100)</f>
      </c>
      <c r="X554" s="4">
        <f>IF($K554="","",M554-U554)</f>
      </c>
      <c r="Z554" s="4">
        <f>IF($K554="","",V554-Y554)</f>
      </c>
    </row>
    <row r="555" spans="1:31" x14ac:dyDescent="0.25">
      <c r="A555" s="8"/>
      <c r="D555" s="9"/>
      <c r="J555" s="4"/>
      <c r="K555" s="4"/>
      <c r="L555" s="4">
        <f>IF($K555="","",K555-J555)</f>
      </c>
      <c r="M555" s="4">
        <f>IF($K555="","",L555*16.67%)</f>
      </c>
      <c r="N555" s="4">
        <f>IF($K555="","",K555/100*7)</f>
      </c>
      <c r="O555" s="4">
        <f>IF($K555="","",N555*20%)</f>
      </c>
      <c r="P555" s="4">
        <f>IF($K555="","",N555*2%)</f>
      </c>
      <c r="Q555" s="4">
        <f>IF($K555="","",P555*20%)</f>
      </c>
      <c r="R555" s="4"/>
      <c r="S555" s="4">
        <f>IF($K555="","",R555*20%)</f>
      </c>
      <c r="T555" s="4">
        <v>1</v>
      </c>
      <c r="U555" s="4">
        <f>IF($K555="","",O555+Q555+S555)</f>
      </c>
      <c r="V555" s="4">
        <f>IF($K555="","",L555-M555-N555-O555-P555-Q555-R555-S555-T555)</f>
      </c>
      <c r="W555" s="4">
        <f>IF($K555="","",(V555-Y555)/J555*100)</f>
      </c>
      <c r="X555" s="4">
        <f>IF($K555="","",M555-U555)</f>
      </c>
      <c r="Z555" s="4">
        <f>IF($K555="","",V555-Y555)</f>
      </c>
    </row>
    <row r="556" spans="1:31" x14ac:dyDescent="0.25">
      <c r="A556" s="8"/>
      <c r="D556" s="9"/>
      <c r="J556" s="4"/>
      <c r="K556" s="4"/>
      <c r="L556" s="4">
        <f>IF($K556="","",K556-J556)</f>
      </c>
      <c r="M556" s="4">
        <f>IF($K556="","",L556*16.67%)</f>
      </c>
      <c r="N556" s="4">
        <f>IF($K556="","",K556/100*7)</f>
      </c>
      <c r="O556" s="4">
        <f>IF($K556="","",N556*20%)</f>
      </c>
      <c r="P556" s="4">
        <f>IF($K556="","",N556*2%)</f>
      </c>
      <c r="Q556" s="4">
        <f>IF($K556="","",P556*20%)</f>
      </c>
      <c r="R556" s="4"/>
      <c r="S556" s="4">
        <f>IF($K556="","",R556*20%)</f>
      </c>
      <c r="T556" s="4">
        <v>1</v>
      </c>
      <c r="U556" s="4">
        <f>IF($K556="","",O556+Q556+S556)</f>
      </c>
      <c r="V556" s="4">
        <f>IF($K556="","",L556-M556-N556-O556-P556-Q556-R556-S556-T556)</f>
      </c>
      <c r="W556" s="4">
        <f>IF($K556="","",(V556-Y556)/J556*100)</f>
      </c>
      <c r="X556" s="4">
        <f>IF($K556="","",M556-U556)</f>
      </c>
      <c r="Z556" s="4">
        <f>IF($K556="","",V556-Y556)</f>
      </c>
    </row>
    <row r="557" spans="1:31" x14ac:dyDescent="0.25">
      <c r="A557" s="8"/>
      <c r="D557" s="9"/>
      <c r="J557" s="4"/>
      <c r="K557" s="4"/>
      <c r="L557" s="4">
        <f>IF($K557="","",K557-J557)</f>
      </c>
      <c r="M557" s="4">
        <f>IF($K557="","",L557*16.67%)</f>
      </c>
      <c r="N557" s="4">
        <f>IF($K557="","",K557/100*7)</f>
      </c>
      <c r="O557" s="4">
        <f>IF($K557="","",N557*20%)</f>
      </c>
      <c r="P557" s="4">
        <f>IF($K557="","",N557*2%)</f>
      </c>
      <c r="Q557" s="4">
        <f>IF($K557="","",P557*20%)</f>
      </c>
      <c r="R557" s="4"/>
      <c r="S557" s="4">
        <f>IF($K557="","",R557*20%)</f>
      </c>
      <c r="T557" s="4">
        <v>1</v>
      </c>
      <c r="U557" s="4">
        <f>IF($K557="","",O557+Q557+S557)</f>
      </c>
      <c r="V557" s="4">
        <f>IF($K557="","",L557-M557-N557-O557-P557-Q557-R557-S557-T557)</f>
      </c>
      <c r="W557" s="4">
        <f>IF($K557="","",(V557-Y557)/J557*100)</f>
      </c>
      <c r="X557" s="4">
        <f>IF($K557="","",M557-U557)</f>
      </c>
      <c r="Z557" s="4">
        <f>IF($K557="","",V557-Y557)</f>
      </c>
    </row>
    <row r="558" spans="1:31" x14ac:dyDescent="0.25">
      <c r="A558" s="8"/>
      <c r="D558" s="9"/>
      <c r="J558" s="4"/>
      <c r="K558" s="4"/>
      <c r="L558" s="4">
        <f>IF($K558="","",K558-J558)</f>
      </c>
      <c r="M558" s="4">
        <f>IF($K558="","",L558*16.67%)</f>
      </c>
      <c r="N558" s="4">
        <f>IF($K558="","",K558/100*7)</f>
      </c>
      <c r="O558" s="4">
        <f>IF($K558="","",N558*20%)</f>
      </c>
      <c r="P558" s="4">
        <f>IF($K558="","",N558*2%)</f>
      </c>
      <c r="Q558" s="4">
        <f>IF($K558="","",P558*20%)</f>
      </c>
      <c r="R558" s="4"/>
      <c r="S558" s="4">
        <f>IF($K558="","",R558*20%)</f>
      </c>
      <c r="T558" s="4">
        <v>1</v>
      </c>
      <c r="U558" s="4">
        <f>IF($K558="","",O558+Q558+S558)</f>
      </c>
      <c r="V558" s="4">
        <f>IF($K558="","",L558-M558-N558-O558-P558-Q558-R558-S558-T558)</f>
      </c>
      <c r="W558" s="4">
        <f>IF($K558="","",(V558-Y558)/J558*100)</f>
      </c>
      <c r="X558" s="4">
        <f>IF($K558="","",M558-U558)</f>
      </c>
      <c r="Z558" s="4">
        <f>IF($K558="","",V558-Y558)</f>
      </c>
    </row>
    <row r="559" spans="1:31" x14ac:dyDescent="0.25">
      <c r="A559" s="8"/>
      <c r="D559" s="9"/>
      <c r="J559" s="4"/>
      <c r="K559" s="4"/>
      <c r="L559" s="4">
        <f>IF($K559="","",K559-J559)</f>
      </c>
      <c r="M559" s="4">
        <f>IF($K559="","",L559*16.67%)</f>
      </c>
      <c r="N559" s="4">
        <f>IF($K559="","",K559/100*7)</f>
      </c>
      <c r="O559" s="4">
        <f>IF($K559="","",N559*20%)</f>
      </c>
      <c r="P559" s="4">
        <f>IF($K559="","",N559*2%)</f>
      </c>
      <c r="Q559" s="4">
        <f>IF($K559="","",P559*20%)</f>
      </c>
      <c r="R559" s="4"/>
      <c r="S559" s="4">
        <f>IF($K559="","",R559*20%)</f>
      </c>
      <c r="T559" s="4">
        <v>1</v>
      </c>
      <c r="U559" s="4">
        <f>IF($K559="","",O559+Q559+S559)</f>
      </c>
      <c r="V559" s="4">
        <f>IF($K559="","",L559-M559-N559-O559-P559-Q559-R559-S559-T559)</f>
      </c>
      <c r="W559" s="4">
        <f>IF($K559="","",(V559-Y559)/J559*100)</f>
      </c>
      <c r="X559" s="4">
        <f>IF($K559="","",M559-U559)</f>
      </c>
      <c r="Z559" s="4">
        <f>IF($K559="","",V559-Y559)</f>
      </c>
    </row>
    <row r="560" spans="1:31" x14ac:dyDescent="0.25">
      <c r="A560" s="8"/>
      <c r="D560" s="9"/>
      <c r="J560" s="4"/>
      <c r="K560" s="4"/>
      <c r="L560" s="4">
        <f>IF($K560="","",K560-J560)</f>
      </c>
      <c r="M560" s="4">
        <f>IF($K560="","",L560*16.67%)</f>
      </c>
      <c r="N560" s="4">
        <f>IF($K560="","",K560/100*7)</f>
      </c>
      <c r="O560" s="4">
        <f>IF($K560="","",N560*20%)</f>
      </c>
      <c r="P560" s="4">
        <f>IF($K560="","",N560*2%)</f>
      </c>
      <c r="Q560" s="4">
        <f>IF($K560="","",P560*20%)</f>
      </c>
      <c r="R560" s="4"/>
      <c r="S560" s="4">
        <f>IF($K560="","",R560*20%)</f>
      </c>
      <c r="T560" s="4">
        <v>1</v>
      </c>
      <c r="U560" s="4">
        <f>IF($K560="","",O560+Q560+S560)</f>
      </c>
      <c r="V560" s="4">
        <f>IF($K560="","",L560-M560-N560-O560-P560-Q560-R560-S560-T560)</f>
      </c>
      <c r="W560" s="4">
        <f>IF($K560="","",(V560-Y560)/J560*100)</f>
      </c>
      <c r="X560" s="4">
        <f>IF($K560="","",M560-U560)</f>
      </c>
      <c r="Z560" s="4">
        <f>IF($K560="","",V560-Y560)</f>
      </c>
    </row>
    <row r="561" spans="1:31" x14ac:dyDescent="0.25">
      <c r="A561" s="8"/>
      <c r="D561" s="9"/>
      <c r="J561" s="4"/>
      <c r="K561" s="4"/>
      <c r="L561" s="4">
        <f>IF($K561="","",K561-J561)</f>
      </c>
      <c r="M561" s="4">
        <f>IF($K561="","",L561*16.67%)</f>
      </c>
      <c r="N561" s="4">
        <f>IF($K561="","",K561/100*7)</f>
      </c>
      <c r="O561" s="4">
        <f>IF($K561="","",N561*20%)</f>
      </c>
      <c r="P561" s="4">
        <f>IF($K561="","",N561*2%)</f>
      </c>
      <c r="Q561" s="4">
        <f>IF($K561="","",P561*20%)</f>
      </c>
      <c r="R561" s="4"/>
      <c r="S561" s="4">
        <f>IF($K561="","",R561*20%)</f>
      </c>
      <c r="T561" s="4">
        <v>1</v>
      </c>
      <c r="U561" s="4">
        <f>IF($K561="","",O561+Q561+S561)</f>
      </c>
      <c r="V561" s="4">
        <f>IF($K561="","",L561-M561-N561-O561-P561-Q561-R561-S561-T561)</f>
      </c>
      <c r="W561" s="4">
        <f>IF($K561="","",(V561-Y561)/J561*100)</f>
      </c>
      <c r="X561" s="4">
        <f>IF($K561="","",M561-U561)</f>
      </c>
      <c r="Z561" s="4">
        <f>IF($K561="","",V561-Y561)</f>
      </c>
    </row>
    <row r="562" spans="1:31" x14ac:dyDescent="0.25">
      <c r="A562" s="8"/>
      <c r="D562" s="9"/>
      <c r="J562" s="4"/>
      <c r="K562" s="4"/>
      <c r="L562" s="4">
        <f>IF($K562="","",K562-J562)</f>
      </c>
      <c r="M562" s="4">
        <f>IF($K562="","",L562*16.67%)</f>
      </c>
      <c r="N562" s="4">
        <f>IF($K562="","",K562/100*7)</f>
      </c>
      <c r="O562" s="4">
        <f>IF($K562="","",N562*20%)</f>
      </c>
      <c r="P562" s="4">
        <f>IF($K562="","",N562*2%)</f>
      </c>
      <c r="Q562" s="4">
        <f>IF($K562="","",P562*20%)</f>
      </c>
      <c r="R562" s="4"/>
      <c r="S562" s="4">
        <f>IF($K562="","",R562*20%)</f>
      </c>
      <c r="T562" s="4">
        <v>1</v>
      </c>
      <c r="U562" s="4">
        <f>IF($K562="","",O562+Q562+S562)</f>
      </c>
      <c r="V562" s="4">
        <f>IF($K562="","",L562-M562-N562-O562-P562-Q562-R562-S562-T562)</f>
      </c>
      <c r="W562" s="4">
        <f>IF($K562="","",(V562-Y562)/J562*100)</f>
      </c>
      <c r="X562" s="4">
        <f>IF($K562="","",M562-U562)</f>
      </c>
      <c r="Z562" s="4">
        <f>IF($K562="","",V562-Y562)</f>
      </c>
    </row>
    <row r="563" spans="1:31" x14ac:dyDescent="0.25">
      <c r="A563" s="8"/>
      <c r="D563" s="9"/>
      <c r="J563" s="4"/>
      <c r="K563" s="4"/>
      <c r="L563" s="4">
        <f>IF($K563="","",K563-J563)</f>
      </c>
      <c r="M563" s="4">
        <f>IF($K563="","",L563*16.67%)</f>
      </c>
      <c r="N563" s="4">
        <f>IF($K563="","",K563/100*7)</f>
      </c>
      <c r="O563" s="4">
        <f>IF($K563="","",N563*20%)</f>
      </c>
      <c r="P563" s="4">
        <f>IF($K563="","",N563*2%)</f>
      </c>
      <c r="Q563" s="4">
        <f>IF($K563="","",P563*20%)</f>
      </c>
      <c r="R563" s="4"/>
      <c r="S563" s="4">
        <f>IF($K563="","",R563*20%)</f>
      </c>
      <c r="T563" s="4">
        <v>1</v>
      </c>
      <c r="U563" s="4">
        <f>IF($K563="","",O563+Q563+S563)</f>
      </c>
      <c r="V563" s="4">
        <f>IF($K563="","",L563-M563-N563-O563-P563-Q563-R563-S563-T563)</f>
      </c>
      <c r="W563" s="4">
        <f>IF($K563="","",(V563-Y563)/J563*100)</f>
      </c>
      <c r="X563" s="4">
        <f>IF($K563="","",M563-U563)</f>
      </c>
      <c r="Z563" s="4">
        <f>IF($K563="","",V563-Y563)</f>
      </c>
    </row>
    <row r="564" spans="1:31" x14ac:dyDescent="0.25">
      <c r="A564" s="8"/>
      <c r="D564" s="9"/>
      <c r="J564" s="4"/>
      <c r="K564" s="4"/>
      <c r="L564" s="4">
        <f>IF($K564="","",K564-J564)</f>
      </c>
      <c r="M564" s="4">
        <f>IF($K564="","",L564*16.67%)</f>
      </c>
      <c r="N564" s="4">
        <f>IF($K564="","",K564/100*7)</f>
      </c>
      <c r="O564" s="4">
        <f>IF($K564="","",N564*20%)</f>
      </c>
      <c r="P564" s="4">
        <f>IF($K564="","",N564*2%)</f>
      </c>
      <c r="Q564" s="4">
        <f>IF($K564="","",P564*20%)</f>
      </c>
      <c r="R564" s="4"/>
      <c r="S564" s="4">
        <f>IF($K564="","",R564*20%)</f>
      </c>
      <c r="T564" s="4">
        <v>1</v>
      </c>
      <c r="U564" s="4">
        <f>IF($K564="","",O564+Q564+S564)</f>
      </c>
      <c r="V564" s="4">
        <f>IF($K564="","",L564-M564-N564-O564-P564-Q564-R564-S564-T564)</f>
      </c>
      <c r="W564" s="4">
        <f>IF($K564="","",(V564-Y564)/J564*100)</f>
      </c>
      <c r="X564" s="4">
        <f>IF($K564="","",M564-U564)</f>
      </c>
      <c r="Z564" s="4">
        <f>IF($K564="","",V564-Y564)</f>
      </c>
    </row>
    <row r="565" spans="1:31" x14ac:dyDescent="0.25">
      <c r="A565" s="8"/>
      <c r="D565" s="9"/>
      <c r="J565" s="4"/>
      <c r="K565" s="4"/>
      <c r="L565" s="4">
        <f>IF($K565="","",K565-J565)</f>
      </c>
      <c r="M565" s="4">
        <f>IF($K565="","",L565*16.67%)</f>
      </c>
      <c r="N565" s="4">
        <f>IF($K565="","",K565/100*7)</f>
      </c>
      <c r="O565" s="4">
        <f>IF($K565="","",N565*20%)</f>
      </c>
      <c r="P565" s="4">
        <f>IF($K565="","",N565*2%)</f>
      </c>
      <c r="Q565" s="4">
        <f>IF($K565="","",P565*20%)</f>
      </c>
      <c r="R565" s="4"/>
      <c r="S565" s="4">
        <f>IF($K565="","",R565*20%)</f>
      </c>
      <c r="T565" s="4">
        <v>1</v>
      </c>
      <c r="U565" s="4">
        <f>IF($K565="","",O565+Q565+S565)</f>
      </c>
      <c r="V565" s="4">
        <f>IF($K565="","",L565-M565-N565-O565-P565-Q565-R565-S565-T565)</f>
      </c>
      <c r="W565" s="4">
        <f>IF($K565="","",(V565-Y565)/J565*100)</f>
      </c>
      <c r="X565" s="4">
        <f>IF($K565="","",M565-U565)</f>
      </c>
      <c r="Z565" s="4">
        <f>IF($K565="","",V565-Y565)</f>
      </c>
    </row>
    <row r="566" spans="1:31" x14ac:dyDescent="0.25">
      <c r="A566" s="8"/>
      <c r="D566" s="9"/>
      <c r="J566" s="4"/>
      <c r="K566" s="4"/>
      <c r="L566" s="4">
        <f>IF($K566="","",K566-J566)</f>
      </c>
      <c r="M566" s="4">
        <f>IF($K566="","",L566*16.67%)</f>
      </c>
      <c r="N566" s="4">
        <f>IF($K566="","",K566/100*7)</f>
      </c>
      <c r="O566" s="4">
        <f>IF($K566="","",N566*20%)</f>
      </c>
      <c r="P566" s="4">
        <f>IF($K566="","",N566*2%)</f>
      </c>
      <c r="Q566" s="4">
        <f>IF($K566="","",P566*20%)</f>
      </c>
      <c r="R566" s="4"/>
      <c r="S566" s="4">
        <f>IF($K566="","",R566*20%)</f>
      </c>
      <c r="T566" s="4">
        <v>1</v>
      </c>
      <c r="U566" s="4">
        <f>IF($K566="","",O566+Q566+S566)</f>
      </c>
      <c r="V566" s="4">
        <f>IF($K566="","",L566-M566-N566-O566-P566-Q566-R566-S566-T566)</f>
      </c>
      <c r="W566" s="4">
        <f>IF($K566="","",(V566-Y566)/J566*100)</f>
      </c>
      <c r="X566" s="4">
        <f>IF($K566="","",M566-U566)</f>
      </c>
      <c r="Z566" s="4">
        <f>IF($K566="","",V566-Y566)</f>
      </c>
    </row>
    <row r="567" spans="1:31" x14ac:dyDescent="0.25">
      <c r="A567" s="8"/>
      <c r="D567" s="9"/>
      <c r="J567" s="4"/>
      <c r="K567" s="4"/>
      <c r="L567" s="4">
        <f>IF($K567="","",K567-J567)</f>
      </c>
      <c r="M567" s="4">
        <f>IF($K567="","",L567*16.67%)</f>
      </c>
      <c r="N567" s="4">
        <f>IF($K567="","",K567/100*7)</f>
      </c>
      <c r="O567" s="4">
        <f>IF($K567="","",N567*20%)</f>
      </c>
      <c r="P567" s="4">
        <f>IF($K567="","",N567*2%)</f>
      </c>
      <c r="Q567" s="4">
        <f>IF($K567="","",P567*20%)</f>
      </c>
      <c r="R567" s="4"/>
      <c r="S567" s="4">
        <f>IF($K567="","",R567*20%)</f>
      </c>
      <c r="T567" s="4">
        <v>1</v>
      </c>
      <c r="U567" s="4">
        <f>IF($K567="","",O567+Q567+S567)</f>
      </c>
      <c r="V567" s="4">
        <f>IF($K567="","",L567-M567-N567-O567-P567-Q567-R567-S567-T567)</f>
      </c>
      <c r="W567" s="4">
        <f>IF($K567="","",(V567-Y567)/J567*100)</f>
      </c>
      <c r="X567" s="4">
        <f>IF($K567="","",M567-U567)</f>
      </c>
      <c r="Z567" s="4">
        <f>IF($K567="","",V567-Y567)</f>
      </c>
    </row>
    <row r="568" spans="1:31" x14ac:dyDescent="0.25">
      <c r="A568" s="8"/>
      <c r="D568" s="9"/>
      <c r="J568" s="4"/>
      <c r="K568" s="4"/>
      <c r="L568" s="4">
        <f>IF($K568="","",K568-J568)</f>
      </c>
      <c r="M568" s="4">
        <f>IF($K568="","",L568*16.67%)</f>
      </c>
      <c r="N568" s="4">
        <f>IF($K568="","",K568/100*7)</f>
      </c>
      <c r="O568" s="4">
        <f>IF($K568="","",N568*20%)</f>
      </c>
      <c r="P568" s="4">
        <f>IF($K568="","",N568*2%)</f>
      </c>
      <c r="Q568" s="4">
        <f>IF($K568="","",P568*20%)</f>
      </c>
      <c r="R568" s="4"/>
      <c r="S568" s="4">
        <f>IF($K568="","",R568*20%)</f>
      </c>
      <c r="T568" s="4">
        <v>1</v>
      </c>
      <c r="U568" s="4">
        <f>IF($K568="","",O568+Q568+S568)</f>
      </c>
      <c r="V568" s="4">
        <f>IF($K568="","",L568-M568-N568-O568-P568-Q568-R568-S568-T568)</f>
      </c>
      <c r="W568" s="4">
        <f>IF($K568="","",(V568-Y568)/J568*100)</f>
      </c>
      <c r="X568" s="4">
        <f>IF($K568="","",M568-U568)</f>
      </c>
      <c r="Z568" s="4">
        <f>IF($K568="","",V568-Y568)</f>
      </c>
    </row>
    <row r="569" spans="1:31" x14ac:dyDescent="0.25">
      <c r="A569" s="8"/>
      <c r="D569" s="9"/>
      <c r="J569" s="4"/>
      <c r="K569" s="4"/>
      <c r="L569" s="4">
        <f>IF($K569="","",K569-J569)</f>
      </c>
      <c r="M569" s="4">
        <f>IF($K569="","",L569*16.67%)</f>
      </c>
      <c r="N569" s="4">
        <f>IF($K569="","",K569/100*7)</f>
      </c>
      <c r="O569" s="4">
        <f>IF($K569="","",N569*20%)</f>
      </c>
      <c r="P569" s="4">
        <f>IF($K569="","",N569*2%)</f>
      </c>
      <c r="Q569" s="4">
        <f>IF($K569="","",P569*20%)</f>
      </c>
      <c r="R569" s="4"/>
      <c r="S569" s="4">
        <f>IF($K569="","",R569*20%)</f>
      </c>
      <c r="T569" s="4">
        <v>1</v>
      </c>
      <c r="U569" s="4">
        <f>IF($K569="","",O569+Q569+S569)</f>
      </c>
      <c r="V569" s="4">
        <f>IF($K569="","",L569-M569-N569-O569-P569-Q569-R569-S569-T569)</f>
      </c>
      <c r="W569" s="4">
        <f>IF($K569="","",(V569-Y569)/J569*100)</f>
      </c>
      <c r="X569" s="4">
        <f>IF($K569="","",M569-U569)</f>
      </c>
      <c r="Z569" s="4">
        <f>IF($K569="","",V569-Y569)</f>
      </c>
    </row>
    <row r="570" spans="1:31" x14ac:dyDescent="0.25">
      <c r="A570" s="8"/>
      <c r="D570" s="9"/>
      <c r="J570" s="4"/>
      <c r="K570" s="4"/>
      <c r="L570" s="4">
        <f>IF($K570="","",K570-J570)</f>
      </c>
      <c r="M570" s="4">
        <f>IF($K570="","",L570*16.67%)</f>
      </c>
      <c r="N570" s="4">
        <f>IF($K570="","",K570/100*7)</f>
      </c>
      <c r="O570" s="4">
        <f>IF($K570="","",N570*20%)</f>
      </c>
      <c r="P570" s="4">
        <f>IF($K570="","",N570*2%)</f>
      </c>
      <c r="Q570" s="4">
        <f>IF($K570="","",P570*20%)</f>
      </c>
      <c r="R570" s="4"/>
      <c r="S570" s="4">
        <f>IF($K570="","",R570*20%)</f>
      </c>
      <c r="T570" s="4">
        <v>1</v>
      </c>
      <c r="U570" s="4">
        <f>IF($K570="","",O570+Q570+S570)</f>
      </c>
      <c r="V570" s="4">
        <f>IF($K570="","",L570-M570-N570-O570-P570-Q570-R570-S570-T570)</f>
      </c>
      <c r="W570" s="4">
        <f>IF($K570="","",(V570-Y570)/J570*100)</f>
      </c>
      <c r="X570" s="4">
        <f>IF($K570="","",M570-U570)</f>
      </c>
      <c r="Z570" s="4">
        <f>IF($K570="","",V570-Y570)</f>
      </c>
    </row>
    <row r="571" spans="1:31" x14ac:dyDescent="0.25">
      <c r="A571" s="8"/>
      <c r="D571" s="9"/>
      <c r="J571" s="4"/>
      <c r="K571" s="4"/>
      <c r="L571" s="4">
        <f>IF($K571="","",K571-J571)</f>
      </c>
      <c r="M571" s="4">
        <f>IF($K571="","",L571*16.67%)</f>
      </c>
      <c r="N571" s="4">
        <f>IF($K571="","",K571/100*7)</f>
      </c>
      <c r="O571" s="4">
        <f>IF($K571="","",N571*20%)</f>
      </c>
      <c r="P571" s="4">
        <f>IF($K571="","",N571*2%)</f>
      </c>
      <c r="Q571" s="4">
        <f>IF($K571="","",P571*20%)</f>
      </c>
      <c r="R571" s="4"/>
      <c r="S571" s="4">
        <f>IF($K571="","",R571*20%)</f>
      </c>
      <c r="T571" s="4">
        <v>1</v>
      </c>
      <c r="U571" s="4">
        <f>IF($K571="","",O571+Q571+S571)</f>
      </c>
      <c r="V571" s="4">
        <f>IF($K571="","",L571-M571-N571-O571-P571-Q571-R571-S571-T571)</f>
      </c>
      <c r="W571" s="4">
        <f>IF($K571="","",(V571-Y571)/J571*100)</f>
      </c>
      <c r="X571" s="4">
        <f>IF($K571="","",M571-U571)</f>
      </c>
      <c r="Z571" s="4">
        <f>IF($K571="","",V571-Y571)</f>
      </c>
    </row>
    <row r="572" spans="1:31" x14ac:dyDescent="0.25">
      <c r="A572" s="8"/>
      <c r="D572" s="9"/>
      <c r="J572" s="4"/>
      <c r="K572" s="4"/>
      <c r="L572" s="4">
        <f>IF($K572="","",K572-J572)</f>
      </c>
      <c r="M572" s="4">
        <f>IF($K572="","",L572*16.67%)</f>
      </c>
      <c r="N572" s="4">
        <f>IF($K572="","",K572/100*7)</f>
      </c>
      <c r="O572" s="4">
        <f>IF($K572="","",N572*20%)</f>
      </c>
      <c r="P572" s="4">
        <f>IF($K572="","",N572*2%)</f>
      </c>
      <c r="Q572" s="4">
        <f>IF($K572="","",P572*20%)</f>
      </c>
      <c r="R572" s="4"/>
      <c r="S572" s="4">
        <f>IF($K572="","",R572*20%)</f>
      </c>
      <c r="T572" s="4">
        <v>1</v>
      </c>
      <c r="U572" s="4">
        <f>IF($K572="","",O572+Q572+S572)</f>
      </c>
      <c r="V572" s="4">
        <f>IF($K572="","",L572-M572-N572-O572-P572-Q572-R572-S572-T572)</f>
      </c>
      <c r="W572" s="4">
        <f>IF($K572="","",(V572-Y572)/J572*100)</f>
      </c>
      <c r="X572" s="4">
        <f>IF($K572="","",M572-U572)</f>
      </c>
      <c r="Z572" s="4">
        <f>IF($K572="","",V572-Y572)</f>
      </c>
    </row>
    <row r="573" spans="1:31" x14ac:dyDescent="0.25">
      <c r="A573" s="8"/>
      <c r="D573" s="9"/>
      <c r="J573" s="4"/>
      <c r="K573" s="4"/>
      <c r="L573" s="4">
        <f>IF($K573="","",K573-J573)</f>
      </c>
      <c r="M573" s="4">
        <f>IF($K573="","",L573*16.67%)</f>
      </c>
      <c r="N573" s="4">
        <f>IF($K573="","",K573/100*7)</f>
      </c>
      <c r="O573" s="4">
        <f>IF($K573="","",N573*20%)</f>
      </c>
      <c r="P573" s="4">
        <f>IF($K573="","",N573*2%)</f>
      </c>
      <c r="Q573" s="4">
        <f>IF($K573="","",P573*20%)</f>
      </c>
      <c r="R573" s="4"/>
      <c r="S573" s="4">
        <f>IF($K573="","",R573*20%)</f>
      </c>
      <c r="T573" s="4">
        <v>1</v>
      </c>
      <c r="U573" s="4">
        <f>IF($K573="","",O573+Q573+S573)</f>
      </c>
      <c r="V573" s="4">
        <f>IF($K573="","",L573-M573-N573-O573-P573-Q573-R573-S573-T573)</f>
      </c>
      <c r="W573" s="4">
        <f>IF($K573="","",(V573-Y573)/J573*100)</f>
      </c>
      <c r="X573" s="4">
        <f>IF($K573="","",M573-U573)</f>
      </c>
      <c r="Z573" s="4">
        <f>IF($K573="","",V573-Y573)</f>
      </c>
    </row>
    <row r="574" spans="1:31" x14ac:dyDescent="0.25">
      <c r="A574" s="8"/>
      <c r="D574" s="9"/>
      <c r="J574" s="4"/>
      <c r="K574" s="4"/>
      <c r="L574" s="4">
        <f>IF($K574="","",K574-J574)</f>
      </c>
      <c r="M574" s="4">
        <f>IF($K574="","",L574*16.67%)</f>
      </c>
      <c r="N574" s="4">
        <f>IF($K574="","",K574/100*7)</f>
      </c>
      <c r="O574" s="4">
        <f>IF($K574="","",N574*20%)</f>
      </c>
      <c r="P574" s="4">
        <f>IF($K574="","",N574*2%)</f>
      </c>
      <c r="Q574" s="4">
        <f>IF($K574="","",P574*20%)</f>
      </c>
      <c r="R574" s="4"/>
      <c r="S574" s="4">
        <f>IF($K574="","",R574*20%)</f>
      </c>
      <c r="T574" s="4">
        <v>1</v>
      </c>
      <c r="U574" s="4">
        <f>IF($K574="","",O574+Q574+S574)</f>
      </c>
      <c r="V574" s="4">
        <f>IF($K574="","",L574-M574-N574-O574-P574-Q574-R574-S574-T574)</f>
      </c>
      <c r="W574" s="4">
        <f>IF($K574="","",(V574-Y574)/J574*100)</f>
      </c>
      <c r="X574" s="4">
        <f>IF($K574="","",M574-U574)</f>
      </c>
      <c r="Z574" s="4">
        <f>IF($K574="","",V574-Y574)</f>
      </c>
    </row>
    <row r="575" spans="1:31" x14ac:dyDescent="0.25">
      <c r="A575" s="8"/>
      <c r="D575" s="9"/>
      <c r="J575" s="4"/>
      <c r="K575" s="4"/>
      <c r="L575" s="4">
        <f>IF($K575="","",K575-J575)</f>
      </c>
      <c r="M575" s="4">
        <f>IF($K575="","",L575*16.67%)</f>
      </c>
      <c r="N575" s="4">
        <f>IF($K575="","",K575/100*7)</f>
      </c>
      <c r="O575" s="4">
        <f>IF($K575="","",N575*20%)</f>
      </c>
      <c r="P575" s="4">
        <f>IF($K575="","",N575*2%)</f>
      </c>
      <c r="Q575" s="4">
        <f>IF($K575="","",P575*20%)</f>
      </c>
      <c r="R575" s="4"/>
      <c r="S575" s="4">
        <f>IF($K575="","",R575*20%)</f>
      </c>
      <c r="T575" s="4">
        <v>1</v>
      </c>
      <c r="U575" s="4">
        <f>IF($K575="","",O575+Q575+S575)</f>
      </c>
      <c r="V575" s="4">
        <f>IF($K575="","",L575-M575-N575-O575-P575-Q575-R575-S575-T575)</f>
      </c>
      <c r="W575" s="4">
        <f>IF($K575="","",(V575-Y575)/J575*100)</f>
      </c>
      <c r="X575" s="4">
        <f>IF($K575="","",M575-U575)</f>
      </c>
      <c r="Z575" s="4">
        <f>IF($K575="","",V575-Y575)</f>
      </c>
    </row>
    <row r="576" spans="1:31" x14ac:dyDescent="0.25">
      <c r="A576" s="8"/>
      <c r="D576" s="9"/>
      <c r="J576" s="4"/>
      <c r="K576" s="4"/>
      <c r="L576" s="4">
        <f>IF($K576="","",K576-J576)</f>
      </c>
      <c r="M576" s="4">
        <f>IF($K576="","",L576*16.67%)</f>
      </c>
      <c r="N576" s="4">
        <f>IF($K576="","",K576/100*7)</f>
      </c>
      <c r="O576" s="4">
        <f>IF($K576="","",N576*20%)</f>
      </c>
      <c r="P576" s="4">
        <f>IF($K576="","",N576*2%)</f>
      </c>
      <c r="Q576" s="4">
        <f>IF($K576="","",P576*20%)</f>
      </c>
      <c r="R576" s="4"/>
      <c r="S576" s="4">
        <f>IF($K576="","",R576*20%)</f>
      </c>
      <c r="T576" s="4">
        <v>1</v>
      </c>
      <c r="U576" s="4">
        <f>IF($K576="","",O576+Q576+S576)</f>
      </c>
      <c r="V576" s="4">
        <f>IF($K576="","",L576-M576-N576-O576-P576-Q576-R576-S576-T576)</f>
      </c>
      <c r="W576" s="4">
        <f>IF($K576="","",(V576-Y576)/J576*100)</f>
      </c>
      <c r="X576" s="4">
        <f>IF($K576="","",M576-U576)</f>
      </c>
      <c r="Z576" s="4">
        <f>IF($K576="","",V576-Y576)</f>
      </c>
    </row>
    <row r="577" spans="1:31" x14ac:dyDescent="0.25">
      <c r="A577" s="8"/>
      <c r="D577" s="9"/>
      <c r="J577" s="4"/>
      <c r="K577" s="4"/>
      <c r="L577" s="4">
        <f>IF($K577="","",K577-J577)</f>
      </c>
      <c r="M577" s="4">
        <f>IF($K577="","",L577*16.67%)</f>
      </c>
      <c r="N577" s="4">
        <f>IF($K577="","",K577/100*7)</f>
      </c>
      <c r="O577" s="4">
        <f>IF($K577="","",N577*20%)</f>
      </c>
      <c r="P577" s="4">
        <f>IF($K577="","",N577*2%)</f>
      </c>
      <c r="Q577" s="4">
        <f>IF($K577="","",P577*20%)</f>
      </c>
      <c r="R577" s="4"/>
      <c r="S577" s="4">
        <f>IF($K577="","",R577*20%)</f>
      </c>
      <c r="T577" s="4">
        <v>1</v>
      </c>
      <c r="U577" s="4">
        <f>IF($K577="","",O577+Q577+S577)</f>
      </c>
      <c r="V577" s="4">
        <f>IF($K577="","",L577-M577-N577-O577-P577-Q577-R577-S577-T577)</f>
      </c>
      <c r="W577" s="4">
        <f>IF($K577="","",(V577-Y577)/J577*100)</f>
      </c>
      <c r="X577" s="4">
        <f>IF($K577="","",M577-U577)</f>
      </c>
      <c r="Z577" s="4">
        <f>IF($K577="","",V577-Y577)</f>
      </c>
    </row>
    <row r="578" spans="1:31" s="7" customFormat="1" x14ac:dyDescent="0.25">
      <c r="A578" s="3" t="s">
        <v>18</v>
      </c>
      <c r="B578" s="7"/>
      <c r="C578" s="7"/>
      <c r="D578" s="7"/>
      <c r="E578" s="7"/>
      <c r="F578" s="7"/>
      <c r="G578" s="7"/>
      <c r="H578" s="7"/>
      <c r="I578" s="14">
        <f>SUM(I2:I577)</f>
      </c>
      <c r="J578" s="14">
        <f>SUM(J2:J577)</f>
      </c>
      <c r="K578" s="14">
        <f>SUM(K2:K577)</f>
      </c>
      <c r="L578" s="14">
        <f>SUM(L2:L577)</f>
      </c>
      <c r="M578" s="14">
        <f>SUM(M2:M577)</f>
      </c>
      <c r="N578" s="14">
        <f>SUM(N2:N577)</f>
      </c>
      <c r="O578" s="14">
        <f>SUM(O2:O577)</f>
      </c>
      <c r="P578" s="14">
        <f>SUM(P2:P577)</f>
      </c>
      <c r="Q578" s="14">
        <f>SUM(Q2:Q577)</f>
      </c>
      <c r="R578" s="14">
        <f>SUM(R2:R577)</f>
      </c>
      <c r="S578" s="14">
        <f>SUM(S2:S577)</f>
      </c>
      <c r="T578" s="14">
        <f>SUM(T2:T577)</f>
      </c>
      <c r="U578" s="14">
        <f>SUM(U2:U577)</f>
      </c>
      <c r="V578" s="14">
        <f>SUM(V2:V577)</f>
      </c>
      <c r="W578" s="14">
        <f>IFERROR((V578-Y578)/J578*100,0)</f>
      </c>
      <c r="X578" s="14">
        <f>SUM(X2:X577)</f>
      </c>
      <c r="Y578" s="14">
        <f>SUM(Y2:Y577)</f>
      </c>
      <c r="Z578" s="14">
        <f>SUM(Z2:Z577)</f>
      </c>
      <c r="AA578" s="7"/>
      <c r="AB578" s="7"/>
      <c r="AC578" s="7"/>
      <c r="AD578" s="7"/>
      <c r="AE578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45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741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46231.5</v>
      </c>
      <c r="B2" t="s">
        <v>742</v>
      </c>
      <c r="C2" t="s">
        <v>1</v>
      </c>
      <c r="D2" s="9" t="s">
        <v>743</v>
      </c>
      <c r="E2" t="s">
        <v>73</v>
      </c>
      <c r="F2" t="s">
        <v>88</v>
      </c>
      <c r="G2" t="s">
        <v>60</v>
      </c>
      <c r="H2" t="s">
        <v>102</v>
      </c>
      <c r="I2">
        <v>1</v>
      </c>
      <c r="J2" s="4">
        <v>345</v>
      </c>
      <c r="K2" s="4">
        <v>486.45</v>
      </c>
      <c r="L2" s="4">
        <f>K2-J2</f>
      </c>
      <c r="M2" s="4">
        <f>L2*16.67%</f>
      </c>
      <c r="N2" s="4">
        <f>K2/100*11</f>
      </c>
      <c r="O2" s="4">
        <v>8.99</v>
      </c>
      <c r="P2" s="4">
        <v>0</v>
      </c>
      <c r="Q2" s="4">
        <f>P2*20%</f>
      </c>
      <c r="R2" s="4">
        <v>1</v>
      </c>
      <c r="S2" s="4">
        <f>L2-M2-N2-O2-P2-Q2-R2</f>
      </c>
      <c r="T2" s="4">
        <f>(S2-V2)/J2*100</f>
      </c>
      <c r="U2" s="4">
        <f>M2-Q2</f>
      </c>
      <c r="W2" s="4">
        <f>S2-V2</f>
      </c>
      <c r="AB2" t="s">
        <v>1</v>
      </c>
    </row>
    <row r="3" spans="1:28" x14ac:dyDescent="0.25">
      <c r="A3" s="8">
        <v>46231.5</v>
      </c>
      <c r="B3" t="s">
        <v>744</v>
      </c>
      <c r="C3" t="s">
        <v>1</v>
      </c>
      <c r="D3" s="9" t="s">
        <v>745</v>
      </c>
      <c r="E3" t="s">
        <v>125</v>
      </c>
      <c r="F3" t="s">
        <v>105</v>
      </c>
      <c r="G3" t="s">
        <v>126</v>
      </c>
      <c r="H3" t="s">
        <v>61</v>
      </c>
      <c r="I3">
        <v>1</v>
      </c>
      <c r="J3" s="4">
        <v>243</v>
      </c>
      <c r="K3" s="4">
        <v>291.6</v>
      </c>
      <c r="L3" s="4">
        <f>K3-J3</f>
      </c>
      <c r="M3" s="4">
        <f>L3*16.67%</f>
      </c>
      <c r="N3" s="4">
        <f>K3/100*11</f>
      </c>
      <c r="O3" s="4">
        <v>8.99</v>
      </c>
      <c r="P3" s="4">
        <v>0</v>
      </c>
      <c r="Q3" s="4">
        <f>P3*20%</f>
      </c>
      <c r="R3" s="4">
        <v>1</v>
      </c>
      <c r="S3" s="4">
        <f>L3-M3-N3-O3-P3-Q3-R3</f>
      </c>
      <c r="T3" s="4">
        <f>(S3-V3)/J3*100</f>
      </c>
      <c r="U3" s="4">
        <f>M3-Q3</f>
      </c>
      <c r="W3" s="4">
        <f>S3-V3</f>
      </c>
      <c r="AB3" t="s">
        <v>1</v>
      </c>
    </row>
    <row r="4" spans="1:28" x14ac:dyDescent="0.25">
      <c r="A4" s="8">
        <v>46231.5</v>
      </c>
      <c r="B4" t="s">
        <v>746</v>
      </c>
      <c r="C4" t="s">
        <v>1</v>
      </c>
      <c r="D4" s="9" t="s">
        <v>747</v>
      </c>
      <c r="E4" t="s">
        <v>84</v>
      </c>
      <c r="F4" t="s">
        <v>70</v>
      </c>
      <c r="G4" t="s">
        <v>60</v>
      </c>
      <c r="H4" t="s">
        <v>61</v>
      </c>
      <c r="I4">
        <v>1</v>
      </c>
      <c r="J4" s="4">
        <v>696</v>
      </c>
      <c r="K4" s="4">
        <v>946.56</v>
      </c>
      <c r="L4" s="4">
        <f>K4-J4</f>
      </c>
      <c r="M4" s="4">
        <f>L4*16.67%</f>
      </c>
      <c r="N4" s="4">
        <f>K4/100*11</f>
      </c>
      <c r="O4" s="4">
        <v>8.99</v>
      </c>
      <c r="P4" s="4">
        <v>0</v>
      </c>
      <c r="Q4" s="4">
        <f>P4*20%</f>
      </c>
      <c r="R4" s="4">
        <v>1</v>
      </c>
      <c r="S4" s="4">
        <f>L4-M4-N4-O4-P4-Q4-R4</f>
      </c>
      <c r="T4" s="4">
        <f>(S4-V4)/J4*100</f>
      </c>
      <c r="U4" s="4">
        <f>M4-Q4</f>
      </c>
      <c r="W4" s="4">
        <f>S4-V4</f>
      </c>
      <c r="AB4" t="s">
        <v>1</v>
      </c>
    </row>
    <row r="5" spans="1:28" x14ac:dyDescent="0.25">
      <c r="A5" s="8">
        <v>46231.5</v>
      </c>
      <c r="B5" t="s">
        <v>748</v>
      </c>
      <c r="C5" t="s">
        <v>1</v>
      </c>
      <c r="D5" s="9" t="s">
        <v>749</v>
      </c>
      <c r="E5" t="s">
        <v>81</v>
      </c>
      <c r="F5" t="s">
        <v>74</v>
      </c>
      <c r="G5" t="s">
        <v>65</v>
      </c>
      <c r="H5" t="s">
        <v>61</v>
      </c>
      <c r="I5">
        <v>1</v>
      </c>
      <c r="J5" s="4">
        <v>605</v>
      </c>
      <c r="K5" s="4">
        <v>750.2</v>
      </c>
      <c r="L5" s="4">
        <f>K5-J5</f>
      </c>
      <c r="M5" s="4">
        <f>L5*16.67%</f>
      </c>
      <c r="N5" s="4">
        <f>K5/100*11</f>
      </c>
      <c r="O5" s="4">
        <v>8.99</v>
      </c>
      <c r="P5" s="4">
        <v>0</v>
      </c>
      <c r="Q5" s="4">
        <f>P5*20%</f>
      </c>
      <c r="R5" s="4">
        <v>1</v>
      </c>
      <c r="S5" s="4">
        <f>L5-M5-N5-O5-P5-Q5-R5</f>
      </c>
      <c r="T5" s="4">
        <f>(S5-V5)/J5*100</f>
      </c>
      <c r="U5" s="4">
        <f>M5-Q5</f>
      </c>
      <c r="W5" s="4">
        <f>S5-V5</f>
      </c>
      <c r="AB5" t="s">
        <v>1</v>
      </c>
    </row>
    <row r="6" spans="1:28" x14ac:dyDescent="0.25">
      <c r="A6" s="8">
        <v>46231.5</v>
      </c>
      <c r="B6" t="s">
        <v>750</v>
      </c>
      <c r="C6" t="s">
        <v>1</v>
      </c>
      <c r="D6" s="9" t="s">
        <v>751</v>
      </c>
      <c r="E6" t="s">
        <v>114</v>
      </c>
      <c r="F6" t="s">
        <v>105</v>
      </c>
      <c r="G6" t="s">
        <v>60</v>
      </c>
      <c r="H6" t="s">
        <v>66</v>
      </c>
      <c r="I6">
        <v>1</v>
      </c>
      <c r="J6" s="4">
        <v>235</v>
      </c>
      <c r="K6" s="4">
        <v>298.45</v>
      </c>
      <c r="L6" s="4">
        <f>K6-J6</f>
      </c>
      <c r="M6" s="4">
        <f>L6*16.67%</f>
      </c>
      <c r="N6" s="4">
        <f>K6/100*11</f>
      </c>
      <c r="O6" s="4">
        <v>8.99</v>
      </c>
      <c r="P6" s="4">
        <v>0</v>
      </c>
      <c r="Q6" s="4">
        <f>P6*20%</f>
      </c>
      <c r="R6" s="4">
        <v>1</v>
      </c>
      <c r="S6" s="4">
        <f>L6-M6-N6-O6-P6-Q6-R6</f>
      </c>
      <c r="T6" s="4">
        <f>(S6-V6)/J6*100</f>
      </c>
      <c r="U6" s="4">
        <f>M6-Q6</f>
      </c>
      <c r="W6" s="4">
        <f>S6-V6</f>
      </c>
      <c r="AB6" t="s">
        <v>1</v>
      </c>
    </row>
    <row r="7" spans="1:28" x14ac:dyDescent="0.25">
      <c r="A7" s="8">
        <v>46231.5</v>
      </c>
      <c r="B7" t="s">
        <v>752</v>
      </c>
      <c r="C7" t="s">
        <v>1</v>
      </c>
      <c r="D7" s="9" t="s">
        <v>753</v>
      </c>
      <c r="E7" t="s">
        <v>172</v>
      </c>
      <c r="F7" t="s">
        <v>99</v>
      </c>
      <c r="G7" t="s">
        <v>65</v>
      </c>
      <c r="H7" t="s">
        <v>61</v>
      </c>
      <c r="I7">
        <v>1</v>
      </c>
      <c r="J7" s="4">
        <v>172</v>
      </c>
      <c r="K7" s="4">
        <v>244.24</v>
      </c>
      <c r="L7" s="4">
        <f>K7-J7</f>
      </c>
      <c r="M7" s="4">
        <f>L7*16.67%</f>
      </c>
      <c r="N7" s="4">
        <f>K7/100*11</f>
      </c>
      <c r="O7" s="4">
        <v>8.99</v>
      </c>
      <c r="P7" s="4">
        <v>0</v>
      </c>
      <c r="Q7" s="4">
        <f>P7*20%</f>
      </c>
      <c r="R7" s="4">
        <v>1</v>
      </c>
      <c r="S7" s="4">
        <f>L7-M7-N7-O7-P7-Q7-R7</f>
      </c>
      <c r="T7" s="4">
        <f>(S7-V7)/J7*100</f>
      </c>
      <c r="U7" s="4">
        <f>M7-Q7</f>
      </c>
      <c r="W7" s="4">
        <f>S7-V7</f>
      </c>
      <c r="AB7" t="s">
        <v>1</v>
      </c>
    </row>
    <row r="8" spans="1:28" x14ac:dyDescent="0.25">
      <c r="A8" s="8">
        <v>46231.5</v>
      </c>
      <c r="B8" t="s">
        <v>754</v>
      </c>
      <c r="C8" t="s">
        <v>1</v>
      </c>
      <c r="D8" s="9" t="s">
        <v>755</v>
      </c>
      <c r="E8" t="s">
        <v>91</v>
      </c>
      <c r="F8" t="s">
        <v>74</v>
      </c>
      <c r="G8" t="s">
        <v>95</v>
      </c>
      <c r="H8" t="s">
        <v>66</v>
      </c>
      <c r="I8">
        <v>1</v>
      </c>
      <c r="J8" s="4">
        <v>125</v>
      </c>
      <c r="K8" s="4">
        <v>148.75</v>
      </c>
      <c r="L8" s="4">
        <f>K8-J8</f>
      </c>
      <c r="M8" s="4">
        <f>L8*16.67%</f>
      </c>
      <c r="N8" s="4">
        <f>K8/100*11</f>
      </c>
      <c r="O8" s="4">
        <v>8.99</v>
      </c>
      <c r="P8" s="4">
        <v>0</v>
      </c>
      <c r="Q8" s="4">
        <f>P8*20%</f>
      </c>
      <c r="R8" s="4">
        <v>1</v>
      </c>
      <c r="S8" s="4">
        <f>L8-M8-N8-O8-P8-Q8-R8</f>
      </c>
      <c r="T8" s="4">
        <f>(S8-V8)/J8*100</f>
      </c>
      <c r="U8" s="4">
        <f>M8-Q8</f>
      </c>
      <c r="W8" s="4">
        <f>S8-V8</f>
      </c>
      <c r="AB8" t="s">
        <v>1</v>
      </c>
    </row>
    <row r="9" spans="1:28" x14ac:dyDescent="0.25">
      <c r="A9" s="8">
        <v>46231.5</v>
      </c>
      <c r="B9" t="s">
        <v>756</v>
      </c>
      <c r="C9" t="s">
        <v>1</v>
      </c>
      <c r="D9" s="9" t="s">
        <v>757</v>
      </c>
      <c r="E9" t="s">
        <v>234</v>
      </c>
      <c r="F9" t="s">
        <v>99</v>
      </c>
      <c r="G9" t="s">
        <v>65</v>
      </c>
      <c r="H9" t="s">
        <v>66</v>
      </c>
      <c r="I9">
        <v>1</v>
      </c>
      <c r="J9" s="4">
        <v>180</v>
      </c>
      <c r="K9" s="4">
        <v>241.2</v>
      </c>
      <c r="L9" s="4">
        <f>K9-J9</f>
      </c>
      <c r="M9" s="4">
        <f>L9*16.67%</f>
      </c>
      <c r="N9" s="4">
        <f>K9/100*11</f>
      </c>
      <c r="O9" s="4">
        <v>8.99</v>
      </c>
      <c r="P9" s="4">
        <v>0</v>
      </c>
      <c r="Q9" s="4">
        <f>P9*20%</f>
      </c>
      <c r="R9" s="4">
        <v>1</v>
      </c>
      <c r="S9" s="4">
        <f>L9-M9-N9-O9-P9-Q9-R9</f>
      </c>
      <c r="T9" s="4">
        <f>(S9-V9)/J9*100</f>
      </c>
      <c r="U9" s="4">
        <f>M9-Q9</f>
      </c>
      <c r="W9" s="4">
        <f>S9-V9</f>
      </c>
      <c r="AB9" t="s">
        <v>1</v>
      </c>
    </row>
    <row r="10" spans="1:28" x14ac:dyDescent="0.25">
      <c r="A10" s="8">
        <v>46231.5</v>
      </c>
      <c r="B10" t="s">
        <v>758</v>
      </c>
      <c r="C10" t="s">
        <v>1</v>
      </c>
      <c r="D10" s="9" t="s">
        <v>759</v>
      </c>
      <c r="E10" t="s">
        <v>292</v>
      </c>
      <c r="F10" t="s">
        <v>74</v>
      </c>
      <c r="G10" t="s">
        <v>126</v>
      </c>
      <c r="H10" t="s">
        <v>75</v>
      </c>
      <c r="I10">
        <v>1</v>
      </c>
      <c r="J10" s="4">
        <v>179</v>
      </c>
      <c r="K10" s="4">
        <v>209.43</v>
      </c>
      <c r="L10" s="4">
        <f>K10-J10</f>
      </c>
      <c r="M10" s="4">
        <f>L10*16.67%</f>
      </c>
      <c r="N10" s="4">
        <f>K10/100*11</f>
      </c>
      <c r="O10" s="4">
        <v>8.99</v>
      </c>
      <c r="P10" s="4">
        <v>0</v>
      </c>
      <c r="Q10" s="4">
        <f>P10*20%</f>
      </c>
      <c r="R10" s="4">
        <v>1</v>
      </c>
      <c r="S10" s="4">
        <f>L10-M10-N10-O10-P10-Q10-R10</f>
      </c>
      <c r="T10" s="4">
        <f>(S10-V10)/J10*100</f>
      </c>
      <c r="U10" s="4">
        <f>M10-Q10</f>
      </c>
      <c r="W10" s="4">
        <f>S10-V10</f>
      </c>
      <c r="AB10" t="s">
        <v>1</v>
      </c>
    </row>
    <row r="11" spans="1:28" x14ac:dyDescent="0.25">
      <c r="A11" s="8">
        <v>46231.5</v>
      </c>
      <c r="B11" t="s">
        <v>760</v>
      </c>
      <c r="C11" t="s">
        <v>1</v>
      </c>
      <c r="D11" s="9" t="s">
        <v>761</v>
      </c>
      <c r="E11" t="s">
        <v>234</v>
      </c>
      <c r="F11" t="s">
        <v>70</v>
      </c>
      <c r="G11" t="s">
        <v>65</v>
      </c>
      <c r="H11" t="s">
        <v>102</v>
      </c>
      <c r="I11">
        <v>1</v>
      </c>
      <c r="J11" s="4">
        <v>181</v>
      </c>
      <c r="K11" s="4">
        <v>246.16</v>
      </c>
      <c r="L11" s="4">
        <f>K11-J11</f>
      </c>
      <c r="M11" s="4">
        <f>L11*16.67%</f>
      </c>
      <c r="N11" s="4">
        <f>K11/100*11</f>
      </c>
      <c r="O11" s="4">
        <v>8.99</v>
      </c>
      <c r="P11" s="4">
        <v>0</v>
      </c>
      <c r="Q11" s="4">
        <f>P11*20%</f>
      </c>
      <c r="R11" s="4">
        <v>1</v>
      </c>
      <c r="S11" s="4">
        <f>L11-M11-N11-O11-P11-Q11-R11</f>
      </c>
      <c r="T11" s="4">
        <f>(S11-V11)/J11*100</f>
      </c>
      <c r="U11" s="4">
        <f>M11-Q11</f>
      </c>
      <c r="W11" s="4">
        <f>S11-V11</f>
      </c>
      <c r="AB11" t="s">
        <v>1</v>
      </c>
    </row>
    <row r="12" spans="1:28" x14ac:dyDescent="0.25">
      <c r="A12" s="8">
        <v>46231.5</v>
      </c>
      <c r="B12" t="s">
        <v>762</v>
      </c>
      <c r="C12" t="s">
        <v>1</v>
      </c>
      <c r="D12" s="9" t="s">
        <v>763</v>
      </c>
      <c r="E12" t="s">
        <v>73</v>
      </c>
      <c r="F12" t="s">
        <v>85</v>
      </c>
      <c r="G12" t="s">
        <v>60</v>
      </c>
      <c r="H12" t="s">
        <v>75</v>
      </c>
      <c r="I12">
        <v>1</v>
      </c>
      <c r="J12" s="4">
        <v>341</v>
      </c>
      <c r="K12" s="4">
        <v>439.89</v>
      </c>
      <c r="L12" s="4">
        <f>K12-J12</f>
      </c>
      <c r="M12" s="4">
        <f>L12*16.67%</f>
      </c>
      <c r="N12" s="4">
        <f>K12/100*11</f>
      </c>
      <c r="O12" s="4">
        <v>8.99</v>
      </c>
      <c r="P12" s="4">
        <v>0</v>
      </c>
      <c r="Q12" s="4">
        <f>P12*20%</f>
      </c>
      <c r="R12" s="4">
        <v>1</v>
      </c>
      <c r="S12" s="4">
        <f>L12-M12-N12-O12-P12-Q12-R12</f>
      </c>
      <c r="T12" s="4">
        <f>(S12-V12)/J12*100</f>
      </c>
      <c r="U12" s="4">
        <f>M12-Q12</f>
      </c>
      <c r="W12" s="4">
        <f>S12-V12</f>
      </c>
      <c r="AB12" t="s">
        <v>1</v>
      </c>
    </row>
    <row r="13" spans="1:28" x14ac:dyDescent="0.25">
      <c r="A13" s="8">
        <v>46231.5</v>
      </c>
      <c r="B13" t="s">
        <v>764</v>
      </c>
      <c r="C13" t="s">
        <v>1</v>
      </c>
      <c r="D13" s="9" t="s">
        <v>765</v>
      </c>
      <c r="E13" t="s">
        <v>134</v>
      </c>
      <c r="F13" t="s">
        <v>105</v>
      </c>
      <c r="G13" t="s">
        <v>65</v>
      </c>
      <c r="H13" t="s">
        <v>75</v>
      </c>
      <c r="I13">
        <v>1</v>
      </c>
      <c r="J13" s="4">
        <v>139</v>
      </c>
      <c r="K13" s="4">
        <v>201.55</v>
      </c>
      <c r="L13" s="4">
        <f>K13-J13</f>
      </c>
      <c r="M13" s="4">
        <f>L13*16.67%</f>
      </c>
      <c r="N13" s="4">
        <f>K13/100*11</f>
      </c>
      <c r="O13" s="4">
        <v>8.99</v>
      </c>
      <c r="P13" s="4">
        <v>0</v>
      </c>
      <c r="Q13" s="4">
        <f>P13*20%</f>
      </c>
      <c r="R13" s="4">
        <v>1</v>
      </c>
      <c r="S13" s="4">
        <f>L13-M13-N13-O13-P13-Q13-R13</f>
      </c>
      <c r="T13" s="4">
        <f>(S13-V13)/J13*100</f>
      </c>
      <c r="U13" s="4">
        <f>M13-Q13</f>
      </c>
      <c r="W13" s="4">
        <f>S13-V13</f>
      </c>
      <c r="AB13" t="s">
        <v>1</v>
      </c>
    </row>
    <row r="14" spans="1:28" x14ac:dyDescent="0.25">
      <c r="A14" s="8">
        <v>46231.5</v>
      </c>
      <c r="B14" t="s">
        <v>766</v>
      </c>
      <c r="C14" t="s">
        <v>1</v>
      </c>
      <c r="D14" s="9" t="s">
        <v>767</v>
      </c>
      <c r="E14" t="s">
        <v>58</v>
      </c>
      <c r="F14" t="s">
        <v>88</v>
      </c>
      <c r="G14" t="s">
        <v>60</v>
      </c>
      <c r="H14" t="s">
        <v>61</v>
      </c>
      <c r="I14">
        <v>1</v>
      </c>
      <c r="J14" s="4">
        <v>457</v>
      </c>
      <c r="K14" s="4">
        <v>644.37</v>
      </c>
      <c r="L14" s="4">
        <f>K14-J14</f>
      </c>
      <c r="M14" s="4">
        <f>L14*16.67%</f>
      </c>
      <c r="N14" s="4">
        <f>K14/100*11</f>
      </c>
      <c r="O14" s="4">
        <v>8.99</v>
      </c>
      <c r="P14" s="4">
        <v>0</v>
      </c>
      <c r="Q14" s="4">
        <f>P14*20%</f>
      </c>
      <c r="R14" s="4">
        <v>1</v>
      </c>
      <c r="S14" s="4">
        <f>L14-M14-N14-O14-P14-Q14-R14</f>
      </c>
      <c r="T14" s="4">
        <f>(S14-V14)/J14*100</f>
      </c>
      <c r="U14" s="4">
        <f>M14-Q14</f>
      </c>
      <c r="W14" s="4">
        <f>S14-V14</f>
      </c>
      <c r="AB14" t="s">
        <v>1</v>
      </c>
    </row>
    <row r="15" spans="1:28" x14ac:dyDescent="0.25">
      <c r="A15" s="8">
        <v>46231.5</v>
      </c>
      <c r="B15" t="s">
        <v>768</v>
      </c>
      <c r="C15" t="s">
        <v>1</v>
      </c>
      <c r="D15" s="9" t="s">
        <v>769</v>
      </c>
      <c r="E15" t="s">
        <v>125</v>
      </c>
      <c r="F15" t="s">
        <v>99</v>
      </c>
      <c r="G15" t="s">
        <v>126</v>
      </c>
      <c r="H15" t="s">
        <v>66</v>
      </c>
      <c r="I15">
        <v>1</v>
      </c>
      <c r="J15" s="4">
        <v>283</v>
      </c>
      <c r="K15" s="4">
        <v>396.2</v>
      </c>
      <c r="L15" s="4">
        <f>K15-J15</f>
      </c>
      <c r="M15" s="4">
        <f>L15*16.67%</f>
      </c>
      <c r="N15" s="4">
        <f>K15/100*11</f>
      </c>
      <c r="O15" s="4">
        <v>8.99</v>
      </c>
      <c r="P15" s="4">
        <v>0</v>
      </c>
      <c r="Q15" s="4">
        <f>P15*20%</f>
      </c>
      <c r="R15" s="4">
        <v>1</v>
      </c>
      <c r="S15" s="4">
        <f>L15-M15-N15-O15-P15-Q15-R15</f>
      </c>
      <c r="T15" s="4">
        <f>(S15-V15)/J15*100</f>
      </c>
      <c r="U15" s="4">
        <f>M15-Q15</f>
      </c>
      <c r="W15" s="4">
        <f>S15-V15</f>
      </c>
      <c r="AB15" t="s">
        <v>1</v>
      </c>
    </row>
    <row r="16" spans="1:28" x14ac:dyDescent="0.25">
      <c r="A16" s="8">
        <v>46231.5</v>
      </c>
      <c r="B16" t="s">
        <v>770</v>
      </c>
      <c r="C16" t="s">
        <v>1</v>
      </c>
      <c r="D16" s="9" t="s">
        <v>771</v>
      </c>
      <c r="E16" t="s">
        <v>131</v>
      </c>
      <c r="F16" t="s">
        <v>59</v>
      </c>
      <c r="G16" t="s">
        <v>65</v>
      </c>
      <c r="H16" t="s">
        <v>78</v>
      </c>
      <c r="I16">
        <v>1</v>
      </c>
      <c r="J16" s="4">
        <v>297</v>
      </c>
      <c r="K16" s="4">
        <v>347.49</v>
      </c>
      <c r="L16" s="4">
        <f>K16-J16</f>
      </c>
      <c r="M16" s="4">
        <f>L16*16.67%</f>
      </c>
      <c r="N16" s="4">
        <f>K16/100*11</f>
      </c>
      <c r="O16" s="4">
        <v>8.99</v>
      </c>
      <c r="P16" s="4">
        <v>0</v>
      </c>
      <c r="Q16" s="4">
        <f>P16*20%</f>
      </c>
      <c r="R16" s="4">
        <v>1</v>
      </c>
      <c r="S16" s="4">
        <f>L16-M16-N16-O16-P16-Q16-R16</f>
      </c>
      <c r="T16" s="4">
        <f>(S16-V16)/J16*100</f>
      </c>
      <c r="U16" s="4">
        <f>M16-Q16</f>
      </c>
      <c r="W16" s="4">
        <f>S16-V16</f>
      </c>
      <c r="AB16" t="s">
        <v>1</v>
      </c>
    </row>
    <row r="17" spans="1:28" x14ac:dyDescent="0.25">
      <c r="A17" s="8">
        <v>46231.5</v>
      </c>
      <c r="B17" t="s">
        <v>772</v>
      </c>
      <c r="C17" t="s">
        <v>1</v>
      </c>
      <c r="D17" s="9" t="s">
        <v>773</v>
      </c>
      <c r="E17" t="s">
        <v>134</v>
      </c>
      <c r="F17" t="s">
        <v>74</v>
      </c>
      <c r="G17" t="s">
        <v>95</v>
      </c>
      <c r="H17" t="s">
        <v>78</v>
      </c>
      <c r="I17">
        <v>1</v>
      </c>
      <c r="J17" s="4">
        <v>106</v>
      </c>
      <c r="K17" s="4">
        <v>149.46</v>
      </c>
      <c r="L17" s="4">
        <f>K17-J17</f>
      </c>
      <c r="M17" s="4">
        <f>L17*16.67%</f>
      </c>
      <c r="N17" s="4">
        <f>K17/100*11</f>
      </c>
      <c r="O17" s="4">
        <v>8.99</v>
      </c>
      <c r="P17" s="4">
        <v>0</v>
      </c>
      <c r="Q17" s="4">
        <f>P17*20%</f>
      </c>
      <c r="R17" s="4">
        <v>1</v>
      </c>
      <c r="S17" s="4">
        <f>L17-M17-N17-O17-P17-Q17-R17</f>
      </c>
      <c r="T17" s="4">
        <f>(S17-V17)/J17*100</f>
      </c>
      <c r="U17" s="4">
        <f>M17-Q17</f>
      </c>
      <c r="W17" s="4">
        <f>S17-V17</f>
      </c>
      <c r="AB17" t="s">
        <v>1</v>
      </c>
    </row>
    <row r="18" spans="1:28" x14ac:dyDescent="0.25">
      <c r="A18" s="8">
        <v>46231.5</v>
      </c>
      <c r="B18" t="s">
        <v>774</v>
      </c>
      <c r="C18" t="s">
        <v>1</v>
      </c>
      <c r="D18" s="9" t="s">
        <v>775</v>
      </c>
      <c r="E18" t="s">
        <v>84</v>
      </c>
      <c r="F18" t="s">
        <v>59</v>
      </c>
      <c r="G18" t="s">
        <v>60</v>
      </c>
      <c r="H18" t="s">
        <v>66</v>
      </c>
      <c r="I18">
        <v>1</v>
      </c>
      <c r="J18" s="4">
        <v>714</v>
      </c>
      <c r="K18" s="4">
        <v>906.78</v>
      </c>
      <c r="L18" s="4">
        <f>K18-J18</f>
      </c>
      <c r="M18" s="4">
        <f>L18*16.67%</f>
      </c>
      <c r="N18" s="4">
        <f>K18/100*11</f>
      </c>
      <c r="O18" s="4">
        <v>8.99</v>
      </c>
      <c r="P18" s="4">
        <v>0</v>
      </c>
      <c r="Q18" s="4">
        <f>P18*20%</f>
      </c>
      <c r="R18" s="4">
        <v>1</v>
      </c>
      <c r="S18" s="4">
        <f>L18-M18-N18-O18-P18-Q18-R18</f>
      </c>
      <c r="T18" s="4">
        <f>(S18-V18)/J18*100</f>
      </c>
      <c r="U18" s="4">
        <f>M18-Q18</f>
      </c>
      <c r="W18" s="4">
        <f>S18-V18</f>
      </c>
      <c r="AB18" t="s">
        <v>1</v>
      </c>
    </row>
    <row r="19" spans="1:28" x14ac:dyDescent="0.25">
      <c r="A19" s="8">
        <v>46231.5</v>
      </c>
      <c r="B19" t="s">
        <v>776</v>
      </c>
      <c r="C19" t="s">
        <v>1</v>
      </c>
      <c r="D19" s="9" t="s">
        <v>777</v>
      </c>
      <c r="E19" t="s">
        <v>81</v>
      </c>
      <c r="F19" t="s">
        <v>85</v>
      </c>
      <c r="G19" t="s">
        <v>65</v>
      </c>
      <c r="H19" t="s">
        <v>66</v>
      </c>
      <c r="I19">
        <v>1</v>
      </c>
      <c r="J19" s="4">
        <v>598</v>
      </c>
      <c r="K19" s="4">
        <v>723.58</v>
      </c>
      <c r="L19" s="4">
        <f>K19-J19</f>
      </c>
      <c r="M19" s="4">
        <f>L19*16.67%</f>
      </c>
      <c r="N19" s="4">
        <f>K19/100*11</f>
      </c>
      <c r="O19" s="4">
        <v>8.99</v>
      </c>
      <c r="P19" s="4">
        <v>0</v>
      </c>
      <c r="Q19" s="4">
        <f>P19*20%</f>
      </c>
      <c r="R19" s="4">
        <v>1</v>
      </c>
      <c r="S19" s="4">
        <f>L19-M19-N19-O19-P19-Q19-R19</f>
      </c>
      <c r="T19" s="4">
        <f>(S19-V19)/J19*100</f>
      </c>
      <c r="U19" s="4">
        <f>M19-Q19</f>
      </c>
      <c r="W19" s="4">
        <f>S19-V19</f>
      </c>
      <c r="AB19" t="s">
        <v>1</v>
      </c>
    </row>
    <row r="20" spans="1:28" x14ac:dyDescent="0.25">
      <c r="A20" s="8">
        <v>46231.5</v>
      </c>
      <c r="B20" t="s">
        <v>778</v>
      </c>
      <c r="C20" t="s">
        <v>1</v>
      </c>
      <c r="D20" s="9" t="s">
        <v>779</v>
      </c>
      <c r="E20" t="s">
        <v>134</v>
      </c>
      <c r="F20" t="s">
        <v>105</v>
      </c>
      <c r="G20" t="s">
        <v>95</v>
      </c>
      <c r="H20" t="s">
        <v>78</v>
      </c>
      <c r="I20">
        <v>1</v>
      </c>
      <c r="J20" s="4">
        <v>105</v>
      </c>
      <c r="K20" s="4">
        <v>126</v>
      </c>
      <c r="L20" s="4">
        <f>K20-J20</f>
      </c>
      <c r="M20" s="4">
        <f>L20*16.67%</f>
      </c>
      <c r="N20" s="4">
        <f>K20/100*11</f>
      </c>
      <c r="O20" s="4">
        <v>8.99</v>
      </c>
      <c r="P20" s="4">
        <v>0</v>
      </c>
      <c r="Q20" s="4">
        <f>P20*20%</f>
      </c>
      <c r="R20" s="4">
        <v>1</v>
      </c>
      <c r="S20" s="4">
        <f>L20-M20-N20-O20-P20-Q20-R20</f>
      </c>
      <c r="T20" s="4">
        <f>(S20-V20)/J20*100</f>
      </c>
      <c r="U20" s="4">
        <f>M20-Q20</f>
      </c>
      <c r="W20" s="4">
        <f>S20-V20</f>
      </c>
      <c r="AB20" t="s">
        <v>1</v>
      </c>
    </row>
    <row r="21" spans="1:28" x14ac:dyDescent="0.25">
      <c r="A21" s="8">
        <v>46231.5</v>
      </c>
      <c r="B21" t="s">
        <v>780</v>
      </c>
      <c r="C21" t="s">
        <v>1</v>
      </c>
      <c r="D21" s="9" t="s">
        <v>781</v>
      </c>
      <c r="E21" t="s">
        <v>73</v>
      </c>
      <c r="F21" t="s">
        <v>88</v>
      </c>
      <c r="G21" t="s">
        <v>60</v>
      </c>
      <c r="H21" t="s">
        <v>78</v>
      </c>
      <c r="I21">
        <v>1</v>
      </c>
      <c r="J21" s="4">
        <v>353</v>
      </c>
      <c r="K21" s="4">
        <v>444.78</v>
      </c>
      <c r="L21" s="4">
        <f>K21-J21</f>
      </c>
      <c r="M21" s="4">
        <f>L21*16.67%</f>
      </c>
      <c r="N21" s="4">
        <f>K21/100*11</f>
      </c>
      <c r="O21" s="4">
        <v>8.99</v>
      </c>
      <c r="P21" s="4">
        <v>0</v>
      </c>
      <c r="Q21" s="4">
        <f>P21*20%</f>
      </c>
      <c r="R21" s="4">
        <v>1</v>
      </c>
      <c r="S21" s="4">
        <f>L21-M21-N21-O21-P21-Q21-R21</f>
      </c>
      <c r="T21" s="4">
        <f>(S21-V21)/J21*100</f>
      </c>
      <c r="U21" s="4">
        <f>M21-Q21</f>
      </c>
      <c r="W21" s="4">
        <f>S21-V21</f>
      </c>
      <c r="AB21" t="s">
        <v>1</v>
      </c>
    </row>
    <row r="22" spans="1:28" x14ac:dyDescent="0.25">
      <c r="A22" s="8">
        <v>46231.5</v>
      </c>
      <c r="B22" t="s">
        <v>782</v>
      </c>
      <c r="C22" t="s">
        <v>1</v>
      </c>
      <c r="D22" s="9" t="s">
        <v>783</v>
      </c>
      <c r="E22" t="s">
        <v>64</v>
      </c>
      <c r="F22" t="s">
        <v>85</v>
      </c>
      <c r="G22" t="s">
        <v>65</v>
      </c>
      <c r="H22" t="s">
        <v>102</v>
      </c>
      <c r="I22">
        <v>1</v>
      </c>
      <c r="J22" s="4">
        <v>249</v>
      </c>
      <c r="K22" s="4">
        <v>346.11</v>
      </c>
      <c r="L22" s="4">
        <f>K22-J22</f>
      </c>
      <c r="M22" s="4">
        <f>L22*16.67%</f>
      </c>
      <c r="N22" s="4">
        <f>K22/100*11</f>
      </c>
      <c r="O22" s="4">
        <v>8.99</v>
      </c>
      <c r="P22" s="4">
        <v>0</v>
      </c>
      <c r="Q22" s="4">
        <f>P22*20%</f>
      </c>
      <c r="R22" s="4">
        <v>1</v>
      </c>
      <c r="S22" s="4">
        <f>L22-M22-N22-O22-P22-Q22-R22</f>
      </c>
      <c r="T22" s="4">
        <f>(S22-V22)/J22*100</f>
      </c>
      <c r="U22" s="4">
        <f>M22-Q22</f>
      </c>
      <c r="W22" s="4">
        <f>S22-V22</f>
      </c>
      <c r="AB22" t="s">
        <v>1</v>
      </c>
    </row>
    <row r="23" spans="1:28" x14ac:dyDescent="0.25">
      <c r="A23" s="8">
        <v>46231.5</v>
      </c>
      <c r="B23" t="s">
        <v>784</v>
      </c>
      <c r="C23" t="s">
        <v>1</v>
      </c>
      <c r="D23" s="9" t="s">
        <v>785</v>
      </c>
      <c r="E23" t="s">
        <v>69</v>
      </c>
      <c r="F23" t="s">
        <v>85</v>
      </c>
      <c r="G23" t="s">
        <v>60</v>
      </c>
      <c r="H23" t="s">
        <v>75</v>
      </c>
      <c r="I23">
        <v>1</v>
      </c>
      <c r="J23" s="4">
        <v>495</v>
      </c>
      <c r="K23" s="4">
        <v>569.25</v>
      </c>
      <c r="L23" s="4">
        <f>K23-J23</f>
      </c>
      <c r="M23" s="4">
        <f>L23*16.67%</f>
      </c>
      <c r="N23" s="4">
        <f>K23/100*11</f>
      </c>
      <c r="O23" s="4">
        <v>8.99</v>
      </c>
      <c r="P23" s="4">
        <v>0</v>
      </c>
      <c r="Q23" s="4">
        <f>P23*20%</f>
      </c>
      <c r="R23" s="4">
        <v>1</v>
      </c>
      <c r="S23" s="4">
        <f>L23-M23-N23-O23-P23-Q23-R23</f>
      </c>
      <c r="T23" s="4">
        <f>(S23-V23)/J23*100</f>
      </c>
      <c r="U23" s="4">
        <f>M23-Q23</f>
      </c>
      <c r="W23" s="4">
        <f>S23-V23</f>
      </c>
      <c r="AB23" t="s">
        <v>1</v>
      </c>
    </row>
    <row r="24" spans="1:28" x14ac:dyDescent="0.25">
      <c r="A24" s="8">
        <v>46231.5</v>
      </c>
      <c r="B24" t="s">
        <v>786</v>
      </c>
      <c r="C24" t="s">
        <v>1</v>
      </c>
      <c r="D24" s="9" t="s">
        <v>787</v>
      </c>
      <c r="E24" t="s">
        <v>172</v>
      </c>
      <c r="F24" t="s">
        <v>70</v>
      </c>
      <c r="G24" t="s">
        <v>65</v>
      </c>
      <c r="H24" t="s">
        <v>61</v>
      </c>
      <c r="I24">
        <v>1</v>
      </c>
      <c r="J24" s="4">
        <v>146</v>
      </c>
      <c r="K24" s="4">
        <v>172.28</v>
      </c>
      <c r="L24" s="4">
        <f>K24-J24</f>
      </c>
      <c r="M24" s="4">
        <f>L24*16.67%</f>
      </c>
      <c r="N24" s="4">
        <f>K24/100*11</f>
      </c>
      <c r="O24" s="4">
        <v>8.99</v>
      </c>
      <c r="P24" s="4">
        <v>0</v>
      </c>
      <c r="Q24" s="4">
        <f>P24*20%</f>
      </c>
      <c r="R24" s="4">
        <v>1</v>
      </c>
      <c r="S24" s="4">
        <f>L24-M24-N24-O24-P24-Q24-R24</f>
      </c>
      <c r="T24" s="4">
        <f>(S24-V24)/J24*100</f>
      </c>
      <c r="U24" s="4">
        <f>M24-Q24</f>
      </c>
      <c r="W24" s="4">
        <f>S24-V24</f>
      </c>
      <c r="AB24" t="s">
        <v>1</v>
      </c>
    </row>
    <row r="25" spans="1:28" x14ac:dyDescent="0.25">
      <c r="A25" s="8">
        <v>46231.5</v>
      </c>
      <c r="B25" t="s">
        <v>788</v>
      </c>
      <c r="C25" t="s">
        <v>1</v>
      </c>
      <c r="D25" s="9" t="s">
        <v>789</v>
      </c>
      <c r="E25" t="s">
        <v>292</v>
      </c>
      <c r="F25" t="s">
        <v>85</v>
      </c>
      <c r="G25" t="s">
        <v>126</v>
      </c>
      <c r="H25" t="s">
        <v>61</v>
      </c>
      <c r="I25">
        <v>1</v>
      </c>
      <c r="J25" s="4">
        <v>152</v>
      </c>
      <c r="K25" s="4">
        <v>176.32</v>
      </c>
      <c r="L25" s="4">
        <f>K25-J25</f>
      </c>
      <c r="M25" s="4">
        <f>L25*16.67%</f>
      </c>
      <c r="N25" s="4">
        <f>K25/100*11</f>
      </c>
      <c r="O25" s="4">
        <v>8.99</v>
      </c>
      <c r="P25" s="4">
        <v>0</v>
      </c>
      <c r="Q25" s="4">
        <f>P25*20%</f>
      </c>
      <c r="R25" s="4">
        <v>1</v>
      </c>
      <c r="S25" s="4">
        <f>L25-M25-N25-O25-P25-Q25-R25</f>
      </c>
      <c r="T25" s="4">
        <f>(S25-V25)/J25*100</f>
      </c>
      <c r="U25" s="4">
        <f>M25-Q25</f>
      </c>
      <c r="W25" s="4">
        <f>S25-V25</f>
      </c>
      <c r="AB25" t="s">
        <v>1</v>
      </c>
    </row>
    <row r="26" spans="1:28" x14ac:dyDescent="0.25">
      <c r="A26" s="8">
        <v>46231.5</v>
      </c>
      <c r="B26" t="s">
        <v>790</v>
      </c>
      <c r="C26" t="s">
        <v>1</v>
      </c>
      <c r="D26" s="9" t="s">
        <v>791</v>
      </c>
      <c r="E26" t="s">
        <v>94</v>
      </c>
      <c r="F26" t="s">
        <v>70</v>
      </c>
      <c r="G26" t="s">
        <v>95</v>
      </c>
      <c r="H26" t="s">
        <v>75</v>
      </c>
      <c r="I26">
        <v>1</v>
      </c>
      <c r="J26" s="4">
        <v>83</v>
      </c>
      <c r="K26" s="4">
        <v>112.05</v>
      </c>
      <c r="L26" s="4">
        <f>K26-J26</f>
      </c>
      <c r="M26" s="4">
        <f>L26*16.67%</f>
      </c>
      <c r="N26" s="4">
        <f>K26/100*11</f>
      </c>
      <c r="O26" s="4">
        <v>8.99</v>
      </c>
      <c r="P26" s="4">
        <v>0</v>
      </c>
      <c r="Q26" s="4">
        <f>P26*20%</f>
      </c>
      <c r="R26" s="4">
        <v>1</v>
      </c>
      <c r="S26" s="4">
        <f>L26-M26-N26-O26-P26-Q26-R26</f>
      </c>
      <c r="T26" s="4">
        <f>(S26-V26)/J26*100</f>
      </c>
      <c r="U26" s="4">
        <f>M26-Q26</f>
      </c>
      <c r="W26" s="4">
        <f>S26-V26</f>
      </c>
      <c r="AB26" t="s">
        <v>1</v>
      </c>
    </row>
    <row r="27" spans="1:28" x14ac:dyDescent="0.25">
      <c r="A27" s="8">
        <v>46231.5</v>
      </c>
      <c r="B27" t="s">
        <v>792</v>
      </c>
      <c r="C27" t="s">
        <v>1</v>
      </c>
      <c r="D27" s="9" t="s">
        <v>793</v>
      </c>
      <c r="E27" t="s">
        <v>234</v>
      </c>
      <c r="F27" t="s">
        <v>105</v>
      </c>
      <c r="G27" t="s">
        <v>65</v>
      </c>
      <c r="H27" t="s">
        <v>66</v>
      </c>
      <c r="I27">
        <v>1</v>
      </c>
      <c r="J27" s="4">
        <v>152</v>
      </c>
      <c r="K27" s="4">
        <v>193.04</v>
      </c>
      <c r="L27" s="4">
        <f>K27-J27</f>
      </c>
      <c r="M27" s="4">
        <f>L27*16.67%</f>
      </c>
      <c r="N27" s="4">
        <f>K27/100*11</f>
      </c>
      <c r="O27" s="4">
        <v>8.99</v>
      </c>
      <c r="P27" s="4">
        <v>0</v>
      </c>
      <c r="Q27" s="4">
        <f>P27*20%</f>
      </c>
      <c r="R27" s="4">
        <v>1</v>
      </c>
      <c r="S27" s="4">
        <f>L27-M27-N27-O27-P27-Q27-R27</f>
      </c>
      <c r="T27" s="4">
        <f>(S27-V27)/J27*100</f>
      </c>
      <c r="U27" s="4">
        <f>M27-Q27</f>
      </c>
      <c r="W27" s="4">
        <f>S27-V27</f>
      </c>
      <c r="AB27" t="s">
        <v>1</v>
      </c>
    </row>
    <row r="28" spans="1:28" x14ac:dyDescent="0.25">
      <c r="A28" s="8">
        <v>46231.5</v>
      </c>
      <c r="B28" t="s">
        <v>794</v>
      </c>
      <c r="C28" t="s">
        <v>1</v>
      </c>
      <c r="D28" s="9" t="s">
        <v>795</v>
      </c>
      <c r="E28" t="s">
        <v>64</v>
      </c>
      <c r="F28" t="s">
        <v>105</v>
      </c>
      <c r="G28" t="s">
        <v>65</v>
      </c>
      <c r="H28" t="s">
        <v>78</v>
      </c>
      <c r="I28">
        <v>1</v>
      </c>
      <c r="J28" s="4">
        <v>243</v>
      </c>
      <c r="K28" s="4">
        <v>342.63</v>
      </c>
      <c r="L28" s="4">
        <f>K28-J28</f>
      </c>
      <c r="M28" s="4">
        <f>L28*16.67%</f>
      </c>
      <c r="N28" s="4">
        <f>K28/100*11</f>
      </c>
      <c r="O28" s="4">
        <v>8.99</v>
      </c>
      <c r="P28" s="4">
        <v>0</v>
      </c>
      <c r="Q28" s="4">
        <f>P28*20%</f>
      </c>
      <c r="R28" s="4">
        <v>1</v>
      </c>
      <c r="S28" s="4">
        <f>L28-M28-N28-O28-P28-Q28-R28</f>
      </c>
      <c r="T28" s="4">
        <f>(S28-V28)/J28*100</f>
      </c>
      <c r="U28" s="4">
        <f>M28-Q28</f>
      </c>
      <c r="W28" s="4">
        <f>S28-V28</f>
      </c>
      <c r="AB28" t="s">
        <v>1</v>
      </c>
    </row>
    <row r="29" spans="1:28" x14ac:dyDescent="0.25">
      <c r="A29" s="8">
        <v>46231.5</v>
      </c>
      <c r="B29" t="s">
        <v>796</v>
      </c>
      <c r="C29" t="s">
        <v>1</v>
      </c>
      <c r="D29" s="9" t="s">
        <v>797</v>
      </c>
      <c r="E29" t="s">
        <v>292</v>
      </c>
      <c r="F29" t="s">
        <v>74</v>
      </c>
      <c r="G29" t="s">
        <v>126</v>
      </c>
      <c r="H29" t="s">
        <v>61</v>
      </c>
      <c r="I29">
        <v>1</v>
      </c>
      <c r="J29" s="4">
        <v>162</v>
      </c>
      <c r="K29" s="4">
        <v>215.46</v>
      </c>
      <c r="L29" s="4">
        <f>K29-J29</f>
      </c>
      <c r="M29" s="4">
        <f>L29*16.67%</f>
      </c>
      <c r="N29" s="4">
        <f>K29/100*11</f>
      </c>
      <c r="O29" s="4">
        <v>8.99</v>
      </c>
      <c r="P29" s="4">
        <v>0</v>
      </c>
      <c r="Q29" s="4">
        <f>P29*20%</f>
      </c>
      <c r="R29" s="4">
        <v>1</v>
      </c>
      <c r="S29" s="4">
        <f>L29-M29-N29-O29-P29-Q29-R29</f>
      </c>
      <c r="T29" s="4">
        <f>(S29-V29)/J29*100</f>
      </c>
      <c r="U29" s="4">
        <f>M29-Q29</f>
      </c>
      <c r="W29" s="4">
        <f>S29-V29</f>
      </c>
      <c r="AB29" t="s">
        <v>1</v>
      </c>
    </row>
    <row r="30" spans="1:28" x14ac:dyDescent="0.25">
      <c r="A30" s="8">
        <v>46231.5</v>
      </c>
      <c r="B30" t="s">
        <v>798</v>
      </c>
      <c r="C30" t="s">
        <v>1</v>
      </c>
      <c r="D30" s="9" t="s">
        <v>799</v>
      </c>
      <c r="E30" t="s">
        <v>69</v>
      </c>
      <c r="F30" t="s">
        <v>105</v>
      </c>
      <c r="G30" t="s">
        <v>60</v>
      </c>
      <c r="H30" t="s">
        <v>75</v>
      </c>
      <c r="I30">
        <v>1</v>
      </c>
      <c r="J30" s="4">
        <v>555</v>
      </c>
      <c r="K30" s="4">
        <v>638.25</v>
      </c>
      <c r="L30" s="4">
        <f>K30-J30</f>
      </c>
      <c r="M30" s="4">
        <f>L30*16.67%</f>
      </c>
      <c r="N30" s="4">
        <f>K30/100*11</f>
      </c>
      <c r="O30" s="4">
        <v>8.99</v>
      </c>
      <c r="P30" s="4">
        <v>0</v>
      </c>
      <c r="Q30" s="4">
        <f>P30*20%</f>
      </c>
      <c r="R30" s="4">
        <v>1</v>
      </c>
      <c r="S30" s="4">
        <f>L30-M30-N30-O30-P30-Q30-R30</f>
      </c>
      <c r="T30" s="4">
        <f>(S30-V30)/J30*100</f>
      </c>
      <c r="U30" s="4">
        <f>M30-Q30</f>
      </c>
      <c r="W30" s="4">
        <f>S30-V30</f>
      </c>
      <c r="AB30" t="s">
        <v>1</v>
      </c>
    </row>
    <row r="31" spans="1:28" x14ac:dyDescent="0.25">
      <c r="A31" s="8">
        <v>46231.5</v>
      </c>
      <c r="B31" t="s">
        <v>800</v>
      </c>
      <c r="C31" t="s">
        <v>1</v>
      </c>
      <c r="D31" s="9" t="s">
        <v>801</v>
      </c>
      <c r="E31" t="s">
        <v>131</v>
      </c>
      <c r="F31" t="s">
        <v>88</v>
      </c>
      <c r="G31" t="s">
        <v>65</v>
      </c>
      <c r="H31" t="s">
        <v>75</v>
      </c>
      <c r="I31">
        <v>1</v>
      </c>
      <c r="J31" s="4">
        <v>329</v>
      </c>
      <c r="K31" s="4">
        <v>424.41</v>
      </c>
      <c r="L31" s="4">
        <f>K31-J31</f>
      </c>
      <c r="M31" s="4">
        <f>L31*16.67%</f>
      </c>
      <c r="N31" s="4">
        <f>K31/100*11</f>
      </c>
      <c r="O31" s="4">
        <v>8.99</v>
      </c>
      <c r="P31" s="4">
        <v>0</v>
      </c>
      <c r="Q31" s="4">
        <f>P31*20%</f>
      </c>
      <c r="R31" s="4">
        <v>1</v>
      </c>
      <c r="S31" s="4">
        <f>L31-M31-N31-O31-P31-Q31-R31</f>
      </c>
      <c r="T31" s="4">
        <f>(S31-V31)/J31*100</f>
      </c>
      <c r="U31" s="4">
        <f>M31-Q31</f>
      </c>
      <c r="W31" s="4">
        <f>S31-V31</f>
      </c>
      <c r="AB31" t="s">
        <v>1</v>
      </c>
    </row>
    <row r="32" spans="1:28" x14ac:dyDescent="0.25">
      <c r="A32" s="8">
        <v>46231.5</v>
      </c>
      <c r="B32" t="s">
        <v>802</v>
      </c>
      <c r="C32" t="s">
        <v>1</v>
      </c>
      <c r="D32" s="9" t="s">
        <v>803</v>
      </c>
      <c r="E32" t="s">
        <v>94</v>
      </c>
      <c r="F32" t="s">
        <v>70</v>
      </c>
      <c r="G32" t="s">
        <v>95</v>
      </c>
      <c r="H32" t="s">
        <v>61</v>
      </c>
      <c r="I32">
        <v>1</v>
      </c>
      <c r="J32" s="4">
        <v>80</v>
      </c>
      <c r="K32" s="4">
        <v>95.2</v>
      </c>
      <c r="L32" s="4">
        <f>K32-J32</f>
      </c>
      <c r="M32" s="4">
        <f>L32*16.67%</f>
      </c>
      <c r="N32" s="4">
        <f>K32/100*11</f>
      </c>
      <c r="O32" s="4">
        <v>8.99</v>
      </c>
      <c r="P32" s="4">
        <v>0</v>
      </c>
      <c r="Q32" s="4">
        <f>P32*20%</f>
      </c>
      <c r="R32" s="4">
        <v>1</v>
      </c>
      <c r="S32" s="4">
        <f>L32-M32-N32-O32-P32-Q32-R32</f>
      </c>
      <c r="T32" s="4">
        <f>(S32-V32)/J32*100</f>
      </c>
      <c r="U32" s="4">
        <f>M32-Q32</f>
      </c>
      <c r="W32" s="4">
        <f>S32-V32</f>
      </c>
      <c r="AB32" t="s">
        <v>1</v>
      </c>
    </row>
    <row r="33" spans="1:28" x14ac:dyDescent="0.25">
      <c r="A33" s="8">
        <v>46231.5</v>
      </c>
      <c r="B33" t="s">
        <v>804</v>
      </c>
      <c r="C33" t="s">
        <v>1</v>
      </c>
      <c r="D33" s="9" t="s">
        <v>805</v>
      </c>
      <c r="E33" t="s">
        <v>125</v>
      </c>
      <c r="F33" t="s">
        <v>85</v>
      </c>
      <c r="G33" t="s">
        <v>126</v>
      </c>
      <c r="H33" t="s">
        <v>75</v>
      </c>
      <c r="I33">
        <v>1</v>
      </c>
      <c r="J33" s="4">
        <v>300</v>
      </c>
      <c r="K33" s="4">
        <v>411</v>
      </c>
      <c r="L33" s="4">
        <f>K33-J33</f>
      </c>
      <c r="M33" s="4">
        <f>L33*16.67%</f>
      </c>
      <c r="N33" s="4">
        <f>K33/100*11</f>
      </c>
      <c r="O33" s="4">
        <v>8.99</v>
      </c>
      <c r="P33" s="4">
        <v>0</v>
      </c>
      <c r="Q33" s="4">
        <f>P33*20%</f>
      </c>
      <c r="R33" s="4">
        <v>1</v>
      </c>
      <c r="S33" s="4">
        <f>L33-M33-N33-O33-P33-Q33-R33</f>
      </c>
      <c r="T33" s="4">
        <f>(S33-V33)/J33*100</f>
      </c>
      <c r="U33" s="4">
        <f>M33-Q33</f>
      </c>
      <c r="W33" s="4">
        <f>S33-V33</f>
      </c>
      <c r="AB33" t="s">
        <v>1</v>
      </c>
    </row>
    <row r="34" spans="1:28" x14ac:dyDescent="0.25">
      <c r="A34" s="8">
        <v>46231.5</v>
      </c>
      <c r="B34" t="s">
        <v>806</v>
      </c>
      <c r="C34" t="s">
        <v>1</v>
      </c>
      <c r="D34" s="9" t="s">
        <v>807</v>
      </c>
      <c r="E34" t="s">
        <v>73</v>
      </c>
      <c r="F34" t="s">
        <v>105</v>
      </c>
      <c r="G34" t="s">
        <v>60</v>
      </c>
      <c r="H34" t="s">
        <v>78</v>
      </c>
      <c r="I34">
        <v>1</v>
      </c>
      <c r="J34" s="4">
        <v>361</v>
      </c>
      <c r="K34" s="4">
        <v>498.18</v>
      </c>
      <c r="L34" s="4">
        <f>K34-J34</f>
      </c>
      <c r="M34" s="4">
        <f>L34*16.67%</f>
      </c>
      <c r="N34" s="4">
        <f>K34/100*11</f>
      </c>
      <c r="O34" s="4">
        <v>8.99</v>
      </c>
      <c r="P34" s="4">
        <v>0</v>
      </c>
      <c r="Q34" s="4">
        <f>P34*20%</f>
      </c>
      <c r="R34" s="4">
        <v>1</v>
      </c>
      <c r="S34" s="4">
        <f>L34-M34-N34-O34-P34-Q34-R34</f>
      </c>
      <c r="T34" s="4">
        <f>(S34-V34)/J34*100</f>
      </c>
      <c r="U34" s="4">
        <f>M34-Q34</f>
      </c>
      <c r="W34" s="4">
        <f>S34-V34</f>
      </c>
      <c r="AB34" t="s">
        <v>1</v>
      </c>
    </row>
    <row r="35" spans="1:28" x14ac:dyDescent="0.25">
      <c r="A35" s="8">
        <v>46231.5</v>
      </c>
      <c r="B35" t="s">
        <v>808</v>
      </c>
      <c r="C35" t="s">
        <v>1</v>
      </c>
      <c r="D35" s="9" t="s">
        <v>809</v>
      </c>
      <c r="E35" t="s">
        <v>94</v>
      </c>
      <c r="F35" t="s">
        <v>88</v>
      </c>
      <c r="G35" t="s">
        <v>95</v>
      </c>
      <c r="H35" t="s">
        <v>61</v>
      </c>
      <c r="I35">
        <v>1</v>
      </c>
      <c r="J35" s="4">
        <v>80</v>
      </c>
      <c r="K35" s="4">
        <v>114.4</v>
      </c>
      <c r="L35" s="4">
        <f>K35-J35</f>
      </c>
      <c r="M35" s="4">
        <f>L35*16.67%</f>
      </c>
      <c r="N35" s="4">
        <f>K35/100*11</f>
      </c>
      <c r="O35" s="4">
        <v>8.99</v>
      </c>
      <c r="P35" s="4">
        <v>0</v>
      </c>
      <c r="Q35" s="4">
        <f>P35*20%</f>
      </c>
      <c r="R35" s="4">
        <v>1</v>
      </c>
      <c r="S35" s="4">
        <f>L35-M35-N35-O35-P35-Q35-R35</f>
      </c>
      <c r="T35" s="4">
        <f>(S35-V35)/J35*100</f>
      </c>
      <c r="U35" s="4">
        <f>M35-Q35</f>
      </c>
      <c r="W35" s="4">
        <f>S35-V35</f>
      </c>
      <c r="AB35" t="s">
        <v>1</v>
      </c>
    </row>
    <row r="36" spans="1:28" x14ac:dyDescent="0.25">
      <c r="A36" s="8">
        <v>46231.5</v>
      </c>
      <c r="B36" t="s">
        <v>810</v>
      </c>
      <c r="C36" t="s">
        <v>1</v>
      </c>
      <c r="D36" s="9" t="s">
        <v>811</v>
      </c>
      <c r="E36" t="s">
        <v>139</v>
      </c>
      <c r="F36" t="s">
        <v>70</v>
      </c>
      <c r="G36" t="s">
        <v>65</v>
      </c>
      <c r="H36" t="s">
        <v>75</v>
      </c>
      <c r="I36">
        <v>1</v>
      </c>
      <c r="J36" s="4">
        <v>338</v>
      </c>
      <c r="K36" s="4">
        <v>408.98</v>
      </c>
      <c r="L36" s="4">
        <f>K36-J36</f>
      </c>
      <c r="M36" s="4">
        <f>L36*16.67%</f>
      </c>
      <c r="N36" s="4">
        <f>K36/100*11</f>
      </c>
      <c r="O36" s="4">
        <v>8.99</v>
      </c>
      <c r="P36" s="4">
        <v>0</v>
      </c>
      <c r="Q36" s="4">
        <f>P36*20%</f>
      </c>
      <c r="R36" s="4">
        <v>1</v>
      </c>
      <c r="S36" s="4">
        <f>L36-M36-N36-O36-P36-Q36-R36</f>
      </c>
      <c r="T36" s="4">
        <f>(S36-V36)/J36*100</f>
      </c>
      <c r="U36" s="4">
        <f>M36-Q36</f>
      </c>
      <c r="W36" s="4">
        <f>S36-V36</f>
      </c>
      <c r="AB36" t="s">
        <v>1</v>
      </c>
    </row>
    <row r="37" spans="1:28" x14ac:dyDescent="0.25">
      <c r="A37" s="8">
        <v>46231.5</v>
      </c>
      <c r="B37" t="s">
        <v>812</v>
      </c>
      <c r="C37" t="s">
        <v>1</v>
      </c>
      <c r="D37" s="9" t="s">
        <v>813</v>
      </c>
      <c r="E37" t="s">
        <v>73</v>
      </c>
      <c r="F37" t="s">
        <v>70</v>
      </c>
      <c r="G37" t="s">
        <v>60</v>
      </c>
      <c r="H37" t="s">
        <v>66</v>
      </c>
      <c r="I37">
        <v>1</v>
      </c>
      <c r="J37" s="4">
        <v>372</v>
      </c>
      <c r="K37" s="4">
        <v>531.96</v>
      </c>
      <c r="L37" s="4">
        <f>K37-J37</f>
      </c>
      <c r="M37" s="4">
        <f>L37*16.67%</f>
      </c>
      <c r="N37" s="4">
        <f>K37/100*11</f>
      </c>
      <c r="O37" s="4">
        <v>8.99</v>
      </c>
      <c r="P37" s="4">
        <v>0</v>
      </c>
      <c r="Q37" s="4">
        <f>P37*20%</f>
      </c>
      <c r="R37" s="4">
        <v>1</v>
      </c>
      <c r="S37" s="4">
        <f>L37-M37-N37-O37-P37-Q37-R37</f>
      </c>
      <c r="T37" s="4">
        <f>(S37-V37)/J37*100</f>
      </c>
      <c r="U37" s="4">
        <f>M37-Q37</f>
      </c>
      <c r="W37" s="4">
        <f>S37-V37</f>
      </c>
      <c r="AB37" t="s">
        <v>1</v>
      </c>
    </row>
    <row r="38" spans="1:28" x14ac:dyDescent="0.25">
      <c r="A38" s="8">
        <v>46231.5</v>
      </c>
      <c r="B38" t="s">
        <v>814</v>
      </c>
      <c r="C38" t="s">
        <v>1</v>
      </c>
      <c r="D38" s="9" t="s">
        <v>815</v>
      </c>
      <c r="E38" t="s">
        <v>81</v>
      </c>
      <c r="F38" t="s">
        <v>88</v>
      </c>
      <c r="G38" t="s">
        <v>60</v>
      </c>
      <c r="H38" t="s">
        <v>66</v>
      </c>
      <c r="I38">
        <v>1</v>
      </c>
      <c r="J38" s="4">
        <v>542</v>
      </c>
      <c r="K38" s="4">
        <v>661.24</v>
      </c>
      <c r="L38" s="4">
        <f>K38-J38</f>
      </c>
      <c r="M38" s="4">
        <f>L38*16.67%</f>
      </c>
      <c r="N38" s="4">
        <f>K38/100*11</f>
      </c>
      <c r="O38" s="4">
        <v>8.99</v>
      </c>
      <c r="P38" s="4">
        <v>0</v>
      </c>
      <c r="Q38" s="4">
        <f>P38*20%</f>
      </c>
      <c r="R38" s="4">
        <v>1</v>
      </c>
      <c r="S38" s="4">
        <f>L38-M38-N38-O38-P38-Q38-R38</f>
      </c>
      <c r="T38" s="4">
        <f>(S38-V38)/J38*100</f>
      </c>
      <c r="U38" s="4">
        <f>M38-Q38</f>
      </c>
      <c r="W38" s="4">
        <f>S38-V38</f>
      </c>
      <c r="AB38" t="s">
        <v>1</v>
      </c>
    </row>
    <row r="39" spans="1:28" x14ac:dyDescent="0.25">
      <c r="A39" s="8">
        <v>46231.5</v>
      </c>
      <c r="B39" t="s">
        <v>816</v>
      </c>
      <c r="C39" t="s">
        <v>189</v>
      </c>
      <c r="D39" s="9" t="s">
        <v>1</v>
      </c>
      <c r="E39" t="s">
        <v>189</v>
      </c>
      <c r="F39" t="s">
        <v>1</v>
      </c>
      <c r="G39" t="s">
        <v>1</v>
      </c>
      <c r="H39" t="s">
        <v>66</v>
      </c>
      <c r="I39">
        <v>3</v>
      </c>
      <c r="J39" s="4">
        <v>10.5</v>
      </c>
      <c r="K39" s="4">
        <v>13.65</v>
      </c>
      <c r="L39" s="4">
        <f>K39-J39</f>
      </c>
      <c r="M39" s="4">
        <f>L39*16.67%</f>
      </c>
      <c r="N39" s="4">
        <f>K39/100*11</f>
      </c>
      <c r="O39" s="4">
        <v>8.99</v>
      </c>
      <c r="P39" s="4">
        <v>0</v>
      </c>
      <c r="Q39" s="4">
        <f>P39*20%</f>
      </c>
      <c r="R39" s="4">
        <v>0</v>
      </c>
      <c r="S39" s="4">
        <f>L39-M39-N39-O39-P39-Q39-R39</f>
      </c>
      <c r="T39" s="4">
        <f>(S39-V39)/J39*100</f>
      </c>
      <c r="U39" s="4">
        <f>M39-Q39</f>
      </c>
      <c r="W39" s="4">
        <f>S39-V39</f>
      </c>
      <c r="AB39" t="s">
        <v>1</v>
      </c>
    </row>
    <row r="40" spans="1:28" x14ac:dyDescent="0.25">
      <c r="A40" s="8">
        <v>46231.5</v>
      </c>
      <c r="B40" t="s">
        <v>817</v>
      </c>
      <c r="C40" t="s">
        <v>189</v>
      </c>
      <c r="D40" s="9" t="s">
        <v>1</v>
      </c>
      <c r="E40" t="s">
        <v>189</v>
      </c>
      <c r="F40" t="s">
        <v>1</v>
      </c>
      <c r="G40" t="s">
        <v>1</v>
      </c>
      <c r="H40" t="s">
        <v>66</v>
      </c>
      <c r="I40">
        <v>3</v>
      </c>
      <c r="J40" s="4">
        <v>10.5</v>
      </c>
      <c r="K40" s="4">
        <v>13.23</v>
      </c>
      <c r="L40" s="4">
        <f>K40-J40</f>
      </c>
      <c r="M40" s="4">
        <f>L40*16.67%</f>
      </c>
      <c r="N40" s="4">
        <f>K40/100*11</f>
      </c>
      <c r="O40" s="4">
        <v>8.99</v>
      </c>
      <c r="P40" s="4">
        <v>0</v>
      </c>
      <c r="Q40" s="4">
        <f>P40*20%</f>
      </c>
      <c r="R40" s="4">
        <v>0</v>
      </c>
      <c r="S40" s="4">
        <f>L40-M40-N40-O40-P40-Q40-R40</f>
      </c>
      <c r="T40" s="4">
        <f>(S40-V40)/J40*100</f>
      </c>
      <c r="U40" s="4">
        <f>M40-Q40</f>
      </c>
      <c r="W40" s="4">
        <f>S40-V40</f>
      </c>
      <c r="AB40" t="s">
        <v>1</v>
      </c>
    </row>
    <row r="41" spans="1:28" x14ac:dyDescent="0.25">
      <c r="A41" s="8">
        <v>46231.5</v>
      </c>
      <c r="B41" t="s">
        <v>818</v>
      </c>
      <c r="C41" t="s">
        <v>174</v>
      </c>
      <c r="D41" s="9" t="s">
        <v>1</v>
      </c>
      <c r="E41" t="s">
        <v>174</v>
      </c>
      <c r="F41" t="s">
        <v>1</v>
      </c>
      <c r="G41" t="s">
        <v>1</v>
      </c>
      <c r="H41" t="s">
        <v>66</v>
      </c>
      <c r="I41">
        <v>1</v>
      </c>
      <c r="J41" s="4">
        <v>4.25</v>
      </c>
      <c r="K41" s="4">
        <v>5.99</v>
      </c>
      <c r="L41" s="4">
        <f>K41-J41</f>
      </c>
      <c r="M41" s="4">
        <f>L41*16.67%</f>
      </c>
      <c r="N41" s="4">
        <f>K41/100*11</f>
      </c>
      <c r="O41" s="4">
        <v>8.99</v>
      </c>
      <c r="P41" s="4">
        <v>0</v>
      </c>
      <c r="Q41" s="4">
        <f>P41*20%</f>
      </c>
      <c r="R41" s="4">
        <v>0</v>
      </c>
      <c r="S41" s="4">
        <f>L41-M41-N41-O41-P41-Q41-R41</f>
      </c>
      <c r="T41" s="4">
        <f>(S41-V41)/J41*100</f>
      </c>
      <c r="U41" s="4">
        <f>M41-Q41</f>
      </c>
      <c r="W41" s="4">
        <f>S41-V41</f>
      </c>
      <c r="AB41" t="s">
        <v>1</v>
      </c>
    </row>
    <row r="42" spans="1:28" x14ac:dyDescent="0.25">
      <c r="A42" s="8">
        <v>46231.5</v>
      </c>
      <c r="B42" t="s">
        <v>819</v>
      </c>
      <c r="C42" t="s">
        <v>254</v>
      </c>
      <c r="D42" s="9" t="s">
        <v>1</v>
      </c>
      <c r="E42" t="s">
        <v>254</v>
      </c>
      <c r="F42" t="s">
        <v>1</v>
      </c>
      <c r="G42" t="s">
        <v>1</v>
      </c>
      <c r="H42" t="s">
        <v>61</v>
      </c>
      <c r="I42">
        <v>4</v>
      </c>
      <c r="J42" s="4">
        <v>3.2</v>
      </c>
      <c r="K42" s="4">
        <v>4.58</v>
      </c>
      <c r="L42" s="4">
        <f>K42-J42</f>
      </c>
      <c r="M42" s="4">
        <f>L42*16.67%</f>
      </c>
      <c r="N42" s="4">
        <f>K42/100*11</f>
      </c>
      <c r="O42" s="4">
        <v>8.99</v>
      </c>
      <c r="P42" s="4">
        <v>0</v>
      </c>
      <c r="Q42" s="4">
        <f>P42*20%</f>
      </c>
      <c r="R42" s="4">
        <v>0</v>
      </c>
      <c r="S42" s="4">
        <f>L42-M42-N42-O42-P42-Q42-R42</f>
      </c>
      <c r="T42" s="4">
        <f>(S42-V42)/J42*100</f>
      </c>
      <c r="U42" s="4">
        <f>M42-Q42</f>
      </c>
      <c r="W42" s="4">
        <f>S42-V42</f>
      </c>
      <c r="AB42" t="s">
        <v>1</v>
      </c>
    </row>
    <row r="43" spans="1:28" x14ac:dyDescent="0.25">
      <c r="A43" s="8">
        <v>46231.5</v>
      </c>
      <c r="B43" t="s">
        <v>820</v>
      </c>
      <c r="C43" t="s">
        <v>254</v>
      </c>
      <c r="D43" s="9" t="s">
        <v>1</v>
      </c>
      <c r="E43" t="s">
        <v>254</v>
      </c>
      <c r="F43" t="s">
        <v>1</v>
      </c>
      <c r="G43" t="s">
        <v>1</v>
      </c>
      <c r="H43" t="s">
        <v>61</v>
      </c>
      <c r="I43">
        <v>3</v>
      </c>
      <c r="J43" s="4">
        <v>2.4</v>
      </c>
      <c r="K43" s="4">
        <v>2.86</v>
      </c>
      <c r="L43" s="4">
        <f>K43-J43</f>
      </c>
      <c r="M43" s="4">
        <f>L43*16.67%</f>
      </c>
      <c r="N43" s="4">
        <f>K43/100*11</f>
      </c>
      <c r="O43" s="4">
        <v>8.99</v>
      </c>
      <c r="P43" s="4">
        <v>0</v>
      </c>
      <c r="Q43" s="4">
        <f>P43*20%</f>
      </c>
      <c r="R43" s="4">
        <v>0</v>
      </c>
      <c r="S43" s="4">
        <f>L43-M43-N43-O43-P43-Q43-R43</f>
      </c>
      <c r="T43" s="4">
        <f>(S43-V43)/J43*100</f>
      </c>
      <c r="U43" s="4">
        <f>M43-Q43</f>
      </c>
      <c r="W43" s="4">
        <f>S43-V43</f>
      </c>
      <c r="AB43" t="s">
        <v>1</v>
      </c>
    </row>
    <row r="44" spans="1:28" x14ac:dyDescent="0.25">
      <c r="A44" s="8">
        <v>46231.5</v>
      </c>
      <c r="B44" t="s">
        <v>821</v>
      </c>
      <c r="C44" t="s">
        <v>254</v>
      </c>
      <c r="D44" s="9" t="s">
        <v>1</v>
      </c>
      <c r="E44" t="s">
        <v>254</v>
      </c>
      <c r="F44" t="s">
        <v>1</v>
      </c>
      <c r="G44" t="s">
        <v>1</v>
      </c>
      <c r="H44" t="s">
        <v>61</v>
      </c>
      <c r="I44">
        <v>4</v>
      </c>
      <c r="J44" s="4">
        <v>3.2</v>
      </c>
      <c r="K44" s="4">
        <v>4.22</v>
      </c>
      <c r="L44" s="4">
        <f>K44-J44</f>
      </c>
      <c r="M44" s="4">
        <f>L44*16.67%</f>
      </c>
      <c r="N44" s="4">
        <f>K44/100*11</f>
      </c>
      <c r="O44" s="4">
        <v>8.99</v>
      </c>
      <c r="P44" s="4">
        <v>0</v>
      </c>
      <c r="Q44" s="4">
        <f>P44*20%</f>
      </c>
      <c r="R44" s="4">
        <v>0</v>
      </c>
      <c r="S44" s="4">
        <f>L44-M44-N44-O44-P44-Q44-R44</f>
      </c>
      <c r="T44" s="4">
        <f>(S44-V44)/J44*100</f>
      </c>
      <c r="U44" s="4">
        <f>M44-Q44</f>
      </c>
      <c r="W44" s="4">
        <f>S44-V44</f>
      </c>
      <c r="AB44" t="s">
        <v>1</v>
      </c>
    </row>
    <row r="45" spans="1:28" x14ac:dyDescent="0.25">
      <c r="A45" s="8">
        <v>46231.5</v>
      </c>
      <c r="B45" t="s">
        <v>822</v>
      </c>
      <c r="C45" t="s">
        <v>254</v>
      </c>
      <c r="D45" s="9" t="s">
        <v>1</v>
      </c>
      <c r="E45" t="s">
        <v>254</v>
      </c>
      <c r="F45" t="s">
        <v>1</v>
      </c>
      <c r="G45" t="s">
        <v>1</v>
      </c>
      <c r="H45" t="s">
        <v>61</v>
      </c>
      <c r="I45">
        <v>1</v>
      </c>
      <c r="J45" s="4">
        <v>0.8</v>
      </c>
      <c r="K45" s="4">
        <v>0.99</v>
      </c>
      <c r="L45" s="4">
        <f>K45-J45</f>
      </c>
      <c r="M45" s="4">
        <f>L45*16.67%</f>
      </c>
      <c r="N45" s="4">
        <f>K45/100*11</f>
      </c>
      <c r="O45" s="4">
        <v>8.99</v>
      </c>
      <c r="P45" s="4">
        <v>0</v>
      </c>
      <c r="Q45" s="4">
        <f>P45*20%</f>
      </c>
      <c r="R45" s="4">
        <v>0</v>
      </c>
      <c r="S45" s="4">
        <f>L45-M45-N45-O45-P45-Q45-R45</f>
      </c>
      <c r="T45" s="4">
        <f>(S45-V45)/J45*100</f>
      </c>
      <c r="U45" s="4">
        <f>M45-Q45</f>
      </c>
      <c r="W45" s="4">
        <f>S45-V45</f>
      </c>
      <c r="AB45" t="s">
        <v>1</v>
      </c>
    </row>
    <row r="46" spans="1:28" x14ac:dyDescent="0.25">
      <c r="A46" s="8">
        <v>46231.5</v>
      </c>
      <c r="B46" t="s">
        <v>823</v>
      </c>
      <c r="C46" t="s">
        <v>182</v>
      </c>
      <c r="D46" s="9" t="s">
        <v>1</v>
      </c>
      <c r="E46" t="s">
        <v>182</v>
      </c>
      <c r="F46" t="s">
        <v>1</v>
      </c>
      <c r="G46" t="s">
        <v>1</v>
      </c>
      <c r="H46" t="s">
        <v>75</v>
      </c>
      <c r="I46">
        <v>3</v>
      </c>
      <c r="J46" s="4">
        <v>5.7</v>
      </c>
      <c r="K46" s="4">
        <v>7.52</v>
      </c>
      <c r="L46" s="4">
        <f>K46-J46</f>
      </c>
      <c r="M46" s="4">
        <f>L46*16.67%</f>
      </c>
      <c r="N46" s="4">
        <f>K46/100*11</f>
      </c>
      <c r="O46" s="4">
        <v>8.99</v>
      </c>
      <c r="P46" s="4">
        <v>0</v>
      </c>
      <c r="Q46" s="4">
        <f>P46*20%</f>
      </c>
      <c r="R46" s="4">
        <v>0</v>
      </c>
      <c r="S46" s="4">
        <f>L46-M46-N46-O46-P46-Q46-R46</f>
      </c>
      <c r="T46" s="4">
        <f>(S46-V46)/J46*100</f>
      </c>
      <c r="U46" s="4">
        <f>M46-Q46</f>
      </c>
      <c r="W46" s="4">
        <f>S46-V46</f>
      </c>
      <c r="AB46" t="s">
        <v>1</v>
      </c>
    </row>
    <row r="47" spans="1:28" x14ac:dyDescent="0.25">
      <c r="A47" s="8">
        <v>46231.5</v>
      </c>
      <c r="B47" t="s">
        <v>824</v>
      </c>
      <c r="C47" t="s">
        <v>182</v>
      </c>
      <c r="D47" s="9" t="s">
        <v>1</v>
      </c>
      <c r="E47" t="s">
        <v>182</v>
      </c>
      <c r="F47" t="s">
        <v>1</v>
      </c>
      <c r="G47" t="s">
        <v>1</v>
      </c>
      <c r="H47" t="s">
        <v>75</v>
      </c>
      <c r="I47">
        <v>1</v>
      </c>
      <c r="J47" s="4">
        <v>1.9</v>
      </c>
      <c r="K47" s="4">
        <v>2.68</v>
      </c>
      <c r="L47" s="4">
        <f>K47-J47</f>
      </c>
      <c r="M47" s="4">
        <f>L47*16.67%</f>
      </c>
      <c r="N47" s="4">
        <f>K47/100*11</f>
      </c>
      <c r="O47" s="4">
        <v>8.99</v>
      </c>
      <c r="P47" s="4">
        <v>0</v>
      </c>
      <c r="Q47" s="4">
        <f>P47*20%</f>
      </c>
      <c r="R47" s="4">
        <v>0</v>
      </c>
      <c r="S47" s="4">
        <f>L47-M47-N47-O47-P47-Q47-R47</f>
      </c>
      <c r="T47" s="4">
        <f>(S47-V47)/J47*100</f>
      </c>
      <c r="U47" s="4">
        <f>M47-Q47</f>
      </c>
      <c r="W47" s="4">
        <f>S47-V47</f>
      </c>
      <c r="AB47" t="s">
        <v>1</v>
      </c>
    </row>
    <row r="48" spans="1:28" x14ac:dyDescent="0.25">
      <c r="A48" s="8">
        <v>46231.5</v>
      </c>
      <c r="B48" t="s">
        <v>825</v>
      </c>
      <c r="C48" t="s">
        <v>185</v>
      </c>
      <c r="D48" s="9" t="s">
        <v>1</v>
      </c>
      <c r="E48" t="s">
        <v>185</v>
      </c>
      <c r="F48" t="s">
        <v>1</v>
      </c>
      <c r="G48" t="s">
        <v>1</v>
      </c>
      <c r="H48" t="s">
        <v>102</v>
      </c>
      <c r="I48">
        <v>2</v>
      </c>
      <c r="J48" s="4">
        <v>2.4</v>
      </c>
      <c r="K48" s="4">
        <v>3.22</v>
      </c>
      <c r="L48" s="4">
        <f>K48-J48</f>
      </c>
      <c r="M48" s="4">
        <f>L48*16.67%</f>
      </c>
      <c r="N48" s="4">
        <f>K48/100*11</f>
      </c>
      <c r="O48" s="4">
        <v>8.99</v>
      </c>
      <c r="P48" s="4">
        <v>0</v>
      </c>
      <c r="Q48" s="4">
        <f>P48*20%</f>
      </c>
      <c r="R48" s="4">
        <v>0</v>
      </c>
      <c r="S48" s="4">
        <f>L48-M48-N48-O48-P48-Q48-R48</f>
      </c>
      <c r="T48" s="4">
        <f>(S48-V48)/J48*100</f>
      </c>
      <c r="U48" s="4">
        <f>M48-Q48</f>
      </c>
      <c r="W48" s="4">
        <f>S48-V48</f>
      </c>
      <c r="AB48" t="s">
        <v>1</v>
      </c>
    </row>
    <row r="49" spans="1:28" x14ac:dyDescent="0.25">
      <c r="A49" s="8">
        <v>46231.5</v>
      </c>
      <c r="B49" t="s">
        <v>826</v>
      </c>
      <c r="C49" t="s">
        <v>185</v>
      </c>
      <c r="D49" s="9" t="s">
        <v>1</v>
      </c>
      <c r="E49" t="s">
        <v>185</v>
      </c>
      <c r="F49" t="s">
        <v>1</v>
      </c>
      <c r="G49" t="s">
        <v>1</v>
      </c>
      <c r="H49" t="s">
        <v>102</v>
      </c>
      <c r="I49">
        <v>2</v>
      </c>
      <c r="J49" s="4">
        <v>2.4</v>
      </c>
      <c r="K49" s="4">
        <v>3.36</v>
      </c>
      <c r="L49" s="4">
        <f>K49-J49</f>
      </c>
      <c r="M49" s="4">
        <f>L49*16.67%</f>
      </c>
      <c r="N49" s="4">
        <f>K49/100*11</f>
      </c>
      <c r="O49" s="4">
        <v>8.99</v>
      </c>
      <c r="P49" s="4">
        <v>0</v>
      </c>
      <c r="Q49" s="4">
        <f>P49*20%</f>
      </c>
      <c r="R49" s="4">
        <v>0</v>
      </c>
      <c r="S49" s="4">
        <f>L49-M49-N49-O49-P49-Q49-R49</f>
      </c>
      <c r="T49" s="4">
        <f>(S49-V49)/J49*100</f>
      </c>
      <c r="U49" s="4">
        <f>M49-Q49</f>
      </c>
      <c r="W49" s="4">
        <f>S49-V49</f>
      </c>
      <c r="AB49" t="s">
        <v>1</v>
      </c>
    </row>
    <row r="50" spans="1:28" x14ac:dyDescent="0.25">
      <c r="A50" s="8">
        <v>46231.5</v>
      </c>
      <c r="B50" t="s">
        <v>827</v>
      </c>
      <c r="C50" t="s">
        <v>1</v>
      </c>
      <c r="D50" s="9" t="s">
        <v>1</v>
      </c>
      <c r="E50" t="s">
        <v>1</v>
      </c>
      <c r="F50" t="s">
        <v>1</v>
      </c>
      <c r="G50" t="s">
        <v>1</v>
      </c>
      <c r="H50" t="s">
        <v>78</v>
      </c>
      <c r="I50">
        <v>1</v>
      </c>
      <c r="J50" s="4">
        <v>140</v>
      </c>
      <c r="K50" s="4">
        <v>193.2</v>
      </c>
      <c r="L50" s="4">
        <f>K50-J50</f>
      </c>
      <c r="M50" s="4">
        <f>L50*16.67%</f>
      </c>
      <c r="N50" s="4">
        <f>K50/100*11</f>
      </c>
      <c r="O50" s="4">
        <v>8.99</v>
      </c>
      <c r="P50" s="4">
        <v>0</v>
      </c>
      <c r="Q50" s="4">
        <f>P50*20%</f>
      </c>
      <c r="R50" s="4">
        <v>1</v>
      </c>
      <c r="S50" s="4">
        <f>L50-M50-N50-O50-P50-Q50-R50</f>
      </c>
      <c r="T50" s="4">
        <f>(S50-V50)/J50*100</f>
      </c>
      <c r="U50" s="4">
        <f>M50-Q50</f>
      </c>
      <c r="W50" s="4">
        <f>S50-V50</f>
      </c>
      <c r="AB50" t="s">
        <v>1</v>
      </c>
    </row>
    <row r="51" spans="1:28" x14ac:dyDescent="0.25">
      <c r="A51" s="8">
        <v>46231.5</v>
      </c>
      <c r="B51" t="s">
        <v>828</v>
      </c>
      <c r="C51" t="s">
        <v>1</v>
      </c>
      <c r="D51" s="9" t="s">
        <v>1</v>
      </c>
      <c r="E51" t="s">
        <v>1</v>
      </c>
      <c r="F51" t="s">
        <v>1</v>
      </c>
      <c r="G51" t="s">
        <v>1</v>
      </c>
      <c r="H51" t="s">
        <v>75</v>
      </c>
      <c r="I51">
        <v>1</v>
      </c>
      <c r="J51" s="4">
        <v>723</v>
      </c>
      <c r="K51" s="4">
        <v>1041.12</v>
      </c>
      <c r="L51" s="4">
        <f>K51-J51</f>
      </c>
      <c r="M51" s="4">
        <f>L51*16.67%</f>
      </c>
      <c r="N51" s="4">
        <f>K51/100*11</f>
      </c>
      <c r="O51" s="4">
        <v>8.99</v>
      </c>
      <c r="P51" s="4">
        <v>0</v>
      </c>
      <c r="Q51" s="4">
        <f>P51*20%</f>
      </c>
      <c r="R51" s="4">
        <v>1</v>
      </c>
      <c r="S51" s="4">
        <f>L51-M51-N51-O51-P51-Q51-R51</f>
      </c>
      <c r="T51" s="4">
        <f>(S51-V51)/J51*100</f>
      </c>
      <c r="U51" s="4">
        <f>M51-Q51</f>
      </c>
      <c r="W51" s="4">
        <f>S51-V51</f>
      </c>
      <c r="AB51" t="s">
        <v>1</v>
      </c>
    </row>
    <row r="52" spans="1:28" x14ac:dyDescent="0.25">
      <c r="A52" s="8">
        <v>46231.5</v>
      </c>
      <c r="B52" t="s">
        <v>829</v>
      </c>
      <c r="C52" t="s">
        <v>1</v>
      </c>
      <c r="D52" s="9" t="s">
        <v>1</v>
      </c>
      <c r="E52" t="s">
        <v>1</v>
      </c>
      <c r="F52" t="s">
        <v>1</v>
      </c>
      <c r="G52" t="s">
        <v>1</v>
      </c>
      <c r="H52" t="s">
        <v>61</v>
      </c>
      <c r="I52">
        <v>1</v>
      </c>
      <c r="J52" s="4">
        <v>563</v>
      </c>
      <c r="K52" s="4">
        <v>664.34</v>
      </c>
      <c r="L52" s="4">
        <f>K52-J52</f>
      </c>
      <c r="M52" s="4">
        <f>L52*16.67%</f>
      </c>
      <c r="N52" s="4">
        <f>K52/100*11</f>
      </c>
      <c r="O52" s="4">
        <v>8.99</v>
      </c>
      <c r="P52" s="4">
        <v>0</v>
      </c>
      <c r="Q52" s="4">
        <f>P52*20%</f>
      </c>
      <c r="R52" s="4">
        <v>1</v>
      </c>
      <c r="S52" s="4">
        <f>L52-M52-N52-O52-P52-Q52-R52</f>
      </c>
      <c r="T52" s="4">
        <f>(S52-V52)/J52*100</f>
      </c>
      <c r="U52" s="4">
        <f>M52-Q52</f>
      </c>
      <c r="W52" s="4">
        <f>S52-V52</f>
      </c>
      <c r="AB52" t="s">
        <v>1</v>
      </c>
    </row>
    <row r="53" spans="1:28" x14ac:dyDescent="0.25">
      <c r="A53" s="8">
        <v>46231.5</v>
      </c>
      <c r="B53" t="s">
        <v>830</v>
      </c>
      <c r="C53" t="s">
        <v>1</v>
      </c>
      <c r="D53" s="9" t="s">
        <v>1</v>
      </c>
      <c r="E53" t="s">
        <v>1</v>
      </c>
      <c r="F53" t="s">
        <v>1</v>
      </c>
      <c r="G53" t="s">
        <v>1</v>
      </c>
      <c r="H53" t="s">
        <v>75</v>
      </c>
      <c r="I53">
        <v>1</v>
      </c>
      <c r="J53" s="4">
        <v>356</v>
      </c>
      <c r="K53" s="4">
        <v>441.44</v>
      </c>
      <c r="L53" s="4">
        <f>K53-J53</f>
      </c>
      <c r="M53" s="4">
        <f>L53*16.67%</f>
      </c>
      <c r="N53" s="4">
        <f>K53/100*11</f>
      </c>
      <c r="O53" s="4">
        <v>8.99</v>
      </c>
      <c r="P53" s="4">
        <v>0</v>
      </c>
      <c r="Q53" s="4">
        <f>P53*20%</f>
      </c>
      <c r="R53" s="4">
        <v>1</v>
      </c>
      <c r="S53" s="4">
        <f>L53-M53-N53-O53-P53-Q53-R53</f>
      </c>
      <c r="T53" s="4">
        <f>(S53-V53)/J53*100</f>
      </c>
      <c r="U53" s="4">
        <f>M53-Q53</f>
      </c>
      <c r="W53" s="4">
        <f>S53-V53</f>
      </c>
      <c r="AB53" t="s">
        <v>1</v>
      </c>
    </row>
    <row r="54" spans="1:28" x14ac:dyDescent="0.25">
      <c r="A54" s="8">
        <v>46231.5</v>
      </c>
      <c r="B54" t="s">
        <v>831</v>
      </c>
      <c r="C54" t="s">
        <v>1</v>
      </c>
      <c r="D54" s="9" t="s">
        <v>1</v>
      </c>
      <c r="E54" t="s">
        <v>1</v>
      </c>
      <c r="F54" t="s">
        <v>1</v>
      </c>
      <c r="G54" t="s">
        <v>1</v>
      </c>
      <c r="H54" t="s">
        <v>66</v>
      </c>
      <c r="I54">
        <v>1</v>
      </c>
      <c r="J54" s="4">
        <v>139</v>
      </c>
      <c r="K54" s="4">
        <v>186.26</v>
      </c>
      <c r="L54" s="4">
        <f>K54-J54</f>
      </c>
      <c r="M54" s="4">
        <f>L54*16.67%</f>
      </c>
      <c r="N54" s="4">
        <f>K54/100*11</f>
      </c>
      <c r="O54" s="4">
        <v>8.99</v>
      </c>
      <c r="P54" s="4">
        <v>0</v>
      </c>
      <c r="Q54" s="4">
        <f>P54*20%</f>
      </c>
      <c r="R54" s="4">
        <v>1</v>
      </c>
      <c r="S54" s="4">
        <f>L54-M54-N54-O54-P54-Q54-R54</f>
      </c>
      <c r="T54" s="4">
        <f>(S54-V54)/J54*100</f>
      </c>
      <c r="U54" s="4">
        <f>M54-Q54</f>
      </c>
      <c r="W54" s="4">
        <f>S54-V54</f>
      </c>
      <c r="AB54" t="s">
        <v>1</v>
      </c>
    </row>
    <row r="55" spans="1:28" x14ac:dyDescent="0.25">
      <c r="A55" s="8">
        <v>46231.5</v>
      </c>
      <c r="B55" t="s">
        <v>832</v>
      </c>
      <c r="C55" t="s">
        <v>1</v>
      </c>
      <c r="D55" s="9" t="s">
        <v>1</v>
      </c>
      <c r="E55" t="s">
        <v>1</v>
      </c>
      <c r="F55" t="s">
        <v>1</v>
      </c>
      <c r="G55" t="s">
        <v>1</v>
      </c>
      <c r="H55" t="s">
        <v>66</v>
      </c>
      <c r="I55">
        <v>1</v>
      </c>
      <c r="J55" s="4">
        <v>319</v>
      </c>
      <c r="K55" s="4">
        <v>392.37</v>
      </c>
      <c r="L55" s="4">
        <f>K55-J55</f>
      </c>
      <c r="M55" s="4">
        <f>L55*16.67%</f>
      </c>
      <c r="N55" s="4">
        <f>K55/100*11</f>
      </c>
      <c r="O55" s="4">
        <v>8.99</v>
      </c>
      <c r="P55" s="4">
        <v>0</v>
      </c>
      <c r="Q55" s="4">
        <f>P55*20%</f>
      </c>
      <c r="R55" s="4">
        <v>1</v>
      </c>
      <c r="S55" s="4">
        <f>L55-M55-N55-O55-P55-Q55-R55</f>
      </c>
      <c r="T55" s="4">
        <f>(S55-V55)/J55*100</f>
      </c>
      <c r="U55" s="4">
        <f>M55-Q55</f>
      </c>
      <c r="W55" s="4">
        <f>S55-V55</f>
      </c>
      <c r="AB55" t="s">
        <v>1</v>
      </c>
    </row>
    <row r="56" spans="1:28" x14ac:dyDescent="0.25">
      <c r="A56" s="8">
        <v>46231.5</v>
      </c>
      <c r="B56" t="s">
        <v>833</v>
      </c>
      <c r="C56" t="s">
        <v>1</v>
      </c>
      <c r="D56" s="9" t="s">
        <v>1</v>
      </c>
      <c r="E56" t="s">
        <v>1</v>
      </c>
      <c r="F56" t="s">
        <v>1</v>
      </c>
      <c r="G56" t="s">
        <v>1</v>
      </c>
      <c r="H56" t="s">
        <v>102</v>
      </c>
      <c r="I56">
        <v>1</v>
      </c>
      <c r="J56" s="4">
        <v>251</v>
      </c>
      <c r="K56" s="4">
        <v>316.26</v>
      </c>
      <c r="L56" s="4">
        <f>K56-J56</f>
      </c>
      <c r="M56" s="4">
        <f>L56*16.67%</f>
      </c>
      <c r="N56" s="4">
        <f>K56/100*11</f>
      </c>
      <c r="O56" s="4">
        <v>8.99</v>
      </c>
      <c r="P56" s="4">
        <v>0</v>
      </c>
      <c r="Q56" s="4">
        <f>P56*20%</f>
      </c>
      <c r="R56" s="4">
        <v>1</v>
      </c>
      <c r="S56" s="4">
        <f>L56-M56-N56-O56-P56-Q56-R56</f>
      </c>
      <c r="T56" s="4">
        <f>(S56-V56)/J56*100</f>
      </c>
      <c r="U56" s="4">
        <f>M56-Q56</f>
      </c>
      <c r="W56" s="4">
        <f>S56-V56</f>
      </c>
      <c r="AB56" t="s">
        <v>1</v>
      </c>
    </row>
    <row r="57" spans="1:28" x14ac:dyDescent="0.25">
      <c r="A57" s="8">
        <v>46231.5</v>
      </c>
      <c r="B57" t="s">
        <v>834</v>
      </c>
      <c r="C57" t="s">
        <v>1</v>
      </c>
      <c r="D57" s="9" t="s">
        <v>1</v>
      </c>
      <c r="E57" t="s">
        <v>1</v>
      </c>
      <c r="F57" t="s">
        <v>1</v>
      </c>
      <c r="G57" t="s">
        <v>1</v>
      </c>
      <c r="H57" t="s">
        <v>61</v>
      </c>
      <c r="I57">
        <v>1</v>
      </c>
      <c r="J57" s="4">
        <v>170</v>
      </c>
      <c r="K57" s="4">
        <v>221</v>
      </c>
      <c r="L57" s="4">
        <f>K57-J57</f>
      </c>
      <c r="M57" s="4">
        <f>L57*16.67%</f>
      </c>
      <c r="N57" s="4">
        <f>K57/100*11</f>
      </c>
      <c r="O57" s="4">
        <v>8.99</v>
      </c>
      <c r="P57" s="4">
        <v>0</v>
      </c>
      <c r="Q57" s="4">
        <f>P57*20%</f>
      </c>
      <c r="R57" s="4">
        <v>1</v>
      </c>
      <c r="S57" s="4">
        <f>L57-M57-N57-O57-P57-Q57-R57</f>
      </c>
      <c r="T57" s="4">
        <f>(S57-V57)/J57*100</f>
      </c>
      <c r="U57" s="4">
        <f>M57-Q57</f>
      </c>
      <c r="W57" s="4">
        <f>S57-V57</f>
      </c>
      <c r="AB57" t="s">
        <v>1</v>
      </c>
    </row>
    <row r="58" spans="1:28" x14ac:dyDescent="0.25">
      <c r="A58" s="8">
        <v>46230.5</v>
      </c>
      <c r="B58" t="s">
        <v>835</v>
      </c>
      <c r="C58" t="s">
        <v>1</v>
      </c>
      <c r="D58" s="9" t="s">
        <v>836</v>
      </c>
      <c r="E58" t="s">
        <v>131</v>
      </c>
      <c r="F58" t="s">
        <v>59</v>
      </c>
      <c r="G58" t="s">
        <v>65</v>
      </c>
      <c r="H58" t="s">
        <v>75</v>
      </c>
      <c r="I58">
        <v>1</v>
      </c>
      <c r="J58" s="4">
        <v>309</v>
      </c>
      <c r="K58" s="4">
        <v>395.52</v>
      </c>
      <c r="L58" s="4">
        <f>K58-J58</f>
      </c>
      <c r="M58" s="4">
        <f>L58*16.67%</f>
      </c>
      <c r="N58" s="4">
        <f>K58/100*11</f>
      </c>
      <c r="O58" s="4">
        <v>8.99</v>
      </c>
      <c r="P58" s="4">
        <v>0</v>
      </c>
      <c r="Q58" s="4">
        <f>P58*20%</f>
      </c>
      <c r="R58" s="4">
        <v>1</v>
      </c>
      <c r="S58" s="4">
        <f>L58-M58-N58-O58-P58-Q58-R58</f>
      </c>
      <c r="T58" s="4">
        <f>(S58-V58)/J58*100</f>
      </c>
      <c r="U58" s="4">
        <f>M58-Q58</f>
      </c>
      <c r="W58" s="4">
        <f>S58-V58</f>
      </c>
      <c r="AB58" t="s">
        <v>1</v>
      </c>
    </row>
    <row r="59" spans="1:28" x14ac:dyDescent="0.25">
      <c r="A59" s="8">
        <v>46230.5</v>
      </c>
      <c r="B59" t="s">
        <v>837</v>
      </c>
      <c r="C59" t="s">
        <v>1</v>
      </c>
      <c r="D59" s="9" t="s">
        <v>1</v>
      </c>
      <c r="E59" t="s">
        <v>1</v>
      </c>
      <c r="F59" t="s">
        <v>1</v>
      </c>
      <c r="G59" t="s">
        <v>1</v>
      </c>
      <c r="H59" t="s">
        <v>102</v>
      </c>
      <c r="I59">
        <v>1</v>
      </c>
      <c r="J59" s="4">
        <v>83</v>
      </c>
      <c r="K59" s="4">
        <v>107.07</v>
      </c>
      <c r="L59" s="4">
        <f>K59-J59</f>
      </c>
      <c r="M59" s="4">
        <f>L59*16.67%</f>
      </c>
      <c r="N59" s="4">
        <f>K59/100*11</f>
      </c>
      <c r="O59" s="4">
        <v>8.99</v>
      </c>
      <c r="P59" s="4">
        <v>0</v>
      </c>
      <c r="Q59" s="4">
        <f>P59*20%</f>
      </c>
      <c r="R59" s="4">
        <v>1</v>
      </c>
      <c r="S59" s="4">
        <f>L59-M59-N59-O59-P59-Q59-R59</f>
      </c>
      <c r="T59" s="4">
        <f>(S59-V59)/J59*100</f>
      </c>
      <c r="U59" s="4">
        <f>M59-Q59</f>
      </c>
      <c r="W59" s="4">
        <f>S59-V59</f>
      </c>
      <c r="AB59" t="s">
        <v>1</v>
      </c>
    </row>
    <row r="60" spans="1:28" x14ac:dyDescent="0.25">
      <c r="A60" s="8">
        <v>46229.5</v>
      </c>
      <c r="B60" t="s">
        <v>838</v>
      </c>
      <c r="C60" t="s">
        <v>1</v>
      </c>
      <c r="D60" s="9" t="s">
        <v>839</v>
      </c>
      <c r="E60" t="s">
        <v>98</v>
      </c>
      <c r="F60" t="s">
        <v>99</v>
      </c>
      <c r="G60" t="s">
        <v>65</v>
      </c>
      <c r="H60" t="s">
        <v>61</v>
      </c>
      <c r="I60">
        <v>1</v>
      </c>
      <c r="J60" s="4">
        <v>339</v>
      </c>
      <c r="K60" s="4">
        <v>491.55</v>
      </c>
      <c r="L60" s="4">
        <f>K60-J60</f>
      </c>
      <c r="M60" s="4">
        <f>L60*16.67%</f>
      </c>
      <c r="N60" s="4">
        <f>K60/100*11</f>
      </c>
      <c r="O60" s="4">
        <v>8.99</v>
      </c>
      <c r="P60" s="4">
        <v>0</v>
      </c>
      <c r="Q60" s="4">
        <f>P60*20%</f>
      </c>
      <c r="R60" s="4">
        <v>1</v>
      </c>
      <c r="S60" s="4">
        <f>L60-M60-N60-O60-P60-Q60-R60</f>
      </c>
      <c r="T60" s="4">
        <f>(S60-V60)/J60*100</f>
      </c>
      <c r="U60" s="4">
        <f>M60-Q60</f>
      </c>
      <c r="W60" s="4">
        <f>S60-V60</f>
      </c>
      <c r="AB60" t="s">
        <v>1</v>
      </c>
    </row>
    <row r="61" spans="1:28" x14ac:dyDescent="0.25">
      <c r="A61" s="8">
        <v>46229.5</v>
      </c>
      <c r="B61" t="s">
        <v>840</v>
      </c>
      <c r="C61" t="s">
        <v>1</v>
      </c>
      <c r="D61" s="9" t="s">
        <v>841</v>
      </c>
      <c r="E61" t="s">
        <v>58</v>
      </c>
      <c r="F61" t="s">
        <v>105</v>
      </c>
      <c r="G61" t="s">
        <v>60</v>
      </c>
      <c r="H61" t="s">
        <v>66</v>
      </c>
      <c r="I61">
        <v>1</v>
      </c>
      <c r="J61" s="4">
        <v>438</v>
      </c>
      <c r="K61" s="4">
        <v>630.72</v>
      </c>
      <c r="L61" s="4">
        <f>K61-J61</f>
      </c>
      <c r="M61" s="4">
        <f>L61*16.67%</f>
      </c>
      <c r="N61" s="4">
        <f>K61/100*11</f>
      </c>
      <c r="O61" s="4">
        <v>8.99</v>
      </c>
      <c r="P61" s="4">
        <v>0</v>
      </c>
      <c r="Q61" s="4">
        <f>P61*20%</f>
      </c>
      <c r="R61" s="4">
        <v>1</v>
      </c>
      <c r="S61" s="4">
        <f>L61-M61-N61-O61-P61-Q61-R61</f>
      </c>
      <c r="T61" s="4">
        <f>(S61-V61)/J61*100</f>
      </c>
      <c r="U61" s="4">
        <f>M61-Q61</f>
      </c>
      <c r="W61" s="4">
        <f>S61-V61</f>
      </c>
      <c r="AB61" t="s">
        <v>1</v>
      </c>
    </row>
    <row r="62" spans="1:28" x14ac:dyDescent="0.25">
      <c r="A62" s="8">
        <v>46229.5</v>
      </c>
      <c r="B62" t="s">
        <v>842</v>
      </c>
      <c r="C62" t="s">
        <v>189</v>
      </c>
      <c r="D62" s="9" t="s">
        <v>1</v>
      </c>
      <c r="E62" t="s">
        <v>189</v>
      </c>
      <c r="F62" t="s">
        <v>1</v>
      </c>
      <c r="G62" t="s">
        <v>1</v>
      </c>
      <c r="H62" t="s">
        <v>66</v>
      </c>
      <c r="I62">
        <v>3</v>
      </c>
      <c r="J62" s="4">
        <v>10.5</v>
      </c>
      <c r="K62" s="4">
        <v>12.39</v>
      </c>
      <c r="L62" s="4">
        <f>K62-J62</f>
      </c>
      <c r="M62" s="4">
        <f>L62*16.67%</f>
      </c>
      <c r="N62" s="4">
        <f>K62/100*11</f>
      </c>
      <c r="O62" s="4">
        <v>8.99</v>
      </c>
      <c r="P62" s="4">
        <v>0</v>
      </c>
      <c r="Q62" s="4">
        <f>P62*20%</f>
      </c>
      <c r="R62" s="4">
        <v>0</v>
      </c>
      <c r="S62" s="4">
        <f>L62-M62-N62-O62-P62-Q62-R62</f>
      </c>
      <c r="T62" s="4">
        <f>(S62-V62)/J62*100</f>
      </c>
      <c r="U62" s="4">
        <f>M62-Q62</f>
      </c>
      <c r="W62" s="4">
        <f>S62-V62</f>
      </c>
      <c r="AB62" t="s">
        <v>1</v>
      </c>
    </row>
    <row r="63" spans="1:28" x14ac:dyDescent="0.25">
      <c r="A63" s="8">
        <v>46228.5</v>
      </c>
      <c r="B63" t="s">
        <v>843</v>
      </c>
      <c r="C63" t="s">
        <v>1</v>
      </c>
      <c r="D63" s="9" t="s">
        <v>844</v>
      </c>
      <c r="E63" t="s">
        <v>292</v>
      </c>
      <c r="F63" t="s">
        <v>85</v>
      </c>
      <c r="G63" t="s">
        <v>126</v>
      </c>
      <c r="H63" t="s">
        <v>66</v>
      </c>
      <c r="I63">
        <v>1</v>
      </c>
      <c r="J63" s="4">
        <v>185</v>
      </c>
      <c r="K63" s="4">
        <v>260.85</v>
      </c>
      <c r="L63" s="4">
        <f>K63-J63</f>
      </c>
      <c r="M63" s="4">
        <f>L63*16.67%</f>
      </c>
      <c r="N63" s="4">
        <f>K63/100*11</f>
      </c>
      <c r="O63" s="4">
        <v>8.99</v>
      </c>
      <c r="P63" s="4">
        <v>0</v>
      </c>
      <c r="Q63" s="4">
        <f>P63*20%</f>
      </c>
      <c r="R63" s="4">
        <v>1</v>
      </c>
      <c r="S63" s="4">
        <f>L63-M63-N63-O63-P63-Q63-R63</f>
      </c>
      <c r="T63" s="4">
        <f>(S63-V63)/J63*100</f>
      </c>
      <c r="U63" s="4">
        <f>M63-Q63</f>
      </c>
      <c r="W63" s="4">
        <f>S63-V63</f>
      </c>
      <c r="AB63" t="s">
        <v>1</v>
      </c>
    </row>
    <row r="64" spans="1:28" x14ac:dyDescent="0.25">
      <c r="A64" s="8">
        <v>46228.5</v>
      </c>
      <c r="B64" t="s">
        <v>845</v>
      </c>
      <c r="C64" t="s">
        <v>1</v>
      </c>
      <c r="D64" s="9" t="s">
        <v>846</v>
      </c>
      <c r="E64" t="s">
        <v>98</v>
      </c>
      <c r="F64" t="s">
        <v>105</v>
      </c>
      <c r="G64" t="s">
        <v>65</v>
      </c>
      <c r="H64" t="s">
        <v>102</v>
      </c>
      <c r="I64">
        <v>1</v>
      </c>
      <c r="J64" s="4">
        <v>323</v>
      </c>
      <c r="K64" s="4">
        <v>442.51</v>
      </c>
      <c r="L64" s="4">
        <f>K64-J64</f>
      </c>
      <c r="M64" s="4">
        <f>L64*16.67%</f>
      </c>
      <c r="N64" s="4">
        <f>K64/100*11</f>
      </c>
      <c r="O64" s="4">
        <v>8.99</v>
      </c>
      <c r="P64" s="4">
        <v>0</v>
      </c>
      <c r="Q64" s="4">
        <f>P64*20%</f>
      </c>
      <c r="R64" s="4">
        <v>1</v>
      </c>
      <c r="S64" s="4">
        <f>L64-M64-N64-O64-P64-Q64-R64</f>
      </c>
      <c r="T64" s="4">
        <f>(S64-V64)/J64*100</f>
      </c>
      <c r="U64" s="4">
        <f>M64-Q64</f>
      </c>
      <c r="W64" s="4">
        <f>S64-V64</f>
      </c>
      <c r="AB64" t="s">
        <v>1</v>
      </c>
    </row>
    <row r="65" spans="1:28" x14ac:dyDescent="0.25">
      <c r="A65" s="8">
        <v>46228.5</v>
      </c>
      <c r="B65" t="s">
        <v>847</v>
      </c>
      <c r="C65" t="s">
        <v>1</v>
      </c>
      <c r="D65" s="9" t="s">
        <v>848</v>
      </c>
      <c r="E65" t="s">
        <v>114</v>
      </c>
      <c r="F65" t="s">
        <v>85</v>
      </c>
      <c r="G65" t="s">
        <v>95</v>
      </c>
      <c r="H65" t="s">
        <v>102</v>
      </c>
      <c r="I65">
        <v>1</v>
      </c>
      <c r="J65" s="4">
        <v>199</v>
      </c>
      <c r="K65" s="4">
        <v>256.71</v>
      </c>
      <c r="L65" s="4">
        <f>K65-J65</f>
      </c>
      <c r="M65" s="4">
        <f>L65*16.67%</f>
      </c>
      <c r="N65" s="4">
        <f>K65/100*11</f>
      </c>
      <c r="O65" s="4">
        <v>8.99</v>
      </c>
      <c r="P65" s="4">
        <v>0</v>
      </c>
      <c r="Q65" s="4">
        <f>P65*20%</f>
      </c>
      <c r="R65" s="4">
        <v>1</v>
      </c>
      <c r="S65" s="4">
        <f>L65-M65-N65-O65-P65-Q65-R65</f>
      </c>
      <c r="T65" s="4">
        <f>(S65-V65)/J65*100</f>
      </c>
      <c r="U65" s="4">
        <f>M65-Q65</f>
      </c>
      <c r="W65" s="4">
        <f>S65-V65</f>
      </c>
      <c r="AB65" t="s">
        <v>1</v>
      </c>
    </row>
    <row r="66" spans="1:28" x14ac:dyDescent="0.25">
      <c r="A66" s="8">
        <v>46228.5</v>
      </c>
      <c r="B66" t="s">
        <v>849</v>
      </c>
      <c r="C66" t="s">
        <v>1</v>
      </c>
      <c r="D66" s="9" t="s">
        <v>850</v>
      </c>
      <c r="E66" t="s">
        <v>64</v>
      </c>
      <c r="F66" t="s">
        <v>70</v>
      </c>
      <c r="G66" t="s">
        <v>65</v>
      </c>
      <c r="H66" t="s">
        <v>61</v>
      </c>
      <c r="I66">
        <v>1</v>
      </c>
      <c r="J66" s="4">
        <v>241</v>
      </c>
      <c r="K66" s="4">
        <v>330.17</v>
      </c>
      <c r="L66" s="4">
        <f>K66-J66</f>
      </c>
      <c r="M66" s="4">
        <f>L66*16.67%</f>
      </c>
      <c r="N66" s="4">
        <f>K66/100*11</f>
      </c>
      <c r="O66" s="4">
        <v>8.99</v>
      </c>
      <c r="P66" s="4">
        <v>0</v>
      </c>
      <c r="Q66" s="4">
        <f>P66*20%</f>
      </c>
      <c r="R66" s="4">
        <v>1</v>
      </c>
      <c r="S66" s="4">
        <f>L66-M66-N66-O66-P66-Q66-R66</f>
      </c>
      <c r="T66" s="4">
        <f>(S66-V66)/J66*100</f>
      </c>
      <c r="U66" s="4">
        <f>M66-Q66</f>
      </c>
      <c r="W66" s="4">
        <f>S66-V66</f>
      </c>
      <c r="AB66" t="s">
        <v>1</v>
      </c>
    </row>
    <row r="67" spans="1:28" x14ac:dyDescent="0.25">
      <c r="A67" s="8">
        <v>46228.5</v>
      </c>
      <c r="B67" t="s">
        <v>851</v>
      </c>
      <c r="C67" t="s">
        <v>1</v>
      </c>
      <c r="D67" s="9" t="s">
        <v>852</v>
      </c>
      <c r="E67" t="s">
        <v>292</v>
      </c>
      <c r="F67" t="s">
        <v>105</v>
      </c>
      <c r="G67" t="s">
        <v>126</v>
      </c>
      <c r="H67" t="s">
        <v>61</v>
      </c>
      <c r="I67">
        <v>1</v>
      </c>
      <c r="J67" s="4">
        <v>164</v>
      </c>
      <c r="K67" s="4">
        <v>206.64</v>
      </c>
      <c r="L67" s="4">
        <f>K67-J67</f>
      </c>
      <c r="M67" s="4">
        <f>L67*16.67%</f>
      </c>
      <c r="N67" s="4">
        <f>K67/100*11</f>
      </c>
      <c r="O67" s="4">
        <v>8.99</v>
      </c>
      <c r="P67" s="4">
        <v>0</v>
      </c>
      <c r="Q67" s="4">
        <f>P67*20%</f>
      </c>
      <c r="R67" s="4">
        <v>1</v>
      </c>
      <c r="S67" s="4">
        <f>L67-M67-N67-O67-P67-Q67-R67</f>
      </c>
      <c r="T67" s="4">
        <f>(S67-V67)/J67*100</f>
      </c>
      <c r="U67" s="4">
        <f>M67-Q67</f>
      </c>
      <c r="W67" s="4">
        <f>S67-V67</f>
      </c>
      <c r="AB67" t="s">
        <v>1</v>
      </c>
    </row>
    <row r="68" spans="1:28" x14ac:dyDescent="0.25">
      <c r="A68" s="8">
        <v>46228.5</v>
      </c>
      <c r="B68" t="s">
        <v>853</v>
      </c>
      <c r="C68" t="s">
        <v>174</v>
      </c>
      <c r="D68" s="9" t="s">
        <v>1</v>
      </c>
      <c r="E68" t="s">
        <v>174</v>
      </c>
      <c r="F68" t="s">
        <v>1</v>
      </c>
      <c r="G68" t="s">
        <v>1</v>
      </c>
      <c r="H68" t="s">
        <v>66</v>
      </c>
      <c r="I68">
        <v>3</v>
      </c>
      <c r="J68" s="4">
        <v>12.75</v>
      </c>
      <c r="K68" s="4">
        <v>17.59</v>
      </c>
      <c r="L68" s="4">
        <f>K68-J68</f>
      </c>
      <c r="M68" s="4">
        <f>L68*16.67%</f>
      </c>
      <c r="N68" s="4">
        <f>K68/100*11</f>
      </c>
      <c r="O68" s="4">
        <v>8.99</v>
      </c>
      <c r="P68" s="4">
        <v>0</v>
      </c>
      <c r="Q68" s="4">
        <f>P68*20%</f>
      </c>
      <c r="R68" s="4">
        <v>0</v>
      </c>
      <c r="S68" s="4">
        <f>L68-M68-N68-O68-P68-Q68-R68</f>
      </c>
      <c r="T68" s="4">
        <f>(S68-V68)/J68*100</f>
      </c>
      <c r="U68" s="4">
        <f>M68-Q68</f>
      </c>
      <c r="W68" s="4">
        <f>S68-V68</f>
      </c>
      <c r="AB68" t="s">
        <v>1</v>
      </c>
    </row>
    <row r="69" spans="1:28" x14ac:dyDescent="0.25">
      <c r="A69" s="8">
        <v>46228.5</v>
      </c>
      <c r="B69" t="s">
        <v>854</v>
      </c>
      <c r="C69" t="s">
        <v>174</v>
      </c>
      <c r="D69" s="9" t="s">
        <v>1</v>
      </c>
      <c r="E69" t="s">
        <v>174</v>
      </c>
      <c r="F69" t="s">
        <v>1</v>
      </c>
      <c r="G69" t="s">
        <v>1</v>
      </c>
      <c r="H69" t="s">
        <v>66</v>
      </c>
      <c r="I69">
        <v>2</v>
      </c>
      <c r="J69" s="4">
        <v>8.5</v>
      </c>
      <c r="K69" s="4">
        <v>10.88</v>
      </c>
      <c r="L69" s="4">
        <f>K69-J69</f>
      </c>
      <c r="M69" s="4">
        <f>L69*16.67%</f>
      </c>
      <c r="N69" s="4">
        <f>K69/100*11</f>
      </c>
      <c r="O69" s="4">
        <v>8.99</v>
      </c>
      <c r="P69" s="4">
        <v>0</v>
      </c>
      <c r="Q69" s="4">
        <f>P69*20%</f>
      </c>
      <c r="R69" s="4">
        <v>0</v>
      </c>
      <c r="S69" s="4">
        <f>L69-M69-N69-O69-P69-Q69-R69</f>
      </c>
      <c r="T69" s="4">
        <f>(S69-V69)/J69*100</f>
      </c>
      <c r="U69" s="4">
        <f>M69-Q69</f>
      </c>
      <c r="W69" s="4">
        <f>S69-V69</f>
      </c>
      <c r="AB69" t="s">
        <v>1</v>
      </c>
    </row>
    <row r="70" spans="1:28" x14ac:dyDescent="0.25">
      <c r="A70" s="8">
        <v>46228.5</v>
      </c>
      <c r="B70" t="s">
        <v>855</v>
      </c>
      <c r="C70" t="s">
        <v>182</v>
      </c>
      <c r="D70" s="9" t="s">
        <v>1</v>
      </c>
      <c r="E70" t="s">
        <v>182</v>
      </c>
      <c r="F70" t="s">
        <v>1</v>
      </c>
      <c r="G70" t="s">
        <v>1</v>
      </c>
      <c r="H70" t="s">
        <v>75</v>
      </c>
      <c r="I70">
        <v>4</v>
      </c>
      <c r="J70" s="4">
        <v>7.6</v>
      </c>
      <c r="K70" s="4">
        <v>10.79</v>
      </c>
      <c r="L70" s="4">
        <f>K70-J70</f>
      </c>
      <c r="M70" s="4">
        <f>L70*16.67%</f>
      </c>
      <c r="N70" s="4">
        <f>K70/100*11</f>
      </c>
      <c r="O70" s="4">
        <v>8.99</v>
      </c>
      <c r="P70" s="4">
        <v>0</v>
      </c>
      <c r="Q70" s="4">
        <f>P70*20%</f>
      </c>
      <c r="R70" s="4">
        <v>0</v>
      </c>
      <c r="S70" s="4">
        <f>L70-M70-N70-O70-P70-Q70-R70</f>
      </c>
      <c r="T70" s="4">
        <f>(S70-V70)/J70*100</f>
      </c>
      <c r="U70" s="4">
        <f>M70-Q70</f>
      </c>
      <c r="W70" s="4">
        <f>S70-V70</f>
      </c>
      <c r="AB70" t="s">
        <v>1</v>
      </c>
    </row>
    <row r="71" spans="1:28" x14ac:dyDescent="0.25">
      <c r="A71" s="8">
        <v>46228.5</v>
      </c>
      <c r="B71" t="s">
        <v>856</v>
      </c>
      <c r="C71" t="s">
        <v>1</v>
      </c>
      <c r="D71" s="9" t="s">
        <v>1</v>
      </c>
      <c r="E71" t="s">
        <v>1</v>
      </c>
      <c r="F71" t="s">
        <v>1</v>
      </c>
      <c r="G71" t="s">
        <v>1</v>
      </c>
      <c r="H71" t="s">
        <v>102</v>
      </c>
      <c r="I71">
        <v>1</v>
      </c>
      <c r="J71" s="4">
        <v>312</v>
      </c>
      <c r="K71" s="4">
        <v>424.32</v>
      </c>
      <c r="L71" s="4">
        <f>K71-J71</f>
      </c>
      <c r="M71" s="4">
        <f>L71*16.67%</f>
      </c>
      <c r="N71" s="4">
        <f>K71/100*11</f>
      </c>
      <c r="O71" s="4">
        <v>8.99</v>
      </c>
      <c r="P71" s="4">
        <v>0</v>
      </c>
      <c r="Q71" s="4">
        <f>P71*20%</f>
      </c>
      <c r="R71" s="4">
        <v>1</v>
      </c>
      <c r="S71" s="4">
        <f>L71-M71-N71-O71-P71-Q71-R71</f>
      </c>
      <c r="T71" s="4">
        <f>(S71-V71)/J71*100</f>
      </c>
      <c r="U71" s="4">
        <f>M71-Q71</f>
      </c>
      <c r="W71" s="4">
        <f>S71-V71</f>
      </c>
      <c r="AB71" t="s">
        <v>1</v>
      </c>
    </row>
    <row r="72" spans="1:28" x14ac:dyDescent="0.25">
      <c r="A72" s="8">
        <v>46227.5</v>
      </c>
      <c r="B72" t="s">
        <v>857</v>
      </c>
      <c r="C72" t="s">
        <v>1</v>
      </c>
      <c r="D72" s="9" t="s">
        <v>858</v>
      </c>
      <c r="E72" t="s">
        <v>69</v>
      </c>
      <c r="F72" t="s">
        <v>105</v>
      </c>
      <c r="G72" t="s">
        <v>60</v>
      </c>
      <c r="H72" t="s">
        <v>102</v>
      </c>
      <c r="I72">
        <v>1</v>
      </c>
      <c r="J72" s="4">
        <v>553</v>
      </c>
      <c r="K72" s="4">
        <v>685.72</v>
      </c>
      <c r="L72" s="4">
        <f>K72-J72</f>
      </c>
      <c r="M72" s="4">
        <f>L72*16.67%</f>
      </c>
      <c r="N72" s="4">
        <f>K72/100*11</f>
      </c>
      <c r="O72" s="4">
        <v>8.99</v>
      </c>
      <c r="P72" s="4">
        <v>0</v>
      </c>
      <c r="Q72" s="4">
        <f>P72*20%</f>
      </c>
      <c r="R72" s="4">
        <v>1</v>
      </c>
      <c r="S72" s="4">
        <f>L72-M72-N72-O72-P72-Q72-R72</f>
      </c>
      <c r="T72" s="4">
        <f>(S72-V72)/J72*100</f>
      </c>
      <c r="U72" s="4">
        <f>M72-Q72</f>
      </c>
      <c r="W72" s="4">
        <f>S72-V72</f>
      </c>
      <c r="AB72" t="s">
        <v>1</v>
      </c>
    </row>
    <row r="73" spans="1:28" x14ac:dyDescent="0.25">
      <c r="A73" s="8">
        <v>46227.5</v>
      </c>
      <c r="B73" t="s">
        <v>859</v>
      </c>
      <c r="C73" t="s">
        <v>1</v>
      </c>
      <c r="D73" s="9" t="s">
        <v>860</v>
      </c>
      <c r="E73" t="s">
        <v>134</v>
      </c>
      <c r="F73" t="s">
        <v>70</v>
      </c>
      <c r="G73" t="s">
        <v>95</v>
      </c>
      <c r="H73" t="s">
        <v>102</v>
      </c>
      <c r="I73">
        <v>1</v>
      </c>
      <c r="J73" s="4">
        <v>135</v>
      </c>
      <c r="K73" s="4">
        <v>187.65</v>
      </c>
      <c r="L73" s="4">
        <f>K73-J73</f>
      </c>
      <c r="M73" s="4">
        <f>L73*16.67%</f>
      </c>
      <c r="N73" s="4">
        <f>K73/100*11</f>
      </c>
      <c r="O73" s="4">
        <v>8.99</v>
      </c>
      <c r="P73" s="4">
        <v>0</v>
      </c>
      <c r="Q73" s="4">
        <f>P73*20%</f>
      </c>
      <c r="R73" s="4">
        <v>1</v>
      </c>
      <c r="S73" s="4">
        <f>L73-M73-N73-O73-P73-Q73-R73</f>
      </c>
      <c r="T73" s="4">
        <f>(S73-V73)/J73*100</f>
      </c>
      <c r="U73" s="4">
        <f>M73-Q73</f>
      </c>
      <c r="W73" s="4">
        <f>S73-V73</f>
      </c>
      <c r="AB73" t="s">
        <v>1</v>
      </c>
    </row>
    <row r="74" spans="1:28" x14ac:dyDescent="0.25">
      <c r="A74" s="8">
        <v>46227.5</v>
      </c>
      <c r="B74" t="s">
        <v>861</v>
      </c>
      <c r="C74" t="s">
        <v>1</v>
      </c>
      <c r="D74" s="9" t="s">
        <v>862</v>
      </c>
      <c r="E74" t="s">
        <v>84</v>
      </c>
      <c r="F74" t="s">
        <v>85</v>
      </c>
      <c r="G74" t="s">
        <v>60</v>
      </c>
      <c r="H74" t="s">
        <v>61</v>
      </c>
      <c r="I74">
        <v>1</v>
      </c>
      <c r="J74" s="4">
        <v>696</v>
      </c>
      <c r="K74" s="4">
        <v>918.72</v>
      </c>
      <c r="L74" s="4">
        <f>K74-J74</f>
      </c>
      <c r="M74" s="4">
        <f>L74*16.67%</f>
      </c>
      <c r="N74" s="4">
        <f>K74/100*11</f>
      </c>
      <c r="O74" s="4">
        <v>8.99</v>
      </c>
      <c r="P74" s="4">
        <v>0</v>
      </c>
      <c r="Q74" s="4">
        <f>P74*20%</f>
      </c>
      <c r="R74" s="4">
        <v>1</v>
      </c>
      <c r="S74" s="4">
        <f>L74-M74-N74-O74-P74-Q74-R74</f>
      </c>
      <c r="T74" s="4">
        <f>(S74-V74)/J74*100</f>
      </c>
      <c r="U74" s="4">
        <f>M74-Q74</f>
      </c>
      <c r="W74" s="4">
        <f>S74-V74</f>
      </c>
      <c r="AB74" t="s">
        <v>1</v>
      </c>
    </row>
    <row r="75" spans="1:28" x14ac:dyDescent="0.25">
      <c r="A75" s="8">
        <v>46227.5</v>
      </c>
      <c r="B75" t="s">
        <v>863</v>
      </c>
      <c r="C75" t="s">
        <v>1</v>
      </c>
      <c r="D75" s="9" t="s">
        <v>864</v>
      </c>
      <c r="E75" t="s">
        <v>84</v>
      </c>
      <c r="F75" t="s">
        <v>70</v>
      </c>
      <c r="G75" t="s">
        <v>60</v>
      </c>
      <c r="H75" t="s">
        <v>75</v>
      </c>
      <c r="I75">
        <v>1</v>
      </c>
      <c r="J75" s="4">
        <v>697</v>
      </c>
      <c r="K75" s="4">
        <v>857.31</v>
      </c>
      <c r="L75" s="4">
        <f>K75-J75</f>
      </c>
      <c r="M75" s="4">
        <f>L75*16.67%</f>
      </c>
      <c r="N75" s="4">
        <f>K75/100*11</f>
      </c>
      <c r="O75" s="4">
        <v>8.99</v>
      </c>
      <c r="P75" s="4">
        <v>0</v>
      </c>
      <c r="Q75" s="4">
        <f>P75*20%</f>
      </c>
      <c r="R75" s="4">
        <v>1</v>
      </c>
      <c r="S75" s="4">
        <f>L75-M75-N75-O75-P75-Q75-R75</f>
      </c>
      <c r="T75" s="4">
        <f>(S75-V75)/J75*100</f>
      </c>
      <c r="U75" s="4">
        <f>M75-Q75</f>
      </c>
      <c r="W75" s="4">
        <f>S75-V75</f>
      </c>
      <c r="AB75" t="s">
        <v>1</v>
      </c>
    </row>
    <row r="76" spans="1:28" x14ac:dyDescent="0.25">
      <c r="A76" s="8">
        <v>46227.5</v>
      </c>
      <c r="B76" t="s">
        <v>865</v>
      </c>
      <c r="C76" t="s">
        <v>1</v>
      </c>
      <c r="D76" s="9" t="s">
        <v>866</v>
      </c>
      <c r="E76" t="s">
        <v>69</v>
      </c>
      <c r="F76" t="s">
        <v>74</v>
      </c>
      <c r="G76" t="s">
        <v>60</v>
      </c>
      <c r="H76" t="s">
        <v>78</v>
      </c>
      <c r="I76">
        <v>1</v>
      </c>
      <c r="J76" s="4">
        <v>525</v>
      </c>
      <c r="K76" s="4">
        <v>756</v>
      </c>
      <c r="L76" s="4">
        <f>K76-J76</f>
      </c>
      <c r="M76" s="4">
        <f>L76*16.67%</f>
      </c>
      <c r="N76" s="4">
        <f>K76/100*11</f>
      </c>
      <c r="O76" s="4">
        <v>8.99</v>
      </c>
      <c r="P76" s="4">
        <v>0</v>
      </c>
      <c r="Q76" s="4">
        <f>P76*20%</f>
      </c>
      <c r="R76" s="4">
        <v>1</v>
      </c>
      <c r="S76" s="4">
        <f>L76-M76-N76-O76-P76-Q76-R76</f>
      </c>
      <c r="T76" s="4">
        <f>(S76-V76)/J76*100</f>
      </c>
      <c r="U76" s="4">
        <f>M76-Q76</f>
      </c>
      <c r="W76" s="4">
        <f>S76-V76</f>
      </c>
      <c r="AB76" t="s">
        <v>1</v>
      </c>
    </row>
    <row r="77" spans="1:28" x14ac:dyDescent="0.25">
      <c r="A77" s="8">
        <v>46227.5</v>
      </c>
      <c r="B77" t="s">
        <v>867</v>
      </c>
      <c r="C77" t="s">
        <v>1</v>
      </c>
      <c r="D77" s="9" t="s">
        <v>868</v>
      </c>
      <c r="E77" t="s">
        <v>125</v>
      </c>
      <c r="F77" t="s">
        <v>88</v>
      </c>
      <c r="G77" t="s">
        <v>126</v>
      </c>
      <c r="H77" t="s">
        <v>75</v>
      </c>
      <c r="I77">
        <v>1</v>
      </c>
      <c r="J77" s="4">
        <v>293</v>
      </c>
      <c r="K77" s="4">
        <v>389.69</v>
      </c>
      <c r="L77" s="4">
        <f>K77-J77</f>
      </c>
      <c r="M77" s="4">
        <f>L77*16.67%</f>
      </c>
      <c r="N77" s="4">
        <f>K77/100*11</f>
      </c>
      <c r="O77" s="4">
        <v>8.99</v>
      </c>
      <c r="P77" s="4">
        <v>0</v>
      </c>
      <c r="Q77" s="4">
        <f>P77*20%</f>
      </c>
      <c r="R77" s="4">
        <v>1</v>
      </c>
      <c r="S77" s="4">
        <f>L77-M77-N77-O77-P77-Q77-R77</f>
      </c>
      <c r="T77" s="4">
        <f>(S77-V77)/J77*100</f>
      </c>
      <c r="U77" s="4">
        <f>M77-Q77</f>
      </c>
      <c r="W77" s="4">
        <f>S77-V77</f>
      </c>
      <c r="AB77" t="s">
        <v>1</v>
      </c>
    </row>
    <row r="78" spans="1:28" x14ac:dyDescent="0.25">
      <c r="A78" s="8">
        <v>46227.5</v>
      </c>
      <c r="B78" t="s">
        <v>869</v>
      </c>
      <c r="C78" t="s">
        <v>185</v>
      </c>
      <c r="D78" s="9" t="s">
        <v>1</v>
      </c>
      <c r="E78" t="s">
        <v>185</v>
      </c>
      <c r="F78" t="s">
        <v>1</v>
      </c>
      <c r="G78" t="s">
        <v>1</v>
      </c>
      <c r="H78" t="s">
        <v>102</v>
      </c>
      <c r="I78">
        <v>3</v>
      </c>
      <c r="J78" s="4">
        <v>3.6</v>
      </c>
      <c r="K78" s="4">
        <v>4.72</v>
      </c>
      <c r="L78" s="4">
        <f>K78-J78</f>
      </c>
      <c r="M78" s="4">
        <f>L78*16.67%</f>
      </c>
      <c r="N78" s="4">
        <f>K78/100*11</f>
      </c>
      <c r="O78" s="4">
        <v>8.99</v>
      </c>
      <c r="P78" s="4">
        <v>0</v>
      </c>
      <c r="Q78" s="4">
        <f>P78*20%</f>
      </c>
      <c r="R78" s="4">
        <v>0</v>
      </c>
      <c r="S78" s="4">
        <f>L78-M78-N78-O78-P78-Q78-R78</f>
      </c>
      <c r="T78" s="4">
        <f>(S78-V78)/J78*100</f>
      </c>
      <c r="U78" s="4">
        <f>M78-Q78</f>
      </c>
      <c r="W78" s="4">
        <f>S78-V78</f>
      </c>
      <c r="AB78" t="s">
        <v>1</v>
      </c>
    </row>
    <row r="79" spans="1:28" x14ac:dyDescent="0.25">
      <c r="A79" s="8">
        <v>46227.5</v>
      </c>
      <c r="B79" t="s">
        <v>870</v>
      </c>
      <c r="C79" t="s">
        <v>1</v>
      </c>
      <c r="D79" s="9" t="s">
        <v>1</v>
      </c>
      <c r="E79" t="s">
        <v>1</v>
      </c>
      <c r="F79" t="s">
        <v>1</v>
      </c>
      <c r="G79" t="s">
        <v>1</v>
      </c>
      <c r="H79" t="s">
        <v>102</v>
      </c>
      <c r="I79">
        <v>1</v>
      </c>
      <c r="J79" s="4">
        <v>197</v>
      </c>
      <c r="K79" s="4">
        <v>263.98</v>
      </c>
      <c r="L79" s="4">
        <f>K79-J79</f>
      </c>
      <c r="M79" s="4">
        <f>L79*16.67%</f>
      </c>
      <c r="N79" s="4">
        <f>K79/100*11</f>
      </c>
      <c r="O79" s="4">
        <v>8.99</v>
      </c>
      <c r="P79" s="4">
        <v>0</v>
      </c>
      <c r="Q79" s="4">
        <f>P79*20%</f>
      </c>
      <c r="R79" s="4">
        <v>1</v>
      </c>
      <c r="S79" s="4">
        <f>L79-M79-N79-O79-P79-Q79-R79</f>
      </c>
      <c r="T79" s="4">
        <f>(S79-V79)/J79*100</f>
      </c>
      <c r="U79" s="4">
        <f>M79-Q79</f>
      </c>
      <c r="W79" s="4">
        <f>S79-V79</f>
      </c>
      <c r="AB79" t="s">
        <v>1</v>
      </c>
    </row>
    <row r="80" spans="1:28" x14ac:dyDescent="0.25">
      <c r="A80" s="8">
        <v>46227.5</v>
      </c>
      <c r="B80" t="s">
        <v>871</v>
      </c>
      <c r="C80" t="s">
        <v>1</v>
      </c>
      <c r="D80" s="9" t="s">
        <v>1</v>
      </c>
      <c r="E80" t="s">
        <v>1</v>
      </c>
      <c r="F80" t="s">
        <v>1</v>
      </c>
      <c r="G80" t="s">
        <v>1</v>
      </c>
      <c r="H80" t="s">
        <v>66</v>
      </c>
      <c r="I80">
        <v>1</v>
      </c>
      <c r="J80" s="4">
        <v>509</v>
      </c>
      <c r="K80" s="4">
        <v>590.44</v>
      </c>
      <c r="L80" s="4">
        <f>K80-J80</f>
      </c>
      <c r="M80" s="4">
        <f>L80*16.67%</f>
      </c>
      <c r="N80" s="4">
        <f>K80/100*11</f>
      </c>
      <c r="O80" s="4">
        <v>8.99</v>
      </c>
      <c r="P80" s="4">
        <v>0</v>
      </c>
      <c r="Q80" s="4">
        <f>P80*20%</f>
      </c>
      <c r="R80" s="4">
        <v>1</v>
      </c>
      <c r="S80" s="4">
        <f>L80-M80-N80-O80-P80-Q80-R80</f>
      </c>
      <c r="T80" s="4">
        <f>(S80-V80)/J80*100</f>
      </c>
      <c r="U80" s="4">
        <f>M80-Q80</f>
      </c>
      <c r="W80" s="4">
        <f>S80-V80</f>
      </c>
      <c r="AB80" t="s">
        <v>1</v>
      </c>
    </row>
    <row r="81" spans="1:28" x14ac:dyDescent="0.25">
      <c r="A81" s="8">
        <v>46226.5</v>
      </c>
      <c r="B81" t="s">
        <v>872</v>
      </c>
      <c r="C81" t="s">
        <v>1</v>
      </c>
      <c r="D81" s="9" t="s">
        <v>873</v>
      </c>
      <c r="E81" t="s">
        <v>125</v>
      </c>
      <c r="F81" t="s">
        <v>99</v>
      </c>
      <c r="G81" t="s">
        <v>126</v>
      </c>
      <c r="H81" t="s">
        <v>102</v>
      </c>
      <c r="I81">
        <v>1</v>
      </c>
      <c r="J81" s="4">
        <v>230</v>
      </c>
      <c r="K81" s="4">
        <v>319.7</v>
      </c>
      <c r="L81" s="4">
        <f>K81-J81</f>
      </c>
      <c r="M81" s="4">
        <f>L81*16.67%</f>
      </c>
      <c r="N81" s="4">
        <f>K81/100*11</f>
      </c>
      <c r="O81" s="4">
        <v>8.99</v>
      </c>
      <c r="P81" s="4">
        <v>0</v>
      </c>
      <c r="Q81" s="4">
        <f>P81*20%</f>
      </c>
      <c r="R81" s="4">
        <v>1</v>
      </c>
      <c r="S81" s="4">
        <f>L81-M81-N81-O81-P81-Q81-R81</f>
      </c>
      <c r="T81" s="4">
        <f>(S81-V81)/J81*100</f>
      </c>
      <c r="U81" s="4">
        <f>M81-Q81</f>
      </c>
      <c r="W81" s="4">
        <f>S81-V81</f>
      </c>
      <c r="AB81" t="s">
        <v>1</v>
      </c>
    </row>
    <row r="82" spans="1:28" x14ac:dyDescent="0.25">
      <c r="A82" s="8">
        <v>46226.5</v>
      </c>
      <c r="B82" t="s">
        <v>874</v>
      </c>
      <c r="C82" t="s">
        <v>1</v>
      </c>
      <c r="D82" s="9" t="s">
        <v>875</v>
      </c>
      <c r="E82" t="s">
        <v>69</v>
      </c>
      <c r="F82" t="s">
        <v>85</v>
      </c>
      <c r="G82" t="s">
        <v>60</v>
      </c>
      <c r="H82" t="s">
        <v>61</v>
      </c>
      <c r="I82">
        <v>1</v>
      </c>
      <c r="J82" s="4">
        <v>521</v>
      </c>
      <c r="K82" s="4">
        <v>745.03</v>
      </c>
      <c r="L82" s="4">
        <f>K82-J82</f>
      </c>
      <c r="M82" s="4">
        <f>L82*16.67%</f>
      </c>
      <c r="N82" s="4">
        <f>K82/100*11</f>
      </c>
      <c r="O82" s="4">
        <v>8.99</v>
      </c>
      <c r="P82" s="4">
        <v>0</v>
      </c>
      <c r="Q82" s="4">
        <f>P82*20%</f>
      </c>
      <c r="R82" s="4">
        <v>1</v>
      </c>
      <c r="S82" s="4">
        <f>L82-M82-N82-O82-P82-Q82-R82</f>
      </c>
      <c r="T82" s="4">
        <f>(S82-V82)/J82*100</f>
      </c>
      <c r="U82" s="4">
        <f>M82-Q82</f>
      </c>
      <c r="W82" s="4">
        <f>S82-V82</f>
      </c>
      <c r="AB82" t="s">
        <v>1</v>
      </c>
    </row>
    <row r="83" spans="1:28" x14ac:dyDescent="0.25">
      <c r="A83" s="8">
        <v>46226.5</v>
      </c>
      <c r="B83" t="s">
        <v>876</v>
      </c>
      <c r="C83" t="s">
        <v>177</v>
      </c>
      <c r="D83" s="9" t="s">
        <v>1</v>
      </c>
      <c r="E83" t="s">
        <v>177</v>
      </c>
      <c r="F83" t="s">
        <v>1</v>
      </c>
      <c r="G83" t="s">
        <v>1</v>
      </c>
      <c r="H83" t="s">
        <v>78</v>
      </c>
      <c r="I83">
        <v>3</v>
      </c>
      <c r="J83" s="4">
        <v>0.45</v>
      </c>
      <c r="K83" s="4">
        <v>0.65</v>
      </c>
      <c r="L83" s="4">
        <f>K83-J83</f>
      </c>
      <c r="M83" s="4">
        <f>L83*16.67%</f>
      </c>
      <c r="N83" s="4">
        <f>K83/100*11</f>
      </c>
      <c r="O83" s="4">
        <v>8.99</v>
      </c>
      <c r="P83" s="4">
        <v>0</v>
      </c>
      <c r="Q83" s="4">
        <f>P83*20%</f>
      </c>
      <c r="R83" s="4">
        <v>0</v>
      </c>
      <c r="S83" s="4">
        <f>L83-M83-N83-O83-P83-Q83-R83</f>
      </c>
      <c r="T83" s="4">
        <f>(S83-V83)/J83*100</f>
      </c>
      <c r="U83" s="4">
        <f>M83-Q83</f>
      </c>
      <c r="W83" s="4">
        <f>S83-V83</f>
      </c>
      <c r="AB83" t="s">
        <v>1</v>
      </c>
    </row>
    <row r="84" spans="1:28" x14ac:dyDescent="0.25">
      <c r="A84" s="8">
        <v>46225.5</v>
      </c>
      <c r="B84" t="s">
        <v>877</v>
      </c>
      <c r="C84" t="s">
        <v>1</v>
      </c>
      <c r="D84" s="9" t="s">
        <v>878</v>
      </c>
      <c r="E84" t="s">
        <v>73</v>
      </c>
      <c r="F84" t="s">
        <v>88</v>
      </c>
      <c r="G84" t="s">
        <v>60</v>
      </c>
      <c r="H84" t="s">
        <v>78</v>
      </c>
      <c r="I84">
        <v>1</v>
      </c>
      <c r="J84" s="4">
        <v>334</v>
      </c>
      <c r="K84" s="4">
        <v>467.6</v>
      </c>
      <c r="L84" s="4">
        <f>K84-J84</f>
      </c>
      <c r="M84" s="4">
        <f>L84*16.67%</f>
      </c>
      <c r="N84" s="4">
        <f>K84/100*11</f>
      </c>
      <c r="O84" s="4">
        <v>8.99</v>
      </c>
      <c r="P84" s="4">
        <v>0</v>
      </c>
      <c r="Q84" s="4">
        <f>P84*20%</f>
      </c>
      <c r="R84" s="4">
        <v>1</v>
      </c>
      <c r="S84" s="4">
        <f>L84-M84-N84-O84-P84-Q84-R84</f>
      </c>
      <c r="T84" s="4">
        <f>(S84-V84)/J84*100</f>
      </c>
      <c r="U84" s="4">
        <f>M84-Q84</f>
      </c>
      <c r="W84" s="4">
        <f>S84-V84</f>
      </c>
      <c r="AB84" t="s">
        <v>1</v>
      </c>
    </row>
    <row r="85" spans="1:28" x14ac:dyDescent="0.25">
      <c r="A85" s="8">
        <v>46225.5</v>
      </c>
      <c r="B85" t="s">
        <v>879</v>
      </c>
      <c r="C85" t="s">
        <v>1</v>
      </c>
      <c r="D85" s="9" t="s">
        <v>880</v>
      </c>
      <c r="E85" t="s">
        <v>73</v>
      </c>
      <c r="F85" t="s">
        <v>99</v>
      </c>
      <c r="G85" t="s">
        <v>60</v>
      </c>
      <c r="H85" t="s">
        <v>102</v>
      </c>
      <c r="I85">
        <v>1</v>
      </c>
      <c r="J85" s="4">
        <v>327</v>
      </c>
      <c r="K85" s="4">
        <v>444.72</v>
      </c>
      <c r="L85" s="4">
        <f>K85-J85</f>
      </c>
      <c r="M85" s="4">
        <f>L85*16.67%</f>
      </c>
      <c r="N85" s="4">
        <f>K85/100*11</f>
      </c>
      <c r="O85" s="4">
        <v>8.99</v>
      </c>
      <c r="P85" s="4">
        <v>0</v>
      </c>
      <c r="Q85" s="4">
        <f>P85*20%</f>
      </c>
      <c r="R85" s="4">
        <v>1</v>
      </c>
      <c r="S85" s="4">
        <f>L85-M85-N85-O85-P85-Q85-R85</f>
      </c>
      <c r="T85" s="4">
        <f>(S85-V85)/J85*100</f>
      </c>
      <c r="U85" s="4">
        <f>M85-Q85</f>
      </c>
      <c r="W85" s="4">
        <f>S85-V85</f>
      </c>
      <c r="AB85" t="s">
        <v>1</v>
      </c>
    </row>
    <row r="86" spans="1:28" x14ac:dyDescent="0.25">
      <c r="A86" s="8">
        <v>46225.5</v>
      </c>
      <c r="B86" t="s">
        <v>881</v>
      </c>
      <c r="C86" t="s">
        <v>1</v>
      </c>
      <c r="D86" s="9" t="s">
        <v>882</v>
      </c>
      <c r="E86" t="s">
        <v>58</v>
      </c>
      <c r="F86" t="s">
        <v>74</v>
      </c>
      <c r="G86" t="s">
        <v>60</v>
      </c>
      <c r="H86" t="s">
        <v>75</v>
      </c>
      <c r="I86">
        <v>1</v>
      </c>
      <c r="J86" s="4">
        <v>449</v>
      </c>
      <c r="K86" s="4">
        <v>570.23</v>
      </c>
      <c r="L86" s="4">
        <f>K86-J86</f>
      </c>
      <c r="M86" s="4">
        <f>L86*16.67%</f>
      </c>
      <c r="N86" s="4">
        <f>K86/100*11</f>
      </c>
      <c r="O86" s="4">
        <v>8.99</v>
      </c>
      <c r="P86" s="4">
        <v>0</v>
      </c>
      <c r="Q86" s="4">
        <f>P86*20%</f>
      </c>
      <c r="R86" s="4">
        <v>1</v>
      </c>
      <c r="S86" s="4">
        <f>L86-M86-N86-O86-P86-Q86-R86</f>
      </c>
      <c r="T86" s="4">
        <f>(S86-V86)/J86*100</f>
      </c>
      <c r="U86" s="4">
        <f>M86-Q86</f>
      </c>
      <c r="W86" s="4">
        <f>S86-V86</f>
      </c>
      <c r="AB86" t="s">
        <v>1</v>
      </c>
    </row>
    <row r="87" spans="1:28" x14ac:dyDescent="0.25">
      <c r="A87" s="8">
        <v>46225.5</v>
      </c>
      <c r="B87" t="s">
        <v>883</v>
      </c>
      <c r="C87" t="s">
        <v>1</v>
      </c>
      <c r="D87" s="9" t="s">
        <v>884</v>
      </c>
      <c r="E87" t="s">
        <v>114</v>
      </c>
      <c r="F87" t="s">
        <v>85</v>
      </c>
      <c r="G87" t="s">
        <v>60</v>
      </c>
      <c r="H87" t="s">
        <v>102</v>
      </c>
      <c r="I87">
        <v>1</v>
      </c>
      <c r="J87" s="4">
        <v>247</v>
      </c>
      <c r="K87" s="4">
        <v>355.68</v>
      </c>
      <c r="L87" s="4">
        <f>K87-J87</f>
      </c>
      <c r="M87" s="4">
        <f>L87*16.67%</f>
      </c>
      <c r="N87" s="4">
        <f>K87/100*11</f>
      </c>
      <c r="O87" s="4">
        <v>8.99</v>
      </c>
      <c r="P87" s="4">
        <v>0</v>
      </c>
      <c r="Q87" s="4">
        <f>P87*20%</f>
      </c>
      <c r="R87" s="4">
        <v>1</v>
      </c>
      <c r="S87" s="4">
        <f>L87-M87-N87-O87-P87-Q87-R87</f>
      </c>
      <c r="T87" s="4">
        <f>(S87-V87)/J87*100</f>
      </c>
      <c r="U87" s="4">
        <f>M87-Q87</f>
      </c>
      <c r="W87" s="4">
        <f>S87-V87</f>
      </c>
      <c r="AB87" t="s">
        <v>1</v>
      </c>
    </row>
    <row r="88" spans="1:28" x14ac:dyDescent="0.25">
      <c r="A88" s="8">
        <v>46225.5</v>
      </c>
      <c r="B88" t="s">
        <v>885</v>
      </c>
      <c r="C88" t="s">
        <v>1</v>
      </c>
      <c r="D88" s="9" t="s">
        <v>886</v>
      </c>
      <c r="E88" t="s">
        <v>98</v>
      </c>
      <c r="F88" t="s">
        <v>105</v>
      </c>
      <c r="G88" t="s">
        <v>60</v>
      </c>
      <c r="H88" t="s">
        <v>66</v>
      </c>
      <c r="I88">
        <v>1</v>
      </c>
      <c r="J88" s="4">
        <v>331</v>
      </c>
      <c r="K88" s="4">
        <v>397.2</v>
      </c>
      <c r="L88" s="4">
        <f>K88-J88</f>
      </c>
      <c r="M88" s="4">
        <f>L88*16.67%</f>
      </c>
      <c r="N88" s="4">
        <f>K88/100*11</f>
      </c>
      <c r="O88" s="4">
        <v>8.99</v>
      </c>
      <c r="P88" s="4">
        <v>0</v>
      </c>
      <c r="Q88" s="4">
        <f>P88*20%</f>
      </c>
      <c r="R88" s="4">
        <v>1</v>
      </c>
      <c r="S88" s="4">
        <f>L88-M88-N88-O88-P88-Q88-R88</f>
      </c>
      <c r="T88" s="4">
        <f>(S88-V88)/J88*100</f>
      </c>
      <c r="U88" s="4">
        <f>M88-Q88</f>
      </c>
      <c r="W88" s="4">
        <f>S88-V88</f>
      </c>
      <c r="AB88" t="s">
        <v>1</v>
      </c>
    </row>
    <row r="89" spans="1:28" x14ac:dyDescent="0.25">
      <c r="A89" s="8">
        <v>46225.5</v>
      </c>
      <c r="B89" t="s">
        <v>887</v>
      </c>
      <c r="C89" t="s">
        <v>174</v>
      </c>
      <c r="D89" s="9" t="s">
        <v>1</v>
      </c>
      <c r="E89" t="s">
        <v>174</v>
      </c>
      <c r="F89" t="s">
        <v>1</v>
      </c>
      <c r="G89" t="s">
        <v>1</v>
      </c>
      <c r="H89" t="s">
        <v>66</v>
      </c>
      <c r="I89">
        <v>1</v>
      </c>
      <c r="J89" s="4">
        <v>4.25</v>
      </c>
      <c r="K89" s="4">
        <v>5.61</v>
      </c>
      <c r="L89" s="4">
        <f>K89-J89</f>
      </c>
      <c r="M89" s="4">
        <f>L89*16.67%</f>
      </c>
      <c r="N89" s="4">
        <f>K89/100*11</f>
      </c>
      <c r="O89" s="4">
        <v>8.99</v>
      </c>
      <c r="P89" s="4">
        <v>0</v>
      </c>
      <c r="Q89" s="4">
        <f>P89*20%</f>
      </c>
      <c r="R89" s="4">
        <v>0</v>
      </c>
      <c r="S89" s="4">
        <f>L89-M89-N89-O89-P89-Q89-R89</f>
      </c>
      <c r="T89" s="4">
        <f>(S89-V89)/J89*100</f>
      </c>
      <c r="U89" s="4">
        <f>M89-Q89</f>
      </c>
      <c r="W89" s="4">
        <f>S89-V89</f>
      </c>
      <c r="AB89" t="s">
        <v>1</v>
      </c>
    </row>
    <row r="90" spans="1:28" x14ac:dyDescent="0.25">
      <c r="A90" s="8">
        <v>46225.5</v>
      </c>
      <c r="B90" t="s">
        <v>888</v>
      </c>
      <c r="C90" t="s">
        <v>174</v>
      </c>
      <c r="D90" s="9" t="s">
        <v>1</v>
      </c>
      <c r="E90" t="s">
        <v>174</v>
      </c>
      <c r="F90" t="s">
        <v>1</v>
      </c>
      <c r="G90" t="s">
        <v>1</v>
      </c>
      <c r="H90" t="s">
        <v>66</v>
      </c>
      <c r="I90">
        <v>2</v>
      </c>
      <c r="J90" s="4">
        <v>8.5</v>
      </c>
      <c r="K90" s="4">
        <v>11.82</v>
      </c>
      <c r="L90" s="4">
        <f>K90-J90</f>
      </c>
      <c r="M90" s="4">
        <f>L90*16.67%</f>
      </c>
      <c r="N90" s="4">
        <f>K90/100*11</f>
      </c>
      <c r="O90" s="4">
        <v>8.99</v>
      </c>
      <c r="P90" s="4">
        <v>0</v>
      </c>
      <c r="Q90" s="4">
        <f>P90*20%</f>
      </c>
      <c r="R90" s="4">
        <v>0</v>
      </c>
      <c r="S90" s="4">
        <f>L90-M90-N90-O90-P90-Q90-R90</f>
      </c>
      <c r="T90" s="4">
        <f>(S90-V90)/J90*100</f>
      </c>
      <c r="U90" s="4">
        <f>M90-Q90</f>
      </c>
      <c r="W90" s="4">
        <f>S90-V90</f>
      </c>
      <c r="AB90" t="s">
        <v>1</v>
      </c>
    </row>
    <row r="91" spans="1:28" x14ac:dyDescent="0.25">
      <c r="A91" s="8">
        <v>46225.5</v>
      </c>
      <c r="B91" t="s">
        <v>889</v>
      </c>
      <c r="C91" t="s">
        <v>1</v>
      </c>
      <c r="D91" s="9" t="s">
        <v>1</v>
      </c>
      <c r="E91" t="s">
        <v>1</v>
      </c>
      <c r="F91" t="s">
        <v>1</v>
      </c>
      <c r="G91" t="s">
        <v>1</v>
      </c>
      <c r="H91" t="s">
        <v>66</v>
      </c>
      <c r="I91">
        <v>1</v>
      </c>
      <c r="J91" s="4">
        <v>251</v>
      </c>
      <c r="K91" s="4">
        <v>348.89</v>
      </c>
      <c r="L91" s="4">
        <f>K91-J91</f>
      </c>
      <c r="M91" s="4">
        <f>L91*16.67%</f>
      </c>
      <c r="N91" s="4">
        <f>K91/100*11</f>
      </c>
      <c r="O91" s="4">
        <v>8.99</v>
      </c>
      <c r="P91" s="4">
        <v>0</v>
      </c>
      <c r="Q91" s="4">
        <f>P91*20%</f>
      </c>
      <c r="R91" s="4">
        <v>1</v>
      </c>
      <c r="S91" s="4">
        <f>L91-M91-N91-O91-P91-Q91-R91</f>
      </c>
      <c r="T91" s="4">
        <f>(S91-V91)/J91*100</f>
      </c>
      <c r="U91" s="4">
        <f>M91-Q91</f>
      </c>
      <c r="W91" s="4">
        <f>S91-V91</f>
      </c>
      <c r="AB91" t="s">
        <v>1</v>
      </c>
    </row>
    <row r="92" spans="1:28" x14ac:dyDescent="0.25">
      <c r="A92" s="8">
        <v>46224.5</v>
      </c>
      <c r="B92" t="s">
        <v>890</v>
      </c>
      <c r="C92" t="s">
        <v>1</v>
      </c>
      <c r="D92" s="9" t="s">
        <v>891</v>
      </c>
      <c r="E92" t="s">
        <v>69</v>
      </c>
      <c r="F92" t="s">
        <v>70</v>
      </c>
      <c r="G92" t="s">
        <v>60</v>
      </c>
      <c r="H92" t="s">
        <v>61</v>
      </c>
      <c r="I92">
        <v>1</v>
      </c>
      <c r="J92" s="4">
        <v>494</v>
      </c>
      <c r="K92" s="4">
        <v>691.6</v>
      </c>
      <c r="L92" s="4">
        <f>K92-J92</f>
      </c>
      <c r="M92" s="4">
        <f>L92*16.67%</f>
      </c>
      <c r="N92" s="4">
        <f>K92/100*11</f>
      </c>
      <c r="O92" s="4">
        <v>8.99</v>
      </c>
      <c r="P92" s="4">
        <v>0</v>
      </c>
      <c r="Q92" s="4">
        <f>P92*20%</f>
      </c>
      <c r="R92" s="4">
        <v>1</v>
      </c>
      <c r="S92" s="4">
        <f>L92-M92-N92-O92-P92-Q92-R92</f>
      </c>
      <c r="T92" s="4">
        <f>(S92-V92)/J92*100</f>
      </c>
      <c r="U92" s="4">
        <f>M92-Q92</f>
      </c>
      <c r="W92" s="4">
        <f>S92-V92</f>
      </c>
      <c r="AB92" t="s">
        <v>1</v>
      </c>
    </row>
    <row r="93" spans="1:28" x14ac:dyDescent="0.25">
      <c r="A93" s="8">
        <v>46224.5</v>
      </c>
      <c r="B93" t="s">
        <v>892</v>
      </c>
      <c r="C93" t="s">
        <v>1</v>
      </c>
      <c r="D93" s="9" t="s">
        <v>893</v>
      </c>
      <c r="E93" t="s">
        <v>69</v>
      </c>
      <c r="F93" t="s">
        <v>70</v>
      </c>
      <c r="G93" t="s">
        <v>60</v>
      </c>
      <c r="H93" t="s">
        <v>78</v>
      </c>
      <c r="I93">
        <v>1</v>
      </c>
      <c r="J93" s="4">
        <v>508</v>
      </c>
      <c r="K93" s="4">
        <v>655.32</v>
      </c>
      <c r="L93" s="4">
        <f>K93-J93</f>
      </c>
      <c r="M93" s="4">
        <f>L93*16.67%</f>
      </c>
      <c r="N93" s="4">
        <f>K93/100*11</f>
      </c>
      <c r="O93" s="4">
        <v>8.99</v>
      </c>
      <c r="P93" s="4">
        <v>0</v>
      </c>
      <c r="Q93" s="4">
        <f>P93*20%</f>
      </c>
      <c r="R93" s="4">
        <v>1</v>
      </c>
      <c r="S93" s="4">
        <f>L93-M93-N93-O93-P93-Q93-R93</f>
      </c>
      <c r="T93" s="4">
        <f>(S93-V93)/J93*100</f>
      </c>
      <c r="U93" s="4">
        <f>M93-Q93</f>
      </c>
      <c r="W93" s="4">
        <f>S93-V93</f>
      </c>
      <c r="AB93" t="s">
        <v>1</v>
      </c>
    </row>
    <row r="94" spans="1:28" x14ac:dyDescent="0.25">
      <c r="A94" s="8">
        <v>46224.5</v>
      </c>
      <c r="B94" t="s">
        <v>894</v>
      </c>
      <c r="C94" t="s">
        <v>189</v>
      </c>
      <c r="D94" s="9" t="s">
        <v>1</v>
      </c>
      <c r="E94" t="s">
        <v>189</v>
      </c>
      <c r="F94" t="s">
        <v>1</v>
      </c>
      <c r="G94" t="s">
        <v>1</v>
      </c>
      <c r="H94" t="s">
        <v>66</v>
      </c>
      <c r="I94">
        <v>2</v>
      </c>
      <c r="J94" s="4">
        <v>7</v>
      </c>
      <c r="K94" s="4">
        <v>9.03</v>
      </c>
      <c r="L94" s="4">
        <f>K94-J94</f>
      </c>
      <c r="M94" s="4">
        <f>L94*16.67%</f>
      </c>
      <c r="N94" s="4">
        <f>K94/100*11</f>
      </c>
      <c r="O94" s="4">
        <v>8.99</v>
      </c>
      <c r="P94" s="4">
        <v>0</v>
      </c>
      <c r="Q94" s="4">
        <f>P94*20%</f>
      </c>
      <c r="R94" s="4">
        <v>0</v>
      </c>
      <c r="S94" s="4">
        <f>L94-M94-N94-O94-P94-Q94-R94</f>
      </c>
      <c r="T94" s="4">
        <f>(S94-V94)/J94*100</f>
      </c>
      <c r="U94" s="4">
        <f>M94-Q94</f>
      </c>
      <c r="W94" s="4">
        <f>S94-V94</f>
      </c>
      <c r="AB94" t="s">
        <v>1</v>
      </c>
    </row>
    <row r="95" spans="1:28" x14ac:dyDescent="0.25">
      <c r="A95" s="8">
        <v>46224.5</v>
      </c>
      <c r="B95" t="s">
        <v>895</v>
      </c>
      <c r="C95" t="s">
        <v>254</v>
      </c>
      <c r="D95" s="9" t="s">
        <v>1</v>
      </c>
      <c r="E95" t="s">
        <v>254</v>
      </c>
      <c r="F95" t="s">
        <v>1</v>
      </c>
      <c r="G95" t="s">
        <v>1</v>
      </c>
      <c r="H95" t="s">
        <v>61</v>
      </c>
      <c r="I95">
        <v>2</v>
      </c>
      <c r="J95" s="4">
        <v>1.6</v>
      </c>
      <c r="K95" s="4">
        <v>2.21</v>
      </c>
      <c r="L95" s="4">
        <f>K95-J95</f>
      </c>
      <c r="M95" s="4">
        <f>L95*16.67%</f>
      </c>
      <c r="N95" s="4">
        <f>K95/100*11</f>
      </c>
      <c r="O95" s="4">
        <v>8.99</v>
      </c>
      <c r="P95" s="4">
        <v>0</v>
      </c>
      <c r="Q95" s="4">
        <f>P95*20%</f>
      </c>
      <c r="R95" s="4">
        <v>0</v>
      </c>
      <c r="S95" s="4">
        <f>L95-M95-N95-O95-P95-Q95-R95</f>
      </c>
      <c r="T95" s="4">
        <f>(S95-V95)/J95*100</f>
      </c>
      <c r="U95" s="4">
        <f>M95-Q95</f>
      </c>
      <c r="W95" s="4">
        <f>S95-V95</f>
      </c>
      <c r="AB95" t="s">
        <v>1</v>
      </c>
    </row>
    <row r="96" spans="1:28" x14ac:dyDescent="0.25">
      <c r="A96" s="8">
        <v>46223.5</v>
      </c>
      <c r="B96" t="s">
        <v>896</v>
      </c>
      <c r="C96" t="s">
        <v>1</v>
      </c>
      <c r="D96" s="9" t="s">
        <v>897</v>
      </c>
      <c r="E96" t="s">
        <v>131</v>
      </c>
      <c r="F96" t="s">
        <v>59</v>
      </c>
      <c r="G96" t="s">
        <v>60</v>
      </c>
      <c r="H96" t="s">
        <v>61</v>
      </c>
      <c r="I96">
        <v>1</v>
      </c>
      <c r="J96" s="4">
        <v>265</v>
      </c>
      <c r="K96" s="4">
        <v>355.1</v>
      </c>
      <c r="L96" s="4">
        <f>K96-J96</f>
      </c>
      <c r="M96" s="4">
        <f>L96*16.67%</f>
      </c>
      <c r="N96" s="4">
        <f>K96/100*11</f>
      </c>
      <c r="O96" s="4">
        <v>8.99</v>
      </c>
      <c r="P96" s="4">
        <v>0</v>
      </c>
      <c r="Q96" s="4">
        <f>P96*20%</f>
      </c>
      <c r="R96" s="4">
        <v>1</v>
      </c>
      <c r="S96" s="4">
        <f>L96-M96-N96-O96-P96-Q96-R96</f>
      </c>
      <c r="T96" s="4">
        <f>(S96-V96)/J96*100</f>
      </c>
      <c r="U96" s="4">
        <f>M96-Q96</f>
      </c>
      <c r="W96" s="4">
        <f>S96-V96</f>
      </c>
      <c r="AB96" t="s">
        <v>1</v>
      </c>
    </row>
    <row r="97" spans="1:28" x14ac:dyDescent="0.25">
      <c r="A97" s="8">
        <v>46223.5</v>
      </c>
      <c r="B97" t="s">
        <v>898</v>
      </c>
      <c r="C97" t="s">
        <v>1</v>
      </c>
      <c r="D97" s="9" t="s">
        <v>899</v>
      </c>
      <c r="E97" t="s">
        <v>58</v>
      </c>
      <c r="F97" t="s">
        <v>74</v>
      </c>
      <c r="G97" t="s">
        <v>60</v>
      </c>
      <c r="H97" t="s">
        <v>78</v>
      </c>
      <c r="I97">
        <v>1</v>
      </c>
      <c r="J97" s="4">
        <v>441</v>
      </c>
      <c r="K97" s="4">
        <v>507.15</v>
      </c>
      <c r="L97" s="4">
        <f>K97-J97</f>
      </c>
      <c r="M97" s="4">
        <f>L97*16.67%</f>
      </c>
      <c r="N97" s="4">
        <f>K97/100*11</f>
      </c>
      <c r="O97" s="4">
        <v>8.99</v>
      </c>
      <c r="P97" s="4">
        <v>0</v>
      </c>
      <c r="Q97" s="4">
        <f>P97*20%</f>
      </c>
      <c r="R97" s="4">
        <v>1</v>
      </c>
      <c r="S97" s="4">
        <f>L97-M97-N97-O97-P97-Q97-R97</f>
      </c>
      <c r="T97" s="4">
        <f>(S97-V97)/J97*100</f>
      </c>
      <c r="U97" s="4">
        <f>M97-Q97</f>
      </c>
      <c r="W97" s="4">
        <f>S97-V97</f>
      </c>
      <c r="AB97" t="s">
        <v>1</v>
      </c>
    </row>
    <row r="98" spans="1:28" x14ac:dyDescent="0.25">
      <c r="A98" s="8">
        <v>46222.5</v>
      </c>
      <c r="B98" t="s">
        <v>900</v>
      </c>
      <c r="C98" t="s">
        <v>189</v>
      </c>
      <c r="D98" s="9" t="s">
        <v>1</v>
      </c>
      <c r="E98" t="s">
        <v>189</v>
      </c>
      <c r="F98" t="s">
        <v>1</v>
      </c>
      <c r="G98" t="s">
        <v>1</v>
      </c>
      <c r="H98" t="s">
        <v>66</v>
      </c>
      <c r="I98">
        <v>3</v>
      </c>
      <c r="J98" s="4">
        <v>10.5</v>
      </c>
      <c r="K98" s="4">
        <v>13.65</v>
      </c>
      <c r="L98" s="4">
        <f>K98-J98</f>
      </c>
      <c r="M98" s="4">
        <f>L98*16.67%</f>
      </c>
      <c r="N98" s="4">
        <f>K98/100*11</f>
      </c>
      <c r="O98" s="4">
        <v>8.99</v>
      </c>
      <c r="P98" s="4">
        <v>0</v>
      </c>
      <c r="Q98" s="4">
        <f>P98*20%</f>
      </c>
      <c r="R98" s="4">
        <v>0</v>
      </c>
      <c r="S98" s="4">
        <f>L98-M98-N98-O98-P98-Q98-R98</f>
      </c>
      <c r="T98" s="4">
        <f>(S98-V98)/J98*100</f>
      </c>
      <c r="U98" s="4">
        <f>M98-Q98</f>
      </c>
      <c r="W98" s="4">
        <f>S98-V98</f>
      </c>
      <c r="AB98" t="s">
        <v>1</v>
      </c>
    </row>
    <row r="99" spans="1:28" x14ac:dyDescent="0.25">
      <c r="A99" s="8">
        <v>46221.5</v>
      </c>
      <c r="B99" t="s">
        <v>901</v>
      </c>
      <c r="C99" t="s">
        <v>1</v>
      </c>
      <c r="D99" s="9" t="s">
        <v>902</v>
      </c>
      <c r="E99" t="s">
        <v>81</v>
      </c>
      <c r="F99" t="s">
        <v>70</v>
      </c>
      <c r="G99" t="s">
        <v>65</v>
      </c>
      <c r="H99" t="s">
        <v>75</v>
      </c>
      <c r="I99">
        <v>1</v>
      </c>
      <c r="J99" s="4">
        <v>521</v>
      </c>
      <c r="K99" s="4">
        <v>739.82</v>
      </c>
      <c r="L99" s="4">
        <f>K99-J99</f>
      </c>
      <c r="M99" s="4">
        <f>L99*16.67%</f>
      </c>
      <c r="N99" s="4">
        <f>K99/100*11</f>
      </c>
      <c r="O99" s="4">
        <v>8.99</v>
      </c>
      <c r="P99" s="4">
        <v>0</v>
      </c>
      <c r="Q99" s="4">
        <f>P99*20%</f>
      </c>
      <c r="R99" s="4">
        <v>1</v>
      </c>
      <c r="S99" s="4">
        <f>L99-M99-N99-O99-P99-Q99-R99</f>
      </c>
      <c r="T99" s="4">
        <f>(S99-V99)/J99*100</f>
      </c>
      <c r="U99" s="4">
        <f>M99-Q99</f>
      </c>
      <c r="W99" s="4">
        <f>S99-V99</f>
      </c>
      <c r="AB99" t="s">
        <v>1</v>
      </c>
    </row>
    <row r="100" spans="1:28" x14ac:dyDescent="0.25">
      <c r="A100" s="8">
        <v>46221.5</v>
      </c>
      <c r="B100" t="s">
        <v>903</v>
      </c>
      <c r="C100" t="s">
        <v>1</v>
      </c>
      <c r="D100" s="9" t="s">
        <v>904</v>
      </c>
      <c r="E100" t="s">
        <v>114</v>
      </c>
      <c r="F100" t="s">
        <v>74</v>
      </c>
      <c r="G100" t="s">
        <v>95</v>
      </c>
      <c r="H100" t="s">
        <v>75</v>
      </c>
      <c r="I100">
        <v>1</v>
      </c>
      <c r="J100" s="4">
        <v>216</v>
      </c>
      <c r="K100" s="4">
        <v>313.2</v>
      </c>
      <c r="L100" s="4">
        <f>K100-J100</f>
      </c>
      <c r="M100" s="4">
        <f>L100*16.67%</f>
      </c>
      <c r="N100" s="4">
        <f>K100/100*11</f>
      </c>
      <c r="O100" s="4">
        <v>8.99</v>
      </c>
      <c r="P100" s="4">
        <v>0</v>
      </c>
      <c r="Q100" s="4">
        <f>P100*20%</f>
      </c>
      <c r="R100" s="4">
        <v>1</v>
      </c>
      <c r="S100" s="4">
        <f>L100-M100-N100-O100-P100-Q100-R100</f>
      </c>
      <c r="T100" s="4">
        <f>(S100-V100)/J100*100</f>
      </c>
      <c r="U100" s="4">
        <f>M100-Q100</f>
      </c>
      <c r="W100" s="4">
        <f>S100-V100</f>
      </c>
      <c r="AB100" t="s">
        <v>1</v>
      </c>
    </row>
    <row r="101" spans="1:28" x14ac:dyDescent="0.25">
      <c r="A101" s="8">
        <v>46221.5</v>
      </c>
      <c r="B101" t="s">
        <v>905</v>
      </c>
      <c r="C101" t="s">
        <v>1</v>
      </c>
      <c r="D101" s="9" t="s">
        <v>906</v>
      </c>
      <c r="E101" t="s">
        <v>234</v>
      </c>
      <c r="F101" t="s">
        <v>59</v>
      </c>
      <c r="G101" t="s">
        <v>65</v>
      </c>
      <c r="H101" t="s">
        <v>66</v>
      </c>
      <c r="I101">
        <v>1</v>
      </c>
      <c r="J101" s="4">
        <v>150</v>
      </c>
      <c r="K101" s="4">
        <v>202.5</v>
      </c>
      <c r="L101" s="4">
        <f>K101-J101</f>
      </c>
      <c r="M101" s="4">
        <f>L101*16.67%</f>
      </c>
      <c r="N101" s="4">
        <f>K101/100*11</f>
      </c>
      <c r="O101" s="4">
        <v>8.99</v>
      </c>
      <c r="P101" s="4">
        <v>0</v>
      </c>
      <c r="Q101" s="4">
        <f>P101*20%</f>
      </c>
      <c r="R101" s="4">
        <v>1</v>
      </c>
      <c r="S101" s="4">
        <f>L101-M101-N101-O101-P101-Q101-R101</f>
      </c>
      <c r="T101" s="4">
        <f>(S101-V101)/J101*100</f>
      </c>
      <c r="U101" s="4">
        <f>M101-Q101</f>
      </c>
      <c r="W101" s="4">
        <f>S101-V101</f>
      </c>
      <c r="AB101" t="s">
        <v>1</v>
      </c>
    </row>
    <row r="102" spans="1:28" x14ac:dyDescent="0.25">
      <c r="A102" s="8">
        <v>46221.5</v>
      </c>
      <c r="B102" t="s">
        <v>907</v>
      </c>
      <c r="C102" t="s">
        <v>1</v>
      </c>
      <c r="D102" s="9" t="s">
        <v>908</v>
      </c>
      <c r="E102" t="s">
        <v>134</v>
      </c>
      <c r="F102" t="s">
        <v>74</v>
      </c>
      <c r="G102" t="s">
        <v>65</v>
      </c>
      <c r="H102" t="s">
        <v>66</v>
      </c>
      <c r="I102">
        <v>1</v>
      </c>
      <c r="J102" s="4">
        <v>107</v>
      </c>
      <c r="K102" s="4">
        <v>147.66</v>
      </c>
      <c r="L102" s="4">
        <f>K102-J102</f>
      </c>
      <c r="M102" s="4">
        <f>L102*16.67%</f>
      </c>
      <c r="N102" s="4">
        <f>K102/100*11</f>
      </c>
      <c r="O102" s="4">
        <v>8.99</v>
      </c>
      <c r="P102" s="4">
        <v>0</v>
      </c>
      <c r="Q102" s="4">
        <f>P102*20%</f>
      </c>
      <c r="R102" s="4">
        <v>1</v>
      </c>
      <c r="S102" s="4">
        <f>L102-M102-N102-O102-P102-Q102-R102</f>
      </c>
      <c r="T102" s="4">
        <f>(S102-V102)/J102*100</f>
      </c>
      <c r="U102" s="4">
        <f>M102-Q102</f>
      </c>
      <c r="W102" s="4">
        <f>S102-V102</f>
      </c>
      <c r="AB102" t="s">
        <v>1</v>
      </c>
    </row>
    <row r="103" spans="1:28" x14ac:dyDescent="0.25">
      <c r="A103" s="8">
        <v>46221.5</v>
      </c>
      <c r="B103" t="s">
        <v>909</v>
      </c>
      <c r="C103" t="s">
        <v>1</v>
      </c>
      <c r="D103" s="9" t="s">
        <v>910</v>
      </c>
      <c r="E103" t="s">
        <v>73</v>
      </c>
      <c r="F103" t="s">
        <v>59</v>
      </c>
      <c r="G103" t="s">
        <v>60</v>
      </c>
      <c r="H103" t="s">
        <v>66</v>
      </c>
      <c r="I103">
        <v>1</v>
      </c>
      <c r="J103" s="4">
        <v>352</v>
      </c>
      <c r="K103" s="4">
        <v>489.28</v>
      </c>
      <c r="L103" s="4">
        <f>K103-J103</f>
      </c>
      <c r="M103" s="4">
        <f>L103*16.67%</f>
      </c>
      <c r="N103" s="4">
        <f>K103/100*11</f>
      </c>
      <c r="O103" s="4">
        <v>8.99</v>
      </c>
      <c r="P103" s="4">
        <v>0</v>
      </c>
      <c r="Q103" s="4">
        <f>P103*20%</f>
      </c>
      <c r="R103" s="4">
        <v>1</v>
      </c>
      <c r="S103" s="4">
        <f>L103-M103-N103-O103-P103-Q103-R103</f>
      </c>
      <c r="T103" s="4">
        <f>(S103-V103)/J103*100</f>
      </c>
      <c r="U103" s="4">
        <f>M103-Q103</f>
      </c>
      <c r="W103" s="4">
        <f>S103-V103</f>
      </c>
      <c r="AB103" t="s">
        <v>1</v>
      </c>
    </row>
    <row r="104" spans="1:28" x14ac:dyDescent="0.25">
      <c r="A104" s="8">
        <v>46221.5</v>
      </c>
      <c r="B104" t="s">
        <v>911</v>
      </c>
      <c r="C104" t="s">
        <v>177</v>
      </c>
      <c r="D104" s="9" t="s">
        <v>1</v>
      </c>
      <c r="E104" t="s">
        <v>177</v>
      </c>
      <c r="F104" t="s">
        <v>1</v>
      </c>
      <c r="G104" t="s">
        <v>1</v>
      </c>
      <c r="H104" t="s">
        <v>78</v>
      </c>
      <c r="I104">
        <v>3</v>
      </c>
      <c r="J104" s="4">
        <v>0.45</v>
      </c>
      <c r="K104" s="4">
        <v>0.54</v>
      </c>
      <c r="L104" s="4">
        <f>K104-J104</f>
      </c>
      <c r="M104" s="4">
        <f>L104*16.67%</f>
      </c>
      <c r="N104" s="4">
        <f>K104/100*11</f>
      </c>
      <c r="O104" s="4">
        <v>8.99</v>
      </c>
      <c r="P104" s="4">
        <v>0</v>
      </c>
      <c r="Q104" s="4">
        <f>P104*20%</f>
      </c>
      <c r="R104" s="4">
        <v>0</v>
      </c>
      <c r="S104" s="4">
        <f>L104-M104-N104-O104-P104-Q104-R104</f>
      </c>
      <c r="T104" s="4">
        <f>(S104-V104)/J104*100</f>
      </c>
      <c r="U104" s="4">
        <f>M104-Q104</f>
      </c>
      <c r="W104" s="4">
        <f>S104-V104</f>
      </c>
      <c r="AB104" t="s">
        <v>1</v>
      </c>
    </row>
    <row r="105" spans="1:28" x14ac:dyDescent="0.25">
      <c r="A105" s="8">
        <v>46220.5</v>
      </c>
      <c r="B105" t="s">
        <v>912</v>
      </c>
      <c r="C105" t="s">
        <v>1</v>
      </c>
      <c r="D105" s="9" t="s">
        <v>913</v>
      </c>
      <c r="E105" t="s">
        <v>292</v>
      </c>
      <c r="F105" t="s">
        <v>74</v>
      </c>
      <c r="G105" t="s">
        <v>126</v>
      </c>
      <c r="H105" t="s">
        <v>75</v>
      </c>
      <c r="I105">
        <v>1</v>
      </c>
      <c r="J105" s="4">
        <v>158</v>
      </c>
      <c r="K105" s="4">
        <v>194.34</v>
      </c>
      <c r="L105" s="4">
        <f>K105-J105</f>
      </c>
      <c r="M105" s="4">
        <f>L105*16.67%</f>
      </c>
      <c r="N105" s="4">
        <f>K105/100*11</f>
      </c>
      <c r="O105" s="4">
        <v>8.99</v>
      </c>
      <c r="P105" s="4">
        <v>0</v>
      </c>
      <c r="Q105" s="4">
        <f>P105*20%</f>
      </c>
      <c r="R105" s="4">
        <v>1</v>
      </c>
      <c r="S105" s="4">
        <f>L105-M105-N105-O105-P105-Q105-R105</f>
      </c>
      <c r="T105" s="4">
        <f>(S105-V105)/J105*100</f>
      </c>
      <c r="U105" s="4">
        <f>M105-Q105</f>
      </c>
      <c r="W105" s="4">
        <f>S105-V105</f>
      </c>
      <c r="AB105" t="s">
        <v>1</v>
      </c>
    </row>
    <row r="106" spans="1:28" x14ac:dyDescent="0.25">
      <c r="A106" s="8">
        <v>46220.5</v>
      </c>
      <c r="B106" t="s">
        <v>914</v>
      </c>
      <c r="C106" t="s">
        <v>1</v>
      </c>
      <c r="D106" s="9" t="s">
        <v>915</v>
      </c>
      <c r="E106" t="s">
        <v>125</v>
      </c>
      <c r="F106" t="s">
        <v>99</v>
      </c>
      <c r="G106" t="s">
        <v>126</v>
      </c>
      <c r="H106" t="s">
        <v>75</v>
      </c>
      <c r="I106">
        <v>1</v>
      </c>
      <c r="J106" s="4">
        <v>275</v>
      </c>
      <c r="K106" s="4">
        <v>346.5</v>
      </c>
      <c r="L106" s="4">
        <f>K106-J106</f>
      </c>
      <c r="M106" s="4">
        <f>L106*16.67%</f>
      </c>
      <c r="N106" s="4">
        <f>K106/100*11</f>
      </c>
      <c r="O106" s="4">
        <v>8.99</v>
      </c>
      <c r="P106" s="4">
        <v>0</v>
      </c>
      <c r="Q106" s="4">
        <f>P106*20%</f>
      </c>
      <c r="R106" s="4">
        <v>1</v>
      </c>
      <c r="S106" s="4">
        <f>L106-M106-N106-O106-P106-Q106-R106</f>
      </c>
      <c r="T106" s="4">
        <f>(S106-V106)/J106*100</f>
      </c>
      <c r="U106" s="4">
        <f>M106-Q106</f>
      </c>
      <c r="W106" s="4">
        <f>S106-V106</f>
      </c>
      <c r="AB106" t="s">
        <v>1</v>
      </c>
    </row>
    <row r="107" spans="1:28" x14ac:dyDescent="0.25">
      <c r="A107" s="8">
        <v>46220.5</v>
      </c>
      <c r="B107" t="s">
        <v>916</v>
      </c>
      <c r="C107" t="s">
        <v>1</v>
      </c>
      <c r="D107" s="9" t="s">
        <v>917</v>
      </c>
      <c r="E107" t="s">
        <v>69</v>
      </c>
      <c r="F107" t="s">
        <v>70</v>
      </c>
      <c r="G107" t="s">
        <v>60</v>
      </c>
      <c r="H107" t="s">
        <v>66</v>
      </c>
      <c r="I107">
        <v>1</v>
      </c>
      <c r="J107" s="4">
        <v>539</v>
      </c>
      <c r="K107" s="4">
        <v>759.99</v>
      </c>
      <c r="L107" s="4">
        <f>K107-J107</f>
      </c>
      <c r="M107" s="4">
        <f>L107*16.67%</f>
      </c>
      <c r="N107" s="4">
        <f>K107/100*11</f>
      </c>
      <c r="O107" s="4">
        <v>8.99</v>
      </c>
      <c r="P107" s="4">
        <v>0</v>
      </c>
      <c r="Q107" s="4">
        <f>P107*20%</f>
      </c>
      <c r="R107" s="4">
        <v>1</v>
      </c>
      <c r="S107" s="4">
        <f>L107-M107-N107-O107-P107-Q107-R107</f>
      </c>
      <c r="T107" s="4">
        <f>(S107-V107)/J107*100</f>
      </c>
      <c r="U107" s="4">
        <f>M107-Q107</f>
      </c>
      <c r="W107" s="4">
        <f>S107-V107</f>
      </c>
      <c r="AB107" t="s">
        <v>1</v>
      </c>
    </row>
    <row r="108" spans="1:28" x14ac:dyDescent="0.25">
      <c r="A108" s="8">
        <v>46220.5</v>
      </c>
      <c r="B108" t="s">
        <v>918</v>
      </c>
      <c r="C108" t="s">
        <v>1</v>
      </c>
      <c r="D108" s="9" t="s">
        <v>919</v>
      </c>
      <c r="E108" t="s">
        <v>172</v>
      </c>
      <c r="F108" t="s">
        <v>70</v>
      </c>
      <c r="G108" t="s">
        <v>65</v>
      </c>
      <c r="H108" t="s">
        <v>75</v>
      </c>
      <c r="I108">
        <v>1</v>
      </c>
      <c r="J108" s="4">
        <v>172</v>
      </c>
      <c r="K108" s="4">
        <v>228.76</v>
      </c>
      <c r="L108" s="4">
        <f>K108-J108</f>
      </c>
      <c r="M108" s="4">
        <f>L108*16.67%</f>
      </c>
      <c r="N108" s="4">
        <f>K108/100*11</f>
      </c>
      <c r="O108" s="4">
        <v>8.99</v>
      </c>
      <c r="P108" s="4">
        <v>0</v>
      </c>
      <c r="Q108" s="4">
        <f>P108*20%</f>
      </c>
      <c r="R108" s="4">
        <v>1</v>
      </c>
      <c r="S108" s="4">
        <f>L108-M108-N108-O108-P108-Q108-R108</f>
      </c>
      <c r="T108" s="4">
        <f>(S108-V108)/J108*100</f>
      </c>
      <c r="U108" s="4">
        <f>M108-Q108</f>
      </c>
      <c r="W108" s="4">
        <f>S108-V108</f>
      </c>
      <c r="AB108" t="s">
        <v>1</v>
      </c>
    </row>
    <row r="109" spans="1:28" x14ac:dyDescent="0.25">
      <c r="A109" s="8">
        <v>46220.5</v>
      </c>
      <c r="B109" t="s">
        <v>920</v>
      </c>
      <c r="C109" t="s">
        <v>1</v>
      </c>
      <c r="D109" s="9" t="s">
        <v>921</v>
      </c>
      <c r="E109" t="s">
        <v>73</v>
      </c>
      <c r="F109" t="s">
        <v>105</v>
      </c>
      <c r="G109" t="s">
        <v>60</v>
      </c>
      <c r="H109" t="s">
        <v>78</v>
      </c>
      <c r="I109">
        <v>1</v>
      </c>
      <c r="J109" s="4">
        <v>333</v>
      </c>
      <c r="K109" s="4">
        <v>389.61</v>
      </c>
      <c r="L109" s="4">
        <f>K109-J109</f>
      </c>
      <c r="M109" s="4">
        <f>L109*16.67%</f>
      </c>
      <c r="N109" s="4">
        <f>K109/100*11</f>
      </c>
      <c r="O109" s="4">
        <v>8.99</v>
      </c>
      <c r="P109" s="4">
        <v>0</v>
      </c>
      <c r="Q109" s="4">
        <f>P109*20%</f>
      </c>
      <c r="R109" s="4">
        <v>1</v>
      </c>
      <c r="S109" s="4">
        <f>L109-M109-N109-O109-P109-Q109-R109</f>
      </c>
      <c r="T109" s="4">
        <f>(S109-V109)/J109*100</f>
      </c>
      <c r="U109" s="4">
        <f>M109-Q109</f>
      </c>
      <c r="W109" s="4">
        <f>S109-V109</f>
      </c>
      <c r="AB109" t="s">
        <v>1</v>
      </c>
    </row>
    <row r="110" spans="1:28" x14ac:dyDescent="0.25">
      <c r="A110" s="8">
        <v>46220.5</v>
      </c>
      <c r="B110" t="s">
        <v>922</v>
      </c>
      <c r="C110" t="s">
        <v>1</v>
      </c>
      <c r="D110" s="9" t="s">
        <v>1</v>
      </c>
      <c r="E110" t="s">
        <v>1</v>
      </c>
      <c r="F110" t="s">
        <v>1</v>
      </c>
      <c r="G110" t="s">
        <v>1</v>
      </c>
      <c r="H110" t="s">
        <v>78</v>
      </c>
      <c r="I110">
        <v>1</v>
      </c>
      <c r="J110" s="4">
        <v>165</v>
      </c>
      <c r="K110" s="4">
        <v>209.55</v>
      </c>
      <c r="L110" s="4">
        <f>K110-J110</f>
      </c>
      <c r="M110" s="4">
        <f>L110*16.67%</f>
      </c>
      <c r="N110" s="4">
        <f>K110/100*11</f>
      </c>
      <c r="O110" s="4">
        <v>8.99</v>
      </c>
      <c r="P110" s="4">
        <v>0</v>
      </c>
      <c r="Q110" s="4">
        <f>P110*20%</f>
      </c>
      <c r="R110" s="4">
        <v>1</v>
      </c>
      <c r="S110" s="4">
        <f>L110-M110-N110-O110-P110-Q110-R110</f>
      </c>
      <c r="T110" s="4">
        <f>(S110-V110)/J110*100</f>
      </c>
      <c r="U110" s="4">
        <f>M110-Q110</f>
      </c>
      <c r="W110" s="4">
        <f>S110-V110</f>
      </c>
      <c r="AB110" t="s">
        <v>1</v>
      </c>
    </row>
    <row r="111" spans="1:28" x14ac:dyDescent="0.25">
      <c r="A111" s="8">
        <v>46219.5</v>
      </c>
      <c r="B111" t="s">
        <v>923</v>
      </c>
      <c r="C111" t="s">
        <v>1</v>
      </c>
      <c r="D111" s="9" t="s">
        <v>924</v>
      </c>
      <c r="E111" t="s">
        <v>91</v>
      </c>
      <c r="F111" t="s">
        <v>70</v>
      </c>
      <c r="G111" t="s">
        <v>65</v>
      </c>
      <c r="H111" t="s">
        <v>61</v>
      </c>
      <c r="I111">
        <v>1</v>
      </c>
      <c r="J111" s="4">
        <v>118</v>
      </c>
      <c r="K111" s="4">
        <v>147.5</v>
      </c>
      <c r="L111" s="4">
        <f>K111-J111</f>
      </c>
      <c r="M111" s="4">
        <f>L111*16.67%</f>
      </c>
      <c r="N111" s="4">
        <f>K111/100*11</f>
      </c>
      <c r="O111" s="4">
        <v>8.99</v>
      </c>
      <c r="P111" s="4">
        <v>0</v>
      </c>
      <c r="Q111" s="4">
        <f>P111*20%</f>
      </c>
      <c r="R111" s="4">
        <v>1</v>
      </c>
      <c r="S111" s="4">
        <f>L111-M111-N111-O111-P111-Q111-R111</f>
      </c>
      <c r="T111" s="4">
        <f>(S111-V111)/J111*100</f>
      </c>
      <c r="U111" s="4">
        <f>M111-Q111</f>
      </c>
      <c r="W111" s="4">
        <f>S111-V111</f>
      </c>
      <c r="AB111" t="s">
        <v>1</v>
      </c>
    </row>
    <row r="112" spans="1:28" x14ac:dyDescent="0.25">
      <c r="A112" s="8">
        <v>46219.5</v>
      </c>
      <c r="B112" t="s">
        <v>925</v>
      </c>
      <c r="C112" t="s">
        <v>1</v>
      </c>
      <c r="D112" s="9" t="s">
        <v>926</v>
      </c>
      <c r="E112" t="s">
        <v>234</v>
      </c>
      <c r="F112" t="s">
        <v>99</v>
      </c>
      <c r="G112" t="s">
        <v>65</v>
      </c>
      <c r="H112" t="s">
        <v>61</v>
      </c>
      <c r="I112">
        <v>1</v>
      </c>
      <c r="J112" s="4">
        <v>157</v>
      </c>
      <c r="K112" s="4">
        <v>182.12</v>
      </c>
      <c r="L112" s="4">
        <f>K112-J112</f>
      </c>
      <c r="M112" s="4">
        <f>L112*16.67%</f>
      </c>
      <c r="N112" s="4">
        <f>K112/100*11</f>
      </c>
      <c r="O112" s="4">
        <v>8.99</v>
      </c>
      <c r="P112" s="4">
        <v>0</v>
      </c>
      <c r="Q112" s="4">
        <f>P112*20%</f>
      </c>
      <c r="R112" s="4">
        <v>1</v>
      </c>
      <c r="S112" s="4">
        <f>L112-M112-N112-O112-P112-Q112-R112</f>
      </c>
      <c r="T112" s="4">
        <f>(S112-V112)/J112*100</f>
      </c>
      <c r="U112" s="4">
        <f>M112-Q112</f>
      </c>
      <c r="W112" s="4">
        <f>S112-V112</f>
      </c>
      <c r="AB112" t="s">
        <v>1</v>
      </c>
    </row>
    <row r="113" spans="1:28" x14ac:dyDescent="0.25">
      <c r="A113" s="8">
        <v>46219.5</v>
      </c>
      <c r="B113" t="s">
        <v>927</v>
      </c>
      <c r="C113" t="s">
        <v>1</v>
      </c>
      <c r="D113" s="9" t="s">
        <v>928</v>
      </c>
      <c r="E113" t="s">
        <v>64</v>
      </c>
      <c r="F113" t="s">
        <v>105</v>
      </c>
      <c r="G113" t="s">
        <v>65</v>
      </c>
      <c r="H113" t="s">
        <v>66</v>
      </c>
      <c r="I113">
        <v>1</v>
      </c>
      <c r="J113" s="4">
        <v>241</v>
      </c>
      <c r="K113" s="4">
        <v>306.07</v>
      </c>
      <c r="L113" s="4">
        <f>K113-J113</f>
      </c>
      <c r="M113" s="4">
        <f>L113*16.67%</f>
      </c>
      <c r="N113" s="4">
        <f>K113/100*11</f>
      </c>
      <c r="O113" s="4">
        <v>8.99</v>
      </c>
      <c r="P113" s="4">
        <v>0</v>
      </c>
      <c r="Q113" s="4">
        <f>P113*20%</f>
      </c>
      <c r="R113" s="4">
        <v>1</v>
      </c>
      <c r="S113" s="4">
        <f>L113-M113-N113-O113-P113-Q113-R113</f>
      </c>
      <c r="T113" s="4">
        <f>(S113-V113)/J113*100</f>
      </c>
      <c r="U113" s="4">
        <f>M113-Q113</f>
      </c>
      <c r="W113" s="4">
        <f>S113-V113</f>
      </c>
      <c r="AB113" t="s">
        <v>1</v>
      </c>
    </row>
    <row r="114" spans="1:28" x14ac:dyDescent="0.25">
      <c r="A114" s="8">
        <v>46219.5</v>
      </c>
      <c r="B114" t="s">
        <v>929</v>
      </c>
      <c r="C114" t="s">
        <v>1</v>
      </c>
      <c r="D114" s="9" t="s">
        <v>930</v>
      </c>
      <c r="E114" t="s">
        <v>292</v>
      </c>
      <c r="F114" t="s">
        <v>59</v>
      </c>
      <c r="G114" t="s">
        <v>126</v>
      </c>
      <c r="H114" t="s">
        <v>102</v>
      </c>
      <c r="I114">
        <v>1</v>
      </c>
      <c r="J114" s="4">
        <v>178</v>
      </c>
      <c r="K114" s="4">
        <v>249.2</v>
      </c>
      <c r="L114" s="4">
        <f>K114-J114</f>
      </c>
      <c r="M114" s="4">
        <f>L114*16.67%</f>
      </c>
      <c r="N114" s="4">
        <f>K114/100*11</f>
      </c>
      <c r="O114" s="4">
        <v>8.99</v>
      </c>
      <c r="P114" s="4">
        <v>0</v>
      </c>
      <c r="Q114" s="4">
        <f>P114*20%</f>
      </c>
      <c r="R114" s="4">
        <v>1</v>
      </c>
      <c r="S114" s="4">
        <f>L114-M114-N114-O114-P114-Q114-R114</f>
      </c>
      <c r="T114" s="4">
        <f>(S114-V114)/J114*100</f>
      </c>
      <c r="U114" s="4">
        <f>M114-Q114</f>
      </c>
      <c r="W114" s="4">
        <f>S114-V114</f>
      </c>
      <c r="AB114" t="s">
        <v>1</v>
      </c>
    </row>
    <row r="115" spans="1:28" x14ac:dyDescent="0.25">
      <c r="A115" s="8">
        <v>46219.5</v>
      </c>
      <c r="B115" t="s">
        <v>931</v>
      </c>
      <c r="C115" t="s">
        <v>1</v>
      </c>
      <c r="D115" s="9" t="s">
        <v>932</v>
      </c>
      <c r="E115" t="s">
        <v>114</v>
      </c>
      <c r="F115" t="s">
        <v>85</v>
      </c>
      <c r="G115" t="s">
        <v>60</v>
      </c>
      <c r="H115" t="s">
        <v>75</v>
      </c>
      <c r="I115">
        <v>1</v>
      </c>
      <c r="J115" s="4">
        <v>193</v>
      </c>
      <c r="K115" s="4">
        <v>237.39</v>
      </c>
      <c r="L115" s="4">
        <f>K115-J115</f>
      </c>
      <c r="M115" s="4">
        <f>L115*16.67%</f>
      </c>
      <c r="N115" s="4">
        <f>K115/100*11</f>
      </c>
      <c r="O115" s="4">
        <v>8.99</v>
      </c>
      <c r="P115" s="4">
        <v>0</v>
      </c>
      <c r="Q115" s="4">
        <f>P115*20%</f>
      </c>
      <c r="R115" s="4">
        <v>1</v>
      </c>
      <c r="S115" s="4">
        <f>L115-M115-N115-O115-P115-Q115-R115</f>
      </c>
      <c r="T115" s="4">
        <f>(S115-V115)/J115*100</f>
      </c>
      <c r="U115" s="4">
        <f>M115-Q115</f>
      </c>
      <c r="W115" s="4">
        <f>S115-V115</f>
      </c>
      <c r="AB115" t="s">
        <v>1</v>
      </c>
    </row>
    <row r="116" spans="1:28" x14ac:dyDescent="0.25">
      <c r="A116" s="8">
        <v>46219.5</v>
      </c>
      <c r="B116" t="s">
        <v>933</v>
      </c>
      <c r="C116" t="s">
        <v>177</v>
      </c>
      <c r="D116" s="9" t="s">
        <v>1</v>
      </c>
      <c r="E116" t="s">
        <v>177</v>
      </c>
      <c r="F116" t="s">
        <v>1</v>
      </c>
      <c r="G116" t="s">
        <v>1</v>
      </c>
      <c r="H116" t="s">
        <v>78</v>
      </c>
      <c r="I116">
        <v>3</v>
      </c>
      <c r="J116" s="4">
        <v>0.45</v>
      </c>
      <c r="K116" s="4">
        <v>0.59</v>
      </c>
      <c r="L116" s="4">
        <f>K116-J116</f>
      </c>
      <c r="M116" s="4">
        <f>L116*16.67%</f>
      </c>
      <c r="N116" s="4">
        <f>K116/100*11</f>
      </c>
      <c r="O116" s="4">
        <v>8.99</v>
      </c>
      <c r="P116" s="4">
        <v>0</v>
      </c>
      <c r="Q116" s="4">
        <f>P116*20%</f>
      </c>
      <c r="R116" s="4">
        <v>0</v>
      </c>
      <c r="S116" s="4">
        <f>L116-M116-N116-O116-P116-Q116-R116</f>
      </c>
      <c r="T116" s="4">
        <f>(S116-V116)/J116*100</f>
      </c>
      <c r="U116" s="4">
        <f>M116-Q116</f>
      </c>
      <c r="W116" s="4">
        <f>S116-V116</f>
      </c>
      <c r="AB116" t="s">
        <v>1</v>
      </c>
    </row>
    <row r="117" spans="1:28" x14ac:dyDescent="0.25">
      <c r="A117" s="8">
        <v>46219.5</v>
      </c>
      <c r="B117" t="s">
        <v>934</v>
      </c>
      <c r="C117" t="s">
        <v>182</v>
      </c>
      <c r="D117" s="9" t="s">
        <v>1</v>
      </c>
      <c r="E117" t="s">
        <v>182</v>
      </c>
      <c r="F117" t="s">
        <v>1</v>
      </c>
      <c r="G117" t="s">
        <v>1</v>
      </c>
      <c r="H117" t="s">
        <v>75</v>
      </c>
      <c r="I117">
        <v>2</v>
      </c>
      <c r="J117" s="4">
        <v>3.8</v>
      </c>
      <c r="K117" s="4">
        <v>5.21</v>
      </c>
      <c r="L117" s="4">
        <f>K117-J117</f>
      </c>
      <c r="M117" s="4">
        <f>L117*16.67%</f>
      </c>
      <c r="N117" s="4">
        <f>K117/100*11</f>
      </c>
      <c r="O117" s="4">
        <v>8.99</v>
      </c>
      <c r="P117" s="4">
        <v>0</v>
      </c>
      <c r="Q117" s="4">
        <f>P117*20%</f>
      </c>
      <c r="R117" s="4">
        <v>0</v>
      </c>
      <c r="S117" s="4">
        <f>L117-M117-N117-O117-P117-Q117-R117</f>
      </c>
      <c r="T117" s="4">
        <f>(S117-V117)/J117*100</f>
      </c>
      <c r="U117" s="4">
        <f>M117-Q117</f>
      </c>
      <c r="W117" s="4">
        <f>S117-V117</f>
      </c>
      <c r="AB117" t="s">
        <v>1</v>
      </c>
    </row>
    <row r="118" spans="1:28" x14ac:dyDescent="0.25">
      <c r="A118" s="8">
        <v>46218.5</v>
      </c>
      <c r="B118" t="s">
        <v>935</v>
      </c>
      <c r="C118" t="s">
        <v>1</v>
      </c>
      <c r="D118" s="9" t="s">
        <v>936</v>
      </c>
      <c r="E118" t="s">
        <v>234</v>
      </c>
      <c r="F118" t="s">
        <v>88</v>
      </c>
      <c r="G118" t="s">
        <v>65</v>
      </c>
      <c r="H118" t="s">
        <v>102</v>
      </c>
      <c r="I118">
        <v>1</v>
      </c>
      <c r="J118" s="4">
        <v>177</v>
      </c>
      <c r="K118" s="4">
        <v>223.02</v>
      </c>
      <c r="L118" s="4">
        <f>K118-J118</f>
      </c>
      <c r="M118" s="4">
        <f>L118*16.67%</f>
      </c>
      <c r="N118" s="4">
        <f>K118/100*11</f>
      </c>
      <c r="O118" s="4">
        <v>8.99</v>
      </c>
      <c r="P118" s="4">
        <v>0</v>
      </c>
      <c r="Q118" s="4">
        <f>P118*20%</f>
      </c>
      <c r="R118" s="4">
        <v>1</v>
      </c>
      <c r="S118" s="4">
        <f>L118-M118-N118-O118-P118-Q118-R118</f>
      </c>
      <c r="T118" s="4">
        <f>(S118-V118)/J118*100</f>
      </c>
      <c r="U118" s="4">
        <f>M118-Q118</f>
      </c>
      <c r="W118" s="4">
        <f>S118-V118</f>
      </c>
      <c r="AB118" t="s">
        <v>1</v>
      </c>
    </row>
    <row r="119" spans="1:28" x14ac:dyDescent="0.25">
      <c r="A119" s="8">
        <v>46218.5</v>
      </c>
      <c r="B119" t="s">
        <v>937</v>
      </c>
      <c r="C119" t="s">
        <v>1</v>
      </c>
      <c r="D119" s="9" t="s">
        <v>938</v>
      </c>
      <c r="E119" t="s">
        <v>81</v>
      </c>
      <c r="F119" t="s">
        <v>59</v>
      </c>
      <c r="G119" t="s">
        <v>65</v>
      </c>
      <c r="H119" t="s">
        <v>61</v>
      </c>
      <c r="I119">
        <v>1</v>
      </c>
      <c r="J119" s="4">
        <v>540</v>
      </c>
      <c r="K119" s="4">
        <v>664.2</v>
      </c>
      <c r="L119" s="4">
        <f>K119-J119</f>
      </c>
      <c r="M119" s="4">
        <f>L119*16.67%</f>
      </c>
      <c r="N119" s="4">
        <f>K119/100*11</f>
      </c>
      <c r="O119" s="4">
        <v>8.99</v>
      </c>
      <c r="P119" s="4">
        <v>0</v>
      </c>
      <c r="Q119" s="4">
        <f>P119*20%</f>
      </c>
      <c r="R119" s="4">
        <v>1</v>
      </c>
      <c r="S119" s="4">
        <f>L119-M119-N119-O119-P119-Q119-R119</f>
      </c>
      <c r="T119" s="4">
        <f>(S119-V119)/J119*100</f>
      </c>
      <c r="U119" s="4">
        <f>M119-Q119</f>
      </c>
      <c r="W119" s="4">
        <f>S119-V119</f>
      </c>
      <c r="AB119" t="s">
        <v>1</v>
      </c>
    </row>
    <row r="120" spans="1:28" x14ac:dyDescent="0.25">
      <c r="A120" s="8">
        <v>46218.5</v>
      </c>
      <c r="B120" t="s">
        <v>939</v>
      </c>
      <c r="C120" t="s">
        <v>1</v>
      </c>
      <c r="D120" s="9" t="s">
        <v>940</v>
      </c>
      <c r="E120" t="s">
        <v>94</v>
      </c>
      <c r="F120" t="s">
        <v>88</v>
      </c>
      <c r="G120" t="s">
        <v>95</v>
      </c>
      <c r="H120" t="s">
        <v>78</v>
      </c>
      <c r="I120">
        <v>1</v>
      </c>
      <c r="J120" s="4">
        <v>84</v>
      </c>
      <c r="K120" s="4">
        <v>120.96</v>
      </c>
      <c r="L120" s="4">
        <f>K120-J120</f>
      </c>
      <c r="M120" s="4">
        <f>L120*16.67%</f>
      </c>
      <c r="N120" s="4">
        <f>K120/100*11</f>
      </c>
      <c r="O120" s="4">
        <v>8.99</v>
      </c>
      <c r="P120" s="4">
        <v>0</v>
      </c>
      <c r="Q120" s="4">
        <f>P120*20%</f>
      </c>
      <c r="R120" s="4">
        <v>1</v>
      </c>
      <c r="S120" s="4">
        <f>L120-M120-N120-O120-P120-Q120-R120</f>
      </c>
      <c r="T120" s="4">
        <f>(S120-V120)/J120*100</f>
      </c>
      <c r="U120" s="4">
        <f>M120-Q120</f>
      </c>
      <c r="W120" s="4">
        <f>S120-V120</f>
      </c>
      <c r="AB120" t="s">
        <v>1</v>
      </c>
    </row>
    <row r="121" spans="1:28" x14ac:dyDescent="0.25">
      <c r="A121" s="8">
        <v>46218.5</v>
      </c>
      <c r="B121" t="s">
        <v>941</v>
      </c>
      <c r="C121" t="s">
        <v>1</v>
      </c>
      <c r="D121" s="9" t="s">
        <v>942</v>
      </c>
      <c r="E121" t="s">
        <v>94</v>
      </c>
      <c r="F121" t="s">
        <v>85</v>
      </c>
      <c r="G121" t="s">
        <v>95</v>
      </c>
      <c r="H121" t="s">
        <v>78</v>
      </c>
      <c r="I121">
        <v>1</v>
      </c>
      <c r="J121" s="4">
        <v>87</v>
      </c>
      <c r="K121" s="4">
        <v>114.84</v>
      </c>
      <c r="L121" s="4">
        <f>K121-J121</f>
      </c>
      <c r="M121" s="4">
        <f>L121*16.67%</f>
      </c>
      <c r="N121" s="4">
        <f>K121/100*11</f>
      </c>
      <c r="O121" s="4">
        <v>8.99</v>
      </c>
      <c r="P121" s="4">
        <v>0</v>
      </c>
      <c r="Q121" s="4">
        <f>P121*20%</f>
      </c>
      <c r="R121" s="4">
        <v>1</v>
      </c>
      <c r="S121" s="4">
        <f>L121-M121-N121-O121-P121-Q121-R121</f>
      </c>
      <c r="T121" s="4">
        <f>(S121-V121)/J121*100</f>
      </c>
      <c r="U121" s="4">
        <f>M121-Q121</f>
      </c>
      <c r="W121" s="4">
        <f>S121-V121</f>
      </c>
      <c r="AB121" t="s">
        <v>1</v>
      </c>
    </row>
    <row r="122" spans="1:28" x14ac:dyDescent="0.25">
      <c r="A122" s="8">
        <v>46218.5</v>
      </c>
      <c r="B122" t="s">
        <v>943</v>
      </c>
      <c r="C122" t="s">
        <v>1</v>
      </c>
      <c r="D122" s="9" t="s">
        <v>944</v>
      </c>
      <c r="E122" t="s">
        <v>64</v>
      </c>
      <c r="F122" t="s">
        <v>74</v>
      </c>
      <c r="G122" t="s">
        <v>65</v>
      </c>
      <c r="H122" t="s">
        <v>66</v>
      </c>
      <c r="I122">
        <v>1</v>
      </c>
      <c r="J122" s="4">
        <v>222</v>
      </c>
      <c r="K122" s="4">
        <v>308.58</v>
      </c>
      <c r="L122" s="4">
        <f>K122-J122</f>
      </c>
      <c r="M122" s="4">
        <f>L122*16.67%</f>
      </c>
      <c r="N122" s="4">
        <f>K122/100*11</f>
      </c>
      <c r="O122" s="4">
        <v>8.99</v>
      </c>
      <c r="P122" s="4">
        <v>0</v>
      </c>
      <c r="Q122" s="4">
        <f>P122*20%</f>
      </c>
      <c r="R122" s="4">
        <v>1</v>
      </c>
      <c r="S122" s="4">
        <f>L122-M122-N122-O122-P122-Q122-R122</f>
      </c>
      <c r="T122" s="4">
        <f>(S122-V122)/J122*100</f>
      </c>
      <c r="U122" s="4">
        <f>M122-Q122</f>
      </c>
      <c r="W122" s="4">
        <f>S122-V122</f>
      </c>
      <c r="AB122" t="s">
        <v>1</v>
      </c>
    </row>
    <row r="123" spans="1:28" x14ac:dyDescent="0.25">
      <c r="A123" s="8">
        <v>46218.5</v>
      </c>
      <c r="B123" t="s">
        <v>945</v>
      </c>
      <c r="C123" t="s">
        <v>1</v>
      </c>
      <c r="D123" s="9" t="s">
        <v>1</v>
      </c>
      <c r="E123" t="s">
        <v>1</v>
      </c>
      <c r="F123" t="s">
        <v>1</v>
      </c>
      <c r="G123" t="s">
        <v>1</v>
      </c>
      <c r="H123" t="s">
        <v>78</v>
      </c>
      <c r="I123">
        <v>1</v>
      </c>
      <c r="J123" s="4">
        <v>76</v>
      </c>
      <c r="K123" s="4">
        <v>95</v>
      </c>
      <c r="L123" s="4">
        <f>K123-J123</f>
      </c>
      <c r="M123" s="4">
        <f>L123*16.67%</f>
      </c>
      <c r="N123" s="4">
        <f>K123/100*11</f>
      </c>
      <c r="O123" s="4">
        <v>8.99</v>
      </c>
      <c r="P123" s="4">
        <v>0</v>
      </c>
      <c r="Q123" s="4">
        <f>P123*20%</f>
      </c>
      <c r="R123" s="4">
        <v>1</v>
      </c>
      <c r="S123" s="4">
        <f>L123-M123-N123-O123-P123-Q123-R123</f>
      </c>
      <c r="T123" s="4">
        <f>(S123-V123)/J123*100</f>
      </c>
      <c r="U123" s="4">
        <f>M123-Q123</f>
      </c>
      <c r="W123" s="4">
        <f>S123-V123</f>
      </c>
      <c r="AB123" t="s">
        <v>1</v>
      </c>
    </row>
    <row r="124" spans="1:28" x14ac:dyDescent="0.25">
      <c r="A124" s="8">
        <v>46217.5</v>
      </c>
      <c r="B124" t="s">
        <v>946</v>
      </c>
      <c r="C124" t="s">
        <v>1</v>
      </c>
      <c r="D124" s="9" t="s">
        <v>947</v>
      </c>
      <c r="E124" t="s">
        <v>125</v>
      </c>
      <c r="F124" t="s">
        <v>105</v>
      </c>
      <c r="G124" t="s">
        <v>126</v>
      </c>
      <c r="H124" t="s">
        <v>78</v>
      </c>
      <c r="I124">
        <v>1</v>
      </c>
      <c r="J124" s="4">
        <v>283</v>
      </c>
      <c r="K124" s="4">
        <v>336.77</v>
      </c>
      <c r="L124" s="4">
        <f>K124-J124</f>
      </c>
      <c r="M124" s="4">
        <f>L124*16.67%</f>
      </c>
      <c r="N124" s="4">
        <f>K124/100*11</f>
      </c>
      <c r="O124" s="4">
        <v>8.99</v>
      </c>
      <c r="P124" s="4">
        <v>0</v>
      </c>
      <c r="Q124" s="4">
        <f>P124*20%</f>
      </c>
      <c r="R124" s="4">
        <v>1</v>
      </c>
      <c r="S124" s="4">
        <f>L124-M124-N124-O124-P124-Q124-R124</f>
      </c>
      <c r="T124" s="4">
        <f>(S124-V124)/J124*100</f>
      </c>
      <c r="U124" s="4">
        <f>M124-Q124</f>
      </c>
      <c r="W124" s="4">
        <f>S124-V124</f>
      </c>
      <c r="AB124" t="s">
        <v>1</v>
      </c>
    </row>
    <row r="125" spans="1:28" x14ac:dyDescent="0.25">
      <c r="A125" s="8">
        <v>46217.5</v>
      </c>
      <c r="B125" t="s">
        <v>948</v>
      </c>
      <c r="C125" t="s">
        <v>1</v>
      </c>
      <c r="D125" s="9" t="s">
        <v>949</v>
      </c>
      <c r="E125" t="s">
        <v>69</v>
      </c>
      <c r="F125" t="s">
        <v>74</v>
      </c>
      <c r="G125" t="s">
        <v>60</v>
      </c>
      <c r="H125" t="s">
        <v>78</v>
      </c>
      <c r="I125">
        <v>1</v>
      </c>
      <c r="J125" s="4">
        <v>545</v>
      </c>
      <c r="K125" s="4">
        <v>654</v>
      </c>
      <c r="L125" s="4">
        <f>K125-J125</f>
      </c>
      <c r="M125" s="4">
        <f>L125*16.67%</f>
      </c>
      <c r="N125" s="4">
        <f>K125/100*11</f>
      </c>
      <c r="O125" s="4">
        <v>8.99</v>
      </c>
      <c r="P125" s="4">
        <v>0</v>
      </c>
      <c r="Q125" s="4">
        <f>P125*20%</f>
      </c>
      <c r="R125" s="4">
        <v>1</v>
      </c>
      <c r="S125" s="4">
        <f>L125-M125-N125-O125-P125-Q125-R125</f>
      </c>
      <c r="T125" s="4">
        <f>(S125-V125)/J125*100</f>
      </c>
      <c r="U125" s="4">
        <f>M125-Q125</f>
      </c>
      <c r="W125" s="4">
        <f>S125-V125</f>
      </c>
      <c r="AB125" t="s">
        <v>1</v>
      </c>
    </row>
    <row r="126" spans="1:28" x14ac:dyDescent="0.25">
      <c r="A126" s="8">
        <v>46217.5</v>
      </c>
      <c r="B126" t="s">
        <v>950</v>
      </c>
      <c r="C126" t="s">
        <v>1</v>
      </c>
      <c r="D126" s="9" t="s">
        <v>951</v>
      </c>
      <c r="E126" t="s">
        <v>292</v>
      </c>
      <c r="F126" t="s">
        <v>85</v>
      </c>
      <c r="G126" t="s">
        <v>126</v>
      </c>
      <c r="H126" t="s">
        <v>78</v>
      </c>
      <c r="I126">
        <v>1</v>
      </c>
      <c r="J126" s="4">
        <v>162</v>
      </c>
      <c r="K126" s="4">
        <v>200.88</v>
      </c>
      <c r="L126" s="4">
        <f>K126-J126</f>
      </c>
      <c r="M126" s="4">
        <f>L126*16.67%</f>
      </c>
      <c r="N126" s="4">
        <f>K126/100*11</f>
      </c>
      <c r="O126" s="4">
        <v>8.99</v>
      </c>
      <c r="P126" s="4">
        <v>0</v>
      </c>
      <c r="Q126" s="4">
        <f>P126*20%</f>
      </c>
      <c r="R126" s="4">
        <v>1</v>
      </c>
      <c r="S126" s="4">
        <f>L126-M126-N126-O126-P126-Q126-R126</f>
      </c>
      <c r="T126" s="4">
        <f>(S126-V126)/J126*100</f>
      </c>
      <c r="U126" s="4">
        <f>M126-Q126</f>
      </c>
      <c r="W126" s="4">
        <f>S126-V126</f>
      </c>
      <c r="AB126" t="s">
        <v>1</v>
      </c>
    </row>
    <row r="127" spans="1:28" x14ac:dyDescent="0.25">
      <c r="A127" s="8">
        <v>46216.5</v>
      </c>
      <c r="B127" t="s">
        <v>952</v>
      </c>
      <c r="C127" t="s">
        <v>1</v>
      </c>
      <c r="D127" s="9" t="s">
        <v>953</v>
      </c>
      <c r="E127" t="s">
        <v>69</v>
      </c>
      <c r="F127" t="s">
        <v>59</v>
      </c>
      <c r="G127" t="s">
        <v>60</v>
      </c>
      <c r="H127" t="s">
        <v>61</v>
      </c>
      <c r="I127">
        <v>1</v>
      </c>
      <c r="J127" s="4">
        <v>526</v>
      </c>
      <c r="K127" s="4">
        <v>710.1</v>
      </c>
      <c r="L127" s="4">
        <f>K127-J127</f>
      </c>
      <c r="M127" s="4">
        <f>L127*16.67%</f>
      </c>
      <c r="N127" s="4">
        <f>K127/100*11</f>
      </c>
      <c r="O127" s="4">
        <v>8.99</v>
      </c>
      <c r="P127" s="4">
        <v>0</v>
      </c>
      <c r="Q127" s="4">
        <f>P127*20%</f>
      </c>
      <c r="R127" s="4">
        <v>1</v>
      </c>
      <c r="S127" s="4">
        <f>L127-M127-N127-O127-P127-Q127-R127</f>
      </c>
      <c r="T127" s="4">
        <f>(S127-V127)/J127*100</f>
      </c>
      <c r="U127" s="4">
        <f>M127-Q127</f>
      </c>
      <c r="W127" s="4">
        <f>S127-V127</f>
      </c>
      <c r="AB127" t="s">
        <v>1</v>
      </c>
    </row>
    <row r="128" spans="1:28" x14ac:dyDescent="0.25">
      <c r="A128" s="8">
        <v>46216.5</v>
      </c>
      <c r="B128" t="s">
        <v>954</v>
      </c>
      <c r="C128" t="s">
        <v>1</v>
      </c>
      <c r="D128" s="9" t="s">
        <v>955</v>
      </c>
      <c r="E128" t="s">
        <v>139</v>
      </c>
      <c r="F128" t="s">
        <v>74</v>
      </c>
      <c r="G128" t="s">
        <v>60</v>
      </c>
      <c r="H128" t="s">
        <v>66</v>
      </c>
      <c r="I128">
        <v>1</v>
      </c>
      <c r="J128" s="4">
        <v>346</v>
      </c>
      <c r="K128" s="4">
        <v>501.7</v>
      </c>
      <c r="L128" s="4">
        <f>K128-J128</f>
      </c>
      <c r="M128" s="4">
        <f>L128*16.67%</f>
      </c>
      <c r="N128" s="4">
        <f>K128/100*11</f>
      </c>
      <c r="O128" s="4">
        <v>8.99</v>
      </c>
      <c r="P128" s="4">
        <v>0</v>
      </c>
      <c r="Q128" s="4">
        <f>P128*20%</f>
      </c>
      <c r="R128" s="4">
        <v>1</v>
      </c>
      <c r="S128" s="4">
        <f>L128-M128-N128-O128-P128-Q128-R128</f>
      </c>
      <c r="T128" s="4">
        <f>(S128-V128)/J128*100</f>
      </c>
      <c r="U128" s="4">
        <f>M128-Q128</f>
      </c>
      <c r="W128" s="4">
        <f>S128-V128</f>
      </c>
      <c r="AB128" t="s">
        <v>1</v>
      </c>
    </row>
    <row r="129" spans="1:28" x14ac:dyDescent="0.25">
      <c r="A129" s="8">
        <v>46216.5</v>
      </c>
      <c r="B129" t="s">
        <v>956</v>
      </c>
      <c r="C129" t="s">
        <v>185</v>
      </c>
      <c r="D129" s="9" t="s">
        <v>1</v>
      </c>
      <c r="E129" t="s">
        <v>185</v>
      </c>
      <c r="F129" t="s">
        <v>1</v>
      </c>
      <c r="G129" t="s">
        <v>1</v>
      </c>
      <c r="H129" t="s">
        <v>102</v>
      </c>
      <c r="I129">
        <v>4</v>
      </c>
      <c r="J129" s="4">
        <v>4.8</v>
      </c>
      <c r="K129" s="4">
        <v>6.67</v>
      </c>
      <c r="L129" s="4">
        <f>K129-J129</f>
      </c>
      <c r="M129" s="4">
        <f>L129*16.67%</f>
      </c>
      <c r="N129" s="4">
        <f>K129/100*11</f>
      </c>
      <c r="O129" s="4">
        <v>8.99</v>
      </c>
      <c r="P129" s="4">
        <v>0</v>
      </c>
      <c r="Q129" s="4">
        <f>P129*20%</f>
      </c>
      <c r="R129" s="4">
        <v>0</v>
      </c>
      <c r="S129" s="4">
        <f>L129-M129-N129-O129-P129-Q129-R129</f>
      </c>
      <c r="T129" s="4">
        <f>(S129-V129)/J129*100</f>
      </c>
      <c r="U129" s="4">
        <f>M129-Q129</f>
      </c>
      <c r="W129" s="4">
        <f>S129-V129</f>
      </c>
      <c r="AB129" t="s">
        <v>1</v>
      </c>
    </row>
    <row r="130" spans="1:28" x14ac:dyDescent="0.25">
      <c r="A130" s="8">
        <v>46216.5</v>
      </c>
      <c r="B130" t="s">
        <v>957</v>
      </c>
      <c r="C130" t="s">
        <v>1</v>
      </c>
      <c r="D130" s="9" t="s">
        <v>1</v>
      </c>
      <c r="E130" t="s">
        <v>1</v>
      </c>
      <c r="F130" t="s">
        <v>1</v>
      </c>
      <c r="G130" t="s">
        <v>1</v>
      </c>
      <c r="H130" t="s">
        <v>75</v>
      </c>
      <c r="I130">
        <v>1</v>
      </c>
      <c r="J130" s="4">
        <v>109</v>
      </c>
      <c r="K130" s="4">
        <v>136.25</v>
      </c>
      <c r="L130" s="4">
        <f>K130-J130</f>
      </c>
      <c r="M130" s="4">
        <f>L130*16.67%</f>
      </c>
      <c r="N130" s="4">
        <f>K130/100*11</f>
      </c>
      <c r="O130" s="4">
        <v>8.99</v>
      </c>
      <c r="P130" s="4">
        <v>0</v>
      </c>
      <c r="Q130" s="4">
        <f>P130*20%</f>
      </c>
      <c r="R130" s="4">
        <v>1</v>
      </c>
      <c r="S130" s="4">
        <f>L130-M130-N130-O130-P130-Q130-R130</f>
      </c>
      <c r="T130" s="4">
        <f>(S130-V130)/J130*100</f>
      </c>
      <c r="U130" s="4">
        <f>M130-Q130</f>
      </c>
      <c r="W130" s="4">
        <f>S130-V130</f>
      </c>
      <c r="AB130" t="s">
        <v>1</v>
      </c>
    </row>
    <row r="131" spans="1:28" x14ac:dyDescent="0.25">
      <c r="A131" s="8">
        <v>46215.5</v>
      </c>
      <c r="B131" t="s">
        <v>958</v>
      </c>
      <c r="C131" t="s">
        <v>1</v>
      </c>
      <c r="D131" s="9" t="s">
        <v>959</v>
      </c>
      <c r="E131" t="s">
        <v>91</v>
      </c>
      <c r="F131" t="s">
        <v>59</v>
      </c>
      <c r="G131" t="s">
        <v>95</v>
      </c>
      <c r="H131" t="s">
        <v>78</v>
      </c>
      <c r="I131">
        <v>1</v>
      </c>
      <c r="J131" s="4">
        <v>122</v>
      </c>
      <c r="K131" s="4">
        <v>165.92</v>
      </c>
      <c r="L131" s="4">
        <f>K131-J131</f>
      </c>
      <c r="M131" s="4">
        <f>L131*16.67%</f>
      </c>
      <c r="N131" s="4">
        <f>K131/100*11</f>
      </c>
      <c r="O131" s="4">
        <v>8.99</v>
      </c>
      <c r="P131" s="4">
        <v>0</v>
      </c>
      <c r="Q131" s="4">
        <f>P131*20%</f>
      </c>
      <c r="R131" s="4">
        <v>1</v>
      </c>
      <c r="S131" s="4">
        <f>L131-M131-N131-O131-P131-Q131-R131</f>
      </c>
      <c r="T131" s="4">
        <f>(S131-V131)/J131*100</f>
      </c>
      <c r="U131" s="4">
        <f>M131-Q131</f>
      </c>
      <c r="W131" s="4">
        <f>S131-V131</f>
      </c>
      <c r="AB131" t="s">
        <v>1</v>
      </c>
    </row>
    <row r="132" spans="1:28" x14ac:dyDescent="0.25">
      <c r="A132" s="8">
        <v>46215.5</v>
      </c>
      <c r="B132" t="s">
        <v>960</v>
      </c>
      <c r="C132" t="s">
        <v>1</v>
      </c>
      <c r="D132" s="9" t="s">
        <v>961</v>
      </c>
      <c r="E132" t="s">
        <v>292</v>
      </c>
      <c r="F132" t="s">
        <v>105</v>
      </c>
      <c r="G132" t="s">
        <v>126</v>
      </c>
      <c r="H132" t="s">
        <v>78</v>
      </c>
      <c r="I132">
        <v>1</v>
      </c>
      <c r="J132" s="4">
        <v>199</v>
      </c>
      <c r="K132" s="4">
        <v>280.59</v>
      </c>
      <c r="L132" s="4">
        <f>K132-J132</f>
      </c>
      <c r="M132" s="4">
        <f>L132*16.67%</f>
      </c>
      <c r="N132" s="4">
        <f>K132/100*11</f>
      </c>
      <c r="O132" s="4">
        <v>8.99</v>
      </c>
      <c r="P132" s="4">
        <v>0</v>
      </c>
      <c r="Q132" s="4">
        <f>P132*20%</f>
      </c>
      <c r="R132" s="4">
        <v>1</v>
      </c>
      <c r="S132" s="4">
        <f>L132-M132-N132-O132-P132-Q132-R132</f>
      </c>
      <c r="T132" s="4">
        <f>(S132-V132)/J132*100</f>
      </c>
      <c r="U132" s="4">
        <f>M132-Q132</f>
      </c>
      <c r="W132" s="4">
        <f>S132-V132</f>
      </c>
      <c r="AB132" t="s">
        <v>1</v>
      </c>
    </row>
    <row r="133" spans="1:28" x14ac:dyDescent="0.25">
      <c r="A133" s="8">
        <v>46215.5</v>
      </c>
      <c r="B133" t="s">
        <v>962</v>
      </c>
      <c r="C133" t="s">
        <v>174</v>
      </c>
      <c r="D133" s="9" t="s">
        <v>1</v>
      </c>
      <c r="E133" t="s">
        <v>174</v>
      </c>
      <c r="F133" t="s">
        <v>1</v>
      </c>
      <c r="G133" t="s">
        <v>1</v>
      </c>
      <c r="H133" t="s">
        <v>66</v>
      </c>
      <c r="I133">
        <v>2</v>
      </c>
      <c r="J133" s="4">
        <v>8.5</v>
      </c>
      <c r="K133" s="4">
        <v>9.86</v>
      </c>
      <c r="L133" s="4">
        <f>K133-J133</f>
      </c>
      <c r="M133" s="4">
        <f>L133*16.67%</f>
      </c>
      <c r="N133" s="4">
        <f>K133/100*11</f>
      </c>
      <c r="O133" s="4">
        <v>8.99</v>
      </c>
      <c r="P133" s="4">
        <v>0</v>
      </c>
      <c r="Q133" s="4">
        <f>P133*20%</f>
      </c>
      <c r="R133" s="4">
        <v>0</v>
      </c>
      <c r="S133" s="4">
        <f>L133-M133-N133-O133-P133-Q133-R133</f>
      </c>
      <c r="T133" s="4">
        <f>(S133-V133)/J133*100</f>
      </c>
      <c r="U133" s="4">
        <f>M133-Q133</f>
      </c>
      <c r="W133" s="4">
        <f>S133-V133</f>
      </c>
      <c r="AB133" t="s">
        <v>1</v>
      </c>
    </row>
    <row r="134" spans="1:28" x14ac:dyDescent="0.25">
      <c r="A134" s="8">
        <v>46215.5</v>
      </c>
      <c r="B134" t="s">
        <v>963</v>
      </c>
      <c r="C134" t="s">
        <v>185</v>
      </c>
      <c r="D134" s="9" t="s">
        <v>1</v>
      </c>
      <c r="E134" t="s">
        <v>185</v>
      </c>
      <c r="F134" t="s">
        <v>1</v>
      </c>
      <c r="G134" t="s">
        <v>1</v>
      </c>
      <c r="H134" t="s">
        <v>102</v>
      </c>
      <c r="I134">
        <v>2</v>
      </c>
      <c r="J134" s="4">
        <v>2.4</v>
      </c>
      <c r="K134" s="4">
        <v>2.83</v>
      </c>
      <c r="L134" s="4">
        <f>K134-J134</f>
      </c>
      <c r="M134" s="4">
        <f>L134*16.67%</f>
      </c>
      <c r="N134" s="4">
        <f>K134/100*11</f>
      </c>
      <c r="O134" s="4">
        <v>8.99</v>
      </c>
      <c r="P134" s="4">
        <v>0</v>
      </c>
      <c r="Q134" s="4">
        <f>P134*20%</f>
      </c>
      <c r="R134" s="4">
        <v>0</v>
      </c>
      <c r="S134" s="4">
        <f>L134-M134-N134-O134-P134-Q134-R134</f>
      </c>
      <c r="T134" s="4">
        <f>(S134-V134)/J134*100</f>
      </c>
      <c r="U134" s="4">
        <f>M134-Q134</f>
      </c>
      <c r="W134" s="4">
        <f>S134-V134</f>
      </c>
      <c r="AB134" t="s">
        <v>1</v>
      </c>
    </row>
    <row r="135" spans="1:28" x14ac:dyDescent="0.25">
      <c r="A135" s="8">
        <v>46214.5</v>
      </c>
      <c r="B135" t="s">
        <v>964</v>
      </c>
      <c r="C135" t="s">
        <v>1</v>
      </c>
      <c r="D135" s="9" t="s">
        <v>965</v>
      </c>
      <c r="E135" t="s">
        <v>69</v>
      </c>
      <c r="F135" t="s">
        <v>59</v>
      </c>
      <c r="G135" t="s">
        <v>60</v>
      </c>
      <c r="H135" t="s">
        <v>66</v>
      </c>
      <c r="I135">
        <v>1</v>
      </c>
      <c r="J135" s="4">
        <v>517</v>
      </c>
      <c r="K135" s="4">
        <v>744.48</v>
      </c>
      <c r="L135" s="4">
        <f>K135-J135</f>
      </c>
      <c r="M135" s="4">
        <f>L135*16.67%</f>
      </c>
      <c r="N135" s="4">
        <f>K135/100*11</f>
      </c>
      <c r="O135" s="4">
        <v>8.99</v>
      </c>
      <c r="P135" s="4">
        <v>0</v>
      </c>
      <c r="Q135" s="4">
        <f>P135*20%</f>
      </c>
      <c r="R135" s="4">
        <v>1</v>
      </c>
      <c r="S135" s="4">
        <f>L135-M135-N135-O135-P135-Q135-R135</f>
      </c>
      <c r="T135" s="4">
        <f>(S135-V135)/J135*100</f>
      </c>
      <c r="U135" s="4">
        <f>M135-Q135</f>
      </c>
      <c r="W135" s="4">
        <f>S135-V135</f>
      </c>
      <c r="AB135" t="s">
        <v>1</v>
      </c>
    </row>
    <row r="136" spans="1:28" x14ac:dyDescent="0.25">
      <c r="A136" s="8">
        <v>46214.5</v>
      </c>
      <c r="B136" t="s">
        <v>966</v>
      </c>
      <c r="C136" t="s">
        <v>1</v>
      </c>
      <c r="D136" s="9" t="s">
        <v>967</v>
      </c>
      <c r="E136" t="s">
        <v>84</v>
      </c>
      <c r="F136" t="s">
        <v>59</v>
      </c>
      <c r="G136" t="s">
        <v>60</v>
      </c>
      <c r="H136" t="s">
        <v>78</v>
      </c>
      <c r="I136">
        <v>1</v>
      </c>
      <c r="J136" s="4">
        <v>726</v>
      </c>
      <c r="K136" s="4">
        <v>1009.14</v>
      </c>
      <c r="L136" s="4">
        <f>K136-J136</f>
      </c>
      <c r="M136" s="4">
        <f>L136*16.67%</f>
      </c>
      <c r="N136" s="4">
        <f>K136/100*11</f>
      </c>
      <c r="O136" s="4">
        <v>8.99</v>
      </c>
      <c r="P136" s="4">
        <v>0</v>
      </c>
      <c r="Q136" s="4">
        <f>P136*20%</f>
      </c>
      <c r="R136" s="4">
        <v>1</v>
      </c>
      <c r="S136" s="4">
        <f>L136-M136-N136-O136-P136-Q136-R136</f>
      </c>
      <c r="T136" s="4">
        <f>(S136-V136)/J136*100</f>
      </c>
      <c r="U136" s="4">
        <f>M136-Q136</f>
      </c>
      <c r="W136" s="4">
        <f>S136-V136</f>
      </c>
      <c r="AB136" t="s">
        <v>1</v>
      </c>
    </row>
    <row r="137" spans="1:28" x14ac:dyDescent="0.25">
      <c r="A137" s="8">
        <v>46214.5</v>
      </c>
      <c r="B137" t="s">
        <v>968</v>
      </c>
      <c r="C137" t="s">
        <v>1</v>
      </c>
      <c r="D137" s="9" t="s">
        <v>969</v>
      </c>
      <c r="E137" t="s">
        <v>98</v>
      </c>
      <c r="F137" t="s">
        <v>105</v>
      </c>
      <c r="G137" t="s">
        <v>65</v>
      </c>
      <c r="H137" t="s">
        <v>66</v>
      </c>
      <c r="I137">
        <v>1</v>
      </c>
      <c r="J137" s="4">
        <v>308</v>
      </c>
      <c r="K137" s="4">
        <v>446.6</v>
      </c>
      <c r="L137" s="4">
        <f>K137-J137</f>
      </c>
      <c r="M137" s="4">
        <f>L137*16.67%</f>
      </c>
      <c r="N137" s="4">
        <f>K137/100*11</f>
      </c>
      <c r="O137" s="4">
        <v>8.99</v>
      </c>
      <c r="P137" s="4">
        <v>0</v>
      </c>
      <c r="Q137" s="4">
        <f>P137*20%</f>
      </c>
      <c r="R137" s="4">
        <v>1</v>
      </c>
      <c r="S137" s="4">
        <f>L137-M137-N137-O137-P137-Q137-R137</f>
      </c>
      <c r="T137" s="4">
        <f>(S137-V137)/J137*100</f>
      </c>
      <c r="U137" s="4">
        <f>M137-Q137</f>
      </c>
      <c r="W137" s="4">
        <f>S137-V137</f>
      </c>
      <c r="AB137" t="s">
        <v>1</v>
      </c>
    </row>
    <row r="138" spans="1:28" x14ac:dyDescent="0.25">
      <c r="A138" s="8">
        <v>46214.5</v>
      </c>
      <c r="B138" t="s">
        <v>970</v>
      </c>
      <c r="C138" t="s">
        <v>1</v>
      </c>
      <c r="D138" s="9" t="s">
        <v>971</v>
      </c>
      <c r="E138" t="s">
        <v>125</v>
      </c>
      <c r="F138" t="s">
        <v>74</v>
      </c>
      <c r="G138" t="s">
        <v>126</v>
      </c>
      <c r="H138" t="s">
        <v>75</v>
      </c>
      <c r="I138">
        <v>1</v>
      </c>
      <c r="J138" s="4">
        <v>235</v>
      </c>
      <c r="K138" s="4">
        <v>340.75</v>
      </c>
      <c r="L138" s="4">
        <f>K138-J138</f>
      </c>
      <c r="M138" s="4">
        <f>L138*16.67%</f>
      </c>
      <c r="N138" s="4">
        <f>K138/100*11</f>
      </c>
      <c r="O138" s="4">
        <v>8.99</v>
      </c>
      <c r="P138" s="4">
        <v>0</v>
      </c>
      <c r="Q138" s="4">
        <f>P138*20%</f>
      </c>
      <c r="R138" s="4">
        <v>1</v>
      </c>
      <c r="S138" s="4">
        <f>L138-M138-N138-O138-P138-Q138-R138</f>
      </c>
      <c r="T138" s="4">
        <f>(S138-V138)/J138*100</f>
      </c>
      <c r="U138" s="4">
        <f>M138-Q138</f>
      </c>
      <c r="W138" s="4">
        <f>S138-V138</f>
      </c>
      <c r="AB138" t="s">
        <v>1</v>
      </c>
    </row>
    <row r="139" spans="1:28" x14ac:dyDescent="0.25">
      <c r="A139" s="8">
        <v>46214.5</v>
      </c>
      <c r="B139" t="s">
        <v>972</v>
      </c>
      <c r="C139" t="s">
        <v>1</v>
      </c>
      <c r="D139" s="9" t="s">
        <v>973</v>
      </c>
      <c r="E139" t="s">
        <v>58</v>
      </c>
      <c r="F139" t="s">
        <v>59</v>
      </c>
      <c r="G139" t="s">
        <v>60</v>
      </c>
      <c r="H139" t="s">
        <v>102</v>
      </c>
      <c r="I139">
        <v>1</v>
      </c>
      <c r="J139" s="4">
        <v>454</v>
      </c>
      <c r="K139" s="4">
        <v>644.68</v>
      </c>
      <c r="L139" s="4">
        <f>K139-J139</f>
      </c>
      <c r="M139" s="4">
        <f>L139*16.67%</f>
      </c>
      <c r="N139" s="4">
        <f>K139/100*11</f>
      </c>
      <c r="O139" s="4">
        <v>8.99</v>
      </c>
      <c r="P139" s="4">
        <v>0</v>
      </c>
      <c r="Q139" s="4">
        <f>P139*20%</f>
      </c>
      <c r="R139" s="4">
        <v>1</v>
      </c>
      <c r="S139" s="4">
        <f>L139-M139-N139-O139-P139-Q139-R139</f>
      </c>
      <c r="T139" s="4">
        <f>(S139-V139)/J139*100</f>
      </c>
      <c r="U139" s="4">
        <f>M139-Q139</f>
      </c>
      <c r="W139" s="4">
        <f>S139-V139</f>
      </c>
      <c r="AB139" t="s">
        <v>1</v>
      </c>
    </row>
    <row r="140" spans="1:28" x14ac:dyDescent="0.25">
      <c r="A140" s="8">
        <v>46214.5</v>
      </c>
      <c r="B140" t="s">
        <v>974</v>
      </c>
      <c r="C140" t="s">
        <v>185</v>
      </c>
      <c r="D140" s="9" t="s">
        <v>1</v>
      </c>
      <c r="E140" t="s">
        <v>185</v>
      </c>
      <c r="F140" t="s">
        <v>1</v>
      </c>
      <c r="G140" t="s">
        <v>1</v>
      </c>
      <c r="H140" t="s">
        <v>102</v>
      </c>
      <c r="I140">
        <v>2</v>
      </c>
      <c r="J140" s="4">
        <v>2.4</v>
      </c>
      <c r="K140" s="4">
        <v>3.26</v>
      </c>
      <c r="L140" s="4">
        <f>K140-J140</f>
      </c>
      <c r="M140" s="4">
        <f>L140*16.67%</f>
      </c>
      <c r="N140" s="4">
        <f>K140/100*11</f>
      </c>
      <c r="O140" s="4">
        <v>8.99</v>
      </c>
      <c r="P140" s="4">
        <v>0</v>
      </c>
      <c r="Q140" s="4">
        <f>P140*20%</f>
      </c>
      <c r="R140" s="4">
        <v>0</v>
      </c>
      <c r="S140" s="4">
        <f>L140-M140-N140-O140-P140-Q140-R140</f>
      </c>
      <c r="T140" s="4">
        <f>(S140-V140)/J140*100</f>
      </c>
      <c r="U140" s="4">
        <f>M140-Q140</f>
      </c>
      <c r="W140" s="4">
        <f>S140-V140</f>
      </c>
      <c r="AB140" t="s">
        <v>1</v>
      </c>
    </row>
    <row r="141" spans="1:28" x14ac:dyDescent="0.25">
      <c r="A141" s="8">
        <v>46213.5</v>
      </c>
      <c r="B141" t="s">
        <v>975</v>
      </c>
      <c r="C141" t="s">
        <v>1</v>
      </c>
      <c r="D141" s="9" t="s">
        <v>976</v>
      </c>
      <c r="E141" t="s">
        <v>125</v>
      </c>
      <c r="F141" t="s">
        <v>59</v>
      </c>
      <c r="G141" t="s">
        <v>126</v>
      </c>
      <c r="H141" t="s">
        <v>78</v>
      </c>
      <c r="I141">
        <v>1</v>
      </c>
      <c r="J141" s="4">
        <v>244</v>
      </c>
      <c r="K141" s="4">
        <v>297.68</v>
      </c>
      <c r="L141" s="4">
        <f>K141-J141</f>
      </c>
      <c r="M141" s="4">
        <f>L141*16.67%</f>
      </c>
      <c r="N141" s="4">
        <f>K141/100*11</f>
      </c>
      <c r="O141" s="4">
        <v>8.99</v>
      </c>
      <c r="P141" s="4">
        <v>0</v>
      </c>
      <c r="Q141" s="4">
        <f>P141*20%</f>
      </c>
      <c r="R141" s="4">
        <v>1</v>
      </c>
      <c r="S141" s="4">
        <f>L141-M141-N141-O141-P141-Q141-R141</f>
      </c>
      <c r="T141" s="4">
        <f>(S141-V141)/J141*100</f>
      </c>
      <c r="U141" s="4">
        <f>M141-Q141</f>
      </c>
      <c r="W141" s="4">
        <f>S141-V141</f>
      </c>
      <c r="AB141" t="s">
        <v>1</v>
      </c>
    </row>
    <row r="142" spans="1:28" x14ac:dyDescent="0.25">
      <c r="A142" s="8">
        <v>46213.5</v>
      </c>
      <c r="B142" t="s">
        <v>977</v>
      </c>
      <c r="C142" t="s">
        <v>1</v>
      </c>
      <c r="D142" s="9" t="s">
        <v>978</v>
      </c>
      <c r="E142" t="s">
        <v>292</v>
      </c>
      <c r="F142" t="s">
        <v>74</v>
      </c>
      <c r="G142" t="s">
        <v>126</v>
      </c>
      <c r="H142" t="s">
        <v>102</v>
      </c>
      <c r="I142">
        <v>1</v>
      </c>
      <c r="J142" s="4">
        <v>190</v>
      </c>
      <c r="K142" s="4">
        <v>239.4</v>
      </c>
      <c r="L142" s="4">
        <f>K142-J142</f>
      </c>
      <c r="M142" s="4">
        <f>L142*16.67%</f>
      </c>
      <c r="N142" s="4">
        <f>K142/100*11</f>
      </c>
      <c r="O142" s="4">
        <v>8.99</v>
      </c>
      <c r="P142" s="4">
        <v>0</v>
      </c>
      <c r="Q142" s="4">
        <f>P142*20%</f>
      </c>
      <c r="R142" s="4">
        <v>1</v>
      </c>
      <c r="S142" s="4">
        <f>L142-M142-N142-O142-P142-Q142-R142</f>
      </c>
      <c r="T142" s="4">
        <f>(S142-V142)/J142*100</f>
      </c>
      <c r="U142" s="4">
        <f>M142-Q142</f>
      </c>
      <c r="W142" s="4">
        <f>S142-V142</f>
      </c>
      <c r="AB142" t="s">
        <v>1</v>
      </c>
    </row>
    <row r="143" spans="1:28" x14ac:dyDescent="0.25">
      <c r="A143" s="8">
        <v>46213.5</v>
      </c>
      <c r="B143" t="s">
        <v>979</v>
      </c>
      <c r="C143" t="s">
        <v>1</v>
      </c>
      <c r="D143" s="9" t="s">
        <v>980</v>
      </c>
      <c r="E143" t="s">
        <v>84</v>
      </c>
      <c r="F143" t="s">
        <v>99</v>
      </c>
      <c r="G143" t="s">
        <v>60</v>
      </c>
      <c r="H143" t="s">
        <v>102</v>
      </c>
      <c r="I143">
        <v>1</v>
      </c>
      <c r="J143" s="4">
        <v>729</v>
      </c>
      <c r="K143" s="4">
        <v>1035.18</v>
      </c>
      <c r="L143" s="4">
        <f>K143-J143</f>
      </c>
      <c r="M143" s="4">
        <f>L143*16.67%</f>
      </c>
      <c r="N143" s="4">
        <f>K143/100*11</f>
      </c>
      <c r="O143" s="4">
        <v>8.99</v>
      </c>
      <c r="P143" s="4">
        <v>0</v>
      </c>
      <c r="Q143" s="4">
        <f>P143*20%</f>
      </c>
      <c r="R143" s="4">
        <v>1</v>
      </c>
      <c r="S143" s="4">
        <f>L143-M143-N143-O143-P143-Q143-R143</f>
      </c>
      <c r="T143" s="4">
        <f>(S143-V143)/J143*100</f>
      </c>
      <c r="U143" s="4">
        <f>M143-Q143</f>
      </c>
      <c r="W143" s="4">
        <f>S143-V143</f>
      </c>
      <c r="AB143" t="s">
        <v>1</v>
      </c>
    </row>
    <row r="144" spans="1:28" x14ac:dyDescent="0.25">
      <c r="A144" s="8">
        <v>46213.5</v>
      </c>
      <c r="B144" t="s">
        <v>981</v>
      </c>
      <c r="C144" t="s">
        <v>177</v>
      </c>
      <c r="D144" s="9" t="s">
        <v>1</v>
      </c>
      <c r="E144" t="s">
        <v>177</v>
      </c>
      <c r="F144" t="s">
        <v>1</v>
      </c>
      <c r="G144" t="s">
        <v>1</v>
      </c>
      <c r="H144" t="s">
        <v>78</v>
      </c>
      <c r="I144">
        <v>4</v>
      </c>
      <c r="J144" s="4">
        <v>0.6</v>
      </c>
      <c r="K144" s="4">
        <v>0.86</v>
      </c>
      <c r="L144" s="4">
        <f>K144-J144</f>
      </c>
      <c r="M144" s="4">
        <f>L144*16.67%</f>
      </c>
      <c r="N144" s="4">
        <f>K144/100*11</f>
      </c>
      <c r="O144" s="4">
        <v>8.99</v>
      </c>
      <c r="P144" s="4">
        <v>0</v>
      </c>
      <c r="Q144" s="4">
        <f>P144*20%</f>
      </c>
      <c r="R144" s="4">
        <v>0</v>
      </c>
      <c r="S144" s="4">
        <f>L144-M144-N144-O144-P144-Q144-R144</f>
      </c>
      <c r="T144" s="4">
        <f>(S144-V144)/J144*100</f>
      </c>
      <c r="U144" s="4">
        <f>M144-Q144</f>
      </c>
      <c r="W144" s="4">
        <f>S144-V144</f>
      </c>
      <c r="AB144" t="s">
        <v>1</v>
      </c>
    </row>
    <row r="145" spans="1:28" x14ac:dyDescent="0.25">
      <c r="A145" s="8">
        <v>46213.5</v>
      </c>
      <c r="B145" t="s">
        <v>982</v>
      </c>
      <c r="C145" t="s">
        <v>254</v>
      </c>
      <c r="D145" s="9" t="s">
        <v>1</v>
      </c>
      <c r="E145" t="s">
        <v>254</v>
      </c>
      <c r="F145" t="s">
        <v>1</v>
      </c>
      <c r="G145" t="s">
        <v>1</v>
      </c>
      <c r="H145" t="s">
        <v>61</v>
      </c>
      <c r="I145">
        <v>4</v>
      </c>
      <c r="J145" s="4">
        <v>3.2</v>
      </c>
      <c r="K145" s="4">
        <v>3.9</v>
      </c>
      <c r="L145" s="4">
        <f>K145-J145</f>
      </c>
      <c r="M145" s="4">
        <f>L145*16.67%</f>
      </c>
      <c r="N145" s="4">
        <f>K145/100*11</f>
      </c>
      <c r="O145" s="4">
        <v>8.99</v>
      </c>
      <c r="P145" s="4">
        <v>0</v>
      </c>
      <c r="Q145" s="4">
        <f>P145*20%</f>
      </c>
      <c r="R145" s="4">
        <v>0</v>
      </c>
      <c r="S145" s="4">
        <f>L145-M145-N145-O145-P145-Q145-R145</f>
      </c>
      <c r="T145" s="4">
        <f>(S145-V145)/J145*100</f>
      </c>
      <c r="U145" s="4">
        <f>M145-Q145</f>
      </c>
      <c r="W145" s="4">
        <f>S145-V145</f>
      </c>
      <c r="AB145" t="s">
        <v>1</v>
      </c>
    </row>
    <row r="146" spans="1:28" x14ac:dyDescent="0.25">
      <c r="A146" s="8">
        <v>46213.5</v>
      </c>
      <c r="B146" t="s">
        <v>983</v>
      </c>
      <c r="C146" t="s">
        <v>182</v>
      </c>
      <c r="D146" s="9" t="s">
        <v>1</v>
      </c>
      <c r="E146" t="s">
        <v>182</v>
      </c>
      <c r="F146" t="s">
        <v>1</v>
      </c>
      <c r="G146" t="s">
        <v>1</v>
      </c>
      <c r="H146" t="s">
        <v>75</v>
      </c>
      <c r="I146">
        <v>4</v>
      </c>
      <c r="J146" s="4">
        <v>7.6</v>
      </c>
      <c r="K146" s="4">
        <v>10.72</v>
      </c>
      <c r="L146" s="4">
        <f>K146-J146</f>
      </c>
      <c r="M146" s="4">
        <f>L146*16.67%</f>
      </c>
      <c r="N146" s="4">
        <f>K146/100*11</f>
      </c>
      <c r="O146" s="4">
        <v>8.99</v>
      </c>
      <c r="P146" s="4">
        <v>0</v>
      </c>
      <c r="Q146" s="4">
        <f>P146*20%</f>
      </c>
      <c r="R146" s="4">
        <v>0</v>
      </c>
      <c r="S146" s="4">
        <f>L146-M146-N146-O146-P146-Q146-R146</f>
      </c>
      <c r="T146" s="4">
        <f>(S146-V146)/J146*100</f>
      </c>
      <c r="U146" s="4">
        <f>M146-Q146</f>
      </c>
      <c r="W146" s="4">
        <f>S146-V146</f>
      </c>
      <c r="AB146" t="s">
        <v>1</v>
      </c>
    </row>
    <row r="147" spans="1:28" x14ac:dyDescent="0.25">
      <c r="A147" s="8">
        <v>46213.5</v>
      </c>
      <c r="B147" t="s">
        <v>984</v>
      </c>
      <c r="C147" t="s">
        <v>1</v>
      </c>
      <c r="D147" s="9" t="s">
        <v>1</v>
      </c>
      <c r="E147" t="s">
        <v>1</v>
      </c>
      <c r="F147" t="s">
        <v>1</v>
      </c>
      <c r="G147" t="s">
        <v>1</v>
      </c>
      <c r="H147" t="s">
        <v>75</v>
      </c>
      <c r="I147">
        <v>1</v>
      </c>
      <c r="J147" s="4">
        <v>324</v>
      </c>
      <c r="K147" s="4">
        <v>375.84</v>
      </c>
      <c r="L147" s="4">
        <f>K147-J147</f>
      </c>
      <c r="M147" s="4">
        <f>L147*16.67%</f>
      </c>
      <c r="N147" s="4">
        <f>K147/100*11</f>
      </c>
      <c r="O147" s="4">
        <v>8.99</v>
      </c>
      <c r="P147" s="4">
        <v>0</v>
      </c>
      <c r="Q147" s="4">
        <f>P147*20%</f>
      </c>
      <c r="R147" s="4">
        <v>1</v>
      </c>
      <c r="S147" s="4">
        <f>L147-M147-N147-O147-P147-Q147-R147</f>
      </c>
      <c r="T147" s="4">
        <f>(S147-V147)/J147*100</f>
      </c>
      <c r="U147" s="4">
        <f>M147-Q147</f>
      </c>
      <c r="W147" s="4">
        <f>S147-V147</f>
      </c>
      <c r="AB147" t="s">
        <v>1</v>
      </c>
    </row>
    <row r="148" spans="1:28" x14ac:dyDescent="0.25">
      <c r="A148" s="8">
        <v>46212.5</v>
      </c>
      <c r="B148" t="s">
        <v>985</v>
      </c>
      <c r="C148" t="s">
        <v>1</v>
      </c>
      <c r="D148" s="9" t="s">
        <v>986</v>
      </c>
      <c r="E148" t="s">
        <v>91</v>
      </c>
      <c r="F148" t="s">
        <v>88</v>
      </c>
      <c r="G148" t="s">
        <v>65</v>
      </c>
      <c r="H148" t="s">
        <v>75</v>
      </c>
      <c r="I148">
        <v>1</v>
      </c>
      <c r="J148" s="4">
        <v>107</v>
      </c>
      <c r="K148" s="4">
        <v>134.82</v>
      </c>
      <c r="L148" s="4">
        <f>K148-J148</f>
      </c>
      <c r="M148" s="4">
        <f>L148*16.67%</f>
      </c>
      <c r="N148" s="4">
        <f>K148/100*11</f>
      </c>
      <c r="O148" s="4">
        <v>8.99</v>
      </c>
      <c r="P148" s="4">
        <v>0</v>
      </c>
      <c r="Q148" s="4">
        <f>P148*20%</f>
      </c>
      <c r="R148" s="4">
        <v>1</v>
      </c>
      <c r="S148" s="4">
        <f>L148-M148-N148-O148-P148-Q148-R148</f>
      </c>
      <c r="T148" s="4">
        <f>(S148-V148)/J148*100</f>
      </c>
      <c r="U148" s="4">
        <f>M148-Q148</f>
      </c>
      <c r="W148" s="4">
        <f>S148-V148</f>
      </c>
      <c r="AB148" t="s">
        <v>1</v>
      </c>
    </row>
    <row r="149" spans="1:28" x14ac:dyDescent="0.25">
      <c r="A149" s="8">
        <v>46211.5</v>
      </c>
      <c r="B149" t="s">
        <v>987</v>
      </c>
      <c r="C149" t="s">
        <v>1</v>
      </c>
      <c r="D149" s="9" t="s">
        <v>988</v>
      </c>
      <c r="E149" t="s">
        <v>125</v>
      </c>
      <c r="F149" t="s">
        <v>74</v>
      </c>
      <c r="G149" t="s">
        <v>126</v>
      </c>
      <c r="H149" t="s">
        <v>66</v>
      </c>
      <c r="I149">
        <v>1</v>
      </c>
      <c r="J149" s="4">
        <v>264</v>
      </c>
      <c r="K149" s="4">
        <v>322.08</v>
      </c>
      <c r="L149" s="4">
        <f>K149-J149</f>
      </c>
      <c r="M149" s="4">
        <f>L149*16.67%</f>
      </c>
      <c r="N149" s="4">
        <f>K149/100*11</f>
      </c>
      <c r="O149" s="4">
        <v>8.99</v>
      </c>
      <c r="P149" s="4">
        <v>0</v>
      </c>
      <c r="Q149" s="4">
        <f>P149*20%</f>
      </c>
      <c r="R149" s="4">
        <v>1</v>
      </c>
      <c r="S149" s="4">
        <f>L149-M149-N149-O149-P149-Q149-R149</f>
      </c>
      <c r="T149" s="4">
        <f>(S149-V149)/J149*100</f>
      </c>
      <c r="U149" s="4">
        <f>M149-Q149</f>
      </c>
      <c r="W149" s="4">
        <f>S149-V149</f>
      </c>
      <c r="AB149" t="s">
        <v>1</v>
      </c>
    </row>
    <row r="150" spans="1:28" x14ac:dyDescent="0.25">
      <c r="A150" s="8">
        <v>46211.5</v>
      </c>
      <c r="B150" t="s">
        <v>989</v>
      </c>
      <c r="C150" t="s">
        <v>1</v>
      </c>
      <c r="D150" s="9" t="s">
        <v>990</v>
      </c>
      <c r="E150" t="s">
        <v>94</v>
      </c>
      <c r="F150" t="s">
        <v>85</v>
      </c>
      <c r="G150" t="s">
        <v>95</v>
      </c>
      <c r="H150" t="s">
        <v>78</v>
      </c>
      <c r="I150">
        <v>1</v>
      </c>
      <c r="J150" s="4">
        <v>76</v>
      </c>
      <c r="K150" s="4">
        <v>97.28</v>
      </c>
      <c r="L150" s="4">
        <f>K150-J150</f>
      </c>
      <c r="M150" s="4">
        <f>L150*16.67%</f>
      </c>
      <c r="N150" s="4">
        <f>K150/100*11</f>
      </c>
      <c r="O150" s="4">
        <v>8.99</v>
      </c>
      <c r="P150" s="4">
        <v>0</v>
      </c>
      <c r="Q150" s="4">
        <f>P150*20%</f>
      </c>
      <c r="R150" s="4">
        <v>1</v>
      </c>
      <c r="S150" s="4">
        <f>L150-M150-N150-O150-P150-Q150-R150</f>
      </c>
      <c r="T150" s="4">
        <f>(S150-V150)/J150*100</f>
      </c>
      <c r="U150" s="4">
        <f>M150-Q150</f>
      </c>
      <c r="W150" s="4">
        <f>S150-V150</f>
      </c>
      <c r="AB150" t="s">
        <v>1</v>
      </c>
    </row>
    <row r="151" spans="1:28" x14ac:dyDescent="0.25">
      <c r="A151" s="8">
        <v>46211.5</v>
      </c>
      <c r="B151" t="s">
        <v>991</v>
      </c>
      <c r="C151" t="s">
        <v>1</v>
      </c>
      <c r="D151" s="9" t="s">
        <v>992</v>
      </c>
      <c r="E151" t="s">
        <v>125</v>
      </c>
      <c r="F151" t="s">
        <v>74</v>
      </c>
      <c r="G151" t="s">
        <v>126</v>
      </c>
      <c r="H151" t="s">
        <v>75</v>
      </c>
      <c r="I151">
        <v>1</v>
      </c>
      <c r="J151" s="4">
        <v>228</v>
      </c>
      <c r="K151" s="4">
        <v>273.6</v>
      </c>
      <c r="L151" s="4">
        <f>K151-J151</f>
      </c>
      <c r="M151" s="4">
        <f>L151*16.67%</f>
      </c>
      <c r="N151" s="4">
        <f>K151/100*11</f>
      </c>
      <c r="O151" s="4">
        <v>8.99</v>
      </c>
      <c r="P151" s="4">
        <v>0</v>
      </c>
      <c r="Q151" s="4">
        <f>P151*20%</f>
      </c>
      <c r="R151" s="4">
        <v>1</v>
      </c>
      <c r="S151" s="4">
        <f>L151-M151-N151-O151-P151-Q151-R151</f>
      </c>
      <c r="T151" s="4">
        <f>(S151-V151)/J151*100</f>
      </c>
      <c r="U151" s="4">
        <f>M151-Q151</f>
      </c>
      <c r="W151" s="4">
        <f>S151-V151</f>
      </c>
      <c r="AB151" t="s">
        <v>1</v>
      </c>
    </row>
    <row r="152" spans="1:28" x14ac:dyDescent="0.25">
      <c r="A152" s="8">
        <v>46211.5</v>
      </c>
      <c r="B152" t="s">
        <v>993</v>
      </c>
      <c r="C152" t="s">
        <v>1</v>
      </c>
      <c r="D152" s="9" t="s">
        <v>994</v>
      </c>
      <c r="E152" t="s">
        <v>125</v>
      </c>
      <c r="F152" t="s">
        <v>70</v>
      </c>
      <c r="G152" t="s">
        <v>126</v>
      </c>
      <c r="H152" t="s">
        <v>102</v>
      </c>
      <c r="I152">
        <v>1</v>
      </c>
      <c r="J152" s="4">
        <v>266</v>
      </c>
      <c r="K152" s="4">
        <v>313.88</v>
      </c>
      <c r="L152" s="4">
        <f>K152-J152</f>
      </c>
      <c r="M152" s="4">
        <f>L152*16.67%</f>
      </c>
      <c r="N152" s="4">
        <f>K152/100*11</f>
      </c>
      <c r="O152" s="4">
        <v>8.99</v>
      </c>
      <c r="P152" s="4">
        <v>0</v>
      </c>
      <c r="Q152" s="4">
        <f>P152*20%</f>
      </c>
      <c r="R152" s="4">
        <v>1</v>
      </c>
      <c r="S152" s="4">
        <f>L152-M152-N152-O152-P152-Q152-R152</f>
      </c>
      <c r="T152" s="4">
        <f>(S152-V152)/J152*100</f>
      </c>
      <c r="U152" s="4">
        <f>M152-Q152</f>
      </c>
      <c r="W152" s="4">
        <f>S152-V152</f>
      </c>
      <c r="AB152" t="s">
        <v>1</v>
      </c>
    </row>
    <row r="153" spans="1:28" x14ac:dyDescent="0.25">
      <c r="A153" s="8">
        <v>46211.5</v>
      </c>
      <c r="B153" t="s">
        <v>995</v>
      </c>
      <c r="C153" t="s">
        <v>1</v>
      </c>
      <c r="D153" s="9" t="s">
        <v>996</v>
      </c>
      <c r="E153" t="s">
        <v>139</v>
      </c>
      <c r="F153" t="s">
        <v>70</v>
      </c>
      <c r="G153" t="s">
        <v>60</v>
      </c>
      <c r="H153" t="s">
        <v>66</v>
      </c>
      <c r="I153">
        <v>1</v>
      </c>
      <c r="J153" s="4">
        <v>339</v>
      </c>
      <c r="K153" s="4">
        <v>461.04</v>
      </c>
      <c r="L153" s="4">
        <f>K153-J153</f>
      </c>
      <c r="M153" s="4">
        <f>L153*16.67%</f>
      </c>
      <c r="N153" s="4">
        <f>K153/100*11</f>
      </c>
      <c r="O153" s="4">
        <v>8.99</v>
      </c>
      <c r="P153" s="4">
        <v>0</v>
      </c>
      <c r="Q153" s="4">
        <f>P153*20%</f>
      </c>
      <c r="R153" s="4">
        <v>1</v>
      </c>
      <c r="S153" s="4">
        <f>L153-M153-N153-O153-P153-Q153-R153</f>
      </c>
      <c r="T153" s="4">
        <f>(S153-V153)/J153*100</f>
      </c>
      <c r="U153" s="4">
        <f>M153-Q153</f>
      </c>
      <c r="W153" s="4">
        <f>S153-V153</f>
      </c>
      <c r="AB153" t="s">
        <v>1</v>
      </c>
    </row>
    <row r="154" spans="1:28" x14ac:dyDescent="0.25">
      <c r="A154" s="8">
        <v>46210.5</v>
      </c>
      <c r="B154" t="s">
        <v>997</v>
      </c>
      <c r="C154" t="s">
        <v>1</v>
      </c>
      <c r="D154" s="9" t="s">
        <v>998</v>
      </c>
      <c r="E154" t="s">
        <v>73</v>
      </c>
      <c r="F154" t="s">
        <v>74</v>
      </c>
      <c r="G154" t="s">
        <v>60</v>
      </c>
      <c r="H154" t="s">
        <v>102</v>
      </c>
      <c r="I154">
        <v>1</v>
      </c>
      <c r="J154" s="4">
        <v>372</v>
      </c>
      <c r="K154" s="4">
        <v>528.24</v>
      </c>
      <c r="L154" s="4">
        <f>K154-J154</f>
      </c>
      <c r="M154" s="4">
        <f>L154*16.67%</f>
      </c>
      <c r="N154" s="4">
        <f>K154/100*11</f>
      </c>
      <c r="O154" s="4">
        <v>8.99</v>
      </c>
      <c r="P154" s="4">
        <v>0</v>
      </c>
      <c r="Q154" s="4">
        <f>P154*20%</f>
      </c>
      <c r="R154" s="4">
        <v>1</v>
      </c>
      <c r="S154" s="4">
        <f>L154-M154-N154-O154-P154-Q154-R154</f>
      </c>
      <c r="T154" s="4">
        <f>(S154-V154)/J154*100</f>
      </c>
      <c r="U154" s="4">
        <f>M154-Q154</f>
      </c>
      <c r="W154" s="4">
        <f>S154-V154</f>
      </c>
      <c r="AB154" t="s">
        <v>1</v>
      </c>
    </row>
    <row r="155" spans="1:28" x14ac:dyDescent="0.25">
      <c r="A155" s="8">
        <v>46210.5</v>
      </c>
      <c r="B155" t="s">
        <v>999</v>
      </c>
      <c r="C155" t="s">
        <v>1</v>
      </c>
      <c r="D155" s="9" t="s">
        <v>1000</v>
      </c>
      <c r="E155" t="s">
        <v>292</v>
      </c>
      <c r="F155" t="s">
        <v>70</v>
      </c>
      <c r="G155" t="s">
        <v>126</v>
      </c>
      <c r="H155" t="s">
        <v>66</v>
      </c>
      <c r="I155">
        <v>1</v>
      </c>
      <c r="J155" s="4">
        <v>192</v>
      </c>
      <c r="K155" s="4">
        <v>245.76</v>
      </c>
      <c r="L155" s="4">
        <f>K155-J155</f>
      </c>
      <c r="M155" s="4">
        <f>L155*16.67%</f>
      </c>
      <c r="N155" s="4">
        <f>K155/100*11</f>
      </c>
      <c r="O155" s="4">
        <v>8.99</v>
      </c>
      <c r="P155" s="4">
        <v>0</v>
      </c>
      <c r="Q155" s="4">
        <f>P155*20%</f>
      </c>
      <c r="R155" s="4">
        <v>1</v>
      </c>
      <c r="S155" s="4">
        <f>L155-M155-N155-O155-P155-Q155-R155</f>
      </c>
      <c r="T155" s="4">
        <f>(S155-V155)/J155*100</f>
      </c>
      <c r="U155" s="4">
        <f>M155-Q155</f>
      </c>
      <c r="W155" s="4">
        <f>S155-V155</f>
      </c>
      <c r="AB155" t="s">
        <v>1</v>
      </c>
    </row>
    <row r="156" spans="1:28" x14ac:dyDescent="0.25">
      <c r="A156" s="8">
        <v>46210.5</v>
      </c>
      <c r="B156" t="s">
        <v>1001</v>
      </c>
      <c r="C156" t="s">
        <v>1</v>
      </c>
      <c r="D156" s="9" t="s">
        <v>1002</v>
      </c>
      <c r="E156" t="s">
        <v>172</v>
      </c>
      <c r="F156" t="s">
        <v>105</v>
      </c>
      <c r="G156" t="s">
        <v>65</v>
      </c>
      <c r="H156" t="s">
        <v>66</v>
      </c>
      <c r="I156">
        <v>1</v>
      </c>
      <c r="J156" s="4">
        <v>158</v>
      </c>
      <c r="K156" s="4">
        <v>208.56</v>
      </c>
      <c r="L156" s="4">
        <f>K156-J156</f>
      </c>
      <c r="M156" s="4">
        <f>L156*16.67%</f>
      </c>
      <c r="N156" s="4">
        <f>K156/100*11</f>
      </c>
      <c r="O156" s="4">
        <v>8.99</v>
      </c>
      <c r="P156" s="4">
        <v>0</v>
      </c>
      <c r="Q156" s="4">
        <f>P156*20%</f>
      </c>
      <c r="R156" s="4">
        <v>1</v>
      </c>
      <c r="S156" s="4">
        <f>L156-M156-N156-O156-P156-Q156-R156</f>
      </c>
      <c r="T156" s="4">
        <f>(S156-V156)/J156*100</f>
      </c>
      <c r="U156" s="4">
        <f>M156-Q156</f>
      </c>
      <c r="W156" s="4">
        <f>S156-V156</f>
      </c>
      <c r="AB156" t="s">
        <v>1</v>
      </c>
    </row>
    <row r="157" spans="1:28" x14ac:dyDescent="0.25">
      <c r="A157" s="8">
        <v>46210.5</v>
      </c>
      <c r="B157" t="s">
        <v>1003</v>
      </c>
      <c r="C157" t="s">
        <v>1</v>
      </c>
      <c r="D157" s="9" t="s">
        <v>1004</v>
      </c>
      <c r="E157" t="s">
        <v>125</v>
      </c>
      <c r="F157" t="s">
        <v>88</v>
      </c>
      <c r="G157" t="s">
        <v>126</v>
      </c>
      <c r="H157" t="s">
        <v>66</v>
      </c>
      <c r="I157">
        <v>1</v>
      </c>
      <c r="J157" s="4">
        <v>268</v>
      </c>
      <c r="K157" s="4">
        <v>308.2</v>
      </c>
      <c r="L157" s="4">
        <f>K157-J157</f>
      </c>
      <c r="M157" s="4">
        <f>L157*16.67%</f>
      </c>
      <c r="N157" s="4">
        <f>K157/100*11</f>
      </c>
      <c r="O157" s="4">
        <v>8.99</v>
      </c>
      <c r="P157" s="4">
        <v>0</v>
      </c>
      <c r="Q157" s="4">
        <f>P157*20%</f>
      </c>
      <c r="R157" s="4">
        <v>1</v>
      </c>
      <c r="S157" s="4">
        <f>L157-M157-N157-O157-P157-Q157-R157</f>
      </c>
      <c r="T157" s="4">
        <f>(S157-V157)/J157*100</f>
      </c>
      <c r="U157" s="4">
        <f>M157-Q157</f>
      </c>
      <c r="W157" s="4">
        <f>S157-V157</f>
      </c>
      <c r="AB157" t="s">
        <v>1</v>
      </c>
    </row>
    <row r="158" spans="1:28" x14ac:dyDescent="0.25">
      <c r="A158" s="8">
        <v>46210.5</v>
      </c>
      <c r="B158" t="s">
        <v>1005</v>
      </c>
      <c r="C158" t="s">
        <v>1</v>
      </c>
      <c r="D158" s="9" t="s">
        <v>1006</v>
      </c>
      <c r="E158" t="s">
        <v>58</v>
      </c>
      <c r="F158" t="s">
        <v>74</v>
      </c>
      <c r="G158" t="s">
        <v>60</v>
      </c>
      <c r="H158" t="s">
        <v>61</v>
      </c>
      <c r="I158">
        <v>1</v>
      </c>
      <c r="J158" s="4">
        <v>422</v>
      </c>
      <c r="K158" s="4">
        <v>502.18</v>
      </c>
      <c r="L158" s="4">
        <f>K158-J158</f>
      </c>
      <c r="M158" s="4">
        <f>L158*16.67%</f>
      </c>
      <c r="N158" s="4">
        <f>K158/100*11</f>
      </c>
      <c r="O158" s="4">
        <v>8.99</v>
      </c>
      <c r="P158" s="4">
        <v>0</v>
      </c>
      <c r="Q158" s="4">
        <f>P158*20%</f>
      </c>
      <c r="R158" s="4">
        <v>1</v>
      </c>
      <c r="S158" s="4">
        <f>L158-M158-N158-O158-P158-Q158-R158</f>
      </c>
      <c r="T158" s="4">
        <f>(S158-V158)/J158*100</f>
      </c>
      <c r="U158" s="4">
        <f>M158-Q158</f>
      </c>
      <c r="W158" s="4">
        <f>S158-V158</f>
      </c>
      <c r="AB158" t="s">
        <v>1</v>
      </c>
    </row>
    <row r="159" spans="1:28" x14ac:dyDescent="0.25">
      <c r="A159" s="8">
        <v>46210.5</v>
      </c>
      <c r="B159" t="s">
        <v>1007</v>
      </c>
      <c r="C159" t="s">
        <v>182</v>
      </c>
      <c r="D159" s="9" t="s">
        <v>1</v>
      </c>
      <c r="E159" t="s">
        <v>182</v>
      </c>
      <c r="F159" t="s">
        <v>1</v>
      </c>
      <c r="G159" t="s">
        <v>1</v>
      </c>
      <c r="H159" t="s">
        <v>75</v>
      </c>
      <c r="I159">
        <v>1</v>
      </c>
      <c r="J159" s="4">
        <v>1.9</v>
      </c>
      <c r="K159" s="4">
        <v>2.43</v>
      </c>
      <c r="L159" s="4">
        <f>K159-J159</f>
      </c>
      <c r="M159" s="4">
        <f>L159*16.67%</f>
      </c>
      <c r="N159" s="4">
        <f>K159/100*11</f>
      </c>
      <c r="O159" s="4">
        <v>8.99</v>
      </c>
      <c r="P159" s="4">
        <v>0</v>
      </c>
      <c r="Q159" s="4">
        <f>P159*20%</f>
      </c>
      <c r="R159" s="4">
        <v>0</v>
      </c>
      <c r="S159" s="4">
        <f>L159-M159-N159-O159-P159-Q159-R159</f>
      </c>
      <c r="T159" s="4">
        <f>(S159-V159)/J159*100</f>
      </c>
      <c r="U159" s="4">
        <f>M159-Q159</f>
      </c>
      <c r="W159" s="4">
        <f>S159-V159</f>
      </c>
      <c r="AB159" t="s">
        <v>1</v>
      </c>
    </row>
    <row r="160" spans="1:28" x14ac:dyDescent="0.25">
      <c r="A160" s="8">
        <v>46210.5</v>
      </c>
      <c r="B160" t="s">
        <v>1008</v>
      </c>
      <c r="C160" t="s">
        <v>185</v>
      </c>
      <c r="D160" s="9" t="s">
        <v>1</v>
      </c>
      <c r="E160" t="s">
        <v>185</v>
      </c>
      <c r="F160" t="s">
        <v>1</v>
      </c>
      <c r="G160" t="s">
        <v>1</v>
      </c>
      <c r="H160" t="s">
        <v>102</v>
      </c>
      <c r="I160">
        <v>4</v>
      </c>
      <c r="J160" s="4">
        <v>4.8</v>
      </c>
      <c r="K160" s="4">
        <v>6.53</v>
      </c>
      <c r="L160" s="4">
        <f>K160-J160</f>
      </c>
      <c r="M160" s="4">
        <f>L160*16.67%</f>
      </c>
      <c r="N160" s="4">
        <f>K160/100*11</f>
      </c>
      <c r="O160" s="4">
        <v>8.99</v>
      </c>
      <c r="P160" s="4">
        <v>0</v>
      </c>
      <c r="Q160" s="4">
        <f>P160*20%</f>
      </c>
      <c r="R160" s="4">
        <v>0</v>
      </c>
      <c r="S160" s="4">
        <f>L160-M160-N160-O160-P160-Q160-R160</f>
      </c>
      <c r="T160" s="4">
        <f>(S160-V160)/J160*100</f>
      </c>
      <c r="U160" s="4">
        <f>M160-Q160</f>
      </c>
      <c r="W160" s="4">
        <f>S160-V160</f>
      </c>
      <c r="AB160" t="s">
        <v>1</v>
      </c>
    </row>
    <row r="161" spans="1:28" x14ac:dyDescent="0.25">
      <c r="A161" s="8">
        <v>46209.5</v>
      </c>
      <c r="B161" t="s">
        <v>1009</v>
      </c>
      <c r="C161" t="s">
        <v>1</v>
      </c>
      <c r="D161" s="9" t="s">
        <v>1010</v>
      </c>
      <c r="E161" t="s">
        <v>64</v>
      </c>
      <c r="F161" t="s">
        <v>105</v>
      </c>
      <c r="G161" t="s">
        <v>65</v>
      </c>
      <c r="H161" t="s">
        <v>102</v>
      </c>
      <c r="I161">
        <v>1</v>
      </c>
      <c r="J161" s="4">
        <v>256</v>
      </c>
      <c r="K161" s="4">
        <v>325.12</v>
      </c>
      <c r="L161" s="4">
        <f>K161-J161</f>
      </c>
      <c r="M161" s="4">
        <f>L161*16.67%</f>
      </c>
      <c r="N161" s="4">
        <f>K161/100*11</f>
      </c>
      <c r="O161" s="4">
        <v>8.99</v>
      </c>
      <c r="P161" s="4">
        <v>0</v>
      </c>
      <c r="Q161" s="4">
        <f>P161*20%</f>
      </c>
      <c r="R161" s="4">
        <v>1</v>
      </c>
      <c r="S161" s="4">
        <f>L161-M161-N161-O161-P161-Q161-R161</f>
      </c>
      <c r="T161" s="4">
        <f>(S161-V161)/J161*100</f>
      </c>
      <c r="U161" s="4">
        <f>M161-Q161</f>
      </c>
      <c r="W161" s="4">
        <f>S161-V161</f>
      </c>
      <c r="AB161" t="s">
        <v>1</v>
      </c>
    </row>
    <row r="162" spans="1:28" x14ac:dyDescent="0.25">
      <c r="A162" s="8">
        <v>46209.5</v>
      </c>
      <c r="B162" t="s">
        <v>1011</v>
      </c>
      <c r="C162" t="s">
        <v>1</v>
      </c>
      <c r="D162" s="9" t="s">
        <v>1012</v>
      </c>
      <c r="E162" t="s">
        <v>94</v>
      </c>
      <c r="F162" t="s">
        <v>105</v>
      </c>
      <c r="G162" t="s">
        <v>95</v>
      </c>
      <c r="H162" t="s">
        <v>78</v>
      </c>
      <c r="I162">
        <v>1</v>
      </c>
      <c r="J162" s="4">
        <v>84</v>
      </c>
      <c r="K162" s="4">
        <v>121.8</v>
      </c>
      <c r="L162" s="4">
        <f>K162-J162</f>
      </c>
      <c r="M162" s="4">
        <f>L162*16.67%</f>
      </c>
      <c r="N162" s="4">
        <f>K162/100*11</f>
      </c>
      <c r="O162" s="4">
        <v>8.99</v>
      </c>
      <c r="P162" s="4">
        <v>0</v>
      </c>
      <c r="Q162" s="4">
        <f>P162*20%</f>
      </c>
      <c r="R162" s="4">
        <v>1</v>
      </c>
      <c r="S162" s="4">
        <f>L162-M162-N162-O162-P162-Q162-R162</f>
      </c>
      <c r="T162" s="4">
        <f>(S162-V162)/J162*100</f>
      </c>
      <c r="U162" s="4">
        <f>M162-Q162</f>
      </c>
      <c r="W162" s="4">
        <f>S162-V162</f>
      </c>
      <c r="AB162" t="s">
        <v>1</v>
      </c>
    </row>
    <row r="163" spans="1:28" x14ac:dyDescent="0.25">
      <c r="A163" s="8">
        <v>46209.5</v>
      </c>
      <c r="B163" t="s">
        <v>1013</v>
      </c>
      <c r="C163" t="s">
        <v>1</v>
      </c>
      <c r="D163" s="9" t="s">
        <v>1014</v>
      </c>
      <c r="E163" t="s">
        <v>58</v>
      </c>
      <c r="F163" t="s">
        <v>99</v>
      </c>
      <c r="G163" t="s">
        <v>60</v>
      </c>
      <c r="H163" t="s">
        <v>66</v>
      </c>
      <c r="I163">
        <v>1</v>
      </c>
      <c r="J163" s="4">
        <v>472</v>
      </c>
      <c r="K163" s="4">
        <v>599.44</v>
      </c>
      <c r="L163" s="4">
        <f>K163-J163</f>
      </c>
      <c r="M163" s="4">
        <f>L163*16.67%</f>
      </c>
      <c r="N163" s="4">
        <f>K163/100*11</f>
      </c>
      <c r="O163" s="4">
        <v>8.99</v>
      </c>
      <c r="P163" s="4">
        <v>0</v>
      </c>
      <c r="Q163" s="4">
        <f>P163*20%</f>
      </c>
      <c r="R163" s="4">
        <v>1</v>
      </c>
      <c r="S163" s="4">
        <f>L163-M163-N163-O163-P163-Q163-R163</f>
      </c>
      <c r="T163" s="4">
        <f>(S163-V163)/J163*100</f>
      </c>
      <c r="U163" s="4">
        <f>M163-Q163</f>
      </c>
      <c r="W163" s="4">
        <f>S163-V163</f>
      </c>
      <c r="AB163" t="s">
        <v>1</v>
      </c>
    </row>
    <row r="164" spans="1:28" x14ac:dyDescent="0.25">
      <c r="A164" s="8">
        <v>46209.5</v>
      </c>
      <c r="B164" t="s">
        <v>1015</v>
      </c>
      <c r="C164" t="s">
        <v>1</v>
      </c>
      <c r="D164" s="9" t="s">
        <v>1016</v>
      </c>
      <c r="E164" t="s">
        <v>114</v>
      </c>
      <c r="F164" t="s">
        <v>70</v>
      </c>
      <c r="G164" t="s">
        <v>60</v>
      </c>
      <c r="H164" t="s">
        <v>102</v>
      </c>
      <c r="I164">
        <v>1</v>
      </c>
      <c r="J164" s="4">
        <v>235</v>
      </c>
      <c r="K164" s="4">
        <v>336.05</v>
      </c>
      <c r="L164" s="4">
        <f>K164-J164</f>
      </c>
      <c r="M164" s="4">
        <f>L164*16.67%</f>
      </c>
      <c r="N164" s="4">
        <f>K164/100*11</f>
      </c>
      <c r="O164" s="4">
        <v>8.99</v>
      </c>
      <c r="P164" s="4">
        <v>0</v>
      </c>
      <c r="Q164" s="4">
        <f>P164*20%</f>
      </c>
      <c r="R164" s="4">
        <v>1</v>
      </c>
      <c r="S164" s="4">
        <f>L164-M164-N164-O164-P164-Q164-R164</f>
      </c>
      <c r="T164" s="4">
        <f>(S164-V164)/J164*100</f>
      </c>
      <c r="U164" s="4">
        <f>M164-Q164</f>
      </c>
      <c r="W164" s="4">
        <f>S164-V164</f>
      </c>
      <c r="AB164" t="s">
        <v>1</v>
      </c>
    </row>
    <row r="165" spans="1:28" x14ac:dyDescent="0.25">
      <c r="A165" s="8">
        <v>46209.5</v>
      </c>
      <c r="B165" t="s">
        <v>1017</v>
      </c>
      <c r="C165" t="s">
        <v>189</v>
      </c>
      <c r="D165" s="9" t="s">
        <v>1</v>
      </c>
      <c r="E165" t="s">
        <v>189</v>
      </c>
      <c r="F165" t="s">
        <v>1</v>
      </c>
      <c r="G165" t="s">
        <v>1</v>
      </c>
      <c r="H165" t="s">
        <v>66</v>
      </c>
      <c r="I165">
        <v>4</v>
      </c>
      <c r="J165" s="4">
        <v>14</v>
      </c>
      <c r="K165" s="4">
        <v>20.02</v>
      </c>
      <c r="L165" s="4">
        <f>K165-J165</f>
      </c>
      <c r="M165" s="4">
        <f>L165*16.67%</f>
      </c>
      <c r="N165" s="4">
        <f>K165/100*11</f>
      </c>
      <c r="O165" s="4">
        <v>8.99</v>
      </c>
      <c r="P165" s="4">
        <v>0</v>
      </c>
      <c r="Q165" s="4">
        <f>P165*20%</f>
      </c>
      <c r="R165" s="4">
        <v>0</v>
      </c>
      <c r="S165" s="4">
        <f>L165-M165-N165-O165-P165-Q165-R165</f>
      </c>
      <c r="T165" s="4">
        <f>(S165-V165)/J165*100</f>
      </c>
      <c r="U165" s="4">
        <f>M165-Q165</f>
      </c>
      <c r="W165" s="4">
        <f>S165-V165</f>
      </c>
      <c r="AB165" t="s">
        <v>1</v>
      </c>
    </row>
    <row r="166" spans="1:28" x14ac:dyDescent="0.25">
      <c r="A166" s="8">
        <v>46208.5</v>
      </c>
      <c r="B166" t="s">
        <v>1018</v>
      </c>
      <c r="C166" t="s">
        <v>1</v>
      </c>
      <c r="D166" s="9" t="s">
        <v>1019</v>
      </c>
      <c r="E166" t="s">
        <v>58</v>
      </c>
      <c r="F166" t="s">
        <v>105</v>
      </c>
      <c r="G166" t="s">
        <v>60</v>
      </c>
      <c r="H166" t="s">
        <v>102</v>
      </c>
      <c r="I166">
        <v>1</v>
      </c>
      <c r="J166" s="4">
        <v>475</v>
      </c>
      <c r="K166" s="4">
        <v>555.75</v>
      </c>
      <c r="L166" s="4">
        <f>K166-J166</f>
      </c>
      <c r="M166" s="4">
        <f>L166*16.67%</f>
      </c>
      <c r="N166" s="4">
        <f>K166/100*11</f>
      </c>
      <c r="O166" s="4">
        <v>8.99</v>
      </c>
      <c r="P166" s="4">
        <v>0</v>
      </c>
      <c r="Q166" s="4">
        <f>P166*20%</f>
      </c>
      <c r="R166" s="4">
        <v>1</v>
      </c>
      <c r="S166" s="4">
        <f>L166-M166-N166-O166-P166-Q166-R166</f>
      </c>
      <c r="T166" s="4">
        <f>(S166-V166)/J166*100</f>
      </c>
      <c r="U166" s="4">
        <f>M166-Q166</f>
      </c>
      <c r="W166" s="4">
        <f>S166-V166</f>
      </c>
      <c r="AB166" t="s">
        <v>1</v>
      </c>
    </row>
    <row r="167" spans="1:28" x14ac:dyDescent="0.25">
      <c r="A167" s="8">
        <v>46208.5</v>
      </c>
      <c r="B167" t="s">
        <v>1020</v>
      </c>
      <c r="C167" t="s">
        <v>1</v>
      </c>
      <c r="D167" s="9" t="s">
        <v>1021</v>
      </c>
      <c r="E167" t="s">
        <v>98</v>
      </c>
      <c r="F167" t="s">
        <v>74</v>
      </c>
      <c r="G167" t="s">
        <v>65</v>
      </c>
      <c r="H167" t="s">
        <v>61</v>
      </c>
      <c r="I167">
        <v>1</v>
      </c>
      <c r="J167" s="4">
        <v>284</v>
      </c>
      <c r="K167" s="4">
        <v>383.4</v>
      </c>
      <c r="L167" s="4">
        <f>K167-J167</f>
      </c>
      <c r="M167" s="4">
        <f>L167*16.67%</f>
      </c>
      <c r="N167" s="4">
        <f>K167/100*11</f>
      </c>
      <c r="O167" s="4">
        <v>8.99</v>
      </c>
      <c r="P167" s="4">
        <v>0</v>
      </c>
      <c r="Q167" s="4">
        <f>P167*20%</f>
      </c>
      <c r="R167" s="4">
        <v>1</v>
      </c>
      <c r="S167" s="4">
        <f>L167-M167-N167-O167-P167-Q167-R167</f>
      </c>
      <c r="T167" s="4">
        <f>(S167-V167)/J167*100</f>
      </c>
      <c r="U167" s="4">
        <f>M167-Q167</f>
      </c>
      <c r="W167" s="4">
        <f>S167-V167</f>
      </c>
      <c r="AB167" t="s">
        <v>1</v>
      </c>
    </row>
    <row r="168" spans="1:28" x14ac:dyDescent="0.25">
      <c r="A168" s="8">
        <v>46208.5</v>
      </c>
      <c r="B168" t="s">
        <v>1022</v>
      </c>
      <c r="C168" t="s">
        <v>1</v>
      </c>
      <c r="D168" s="9" t="s">
        <v>1023</v>
      </c>
      <c r="E168" t="s">
        <v>84</v>
      </c>
      <c r="F168" t="s">
        <v>99</v>
      </c>
      <c r="G168" t="s">
        <v>60</v>
      </c>
      <c r="H168" t="s">
        <v>102</v>
      </c>
      <c r="I168">
        <v>1</v>
      </c>
      <c r="J168" s="4">
        <v>773</v>
      </c>
      <c r="K168" s="4">
        <v>896.68</v>
      </c>
      <c r="L168" s="4">
        <f>K168-J168</f>
      </c>
      <c r="M168" s="4">
        <f>L168*16.67%</f>
      </c>
      <c r="N168" s="4">
        <f>K168/100*11</f>
      </c>
      <c r="O168" s="4">
        <v>8.99</v>
      </c>
      <c r="P168" s="4">
        <v>0</v>
      </c>
      <c r="Q168" s="4">
        <f>P168*20%</f>
      </c>
      <c r="R168" s="4">
        <v>1</v>
      </c>
      <c r="S168" s="4">
        <f>L168-M168-N168-O168-P168-Q168-R168</f>
      </c>
      <c r="T168" s="4">
        <f>(S168-V168)/J168*100</f>
      </c>
      <c r="U168" s="4">
        <f>M168-Q168</f>
      </c>
      <c r="W168" s="4">
        <f>S168-V168</f>
      </c>
      <c r="AB168" t="s">
        <v>1</v>
      </c>
    </row>
    <row r="169" spans="1:28" x14ac:dyDescent="0.25">
      <c r="A169" s="8">
        <v>46207.5</v>
      </c>
      <c r="B169" t="s">
        <v>1024</v>
      </c>
      <c r="C169" t="s">
        <v>1</v>
      </c>
      <c r="D169" s="9" t="s">
        <v>1025</v>
      </c>
      <c r="E169" t="s">
        <v>98</v>
      </c>
      <c r="F169" t="s">
        <v>88</v>
      </c>
      <c r="G169" t="s">
        <v>65</v>
      </c>
      <c r="H169" t="s">
        <v>78</v>
      </c>
      <c r="I169">
        <v>1</v>
      </c>
      <c r="J169" s="4">
        <v>312</v>
      </c>
      <c r="K169" s="4">
        <v>358.8</v>
      </c>
      <c r="L169" s="4">
        <f>K169-J169</f>
      </c>
      <c r="M169" s="4">
        <f>L169*16.67%</f>
      </c>
      <c r="N169" s="4">
        <f>K169/100*11</f>
      </c>
      <c r="O169" s="4">
        <v>8.99</v>
      </c>
      <c r="P169" s="4">
        <v>0</v>
      </c>
      <c r="Q169" s="4">
        <f>P169*20%</f>
      </c>
      <c r="R169" s="4">
        <v>1</v>
      </c>
      <c r="S169" s="4">
        <f>L169-M169-N169-O169-P169-Q169-R169</f>
      </c>
      <c r="T169" s="4">
        <f>(S169-V169)/J169*100</f>
      </c>
      <c r="U169" s="4">
        <f>M169-Q169</f>
      </c>
      <c r="W169" s="4">
        <f>S169-V169</f>
      </c>
      <c r="AB169" t="s">
        <v>1</v>
      </c>
    </row>
    <row r="170" spans="1:28" x14ac:dyDescent="0.25">
      <c r="A170" s="8">
        <v>46207.5</v>
      </c>
      <c r="B170" t="s">
        <v>1026</v>
      </c>
      <c r="C170" t="s">
        <v>1</v>
      </c>
      <c r="D170" s="9" t="s">
        <v>1027</v>
      </c>
      <c r="E170" t="s">
        <v>98</v>
      </c>
      <c r="F170" t="s">
        <v>85</v>
      </c>
      <c r="G170" t="s">
        <v>60</v>
      </c>
      <c r="H170" t="s">
        <v>75</v>
      </c>
      <c r="I170">
        <v>1</v>
      </c>
      <c r="J170" s="4">
        <v>281</v>
      </c>
      <c r="K170" s="4">
        <v>328.77</v>
      </c>
      <c r="L170" s="4">
        <f>K170-J170</f>
      </c>
      <c r="M170" s="4">
        <f>L170*16.67%</f>
      </c>
      <c r="N170" s="4">
        <f>K170/100*11</f>
      </c>
      <c r="O170" s="4">
        <v>8.99</v>
      </c>
      <c r="P170" s="4">
        <v>0</v>
      </c>
      <c r="Q170" s="4">
        <f>P170*20%</f>
      </c>
      <c r="R170" s="4">
        <v>1</v>
      </c>
      <c r="S170" s="4">
        <f>L170-M170-N170-O170-P170-Q170-R170</f>
      </c>
      <c r="T170" s="4">
        <f>(S170-V170)/J170*100</f>
      </c>
      <c r="U170" s="4">
        <f>M170-Q170</f>
      </c>
      <c r="W170" s="4">
        <f>S170-V170</f>
      </c>
      <c r="AB170" t="s">
        <v>1</v>
      </c>
    </row>
    <row r="171" spans="1:28" x14ac:dyDescent="0.25">
      <c r="A171" s="8">
        <v>46207.5</v>
      </c>
      <c r="B171" t="s">
        <v>1028</v>
      </c>
      <c r="C171" t="s">
        <v>1</v>
      </c>
      <c r="D171" s="9" t="s">
        <v>1029</v>
      </c>
      <c r="E171" t="s">
        <v>81</v>
      </c>
      <c r="F171" t="s">
        <v>105</v>
      </c>
      <c r="G171" t="s">
        <v>60</v>
      </c>
      <c r="H171" t="s">
        <v>102</v>
      </c>
      <c r="I171">
        <v>1</v>
      </c>
      <c r="J171" s="4">
        <v>617</v>
      </c>
      <c r="K171" s="4">
        <v>789.76</v>
      </c>
      <c r="L171" s="4">
        <f>K171-J171</f>
      </c>
      <c r="M171" s="4">
        <f>L171*16.67%</f>
      </c>
      <c r="N171" s="4">
        <f>K171/100*11</f>
      </c>
      <c r="O171" s="4">
        <v>8.99</v>
      </c>
      <c r="P171" s="4">
        <v>0</v>
      </c>
      <c r="Q171" s="4">
        <f>P171*20%</f>
      </c>
      <c r="R171" s="4">
        <v>1</v>
      </c>
      <c r="S171" s="4">
        <f>L171-M171-N171-O171-P171-Q171-R171</f>
      </c>
      <c r="T171" s="4">
        <f>(S171-V171)/J171*100</f>
      </c>
      <c r="U171" s="4">
        <f>M171-Q171</f>
      </c>
      <c r="W171" s="4">
        <f>S171-V171</f>
      </c>
      <c r="AB171" t="s">
        <v>1</v>
      </c>
    </row>
    <row r="172" spans="1:28" x14ac:dyDescent="0.25">
      <c r="A172" s="8">
        <v>46207.5</v>
      </c>
      <c r="B172" t="s">
        <v>1030</v>
      </c>
      <c r="C172" t="s">
        <v>1</v>
      </c>
      <c r="D172" s="9" t="s">
        <v>1031</v>
      </c>
      <c r="E172" t="s">
        <v>58</v>
      </c>
      <c r="F172" t="s">
        <v>70</v>
      </c>
      <c r="G172" t="s">
        <v>60</v>
      </c>
      <c r="H172" t="s">
        <v>78</v>
      </c>
      <c r="I172">
        <v>1</v>
      </c>
      <c r="J172" s="4">
        <v>456</v>
      </c>
      <c r="K172" s="4">
        <v>661.2</v>
      </c>
      <c r="L172" s="4">
        <f>K172-J172</f>
      </c>
      <c r="M172" s="4">
        <f>L172*16.67%</f>
      </c>
      <c r="N172" s="4">
        <f>K172/100*11</f>
      </c>
      <c r="O172" s="4">
        <v>8.99</v>
      </c>
      <c r="P172" s="4">
        <v>0</v>
      </c>
      <c r="Q172" s="4">
        <f>P172*20%</f>
      </c>
      <c r="R172" s="4">
        <v>1</v>
      </c>
      <c r="S172" s="4">
        <f>L172-M172-N172-O172-P172-Q172-R172</f>
      </c>
      <c r="T172" s="4">
        <f>(S172-V172)/J172*100</f>
      </c>
      <c r="U172" s="4">
        <f>M172-Q172</f>
      </c>
      <c r="W172" s="4">
        <f>S172-V172</f>
      </c>
      <c r="AB172" t="s">
        <v>1</v>
      </c>
    </row>
    <row r="173" spans="1:28" x14ac:dyDescent="0.25">
      <c r="A173" s="8">
        <v>46207.5</v>
      </c>
      <c r="B173" t="s">
        <v>1032</v>
      </c>
      <c r="C173" t="s">
        <v>1</v>
      </c>
      <c r="D173" s="9" t="s">
        <v>1033</v>
      </c>
      <c r="E173" t="s">
        <v>69</v>
      </c>
      <c r="F173" t="s">
        <v>88</v>
      </c>
      <c r="G173" t="s">
        <v>60</v>
      </c>
      <c r="H173" t="s">
        <v>66</v>
      </c>
      <c r="I173">
        <v>1</v>
      </c>
      <c r="J173" s="4">
        <v>480</v>
      </c>
      <c r="K173" s="4">
        <v>643.2</v>
      </c>
      <c r="L173" s="4">
        <f>K173-J173</f>
      </c>
      <c r="M173" s="4">
        <f>L173*16.67%</f>
      </c>
      <c r="N173" s="4">
        <f>K173/100*11</f>
      </c>
      <c r="O173" s="4">
        <v>8.99</v>
      </c>
      <c r="P173" s="4">
        <v>0</v>
      </c>
      <c r="Q173" s="4">
        <f>P173*20%</f>
      </c>
      <c r="R173" s="4">
        <v>1</v>
      </c>
      <c r="S173" s="4">
        <f>L173-M173-N173-O173-P173-Q173-R173</f>
      </c>
      <c r="T173" s="4">
        <f>(S173-V173)/J173*100</f>
      </c>
      <c r="U173" s="4">
        <f>M173-Q173</f>
      </c>
      <c r="W173" s="4">
        <f>S173-V173</f>
      </c>
      <c r="AB173" t="s">
        <v>1</v>
      </c>
    </row>
    <row r="174" spans="1:28" x14ac:dyDescent="0.25">
      <c r="A174" s="8">
        <v>46207.5</v>
      </c>
      <c r="B174" t="s">
        <v>1034</v>
      </c>
      <c r="C174" t="s">
        <v>1</v>
      </c>
      <c r="D174" s="9" t="s">
        <v>1035</v>
      </c>
      <c r="E174" t="s">
        <v>125</v>
      </c>
      <c r="F174" t="s">
        <v>70</v>
      </c>
      <c r="G174" t="s">
        <v>126</v>
      </c>
      <c r="H174" t="s">
        <v>78</v>
      </c>
      <c r="I174">
        <v>1</v>
      </c>
      <c r="J174" s="4">
        <v>295</v>
      </c>
      <c r="K174" s="4">
        <v>407.1</v>
      </c>
      <c r="L174" s="4">
        <f>K174-J174</f>
      </c>
      <c r="M174" s="4">
        <f>L174*16.67%</f>
      </c>
      <c r="N174" s="4">
        <f>K174/100*11</f>
      </c>
      <c r="O174" s="4">
        <v>8.99</v>
      </c>
      <c r="P174" s="4">
        <v>0</v>
      </c>
      <c r="Q174" s="4">
        <f>P174*20%</f>
      </c>
      <c r="R174" s="4">
        <v>1</v>
      </c>
      <c r="S174" s="4">
        <f>L174-M174-N174-O174-P174-Q174-R174</f>
      </c>
      <c r="T174" s="4">
        <f>(S174-V174)/J174*100</f>
      </c>
      <c r="U174" s="4">
        <f>M174-Q174</f>
      </c>
      <c r="W174" s="4">
        <f>S174-V174</f>
      </c>
      <c r="AB174" t="s">
        <v>1</v>
      </c>
    </row>
    <row r="175" spans="1:28" x14ac:dyDescent="0.25">
      <c r="A175" s="8">
        <v>46206.5</v>
      </c>
      <c r="B175" t="s">
        <v>1036</v>
      </c>
      <c r="C175" t="s">
        <v>1</v>
      </c>
      <c r="D175" s="9" t="s">
        <v>1037</v>
      </c>
      <c r="E175" t="s">
        <v>81</v>
      </c>
      <c r="F175" t="s">
        <v>88</v>
      </c>
      <c r="G175" t="s">
        <v>65</v>
      </c>
      <c r="H175" t="s">
        <v>61</v>
      </c>
      <c r="I175">
        <v>1</v>
      </c>
      <c r="J175" s="4">
        <v>593</v>
      </c>
      <c r="K175" s="4">
        <v>759.04</v>
      </c>
      <c r="L175" s="4">
        <f>K175-J175</f>
      </c>
      <c r="M175" s="4">
        <f>L175*16.67%</f>
      </c>
      <c r="N175" s="4">
        <f>K175/100*11</f>
      </c>
      <c r="O175" s="4">
        <v>8.99</v>
      </c>
      <c r="P175" s="4">
        <v>0</v>
      </c>
      <c r="Q175" s="4">
        <f>P175*20%</f>
      </c>
      <c r="R175" s="4">
        <v>1</v>
      </c>
      <c r="S175" s="4">
        <f>L175-M175-N175-O175-P175-Q175-R175</f>
      </c>
      <c r="T175" s="4">
        <f>(S175-V175)/J175*100</f>
      </c>
      <c r="U175" s="4">
        <f>M175-Q175</f>
      </c>
      <c r="W175" s="4">
        <f>S175-V175</f>
      </c>
      <c r="AB175" t="s">
        <v>1</v>
      </c>
    </row>
    <row r="176" spans="1:28" x14ac:dyDescent="0.25">
      <c r="A176" s="8">
        <v>46206.5</v>
      </c>
      <c r="B176" t="s">
        <v>1038</v>
      </c>
      <c r="C176" t="s">
        <v>1</v>
      </c>
      <c r="D176" s="9" t="s">
        <v>1039</v>
      </c>
      <c r="E176" t="s">
        <v>125</v>
      </c>
      <c r="F176" t="s">
        <v>74</v>
      </c>
      <c r="G176" t="s">
        <v>126</v>
      </c>
      <c r="H176" t="s">
        <v>78</v>
      </c>
      <c r="I176">
        <v>1</v>
      </c>
      <c r="J176" s="4">
        <v>254</v>
      </c>
      <c r="K176" s="4">
        <v>294.64</v>
      </c>
      <c r="L176" s="4">
        <f>K176-J176</f>
      </c>
      <c r="M176" s="4">
        <f>L176*16.67%</f>
      </c>
      <c r="N176" s="4">
        <f>K176/100*11</f>
      </c>
      <c r="O176" s="4">
        <v>8.99</v>
      </c>
      <c r="P176" s="4">
        <v>0</v>
      </c>
      <c r="Q176" s="4">
        <f>P176*20%</f>
      </c>
      <c r="R176" s="4">
        <v>1</v>
      </c>
      <c r="S176" s="4">
        <f>L176-M176-N176-O176-P176-Q176-R176</f>
      </c>
      <c r="T176" s="4">
        <f>(S176-V176)/J176*100</f>
      </c>
      <c r="U176" s="4">
        <f>M176-Q176</f>
      </c>
      <c r="W176" s="4">
        <f>S176-V176</f>
      </c>
      <c r="AB176" t="s">
        <v>1</v>
      </c>
    </row>
    <row r="177" spans="1:28" x14ac:dyDescent="0.25">
      <c r="A177" s="8">
        <v>46206.5</v>
      </c>
      <c r="B177" t="s">
        <v>1040</v>
      </c>
      <c r="C177" t="s">
        <v>174</v>
      </c>
      <c r="D177" s="9" t="s">
        <v>1</v>
      </c>
      <c r="E177" t="s">
        <v>174</v>
      </c>
      <c r="F177" t="s">
        <v>1</v>
      </c>
      <c r="G177" t="s">
        <v>1</v>
      </c>
      <c r="H177" t="s">
        <v>66</v>
      </c>
      <c r="I177">
        <v>2</v>
      </c>
      <c r="J177" s="4">
        <v>8.5</v>
      </c>
      <c r="K177" s="4">
        <v>10.2</v>
      </c>
      <c r="L177" s="4">
        <f>K177-J177</f>
      </c>
      <c r="M177" s="4">
        <f>L177*16.67%</f>
      </c>
      <c r="N177" s="4">
        <f>K177/100*11</f>
      </c>
      <c r="O177" s="4">
        <v>8.99</v>
      </c>
      <c r="P177" s="4">
        <v>0</v>
      </c>
      <c r="Q177" s="4">
        <f>P177*20%</f>
      </c>
      <c r="R177" s="4">
        <v>0</v>
      </c>
      <c r="S177" s="4">
        <f>L177-M177-N177-O177-P177-Q177-R177</f>
      </c>
      <c r="T177" s="4">
        <f>(S177-V177)/J177*100</f>
      </c>
      <c r="U177" s="4">
        <f>M177-Q177</f>
      </c>
      <c r="W177" s="4">
        <f>S177-V177</f>
      </c>
      <c r="AB177" t="s">
        <v>1</v>
      </c>
    </row>
    <row r="178" spans="1:28" x14ac:dyDescent="0.25">
      <c r="A178" s="8">
        <v>46206.5</v>
      </c>
      <c r="B178" t="s">
        <v>1041</v>
      </c>
      <c r="C178" t="s">
        <v>1</v>
      </c>
      <c r="D178" s="9" t="s">
        <v>1</v>
      </c>
      <c r="E178" t="s">
        <v>1</v>
      </c>
      <c r="F178" t="s">
        <v>1</v>
      </c>
      <c r="G178" t="s">
        <v>1</v>
      </c>
      <c r="H178" t="s">
        <v>66</v>
      </c>
      <c r="I178">
        <v>1</v>
      </c>
      <c r="J178" s="4">
        <v>315</v>
      </c>
      <c r="K178" s="4">
        <v>384.3</v>
      </c>
      <c r="L178" s="4">
        <f>K178-J178</f>
      </c>
      <c r="M178" s="4">
        <f>L178*16.67%</f>
      </c>
      <c r="N178" s="4">
        <f>K178/100*11</f>
      </c>
      <c r="O178" s="4">
        <v>8.99</v>
      </c>
      <c r="P178" s="4">
        <v>0</v>
      </c>
      <c r="Q178" s="4">
        <f>P178*20%</f>
      </c>
      <c r="R178" s="4">
        <v>1</v>
      </c>
      <c r="S178" s="4">
        <f>L178-M178-N178-O178-P178-Q178-R178</f>
      </c>
      <c r="T178" s="4">
        <f>(S178-V178)/J178*100</f>
      </c>
      <c r="U178" s="4">
        <f>M178-Q178</f>
      </c>
      <c r="W178" s="4">
        <f>S178-V178</f>
      </c>
      <c r="AB178" t="s">
        <v>1</v>
      </c>
    </row>
    <row r="179" spans="1:28" x14ac:dyDescent="0.25">
      <c r="A179" s="8">
        <v>46205.5</v>
      </c>
      <c r="B179" t="s">
        <v>1042</v>
      </c>
      <c r="C179" t="s">
        <v>1</v>
      </c>
      <c r="D179" s="9" t="s">
        <v>1043</v>
      </c>
      <c r="E179" t="s">
        <v>131</v>
      </c>
      <c r="F179" t="s">
        <v>105</v>
      </c>
      <c r="G179" t="s">
        <v>60</v>
      </c>
      <c r="H179" t="s">
        <v>66</v>
      </c>
      <c r="I179">
        <v>1</v>
      </c>
      <c r="J179" s="4">
        <v>276</v>
      </c>
      <c r="K179" s="4">
        <v>369.84</v>
      </c>
      <c r="L179" s="4">
        <f>K179-J179</f>
      </c>
      <c r="M179" s="4">
        <f>L179*16.67%</f>
      </c>
      <c r="N179" s="4">
        <f>K179/100*11</f>
      </c>
      <c r="O179" s="4">
        <v>8.99</v>
      </c>
      <c r="P179" s="4">
        <v>0</v>
      </c>
      <c r="Q179" s="4">
        <f>P179*20%</f>
      </c>
      <c r="R179" s="4">
        <v>1</v>
      </c>
      <c r="S179" s="4">
        <f>L179-M179-N179-O179-P179-Q179-R179</f>
      </c>
      <c r="T179" s="4">
        <f>(S179-V179)/J179*100</f>
      </c>
      <c r="U179" s="4">
        <f>M179-Q179</f>
      </c>
      <c r="W179" s="4">
        <f>S179-V179</f>
      </c>
      <c r="AB179" t="s">
        <v>1</v>
      </c>
    </row>
    <row r="180" spans="1:28" x14ac:dyDescent="0.25">
      <c r="A180" s="8">
        <v>46204.5</v>
      </c>
      <c r="B180" t="s">
        <v>1044</v>
      </c>
      <c r="C180" t="s">
        <v>1</v>
      </c>
      <c r="D180" s="9" t="s">
        <v>1045</v>
      </c>
      <c r="E180" t="s">
        <v>84</v>
      </c>
      <c r="F180" t="s">
        <v>70</v>
      </c>
      <c r="G180" t="s">
        <v>60</v>
      </c>
      <c r="H180" t="s">
        <v>61</v>
      </c>
      <c r="I180">
        <v>1</v>
      </c>
      <c r="J180" s="4">
        <v>674</v>
      </c>
      <c r="K180" s="4">
        <v>795.32</v>
      </c>
      <c r="L180" s="4">
        <f>K180-J180</f>
      </c>
      <c r="M180" s="4">
        <f>L180*16.67%</f>
      </c>
      <c r="N180" s="4">
        <f>K180/100*11</f>
      </c>
      <c r="O180" s="4">
        <v>8.99</v>
      </c>
      <c r="P180" s="4">
        <v>0</v>
      </c>
      <c r="Q180" s="4">
        <f>P180*20%</f>
      </c>
      <c r="R180" s="4">
        <v>1</v>
      </c>
      <c r="S180" s="4">
        <f>L180-M180-N180-O180-P180-Q180-R180</f>
      </c>
      <c r="T180" s="4">
        <f>(S180-V180)/J180*100</f>
      </c>
      <c r="U180" s="4">
        <f>M180-Q180</f>
      </c>
      <c r="W180" s="4">
        <f>S180-V180</f>
      </c>
      <c r="AB180" t="s">
        <v>1</v>
      </c>
    </row>
    <row r="181" spans="1:28" x14ac:dyDescent="0.25">
      <c r="A181" s="8">
        <v>46203.5</v>
      </c>
      <c r="B181" t="s">
        <v>1046</v>
      </c>
      <c r="C181" t="s">
        <v>1</v>
      </c>
      <c r="D181" s="9" t="s">
        <v>1047</v>
      </c>
      <c r="E181" t="s">
        <v>139</v>
      </c>
      <c r="F181" t="s">
        <v>74</v>
      </c>
      <c r="G181" t="s">
        <v>60</v>
      </c>
      <c r="H181" t="s">
        <v>75</v>
      </c>
      <c r="I181">
        <v>1</v>
      </c>
      <c r="J181" s="4">
        <v>334</v>
      </c>
      <c r="K181" s="4">
        <v>434.2</v>
      </c>
      <c r="L181" s="4">
        <f>K181-J181</f>
      </c>
      <c r="M181" s="4">
        <f>L181*16.67%</f>
      </c>
      <c r="N181" s="4">
        <f>K181/100*11</f>
      </c>
      <c r="O181" s="4">
        <v>8.99</v>
      </c>
      <c r="P181" s="4">
        <v>0</v>
      </c>
      <c r="Q181" s="4">
        <f>P181*20%</f>
      </c>
      <c r="R181" s="4">
        <v>1</v>
      </c>
      <c r="S181" s="4">
        <f>L181-M181-N181-O181-P181-Q181-R181</f>
      </c>
      <c r="T181" s="4">
        <f>(S181-V181)/J181*100</f>
      </c>
      <c r="U181" s="4">
        <f>M181-Q181</f>
      </c>
      <c r="W181" s="4">
        <f>S181-V181</f>
      </c>
      <c r="AB181" t="s">
        <v>1</v>
      </c>
    </row>
    <row r="182" spans="1:28" x14ac:dyDescent="0.25">
      <c r="A182" s="8">
        <v>46203.5</v>
      </c>
      <c r="B182" t="s">
        <v>1048</v>
      </c>
      <c r="C182" t="s">
        <v>1</v>
      </c>
      <c r="D182" s="9" t="s">
        <v>1049</v>
      </c>
      <c r="E182" t="s">
        <v>134</v>
      </c>
      <c r="F182" t="s">
        <v>59</v>
      </c>
      <c r="G182" t="s">
        <v>65</v>
      </c>
      <c r="H182" t="s">
        <v>102</v>
      </c>
      <c r="I182">
        <v>1</v>
      </c>
      <c r="J182" s="4">
        <v>109</v>
      </c>
      <c r="K182" s="4">
        <v>129.71</v>
      </c>
      <c r="L182" s="4">
        <f>K182-J182</f>
      </c>
      <c r="M182" s="4">
        <f>L182*16.67%</f>
      </c>
      <c r="N182" s="4">
        <f>K182/100*11</f>
      </c>
      <c r="O182" s="4">
        <v>8.99</v>
      </c>
      <c r="P182" s="4">
        <v>0</v>
      </c>
      <c r="Q182" s="4">
        <f>P182*20%</f>
      </c>
      <c r="R182" s="4">
        <v>1</v>
      </c>
      <c r="S182" s="4">
        <f>L182-M182-N182-O182-P182-Q182-R182</f>
      </c>
      <c r="T182" s="4">
        <f>(S182-V182)/J182*100</f>
      </c>
      <c r="U182" s="4">
        <f>M182-Q182</f>
      </c>
      <c r="W182" s="4">
        <f>S182-V182</f>
      </c>
      <c r="AB182" t="s">
        <v>1</v>
      </c>
    </row>
    <row r="183" spans="1:28" x14ac:dyDescent="0.25">
      <c r="A183" s="8">
        <v>46203.5</v>
      </c>
      <c r="B183" t="s">
        <v>1050</v>
      </c>
      <c r="C183" t="s">
        <v>1</v>
      </c>
      <c r="D183" s="9" t="s">
        <v>1051</v>
      </c>
      <c r="E183" t="s">
        <v>69</v>
      </c>
      <c r="F183" t="s">
        <v>59</v>
      </c>
      <c r="G183" t="s">
        <v>60</v>
      </c>
      <c r="H183" t="s">
        <v>66</v>
      </c>
      <c r="I183">
        <v>1</v>
      </c>
      <c r="J183" s="4">
        <v>516</v>
      </c>
      <c r="K183" s="4">
        <v>639.84</v>
      </c>
      <c r="L183" s="4">
        <f>K183-J183</f>
      </c>
      <c r="M183" s="4">
        <f>L183*16.67%</f>
      </c>
      <c r="N183" s="4">
        <f>K183/100*11</f>
      </c>
      <c r="O183" s="4">
        <v>8.99</v>
      </c>
      <c r="P183" s="4">
        <v>0</v>
      </c>
      <c r="Q183" s="4">
        <f>P183*20%</f>
      </c>
      <c r="R183" s="4">
        <v>1</v>
      </c>
      <c r="S183" s="4">
        <f>L183-M183-N183-O183-P183-Q183-R183</f>
      </c>
      <c r="T183" s="4">
        <f>(S183-V183)/J183*100</f>
      </c>
      <c r="U183" s="4">
        <f>M183-Q183</f>
      </c>
      <c r="W183" s="4">
        <f>S183-V183</f>
      </c>
      <c r="AB183" t="s">
        <v>1</v>
      </c>
    </row>
    <row r="184" spans="1:28" x14ac:dyDescent="0.25">
      <c r="A184" s="8">
        <v>46203.5</v>
      </c>
      <c r="B184" t="s">
        <v>1052</v>
      </c>
      <c r="C184" t="s">
        <v>1</v>
      </c>
      <c r="D184" s="9" t="s">
        <v>1053</v>
      </c>
      <c r="E184" t="s">
        <v>139</v>
      </c>
      <c r="F184" t="s">
        <v>74</v>
      </c>
      <c r="G184" t="s">
        <v>60</v>
      </c>
      <c r="H184" t="s">
        <v>75</v>
      </c>
      <c r="I184">
        <v>1</v>
      </c>
      <c r="J184" s="4">
        <v>322</v>
      </c>
      <c r="K184" s="4">
        <v>441.14</v>
      </c>
      <c r="L184" s="4">
        <f>K184-J184</f>
      </c>
      <c r="M184" s="4">
        <f>L184*16.67%</f>
      </c>
      <c r="N184" s="4">
        <f>K184/100*11</f>
      </c>
      <c r="O184" s="4">
        <v>8.99</v>
      </c>
      <c r="P184" s="4">
        <v>0</v>
      </c>
      <c r="Q184" s="4">
        <f>P184*20%</f>
      </c>
      <c r="R184" s="4">
        <v>1</v>
      </c>
      <c r="S184" s="4">
        <f>L184-M184-N184-O184-P184-Q184-R184</f>
      </c>
      <c r="T184" s="4">
        <f>(S184-V184)/J184*100</f>
      </c>
      <c r="U184" s="4">
        <f>M184-Q184</f>
      </c>
      <c r="W184" s="4">
        <f>S184-V184</f>
      </c>
      <c r="AB184" t="s">
        <v>1</v>
      </c>
    </row>
    <row r="185" spans="1:28" x14ac:dyDescent="0.25">
      <c r="A185" s="8">
        <v>46203.5</v>
      </c>
      <c r="B185" t="s">
        <v>1054</v>
      </c>
      <c r="C185" t="s">
        <v>177</v>
      </c>
      <c r="D185" s="9" t="s">
        <v>1</v>
      </c>
      <c r="E185" t="s">
        <v>177</v>
      </c>
      <c r="F185" t="s">
        <v>1</v>
      </c>
      <c r="G185" t="s">
        <v>1</v>
      </c>
      <c r="H185" t="s">
        <v>78</v>
      </c>
      <c r="I185">
        <v>4</v>
      </c>
      <c r="J185" s="4">
        <v>0.6</v>
      </c>
      <c r="K185" s="4">
        <v>0.82</v>
      </c>
      <c r="L185" s="4">
        <f>K185-J185</f>
      </c>
      <c r="M185" s="4">
        <f>L185*16.67%</f>
      </c>
      <c r="N185" s="4">
        <f>K185/100*11</f>
      </c>
      <c r="O185" s="4">
        <v>8.99</v>
      </c>
      <c r="P185" s="4">
        <v>0</v>
      </c>
      <c r="Q185" s="4">
        <f>P185*20%</f>
      </c>
      <c r="R185" s="4">
        <v>0</v>
      </c>
      <c r="S185" s="4">
        <f>L185-M185-N185-O185-P185-Q185-R185</f>
      </c>
      <c r="T185" s="4">
        <f>(S185-V185)/J185*100</f>
      </c>
      <c r="U185" s="4">
        <f>M185-Q185</f>
      </c>
      <c r="W185" s="4">
        <f>S185-V185</f>
      </c>
      <c r="AB185" t="s">
        <v>1</v>
      </c>
    </row>
    <row r="186" spans="1:28" x14ac:dyDescent="0.25">
      <c r="A186" s="8">
        <v>46203.5</v>
      </c>
      <c r="B186" t="s">
        <v>1055</v>
      </c>
      <c r="C186" t="s">
        <v>182</v>
      </c>
      <c r="D186" s="9" t="s">
        <v>1</v>
      </c>
      <c r="E186" t="s">
        <v>182</v>
      </c>
      <c r="F186" t="s">
        <v>1</v>
      </c>
      <c r="G186" t="s">
        <v>1</v>
      </c>
      <c r="H186" t="s">
        <v>75</v>
      </c>
      <c r="I186">
        <v>1</v>
      </c>
      <c r="J186" s="4">
        <v>1.9</v>
      </c>
      <c r="K186" s="4">
        <v>2.36</v>
      </c>
      <c r="L186" s="4">
        <f>K186-J186</f>
      </c>
      <c r="M186" s="4">
        <f>L186*16.67%</f>
      </c>
      <c r="N186" s="4">
        <f>K186/100*11</f>
      </c>
      <c r="O186" s="4">
        <v>8.99</v>
      </c>
      <c r="P186" s="4">
        <v>0</v>
      </c>
      <c r="Q186" s="4">
        <f>P186*20%</f>
      </c>
      <c r="R186" s="4">
        <v>0</v>
      </c>
      <c r="S186" s="4">
        <f>L186-M186-N186-O186-P186-Q186-R186</f>
      </c>
      <c r="T186" s="4">
        <f>(S186-V186)/J186*100</f>
      </c>
      <c r="U186" s="4">
        <f>M186-Q186</f>
      </c>
      <c r="W186" s="4">
        <f>S186-V186</f>
      </c>
      <c r="AB186" t="s">
        <v>1</v>
      </c>
    </row>
    <row r="187" spans="1:28" x14ac:dyDescent="0.25">
      <c r="A187" s="8">
        <v>46202.5</v>
      </c>
      <c r="B187" t="s">
        <v>1056</v>
      </c>
      <c r="C187" t="s">
        <v>1</v>
      </c>
      <c r="D187" s="9" t="s">
        <v>1057</v>
      </c>
      <c r="E187" t="s">
        <v>234</v>
      </c>
      <c r="F187" t="s">
        <v>59</v>
      </c>
      <c r="G187" t="s">
        <v>65</v>
      </c>
      <c r="H187" t="s">
        <v>75</v>
      </c>
      <c r="I187">
        <v>1</v>
      </c>
      <c r="J187" s="4">
        <v>165</v>
      </c>
      <c r="K187" s="4">
        <v>221.1</v>
      </c>
      <c r="L187" s="4">
        <f>K187-J187</f>
      </c>
      <c r="M187" s="4">
        <f>L187*16.67%</f>
      </c>
      <c r="N187" s="4">
        <f>K187/100*11</f>
      </c>
      <c r="O187" s="4">
        <v>8.99</v>
      </c>
      <c r="P187" s="4">
        <v>0</v>
      </c>
      <c r="Q187" s="4">
        <f>P187*20%</f>
      </c>
      <c r="R187" s="4">
        <v>1</v>
      </c>
      <c r="S187" s="4">
        <f>L187-M187-N187-O187-P187-Q187-R187</f>
      </c>
      <c r="T187" s="4">
        <f>(S187-V187)/J187*100</f>
      </c>
      <c r="U187" s="4">
        <f>M187-Q187</f>
      </c>
      <c r="W187" s="4">
        <f>S187-V187</f>
      </c>
      <c r="AB187" t="s">
        <v>1</v>
      </c>
    </row>
    <row r="188" spans="1:28" x14ac:dyDescent="0.25">
      <c r="A188" s="8">
        <v>46202.5</v>
      </c>
      <c r="B188" t="s">
        <v>1058</v>
      </c>
      <c r="C188" t="s">
        <v>1</v>
      </c>
      <c r="D188" s="9" t="s">
        <v>1059</v>
      </c>
      <c r="E188" t="s">
        <v>131</v>
      </c>
      <c r="F188" t="s">
        <v>88</v>
      </c>
      <c r="G188" t="s">
        <v>65</v>
      </c>
      <c r="H188" t="s">
        <v>75</v>
      </c>
      <c r="I188">
        <v>1</v>
      </c>
      <c r="J188" s="4">
        <v>338</v>
      </c>
      <c r="K188" s="4">
        <v>392.08</v>
      </c>
      <c r="L188" s="4">
        <f>K188-J188</f>
      </c>
      <c r="M188" s="4">
        <f>L188*16.67%</f>
      </c>
      <c r="N188" s="4">
        <f>K188/100*11</f>
      </c>
      <c r="O188" s="4">
        <v>8.99</v>
      </c>
      <c r="P188" s="4">
        <v>0</v>
      </c>
      <c r="Q188" s="4">
        <f>P188*20%</f>
      </c>
      <c r="R188" s="4">
        <v>1</v>
      </c>
      <c r="S188" s="4">
        <f>L188-M188-N188-O188-P188-Q188-R188</f>
      </c>
      <c r="T188" s="4">
        <f>(S188-V188)/J188*100</f>
      </c>
      <c r="U188" s="4">
        <f>M188-Q188</f>
      </c>
      <c r="W188" s="4">
        <f>S188-V188</f>
      </c>
      <c r="AB188" t="s">
        <v>1</v>
      </c>
    </row>
    <row r="189" spans="1:28" x14ac:dyDescent="0.25">
      <c r="A189" s="8">
        <v>46202.5</v>
      </c>
      <c r="B189" t="s">
        <v>1060</v>
      </c>
      <c r="C189" t="s">
        <v>185</v>
      </c>
      <c r="D189" s="9" t="s">
        <v>1</v>
      </c>
      <c r="E189" t="s">
        <v>185</v>
      </c>
      <c r="F189" t="s">
        <v>1</v>
      </c>
      <c r="G189" t="s">
        <v>1</v>
      </c>
      <c r="H189" t="s">
        <v>102</v>
      </c>
      <c r="I189">
        <v>4</v>
      </c>
      <c r="J189" s="4">
        <v>4.8</v>
      </c>
      <c r="K189" s="4">
        <v>6.86</v>
      </c>
      <c r="L189" s="4">
        <f>K189-J189</f>
      </c>
      <c r="M189" s="4">
        <f>L189*16.67%</f>
      </c>
      <c r="N189" s="4">
        <f>K189/100*11</f>
      </c>
      <c r="O189" s="4">
        <v>8.99</v>
      </c>
      <c r="P189" s="4">
        <v>0</v>
      </c>
      <c r="Q189" s="4">
        <f>P189*20%</f>
      </c>
      <c r="R189" s="4">
        <v>0</v>
      </c>
      <c r="S189" s="4">
        <f>L189-M189-N189-O189-P189-Q189-R189</f>
      </c>
      <c r="T189" s="4">
        <f>(S189-V189)/J189*100</f>
      </c>
      <c r="U189" s="4">
        <f>M189-Q189</f>
      </c>
      <c r="W189" s="4">
        <f>S189-V189</f>
      </c>
      <c r="AB189" t="s">
        <v>1</v>
      </c>
    </row>
    <row r="190" spans="1:28" x14ac:dyDescent="0.25">
      <c r="A190" s="8">
        <v>46201.5</v>
      </c>
      <c r="B190" t="s">
        <v>1061</v>
      </c>
      <c r="C190" t="s">
        <v>1</v>
      </c>
      <c r="D190" s="9" t="s">
        <v>1062</v>
      </c>
      <c r="E190" t="s">
        <v>139</v>
      </c>
      <c r="F190" t="s">
        <v>105</v>
      </c>
      <c r="G190" t="s">
        <v>65</v>
      </c>
      <c r="H190" t="s">
        <v>61</v>
      </c>
      <c r="I190">
        <v>1</v>
      </c>
      <c r="J190" s="4">
        <v>377</v>
      </c>
      <c r="K190" s="4">
        <v>501.41</v>
      </c>
      <c r="L190" s="4">
        <f>K190-J190</f>
      </c>
      <c r="M190" s="4">
        <f>L190*16.67%</f>
      </c>
      <c r="N190" s="4">
        <f>K190/100*11</f>
      </c>
      <c r="O190" s="4">
        <v>8.99</v>
      </c>
      <c r="P190" s="4">
        <v>0</v>
      </c>
      <c r="Q190" s="4">
        <f>P190*20%</f>
      </c>
      <c r="R190" s="4">
        <v>1</v>
      </c>
      <c r="S190" s="4">
        <f>L190-M190-N190-O190-P190-Q190-R190</f>
      </c>
      <c r="T190" s="4">
        <f>(S190-V190)/J190*100</f>
      </c>
      <c r="U190" s="4">
        <f>M190-Q190</f>
      </c>
      <c r="W190" s="4">
        <f>S190-V190</f>
      </c>
      <c r="AB190" t="s">
        <v>1</v>
      </c>
    </row>
    <row r="191" spans="1:28" x14ac:dyDescent="0.25">
      <c r="A191" s="8">
        <v>46201.5</v>
      </c>
      <c r="B191" t="s">
        <v>1063</v>
      </c>
      <c r="C191" t="s">
        <v>1</v>
      </c>
      <c r="D191" s="9" t="s">
        <v>1064</v>
      </c>
      <c r="E191" t="s">
        <v>292</v>
      </c>
      <c r="F191" t="s">
        <v>88</v>
      </c>
      <c r="G191" t="s">
        <v>126</v>
      </c>
      <c r="H191" t="s">
        <v>102</v>
      </c>
      <c r="I191">
        <v>1</v>
      </c>
      <c r="J191" s="4">
        <v>210</v>
      </c>
      <c r="K191" s="4">
        <v>283.5</v>
      </c>
      <c r="L191" s="4">
        <f>K191-J191</f>
      </c>
      <c r="M191" s="4">
        <f>L191*16.67%</f>
      </c>
      <c r="N191" s="4">
        <f>K191/100*11</f>
      </c>
      <c r="O191" s="4">
        <v>8.99</v>
      </c>
      <c r="P191" s="4">
        <v>0</v>
      </c>
      <c r="Q191" s="4">
        <f>P191*20%</f>
      </c>
      <c r="R191" s="4">
        <v>1</v>
      </c>
      <c r="S191" s="4">
        <f>L191-M191-N191-O191-P191-Q191-R191</f>
      </c>
      <c r="T191" s="4">
        <f>(S191-V191)/J191*100</f>
      </c>
      <c r="U191" s="4">
        <f>M191-Q191</f>
      </c>
      <c r="W191" s="4">
        <f>S191-V191</f>
      </c>
      <c r="AB191" t="s">
        <v>1</v>
      </c>
    </row>
    <row r="192" spans="1:28" x14ac:dyDescent="0.25">
      <c r="A192" s="8">
        <v>46201.5</v>
      </c>
      <c r="B192" t="s">
        <v>1065</v>
      </c>
      <c r="C192" t="s">
        <v>1</v>
      </c>
      <c r="D192" s="9" t="s">
        <v>1066</v>
      </c>
      <c r="E192" t="s">
        <v>91</v>
      </c>
      <c r="F192" t="s">
        <v>99</v>
      </c>
      <c r="G192" t="s">
        <v>65</v>
      </c>
      <c r="H192" t="s">
        <v>75</v>
      </c>
      <c r="I192">
        <v>1</v>
      </c>
      <c r="J192" s="4">
        <v>124</v>
      </c>
      <c r="K192" s="4">
        <v>163.68</v>
      </c>
      <c r="L192" s="4">
        <f>K192-J192</f>
      </c>
      <c r="M192" s="4">
        <f>L192*16.67%</f>
      </c>
      <c r="N192" s="4">
        <f>K192/100*11</f>
      </c>
      <c r="O192" s="4">
        <v>8.99</v>
      </c>
      <c r="P192" s="4">
        <v>0</v>
      </c>
      <c r="Q192" s="4">
        <f>P192*20%</f>
      </c>
      <c r="R192" s="4">
        <v>1</v>
      </c>
      <c r="S192" s="4">
        <f>L192-M192-N192-O192-P192-Q192-R192</f>
      </c>
      <c r="T192" s="4">
        <f>(S192-V192)/J192*100</f>
      </c>
      <c r="U192" s="4">
        <f>M192-Q192</f>
      </c>
      <c r="W192" s="4">
        <f>S192-V192</f>
      </c>
      <c r="AB192" t="s">
        <v>1</v>
      </c>
    </row>
    <row r="193" spans="1:28" x14ac:dyDescent="0.25">
      <c r="A193" s="8">
        <v>46201.5</v>
      </c>
      <c r="B193" t="s">
        <v>1067</v>
      </c>
      <c r="C193" t="s">
        <v>254</v>
      </c>
      <c r="D193" s="9" t="s">
        <v>1</v>
      </c>
      <c r="E193" t="s">
        <v>254</v>
      </c>
      <c r="F193" t="s">
        <v>1</v>
      </c>
      <c r="G193" t="s">
        <v>1</v>
      </c>
      <c r="H193" t="s">
        <v>61</v>
      </c>
      <c r="I193">
        <v>4</v>
      </c>
      <c r="J193" s="4">
        <v>3.2</v>
      </c>
      <c r="K193" s="4">
        <v>4</v>
      </c>
      <c r="L193" s="4">
        <f>K193-J193</f>
      </c>
      <c r="M193" s="4">
        <f>L193*16.67%</f>
      </c>
      <c r="N193" s="4">
        <f>K193/100*11</f>
      </c>
      <c r="O193" s="4">
        <v>8.99</v>
      </c>
      <c r="P193" s="4">
        <v>0</v>
      </c>
      <c r="Q193" s="4">
        <f>P193*20%</f>
      </c>
      <c r="R193" s="4">
        <v>0</v>
      </c>
      <c r="S193" s="4">
        <f>L193-M193-N193-O193-P193-Q193-R193</f>
      </c>
      <c r="T193" s="4">
        <f>(S193-V193)/J193*100</f>
      </c>
      <c r="U193" s="4">
        <f>M193-Q193</f>
      </c>
      <c r="W193" s="4">
        <f>S193-V193</f>
      </c>
      <c r="AB193" t="s">
        <v>1</v>
      </c>
    </row>
    <row r="194" spans="1:28" x14ac:dyDescent="0.25">
      <c r="A194" s="8">
        <v>46201.5</v>
      </c>
      <c r="B194" t="s">
        <v>1068</v>
      </c>
      <c r="C194" t="s">
        <v>1</v>
      </c>
      <c r="D194" s="9" t="s">
        <v>1</v>
      </c>
      <c r="E194" t="s">
        <v>1</v>
      </c>
      <c r="F194" t="s">
        <v>1</v>
      </c>
      <c r="G194" t="s">
        <v>1</v>
      </c>
      <c r="H194" t="s">
        <v>75</v>
      </c>
      <c r="I194">
        <v>1</v>
      </c>
      <c r="J194" s="4">
        <v>180</v>
      </c>
      <c r="K194" s="4">
        <v>244.8</v>
      </c>
      <c r="L194" s="4">
        <f>K194-J194</f>
      </c>
      <c r="M194" s="4">
        <f>L194*16.67%</f>
      </c>
      <c r="N194" s="4">
        <f>K194/100*11</f>
      </c>
      <c r="O194" s="4">
        <v>8.99</v>
      </c>
      <c r="P194" s="4">
        <v>0</v>
      </c>
      <c r="Q194" s="4">
        <f>P194*20%</f>
      </c>
      <c r="R194" s="4">
        <v>1</v>
      </c>
      <c r="S194" s="4">
        <f>L194-M194-N194-O194-P194-Q194-R194</f>
      </c>
      <c r="T194" s="4">
        <f>(S194-V194)/J194*100</f>
      </c>
      <c r="U194" s="4">
        <f>M194-Q194</f>
      </c>
      <c r="W194" s="4">
        <f>S194-V194</f>
      </c>
      <c r="AB194" t="s">
        <v>1</v>
      </c>
    </row>
    <row r="195" spans="1:28" x14ac:dyDescent="0.25">
      <c r="A195" s="8">
        <v>46200.5</v>
      </c>
      <c r="B195" t="s">
        <v>1069</v>
      </c>
      <c r="C195" t="s">
        <v>1</v>
      </c>
      <c r="D195" s="9" t="s">
        <v>1070</v>
      </c>
      <c r="E195" t="s">
        <v>134</v>
      </c>
      <c r="F195" t="s">
        <v>99</v>
      </c>
      <c r="G195" t="s">
        <v>65</v>
      </c>
      <c r="H195" t="s">
        <v>75</v>
      </c>
      <c r="I195">
        <v>1</v>
      </c>
      <c r="J195" s="4">
        <v>122</v>
      </c>
      <c r="K195" s="4">
        <v>146.4</v>
      </c>
      <c r="L195" s="4">
        <f>K195-J195</f>
      </c>
      <c r="M195" s="4">
        <f>L195*16.67%</f>
      </c>
      <c r="N195" s="4">
        <f>K195/100*11</f>
      </c>
      <c r="O195" s="4">
        <v>8.99</v>
      </c>
      <c r="P195" s="4">
        <v>0</v>
      </c>
      <c r="Q195" s="4">
        <f>P195*20%</f>
      </c>
      <c r="R195" s="4">
        <v>1</v>
      </c>
      <c r="S195" s="4">
        <f>L195-M195-N195-O195-P195-Q195-R195</f>
      </c>
      <c r="T195" s="4">
        <f>(S195-V195)/J195*100</f>
      </c>
      <c r="U195" s="4">
        <f>M195-Q195</f>
      </c>
      <c r="W195" s="4">
        <f>S195-V195</f>
      </c>
      <c r="AB195" t="s">
        <v>1</v>
      </c>
    </row>
    <row r="196" spans="1:28" x14ac:dyDescent="0.25">
      <c r="A196" s="8">
        <v>46200.5</v>
      </c>
      <c r="B196" t="s">
        <v>1071</v>
      </c>
      <c r="C196" t="s">
        <v>1</v>
      </c>
      <c r="D196" s="9" t="s">
        <v>1072</v>
      </c>
      <c r="E196" t="s">
        <v>64</v>
      </c>
      <c r="F196" t="s">
        <v>59</v>
      </c>
      <c r="G196" t="s">
        <v>65</v>
      </c>
      <c r="H196" t="s">
        <v>75</v>
      </c>
      <c r="I196">
        <v>1</v>
      </c>
      <c r="J196" s="4">
        <v>255</v>
      </c>
      <c r="K196" s="4">
        <v>313.65</v>
      </c>
      <c r="L196" s="4">
        <f>K196-J196</f>
      </c>
      <c r="M196" s="4">
        <f>L196*16.67%</f>
      </c>
      <c r="N196" s="4">
        <f>K196/100*11</f>
      </c>
      <c r="O196" s="4">
        <v>8.99</v>
      </c>
      <c r="P196" s="4">
        <v>0</v>
      </c>
      <c r="Q196" s="4">
        <f>P196*20%</f>
      </c>
      <c r="R196" s="4">
        <v>1</v>
      </c>
      <c r="S196" s="4">
        <f>L196-M196-N196-O196-P196-Q196-R196</f>
      </c>
      <c r="T196" s="4">
        <f>(S196-V196)/J196*100</f>
      </c>
      <c r="U196" s="4">
        <f>M196-Q196</f>
      </c>
      <c r="W196" s="4">
        <f>S196-V196</f>
      </c>
      <c r="AB196" t="s">
        <v>1</v>
      </c>
    </row>
    <row r="197" spans="1:28" x14ac:dyDescent="0.25">
      <c r="A197" s="8">
        <v>46200.5</v>
      </c>
      <c r="B197" t="s">
        <v>1073</v>
      </c>
      <c r="C197" t="s">
        <v>1</v>
      </c>
      <c r="D197" s="9" t="s">
        <v>1074</v>
      </c>
      <c r="E197" t="s">
        <v>98</v>
      </c>
      <c r="F197" t="s">
        <v>99</v>
      </c>
      <c r="G197" t="s">
        <v>65</v>
      </c>
      <c r="H197" t="s">
        <v>102</v>
      </c>
      <c r="I197">
        <v>1</v>
      </c>
      <c r="J197" s="4">
        <v>321</v>
      </c>
      <c r="K197" s="4">
        <v>439.77</v>
      </c>
      <c r="L197" s="4">
        <f>K197-J197</f>
      </c>
      <c r="M197" s="4">
        <f>L197*16.67%</f>
      </c>
      <c r="N197" s="4">
        <f>K197/100*11</f>
      </c>
      <c r="O197" s="4">
        <v>8.99</v>
      </c>
      <c r="P197" s="4">
        <v>0</v>
      </c>
      <c r="Q197" s="4">
        <f>P197*20%</f>
      </c>
      <c r="R197" s="4">
        <v>1</v>
      </c>
      <c r="S197" s="4">
        <f>L197-M197-N197-O197-P197-Q197-R197</f>
      </c>
      <c r="T197" s="4">
        <f>(S197-V197)/J197*100</f>
      </c>
      <c r="U197" s="4">
        <f>M197-Q197</f>
      </c>
      <c r="W197" s="4">
        <f>S197-V197</f>
      </c>
      <c r="AB197" t="s">
        <v>1</v>
      </c>
    </row>
    <row r="198" spans="1:28" x14ac:dyDescent="0.25">
      <c r="A198" s="8">
        <v>46200.5</v>
      </c>
      <c r="B198" t="s">
        <v>1075</v>
      </c>
      <c r="C198" t="s">
        <v>1</v>
      </c>
      <c r="D198" s="9" t="s">
        <v>1076</v>
      </c>
      <c r="E198" t="s">
        <v>234</v>
      </c>
      <c r="F198" t="s">
        <v>85</v>
      </c>
      <c r="G198" t="s">
        <v>65</v>
      </c>
      <c r="H198" t="s">
        <v>102</v>
      </c>
      <c r="I198">
        <v>1</v>
      </c>
      <c r="J198" s="4">
        <v>163</v>
      </c>
      <c r="K198" s="4">
        <v>233.09</v>
      </c>
      <c r="L198" s="4">
        <f>K198-J198</f>
      </c>
      <c r="M198" s="4">
        <f>L198*16.67%</f>
      </c>
      <c r="N198" s="4">
        <f>K198/100*11</f>
      </c>
      <c r="O198" s="4">
        <v>8.99</v>
      </c>
      <c r="P198" s="4">
        <v>0</v>
      </c>
      <c r="Q198" s="4">
        <f>P198*20%</f>
      </c>
      <c r="R198" s="4">
        <v>1</v>
      </c>
      <c r="S198" s="4">
        <f>L198-M198-N198-O198-P198-Q198-R198</f>
      </c>
      <c r="T198" s="4">
        <f>(S198-V198)/J198*100</f>
      </c>
      <c r="U198" s="4">
        <f>M198-Q198</f>
      </c>
      <c r="W198" s="4">
        <f>S198-V198</f>
      </c>
      <c r="AB198" t="s">
        <v>1</v>
      </c>
    </row>
    <row r="199" spans="1:28" x14ac:dyDescent="0.25">
      <c r="A199" s="8">
        <v>46199.5</v>
      </c>
      <c r="B199" t="s">
        <v>1077</v>
      </c>
      <c r="C199" t="s">
        <v>1</v>
      </c>
      <c r="D199" s="9" t="s">
        <v>1078</v>
      </c>
      <c r="E199" t="s">
        <v>172</v>
      </c>
      <c r="F199" t="s">
        <v>99</v>
      </c>
      <c r="G199" t="s">
        <v>65</v>
      </c>
      <c r="H199" t="s">
        <v>102</v>
      </c>
      <c r="I199">
        <v>1</v>
      </c>
      <c r="J199" s="4">
        <v>140</v>
      </c>
      <c r="K199" s="4">
        <v>162.4</v>
      </c>
      <c r="L199" s="4">
        <f>K199-J199</f>
      </c>
      <c r="M199" s="4">
        <f>L199*16.67%</f>
      </c>
      <c r="N199" s="4">
        <f>K199/100*11</f>
      </c>
      <c r="O199" s="4">
        <v>8.99</v>
      </c>
      <c r="P199" s="4">
        <v>0</v>
      </c>
      <c r="Q199" s="4">
        <f>P199*20%</f>
      </c>
      <c r="R199" s="4">
        <v>1</v>
      </c>
      <c r="S199" s="4">
        <f>L199-M199-N199-O199-P199-Q199-R199</f>
      </c>
      <c r="T199" s="4">
        <f>(S199-V199)/J199*100</f>
      </c>
      <c r="U199" s="4">
        <f>M199-Q199</f>
      </c>
      <c r="W199" s="4">
        <f>S199-V199</f>
      </c>
      <c r="AB199" t="s">
        <v>1</v>
      </c>
    </row>
    <row r="200" spans="1:28" x14ac:dyDescent="0.25">
      <c r="A200" s="8">
        <v>46199.5</v>
      </c>
      <c r="B200" t="s">
        <v>1079</v>
      </c>
      <c r="C200" t="s">
        <v>1</v>
      </c>
      <c r="D200" s="9" t="s">
        <v>1080</v>
      </c>
      <c r="E200" t="s">
        <v>139</v>
      </c>
      <c r="F200" t="s">
        <v>105</v>
      </c>
      <c r="G200" t="s">
        <v>65</v>
      </c>
      <c r="H200" t="s">
        <v>61</v>
      </c>
      <c r="I200">
        <v>1</v>
      </c>
      <c r="J200" s="4">
        <v>348</v>
      </c>
      <c r="K200" s="4">
        <v>428.04</v>
      </c>
      <c r="L200" s="4">
        <f>K200-J200</f>
      </c>
      <c r="M200" s="4">
        <f>L200*16.67%</f>
      </c>
      <c r="N200" s="4">
        <f>K200/100*11</f>
      </c>
      <c r="O200" s="4">
        <v>8.99</v>
      </c>
      <c r="P200" s="4">
        <v>0</v>
      </c>
      <c r="Q200" s="4">
        <f>P200*20%</f>
      </c>
      <c r="R200" s="4">
        <v>1</v>
      </c>
      <c r="S200" s="4">
        <f>L200-M200-N200-O200-P200-Q200-R200</f>
      </c>
      <c r="T200" s="4">
        <f>(S200-V200)/J200*100</f>
      </c>
      <c r="U200" s="4">
        <f>M200-Q200</f>
      </c>
      <c r="W200" s="4">
        <f>S200-V200</f>
      </c>
      <c r="AB200" t="s">
        <v>1</v>
      </c>
    </row>
    <row r="201" spans="1:28" x14ac:dyDescent="0.25">
      <c r="A201" s="8">
        <v>46199.5</v>
      </c>
      <c r="B201" t="s">
        <v>1081</v>
      </c>
      <c r="C201" t="s">
        <v>1</v>
      </c>
      <c r="D201" s="9" t="s">
        <v>1082</v>
      </c>
      <c r="E201" t="s">
        <v>91</v>
      </c>
      <c r="F201" t="s">
        <v>88</v>
      </c>
      <c r="G201" t="s">
        <v>65</v>
      </c>
      <c r="H201" t="s">
        <v>61</v>
      </c>
      <c r="I201">
        <v>1</v>
      </c>
      <c r="J201" s="4">
        <v>134</v>
      </c>
      <c r="K201" s="4">
        <v>175.54</v>
      </c>
      <c r="L201" s="4">
        <f>K201-J201</f>
      </c>
      <c r="M201" s="4">
        <f>L201*16.67%</f>
      </c>
      <c r="N201" s="4">
        <f>K201/100*11</f>
      </c>
      <c r="O201" s="4">
        <v>8.99</v>
      </c>
      <c r="P201" s="4">
        <v>0</v>
      </c>
      <c r="Q201" s="4">
        <f>P201*20%</f>
      </c>
      <c r="R201" s="4">
        <v>1</v>
      </c>
      <c r="S201" s="4">
        <f>L201-M201-N201-O201-P201-Q201-R201</f>
      </c>
      <c r="T201" s="4">
        <f>(S201-V201)/J201*100</f>
      </c>
      <c r="U201" s="4">
        <f>M201-Q201</f>
      </c>
      <c r="W201" s="4">
        <f>S201-V201</f>
      </c>
      <c r="AB201" t="s">
        <v>1</v>
      </c>
    </row>
    <row r="202" spans="1:28" x14ac:dyDescent="0.25">
      <c r="A202" s="8">
        <v>46199.5</v>
      </c>
      <c r="B202" t="s">
        <v>1083</v>
      </c>
      <c r="C202" t="s">
        <v>1</v>
      </c>
      <c r="D202" s="9" t="s">
        <v>1084</v>
      </c>
      <c r="E202" t="s">
        <v>292</v>
      </c>
      <c r="F202" t="s">
        <v>74</v>
      </c>
      <c r="G202" t="s">
        <v>126</v>
      </c>
      <c r="H202" t="s">
        <v>75</v>
      </c>
      <c r="I202">
        <v>1</v>
      </c>
      <c r="J202" s="4">
        <v>201</v>
      </c>
      <c r="K202" s="4">
        <v>273.36</v>
      </c>
      <c r="L202" s="4">
        <f>K202-J202</f>
      </c>
      <c r="M202" s="4">
        <f>L202*16.67%</f>
      </c>
      <c r="N202" s="4">
        <f>K202/100*11</f>
      </c>
      <c r="O202" s="4">
        <v>8.99</v>
      </c>
      <c r="P202" s="4">
        <v>0</v>
      </c>
      <c r="Q202" s="4">
        <f>P202*20%</f>
      </c>
      <c r="R202" s="4">
        <v>1</v>
      </c>
      <c r="S202" s="4">
        <f>L202-M202-N202-O202-P202-Q202-R202</f>
      </c>
      <c r="T202" s="4">
        <f>(S202-V202)/J202*100</f>
      </c>
      <c r="U202" s="4">
        <f>M202-Q202</f>
      </c>
      <c r="W202" s="4">
        <f>S202-V202</f>
      </c>
      <c r="AB202" t="s">
        <v>1</v>
      </c>
    </row>
    <row r="203" spans="1:28" x14ac:dyDescent="0.25">
      <c r="A203" s="8">
        <v>46199.5</v>
      </c>
      <c r="B203" t="s">
        <v>1085</v>
      </c>
      <c r="C203" t="s">
        <v>1</v>
      </c>
      <c r="D203" s="9" t="s">
        <v>1086</v>
      </c>
      <c r="E203" t="s">
        <v>134</v>
      </c>
      <c r="F203" t="s">
        <v>105</v>
      </c>
      <c r="G203" t="s">
        <v>95</v>
      </c>
      <c r="H203" t="s">
        <v>75</v>
      </c>
      <c r="I203">
        <v>1</v>
      </c>
      <c r="J203" s="4">
        <v>100</v>
      </c>
      <c r="K203" s="4">
        <v>125</v>
      </c>
      <c r="L203" s="4">
        <f>K203-J203</f>
      </c>
      <c r="M203" s="4">
        <f>L203*16.67%</f>
      </c>
      <c r="N203" s="4">
        <f>K203/100*11</f>
      </c>
      <c r="O203" s="4">
        <v>8.99</v>
      </c>
      <c r="P203" s="4">
        <v>0</v>
      </c>
      <c r="Q203" s="4">
        <f>P203*20%</f>
      </c>
      <c r="R203" s="4">
        <v>1</v>
      </c>
      <c r="S203" s="4">
        <f>L203-M203-N203-O203-P203-Q203-R203</f>
      </c>
      <c r="T203" s="4">
        <f>(S203-V203)/J203*100</f>
      </c>
      <c r="U203" s="4">
        <f>M203-Q203</f>
      </c>
      <c r="W203" s="4">
        <f>S203-V203</f>
      </c>
      <c r="AB203" t="s">
        <v>1</v>
      </c>
    </row>
    <row r="204" spans="1:28" x14ac:dyDescent="0.25">
      <c r="A204" s="8">
        <v>46198.5</v>
      </c>
      <c r="B204" t="s">
        <v>1087</v>
      </c>
      <c r="C204" t="s">
        <v>1</v>
      </c>
      <c r="D204" s="9" t="s">
        <v>1088</v>
      </c>
      <c r="E204" t="s">
        <v>292</v>
      </c>
      <c r="F204" t="s">
        <v>85</v>
      </c>
      <c r="G204" t="s">
        <v>126</v>
      </c>
      <c r="H204" t="s">
        <v>102</v>
      </c>
      <c r="I204">
        <v>1</v>
      </c>
      <c r="J204" s="4">
        <v>210</v>
      </c>
      <c r="K204" s="4">
        <v>249.9</v>
      </c>
      <c r="L204" s="4">
        <f>K204-J204</f>
      </c>
      <c r="M204" s="4">
        <f>L204*16.67%</f>
      </c>
      <c r="N204" s="4">
        <f>K204/100*11</f>
      </c>
      <c r="O204" s="4">
        <v>8.99</v>
      </c>
      <c r="P204" s="4">
        <v>0</v>
      </c>
      <c r="Q204" s="4">
        <f>P204*20%</f>
      </c>
      <c r="R204" s="4">
        <v>1</v>
      </c>
      <c r="S204" s="4">
        <f>L204-M204-N204-O204-P204-Q204-R204</f>
      </c>
      <c r="T204" s="4">
        <f>(S204-V204)/J204*100</f>
      </c>
      <c r="U204" s="4">
        <f>M204-Q204</f>
      </c>
      <c r="W204" s="4">
        <f>S204-V204</f>
      </c>
      <c r="AB204" t="s">
        <v>1</v>
      </c>
    </row>
    <row r="205" spans="1:28" x14ac:dyDescent="0.25">
      <c r="A205" s="8">
        <v>46198.5</v>
      </c>
      <c r="B205" t="s">
        <v>1089</v>
      </c>
      <c r="C205" t="s">
        <v>177</v>
      </c>
      <c r="D205" s="9" t="s">
        <v>1</v>
      </c>
      <c r="E205" t="s">
        <v>177</v>
      </c>
      <c r="F205" t="s">
        <v>1</v>
      </c>
      <c r="G205" t="s">
        <v>1</v>
      </c>
      <c r="H205" t="s">
        <v>78</v>
      </c>
      <c r="I205">
        <v>4</v>
      </c>
      <c r="J205" s="4">
        <v>0.6</v>
      </c>
      <c r="K205" s="4">
        <v>0.73</v>
      </c>
      <c r="L205" s="4">
        <f>K205-J205</f>
      </c>
      <c r="M205" s="4">
        <f>L205*16.67%</f>
      </c>
      <c r="N205" s="4">
        <f>K205/100*11</f>
      </c>
      <c r="O205" s="4">
        <v>8.99</v>
      </c>
      <c r="P205" s="4">
        <v>0</v>
      </c>
      <c r="Q205" s="4">
        <f>P205*20%</f>
      </c>
      <c r="R205" s="4">
        <v>0</v>
      </c>
      <c r="S205" s="4">
        <f>L205-M205-N205-O205-P205-Q205-R205</f>
      </c>
      <c r="T205" s="4">
        <f>(S205-V205)/J205*100</f>
      </c>
      <c r="U205" s="4">
        <f>M205-Q205</f>
      </c>
      <c r="W205" s="4">
        <f>S205-V205</f>
      </c>
      <c r="AB205" t="s">
        <v>1</v>
      </c>
    </row>
    <row r="206" spans="1:28" x14ac:dyDescent="0.25">
      <c r="A206" s="8">
        <v>46198.5</v>
      </c>
      <c r="B206" t="s">
        <v>1090</v>
      </c>
      <c r="C206" t="s">
        <v>185</v>
      </c>
      <c r="D206" s="9" t="s">
        <v>1</v>
      </c>
      <c r="E206" t="s">
        <v>185</v>
      </c>
      <c r="F206" t="s">
        <v>1</v>
      </c>
      <c r="G206" t="s">
        <v>1</v>
      </c>
      <c r="H206" t="s">
        <v>102</v>
      </c>
      <c r="I206">
        <v>1</v>
      </c>
      <c r="J206" s="4">
        <v>1.2</v>
      </c>
      <c r="K206" s="4">
        <v>1.55</v>
      </c>
      <c r="L206" s="4">
        <f>K206-J206</f>
      </c>
      <c r="M206" s="4">
        <f>L206*16.67%</f>
      </c>
      <c r="N206" s="4">
        <f>K206/100*11</f>
      </c>
      <c r="O206" s="4">
        <v>8.99</v>
      </c>
      <c r="P206" s="4">
        <v>0</v>
      </c>
      <c r="Q206" s="4">
        <f>P206*20%</f>
      </c>
      <c r="R206" s="4">
        <v>0</v>
      </c>
      <c r="S206" s="4">
        <f>L206-M206-N206-O206-P206-Q206-R206</f>
      </c>
      <c r="T206" s="4">
        <f>(S206-V206)/J206*100</f>
      </c>
      <c r="U206" s="4">
        <f>M206-Q206</f>
      </c>
      <c r="W206" s="4">
        <f>S206-V206</f>
      </c>
      <c r="AB206" t="s">
        <v>1</v>
      </c>
    </row>
    <row r="207" spans="1:28" x14ac:dyDescent="0.25">
      <c r="A207" s="8">
        <v>46197.5</v>
      </c>
      <c r="B207" t="s">
        <v>1091</v>
      </c>
      <c r="C207" t="s">
        <v>1</v>
      </c>
      <c r="D207" s="9" t="s">
        <v>1092</v>
      </c>
      <c r="E207" t="s">
        <v>139</v>
      </c>
      <c r="F207" t="s">
        <v>74</v>
      </c>
      <c r="G207" t="s">
        <v>65</v>
      </c>
      <c r="H207" t="s">
        <v>66</v>
      </c>
      <c r="I207">
        <v>1</v>
      </c>
      <c r="J207" s="4">
        <v>356</v>
      </c>
      <c r="K207" s="4">
        <v>452.12</v>
      </c>
      <c r="L207" s="4">
        <f>K207-J207</f>
      </c>
      <c r="M207" s="4">
        <f>L207*16.67%</f>
      </c>
      <c r="N207" s="4">
        <f>K207/100*11</f>
      </c>
      <c r="O207" s="4">
        <v>8.99</v>
      </c>
      <c r="P207" s="4">
        <v>0</v>
      </c>
      <c r="Q207" s="4">
        <f>P207*20%</f>
      </c>
      <c r="R207" s="4">
        <v>1</v>
      </c>
      <c r="S207" s="4">
        <f>L207-M207-N207-O207-P207-Q207-R207</f>
      </c>
      <c r="T207" s="4">
        <f>(S207-V207)/J207*100</f>
      </c>
      <c r="U207" s="4">
        <f>M207-Q207</f>
      </c>
      <c r="W207" s="4">
        <f>S207-V207</f>
      </c>
      <c r="AB207" t="s">
        <v>1</v>
      </c>
    </row>
    <row r="208" spans="1:28" x14ac:dyDescent="0.25">
      <c r="A208" s="8">
        <v>46197.5</v>
      </c>
      <c r="B208" t="s">
        <v>1093</v>
      </c>
      <c r="C208" t="s">
        <v>1</v>
      </c>
      <c r="D208" s="9" t="s">
        <v>1094</v>
      </c>
      <c r="E208" t="s">
        <v>81</v>
      </c>
      <c r="F208" t="s">
        <v>59</v>
      </c>
      <c r="G208" t="s">
        <v>60</v>
      </c>
      <c r="H208" t="s">
        <v>61</v>
      </c>
      <c r="I208">
        <v>1</v>
      </c>
      <c r="J208" s="4">
        <v>531</v>
      </c>
      <c r="K208" s="4">
        <v>674.37</v>
      </c>
      <c r="L208" s="4">
        <f>K208-J208</f>
      </c>
      <c r="M208" s="4">
        <f>L208*16.67%</f>
      </c>
      <c r="N208" s="4">
        <f>K208/100*11</f>
      </c>
      <c r="O208" s="4">
        <v>8.99</v>
      </c>
      <c r="P208" s="4">
        <v>0</v>
      </c>
      <c r="Q208" s="4">
        <f>P208*20%</f>
      </c>
      <c r="R208" s="4">
        <v>1</v>
      </c>
      <c r="S208" s="4">
        <f>L208-M208-N208-O208-P208-Q208-R208</f>
      </c>
      <c r="T208" s="4">
        <f>(S208-V208)/J208*100</f>
      </c>
      <c r="U208" s="4">
        <f>M208-Q208</f>
      </c>
      <c r="W208" s="4">
        <f>S208-V208</f>
      </c>
      <c r="AB208" t="s">
        <v>1</v>
      </c>
    </row>
    <row r="209" spans="1:28" x14ac:dyDescent="0.25">
      <c r="A209" s="8">
        <v>46197.5</v>
      </c>
      <c r="B209" t="s">
        <v>1095</v>
      </c>
      <c r="C209" t="s">
        <v>185</v>
      </c>
      <c r="D209" s="9" t="s">
        <v>1</v>
      </c>
      <c r="E209" t="s">
        <v>185</v>
      </c>
      <c r="F209" t="s">
        <v>1</v>
      </c>
      <c r="G209" t="s">
        <v>1</v>
      </c>
      <c r="H209" t="s">
        <v>102</v>
      </c>
      <c r="I209">
        <v>4</v>
      </c>
      <c r="J209" s="4">
        <v>4.8</v>
      </c>
      <c r="K209" s="4">
        <v>6</v>
      </c>
      <c r="L209" s="4">
        <f>K209-J209</f>
      </c>
      <c r="M209" s="4">
        <f>L209*16.67%</f>
      </c>
      <c r="N209" s="4">
        <f>K209/100*11</f>
      </c>
      <c r="O209" s="4">
        <v>8.99</v>
      </c>
      <c r="P209" s="4">
        <v>0</v>
      </c>
      <c r="Q209" s="4">
        <f>P209*20%</f>
      </c>
      <c r="R209" s="4">
        <v>0</v>
      </c>
      <c r="S209" s="4">
        <f>L209-M209-N209-O209-P209-Q209-R209</f>
      </c>
      <c r="T209" s="4">
        <f>(S209-V209)/J209*100</f>
      </c>
      <c r="U209" s="4">
        <f>M209-Q209</f>
      </c>
      <c r="W209" s="4">
        <f>S209-V209</f>
      </c>
      <c r="AB209" t="s">
        <v>1</v>
      </c>
    </row>
    <row r="210" spans="1:28" x14ac:dyDescent="0.25">
      <c r="A210" s="8">
        <v>46196.5</v>
      </c>
      <c r="B210" t="s">
        <v>1096</v>
      </c>
      <c r="C210" t="s">
        <v>1</v>
      </c>
      <c r="D210" s="9" t="s">
        <v>1097</v>
      </c>
      <c r="E210" t="s">
        <v>139</v>
      </c>
      <c r="F210" t="s">
        <v>105</v>
      </c>
      <c r="G210" t="s">
        <v>60</v>
      </c>
      <c r="H210" t="s">
        <v>75</v>
      </c>
      <c r="I210">
        <v>1</v>
      </c>
      <c r="J210" s="4">
        <v>336</v>
      </c>
      <c r="K210" s="4">
        <v>416.64</v>
      </c>
      <c r="L210" s="4">
        <f>K210-J210</f>
      </c>
      <c r="M210" s="4">
        <f>L210*16.67%</f>
      </c>
      <c r="N210" s="4">
        <f>K210/100*11</f>
      </c>
      <c r="O210" s="4">
        <v>8.99</v>
      </c>
      <c r="P210" s="4">
        <v>0</v>
      </c>
      <c r="Q210" s="4">
        <f>P210*20%</f>
      </c>
      <c r="R210" s="4">
        <v>1</v>
      </c>
      <c r="S210" s="4">
        <f>L210-M210-N210-O210-P210-Q210-R210</f>
      </c>
      <c r="T210" s="4">
        <f>(S210-V210)/J210*100</f>
      </c>
      <c r="U210" s="4">
        <f>M210-Q210</f>
      </c>
      <c r="W210" s="4">
        <f>S210-V210</f>
      </c>
      <c r="AB210" t="s">
        <v>1</v>
      </c>
    </row>
    <row r="211" spans="1:28" x14ac:dyDescent="0.25">
      <c r="A211" s="8">
        <v>46196.5</v>
      </c>
      <c r="B211" t="s">
        <v>1098</v>
      </c>
      <c r="C211" t="s">
        <v>189</v>
      </c>
      <c r="D211" s="9" t="s">
        <v>1</v>
      </c>
      <c r="E211" t="s">
        <v>189</v>
      </c>
      <c r="F211" t="s">
        <v>1</v>
      </c>
      <c r="G211" t="s">
        <v>1</v>
      </c>
      <c r="H211" t="s">
        <v>66</v>
      </c>
      <c r="I211">
        <v>1</v>
      </c>
      <c r="J211" s="4">
        <v>3.5</v>
      </c>
      <c r="K211" s="4">
        <v>4.62</v>
      </c>
      <c r="L211" s="4">
        <f>K211-J211</f>
      </c>
      <c r="M211" s="4">
        <f>L211*16.67%</f>
      </c>
      <c r="N211" s="4">
        <f>K211/100*11</f>
      </c>
      <c r="O211" s="4">
        <v>8.99</v>
      </c>
      <c r="P211" s="4">
        <v>0</v>
      </c>
      <c r="Q211" s="4">
        <f>P211*20%</f>
      </c>
      <c r="R211" s="4">
        <v>0</v>
      </c>
      <c r="S211" s="4">
        <f>L211-M211-N211-O211-P211-Q211-R211</f>
      </c>
      <c r="T211" s="4">
        <f>(S211-V211)/J211*100</f>
      </c>
      <c r="U211" s="4">
        <f>M211-Q211</f>
      </c>
      <c r="W211" s="4">
        <f>S211-V211</f>
      </c>
      <c r="AB211" t="s">
        <v>1</v>
      </c>
    </row>
    <row r="212" spans="1:28" x14ac:dyDescent="0.25">
      <c r="A212" s="8">
        <v>46196.5</v>
      </c>
      <c r="B212" t="s">
        <v>1099</v>
      </c>
      <c r="C212" t="s">
        <v>174</v>
      </c>
      <c r="D212" s="9" t="s">
        <v>1</v>
      </c>
      <c r="E212" t="s">
        <v>174</v>
      </c>
      <c r="F212" t="s">
        <v>1</v>
      </c>
      <c r="G212" t="s">
        <v>1</v>
      </c>
      <c r="H212" t="s">
        <v>66</v>
      </c>
      <c r="I212">
        <v>3</v>
      </c>
      <c r="J212" s="4">
        <v>12.75</v>
      </c>
      <c r="K212" s="4">
        <v>16.57</v>
      </c>
      <c r="L212" s="4">
        <f>K212-J212</f>
      </c>
      <c r="M212" s="4">
        <f>L212*16.67%</f>
      </c>
      <c r="N212" s="4">
        <f>K212/100*11</f>
      </c>
      <c r="O212" s="4">
        <v>8.99</v>
      </c>
      <c r="P212" s="4">
        <v>0</v>
      </c>
      <c r="Q212" s="4">
        <f>P212*20%</f>
      </c>
      <c r="R212" s="4">
        <v>0</v>
      </c>
      <c r="S212" s="4">
        <f>L212-M212-N212-O212-P212-Q212-R212</f>
      </c>
      <c r="T212" s="4">
        <f>(S212-V212)/J212*100</f>
      </c>
      <c r="U212" s="4">
        <f>M212-Q212</f>
      </c>
      <c r="W212" s="4">
        <f>S212-V212</f>
      </c>
      <c r="AB212" t="s">
        <v>1</v>
      </c>
    </row>
    <row r="213" spans="1:28" x14ac:dyDescent="0.25">
      <c r="A213" s="8">
        <v>46196.5</v>
      </c>
      <c r="B213" t="s">
        <v>1100</v>
      </c>
      <c r="C213" t="s">
        <v>1</v>
      </c>
      <c r="D213" s="9" t="s">
        <v>1</v>
      </c>
      <c r="E213" t="s">
        <v>1</v>
      </c>
      <c r="F213" t="s">
        <v>1</v>
      </c>
      <c r="G213" t="s">
        <v>1</v>
      </c>
      <c r="H213" t="s">
        <v>66</v>
      </c>
      <c r="I213">
        <v>1</v>
      </c>
      <c r="J213" s="4">
        <v>139</v>
      </c>
      <c r="K213" s="4">
        <v>179.31</v>
      </c>
      <c r="L213" s="4">
        <f>K213-J213</f>
      </c>
      <c r="M213" s="4">
        <f>L213*16.67%</f>
      </c>
      <c r="N213" s="4">
        <f>K213/100*11</f>
      </c>
      <c r="O213" s="4">
        <v>8.99</v>
      </c>
      <c r="P213" s="4">
        <v>0</v>
      </c>
      <c r="Q213" s="4">
        <f>P213*20%</f>
      </c>
      <c r="R213" s="4">
        <v>1</v>
      </c>
      <c r="S213" s="4">
        <f>L213-M213-N213-O213-P213-Q213-R213</f>
      </c>
      <c r="T213" s="4">
        <f>(S213-V213)/J213*100</f>
      </c>
      <c r="U213" s="4">
        <f>M213-Q213</f>
      </c>
      <c r="W213" s="4">
        <f>S213-V213</f>
      </c>
      <c r="AB213" t="s">
        <v>1</v>
      </c>
    </row>
    <row r="214" spans="1:28" x14ac:dyDescent="0.25">
      <c r="A214" s="8">
        <v>46195.5</v>
      </c>
      <c r="B214" t="s">
        <v>1101</v>
      </c>
      <c r="C214" t="s">
        <v>1</v>
      </c>
      <c r="D214" s="9" t="s">
        <v>1102</v>
      </c>
      <c r="E214" t="s">
        <v>84</v>
      </c>
      <c r="F214" t="s">
        <v>70</v>
      </c>
      <c r="G214" t="s">
        <v>60</v>
      </c>
      <c r="H214" t="s">
        <v>61</v>
      </c>
      <c r="I214">
        <v>1</v>
      </c>
      <c r="J214" s="4">
        <v>777</v>
      </c>
      <c r="K214" s="4">
        <v>1002.33</v>
      </c>
      <c r="L214" s="4">
        <f>K214-J214</f>
      </c>
      <c r="M214" s="4">
        <f>L214*16.67%</f>
      </c>
      <c r="N214" s="4">
        <f>K214/100*11</f>
      </c>
      <c r="O214" s="4">
        <v>8.99</v>
      </c>
      <c r="P214" s="4">
        <v>0</v>
      </c>
      <c r="Q214" s="4">
        <f>P214*20%</f>
      </c>
      <c r="R214" s="4">
        <v>1</v>
      </c>
      <c r="S214" s="4">
        <f>L214-M214-N214-O214-P214-Q214-R214</f>
      </c>
      <c r="T214" s="4">
        <f>(S214-V214)/J214*100</f>
      </c>
      <c r="U214" s="4">
        <f>M214-Q214</f>
      </c>
      <c r="W214" s="4">
        <f>S214-V214</f>
      </c>
      <c r="AB214" t="s">
        <v>1</v>
      </c>
    </row>
    <row r="215" spans="1:28" x14ac:dyDescent="0.25">
      <c r="A215" s="8">
        <v>46195.5</v>
      </c>
      <c r="B215" t="s">
        <v>1103</v>
      </c>
      <c r="C215" t="s">
        <v>1</v>
      </c>
      <c r="D215" s="9" t="s">
        <v>1104</v>
      </c>
      <c r="E215" t="s">
        <v>134</v>
      </c>
      <c r="F215" t="s">
        <v>85</v>
      </c>
      <c r="G215" t="s">
        <v>95</v>
      </c>
      <c r="H215" t="s">
        <v>66</v>
      </c>
      <c r="I215">
        <v>1</v>
      </c>
      <c r="J215" s="4">
        <v>119</v>
      </c>
      <c r="K215" s="4">
        <v>140.42</v>
      </c>
      <c r="L215" s="4">
        <f>K215-J215</f>
      </c>
      <c r="M215" s="4">
        <f>L215*16.67%</f>
      </c>
      <c r="N215" s="4">
        <f>K215/100*11</f>
      </c>
      <c r="O215" s="4">
        <v>8.99</v>
      </c>
      <c r="P215" s="4">
        <v>0</v>
      </c>
      <c r="Q215" s="4">
        <f>P215*20%</f>
      </c>
      <c r="R215" s="4">
        <v>1</v>
      </c>
      <c r="S215" s="4">
        <f>L215-M215-N215-O215-P215-Q215-R215</f>
      </c>
      <c r="T215" s="4">
        <f>(S215-V215)/J215*100</f>
      </c>
      <c r="U215" s="4">
        <f>M215-Q215</f>
      </c>
      <c r="W215" s="4">
        <f>S215-V215</f>
      </c>
      <c r="AB215" t="s">
        <v>1</v>
      </c>
    </row>
    <row r="216" spans="1:28" x14ac:dyDescent="0.25">
      <c r="A216" s="8">
        <v>46195.5</v>
      </c>
      <c r="B216" t="s">
        <v>1105</v>
      </c>
      <c r="C216" t="s">
        <v>1</v>
      </c>
      <c r="D216" s="9" t="s">
        <v>1106</v>
      </c>
      <c r="E216" t="s">
        <v>172</v>
      </c>
      <c r="F216" t="s">
        <v>74</v>
      </c>
      <c r="G216" t="s">
        <v>65</v>
      </c>
      <c r="H216" t="s">
        <v>61</v>
      </c>
      <c r="I216">
        <v>1</v>
      </c>
      <c r="J216" s="4">
        <v>178</v>
      </c>
      <c r="K216" s="4">
        <v>211.82</v>
      </c>
      <c r="L216" s="4">
        <f>K216-J216</f>
      </c>
      <c r="M216" s="4">
        <f>L216*16.67%</f>
      </c>
      <c r="N216" s="4">
        <f>K216/100*11</f>
      </c>
      <c r="O216" s="4">
        <v>8.99</v>
      </c>
      <c r="P216" s="4">
        <v>0</v>
      </c>
      <c r="Q216" s="4">
        <f>P216*20%</f>
      </c>
      <c r="R216" s="4">
        <v>1</v>
      </c>
      <c r="S216" s="4">
        <f>L216-M216-N216-O216-P216-Q216-R216</f>
      </c>
      <c r="T216" s="4">
        <f>(S216-V216)/J216*100</f>
      </c>
      <c r="U216" s="4">
        <f>M216-Q216</f>
      </c>
      <c r="W216" s="4">
        <f>S216-V216</f>
      </c>
      <c r="AB216" t="s">
        <v>1</v>
      </c>
    </row>
    <row r="217" spans="1:28" x14ac:dyDescent="0.25">
      <c r="A217" s="8">
        <v>46194.5</v>
      </c>
      <c r="B217" t="s">
        <v>1107</v>
      </c>
      <c r="C217" t="s">
        <v>1</v>
      </c>
      <c r="D217" s="9" t="s">
        <v>1108</v>
      </c>
      <c r="E217" t="s">
        <v>125</v>
      </c>
      <c r="F217" t="s">
        <v>85</v>
      </c>
      <c r="G217" t="s">
        <v>126</v>
      </c>
      <c r="H217" t="s">
        <v>102</v>
      </c>
      <c r="I217">
        <v>1</v>
      </c>
      <c r="J217" s="4">
        <v>255</v>
      </c>
      <c r="K217" s="4">
        <v>354.45</v>
      </c>
      <c r="L217" s="4">
        <f>K217-J217</f>
      </c>
      <c r="M217" s="4">
        <f>L217*16.67%</f>
      </c>
      <c r="N217" s="4">
        <f>K217/100*11</f>
      </c>
      <c r="O217" s="4">
        <v>8.99</v>
      </c>
      <c r="P217" s="4">
        <v>0</v>
      </c>
      <c r="Q217" s="4">
        <f>P217*20%</f>
      </c>
      <c r="R217" s="4">
        <v>1</v>
      </c>
      <c r="S217" s="4">
        <f>L217-M217-N217-O217-P217-Q217-R217</f>
      </c>
      <c r="T217" s="4">
        <f>(S217-V217)/J217*100</f>
      </c>
      <c r="U217" s="4">
        <f>M217-Q217</f>
      </c>
      <c r="W217" s="4">
        <f>S217-V217</f>
      </c>
      <c r="AB217" t="s">
        <v>1</v>
      </c>
    </row>
    <row r="218" spans="1:28" x14ac:dyDescent="0.25">
      <c r="A218" s="8">
        <v>46194.5</v>
      </c>
      <c r="B218" t="s">
        <v>1109</v>
      </c>
      <c r="C218" t="s">
        <v>1</v>
      </c>
      <c r="D218" s="9" t="s">
        <v>1110</v>
      </c>
      <c r="E218" t="s">
        <v>58</v>
      </c>
      <c r="F218" t="s">
        <v>70</v>
      </c>
      <c r="G218" t="s">
        <v>60</v>
      </c>
      <c r="H218" t="s">
        <v>61</v>
      </c>
      <c r="I218">
        <v>1</v>
      </c>
      <c r="J218" s="4">
        <v>469</v>
      </c>
      <c r="K218" s="4">
        <v>595.63</v>
      </c>
      <c r="L218" s="4">
        <f>K218-J218</f>
      </c>
      <c r="M218" s="4">
        <f>L218*16.67%</f>
      </c>
      <c r="N218" s="4">
        <f>K218/100*11</f>
      </c>
      <c r="O218" s="4">
        <v>8.99</v>
      </c>
      <c r="P218" s="4">
        <v>0</v>
      </c>
      <c r="Q218" s="4">
        <f>P218*20%</f>
      </c>
      <c r="R218" s="4">
        <v>1</v>
      </c>
      <c r="S218" s="4">
        <f>L218-M218-N218-O218-P218-Q218-R218</f>
      </c>
      <c r="T218" s="4">
        <f>(S218-V218)/J218*100</f>
      </c>
      <c r="U218" s="4">
        <f>M218-Q218</f>
      </c>
      <c r="W218" s="4">
        <f>S218-V218</f>
      </c>
      <c r="AB218" t="s">
        <v>1</v>
      </c>
    </row>
    <row r="219" spans="1:28" x14ac:dyDescent="0.25">
      <c r="A219" s="8">
        <v>46194.5</v>
      </c>
      <c r="B219" t="s">
        <v>1111</v>
      </c>
      <c r="C219" t="s">
        <v>1</v>
      </c>
      <c r="D219" s="9" t="s">
        <v>1112</v>
      </c>
      <c r="E219" t="s">
        <v>64</v>
      </c>
      <c r="F219" t="s">
        <v>88</v>
      </c>
      <c r="G219" t="s">
        <v>65</v>
      </c>
      <c r="H219" t="s">
        <v>102</v>
      </c>
      <c r="I219">
        <v>1</v>
      </c>
      <c r="J219" s="4">
        <v>231</v>
      </c>
      <c r="K219" s="4">
        <v>302.61</v>
      </c>
      <c r="L219" s="4">
        <f>K219-J219</f>
      </c>
      <c r="M219" s="4">
        <f>L219*16.67%</f>
      </c>
      <c r="N219" s="4">
        <f>K219/100*11</f>
      </c>
      <c r="O219" s="4">
        <v>8.99</v>
      </c>
      <c r="P219" s="4">
        <v>0</v>
      </c>
      <c r="Q219" s="4">
        <f>P219*20%</f>
      </c>
      <c r="R219" s="4">
        <v>1</v>
      </c>
      <c r="S219" s="4">
        <f>L219-M219-N219-O219-P219-Q219-R219</f>
      </c>
      <c r="T219" s="4">
        <f>(S219-V219)/J219*100</f>
      </c>
      <c r="U219" s="4">
        <f>M219-Q219</f>
      </c>
      <c r="W219" s="4">
        <f>S219-V219</f>
      </c>
      <c r="AB219" t="s">
        <v>1</v>
      </c>
    </row>
    <row r="220" spans="1:28" x14ac:dyDescent="0.25">
      <c r="A220" s="8">
        <v>46194.5</v>
      </c>
      <c r="B220" t="s">
        <v>1113</v>
      </c>
      <c r="C220" t="s">
        <v>1</v>
      </c>
      <c r="D220" s="9" t="s">
        <v>1114</v>
      </c>
      <c r="E220" t="s">
        <v>131</v>
      </c>
      <c r="F220" t="s">
        <v>70</v>
      </c>
      <c r="G220" t="s">
        <v>65</v>
      </c>
      <c r="H220" t="s">
        <v>78</v>
      </c>
      <c r="I220">
        <v>1</v>
      </c>
      <c r="J220" s="4">
        <v>336</v>
      </c>
      <c r="K220" s="4">
        <v>487.2</v>
      </c>
      <c r="L220" s="4">
        <f>K220-J220</f>
      </c>
      <c r="M220" s="4">
        <f>L220*16.67%</f>
      </c>
      <c r="N220" s="4">
        <f>K220/100*11</f>
      </c>
      <c r="O220" s="4">
        <v>8.99</v>
      </c>
      <c r="P220" s="4">
        <v>0</v>
      </c>
      <c r="Q220" s="4">
        <f>P220*20%</f>
      </c>
      <c r="R220" s="4">
        <v>1</v>
      </c>
      <c r="S220" s="4">
        <f>L220-M220-N220-O220-P220-Q220-R220</f>
      </c>
      <c r="T220" s="4">
        <f>(S220-V220)/J220*100</f>
      </c>
      <c r="U220" s="4">
        <f>M220-Q220</f>
      </c>
      <c r="W220" s="4">
        <f>S220-V220</f>
      </c>
      <c r="AB220" t="s">
        <v>1</v>
      </c>
    </row>
    <row r="221" spans="1:28" x14ac:dyDescent="0.25">
      <c r="A221" s="8">
        <v>46194.5</v>
      </c>
      <c r="B221" t="s">
        <v>1115</v>
      </c>
      <c r="C221" t="s">
        <v>1</v>
      </c>
      <c r="D221" s="9" t="s">
        <v>1116</v>
      </c>
      <c r="E221" t="s">
        <v>114</v>
      </c>
      <c r="F221" t="s">
        <v>59</v>
      </c>
      <c r="G221" t="s">
        <v>95</v>
      </c>
      <c r="H221" t="s">
        <v>61</v>
      </c>
      <c r="I221">
        <v>1</v>
      </c>
      <c r="J221" s="4">
        <v>181</v>
      </c>
      <c r="K221" s="4">
        <v>224.44</v>
      </c>
      <c r="L221" s="4">
        <f>K221-J221</f>
      </c>
      <c r="M221" s="4">
        <f>L221*16.67%</f>
      </c>
      <c r="N221" s="4">
        <f>K221/100*11</f>
      </c>
      <c r="O221" s="4">
        <v>8.99</v>
      </c>
      <c r="P221" s="4">
        <v>0</v>
      </c>
      <c r="Q221" s="4">
        <f>P221*20%</f>
      </c>
      <c r="R221" s="4">
        <v>1</v>
      </c>
      <c r="S221" s="4">
        <f>L221-M221-N221-O221-P221-Q221-R221</f>
      </c>
      <c r="T221" s="4">
        <f>(S221-V221)/J221*100</f>
      </c>
      <c r="U221" s="4">
        <f>M221-Q221</f>
      </c>
      <c r="W221" s="4">
        <f>S221-V221</f>
      </c>
      <c r="AB221" t="s">
        <v>1</v>
      </c>
    </row>
    <row r="222" spans="1:28" x14ac:dyDescent="0.25">
      <c r="A222" s="8">
        <v>46193.5</v>
      </c>
      <c r="B222" t="s">
        <v>1117</v>
      </c>
      <c r="C222" t="s">
        <v>1</v>
      </c>
      <c r="D222" s="9" t="s">
        <v>1118</v>
      </c>
      <c r="E222" t="s">
        <v>58</v>
      </c>
      <c r="F222" t="s">
        <v>99</v>
      </c>
      <c r="G222" t="s">
        <v>60</v>
      </c>
      <c r="H222" t="s">
        <v>78</v>
      </c>
      <c r="I222">
        <v>1</v>
      </c>
      <c r="J222" s="4">
        <v>449</v>
      </c>
      <c r="K222" s="4">
        <v>525.33</v>
      </c>
      <c r="L222" s="4">
        <f>K222-J222</f>
      </c>
      <c r="M222" s="4">
        <f>L222*16.67%</f>
      </c>
      <c r="N222" s="4">
        <f>K222/100*11</f>
      </c>
      <c r="O222" s="4">
        <v>8.99</v>
      </c>
      <c r="P222" s="4">
        <v>0</v>
      </c>
      <c r="Q222" s="4">
        <f>P222*20%</f>
      </c>
      <c r="R222" s="4">
        <v>1</v>
      </c>
      <c r="S222" s="4">
        <f>L222-M222-N222-O222-P222-Q222-R222</f>
      </c>
      <c r="T222" s="4">
        <f>(S222-V222)/J222*100</f>
      </c>
      <c r="U222" s="4">
        <f>M222-Q222</f>
      </c>
      <c r="W222" s="4">
        <f>S222-V222</f>
      </c>
      <c r="AB222" t="s">
        <v>1</v>
      </c>
    </row>
    <row r="223" spans="1:28" x14ac:dyDescent="0.25">
      <c r="A223" s="8">
        <v>46193.5</v>
      </c>
      <c r="B223" t="s">
        <v>1119</v>
      </c>
      <c r="C223" t="s">
        <v>254</v>
      </c>
      <c r="D223" s="9" t="s">
        <v>1</v>
      </c>
      <c r="E223" t="s">
        <v>254</v>
      </c>
      <c r="F223" t="s">
        <v>1</v>
      </c>
      <c r="G223" t="s">
        <v>1</v>
      </c>
      <c r="H223" t="s">
        <v>61</v>
      </c>
      <c r="I223">
        <v>3</v>
      </c>
      <c r="J223" s="4">
        <v>2.4</v>
      </c>
      <c r="K223" s="4">
        <v>3.46</v>
      </c>
      <c r="L223" s="4">
        <f>K223-J223</f>
      </c>
      <c r="M223" s="4">
        <f>L223*16.67%</f>
      </c>
      <c r="N223" s="4">
        <f>K223/100*11</f>
      </c>
      <c r="O223" s="4">
        <v>8.99</v>
      </c>
      <c r="P223" s="4">
        <v>0</v>
      </c>
      <c r="Q223" s="4">
        <f>P223*20%</f>
      </c>
      <c r="R223" s="4">
        <v>0</v>
      </c>
      <c r="S223" s="4">
        <f>L223-M223-N223-O223-P223-Q223-R223</f>
      </c>
      <c r="T223" s="4">
        <f>(S223-V223)/J223*100</f>
      </c>
      <c r="U223" s="4">
        <f>M223-Q223</f>
      </c>
      <c r="W223" s="4">
        <f>S223-V223</f>
      </c>
      <c r="AB223" t="s">
        <v>1</v>
      </c>
    </row>
    <row r="224" spans="1:28" x14ac:dyDescent="0.25">
      <c r="A224" s="8">
        <v>46193.5</v>
      </c>
      <c r="B224" t="s">
        <v>1120</v>
      </c>
      <c r="C224" t="s">
        <v>182</v>
      </c>
      <c r="D224" s="9" t="s">
        <v>1</v>
      </c>
      <c r="E224" t="s">
        <v>182</v>
      </c>
      <c r="F224" t="s">
        <v>1</v>
      </c>
      <c r="G224" t="s">
        <v>1</v>
      </c>
      <c r="H224" t="s">
        <v>75</v>
      </c>
      <c r="I224">
        <v>2</v>
      </c>
      <c r="J224" s="4">
        <v>3.8</v>
      </c>
      <c r="K224" s="4">
        <v>5.43</v>
      </c>
      <c r="L224" s="4">
        <f>K224-J224</f>
      </c>
      <c r="M224" s="4">
        <f>L224*16.67%</f>
      </c>
      <c r="N224" s="4">
        <f>K224/100*11</f>
      </c>
      <c r="O224" s="4">
        <v>8.99</v>
      </c>
      <c r="P224" s="4">
        <v>0</v>
      </c>
      <c r="Q224" s="4">
        <f>P224*20%</f>
      </c>
      <c r="R224" s="4">
        <v>0</v>
      </c>
      <c r="S224" s="4">
        <f>L224-M224-N224-O224-P224-Q224-R224</f>
      </c>
      <c r="T224" s="4">
        <f>(S224-V224)/J224*100</f>
      </c>
      <c r="U224" s="4">
        <f>M224-Q224</f>
      </c>
      <c r="W224" s="4">
        <f>S224-V224</f>
      </c>
      <c r="AB224" t="s">
        <v>1</v>
      </c>
    </row>
    <row r="225" spans="1:28" x14ac:dyDescent="0.25">
      <c r="A225" s="8">
        <v>46193.5</v>
      </c>
      <c r="B225" t="s">
        <v>1121</v>
      </c>
      <c r="C225" t="s">
        <v>1</v>
      </c>
      <c r="D225" s="9" t="s">
        <v>1</v>
      </c>
      <c r="E225" t="s">
        <v>1</v>
      </c>
      <c r="F225" t="s">
        <v>1</v>
      </c>
      <c r="G225" t="s">
        <v>1</v>
      </c>
      <c r="H225" t="s">
        <v>75</v>
      </c>
      <c r="I225">
        <v>1</v>
      </c>
      <c r="J225" s="4">
        <v>182</v>
      </c>
      <c r="K225" s="4">
        <v>258.44</v>
      </c>
      <c r="L225" s="4">
        <f>K225-J225</f>
      </c>
      <c r="M225" s="4">
        <f>L225*16.67%</f>
      </c>
      <c r="N225" s="4">
        <f>K225/100*11</f>
      </c>
      <c r="O225" s="4">
        <v>8.99</v>
      </c>
      <c r="P225" s="4">
        <v>0</v>
      </c>
      <c r="Q225" s="4">
        <f>P225*20%</f>
      </c>
      <c r="R225" s="4">
        <v>1</v>
      </c>
      <c r="S225" s="4">
        <f>L225-M225-N225-O225-P225-Q225-R225</f>
      </c>
      <c r="T225" s="4">
        <f>(S225-V225)/J225*100</f>
      </c>
      <c r="U225" s="4">
        <f>M225-Q225</f>
      </c>
      <c r="W225" s="4">
        <f>S225-V225</f>
      </c>
      <c r="AB225" t="s">
        <v>1</v>
      </c>
    </row>
    <row r="226" spans="1:28" x14ac:dyDescent="0.25">
      <c r="A226" s="8">
        <v>46192.5</v>
      </c>
      <c r="B226" t="s">
        <v>1122</v>
      </c>
      <c r="C226" t="s">
        <v>1</v>
      </c>
      <c r="D226" s="9" t="s">
        <v>1123</v>
      </c>
      <c r="E226" t="s">
        <v>125</v>
      </c>
      <c r="F226" t="s">
        <v>99</v>
      </c>
      <c r="G226" t="s">
        <v>126</v>
      </c>
      <c r="H226" t="s">
        <v>66</v>
      </c>
      <c r="I226">
        <v>1</v>
      </c>
      <c r="J226" s="4">
        <v>247</v>
      </c>
      <c r="K226" s="4">
        <v>345.8</v>
      </c>
      <c r="L226" s="4">
        <f>K226-J226</f>
      </c>
      <c r="M226" s="4">
        <f>L226*16.67%</f>
      </c>
      <c r="N226" s="4">
        <f>K226/100*11</f>
      </c>
      <c r="O226" s="4">
        <v>8.99</v>
      </c>
      <c r="P226" s="4">
        <v>0</v>
      </c>
      <c r="Q226" s="4">
        <f>P226*20%</f>
      </c>
      <c r="R226" s="4">
        <v>1</v>
      </c>
      <c r="S226" s="4">
        <f>L226-M226-N226-O226-P226-Q226-R226</f>
      </c>
      <c r="T226" s="4">
        <f>(S226-V226)/J226*100</f>
      </c>
      <c r="U226" s="4">
        <f>M226-Q226</f>
      </c>
      <c r="W226" s="4">
        <f>S226-V226</f>
      </c>
      <c r="AB226" t="s">
        <v>1</v>
      </c>
    </row>
    <row r="227" spans="1:28" x14ac:dyDescent="0.25">
      <c r="A227" s="8">
        <v>46192.5</v>
      </c>
      <c r="B227" t="s">
        <v>1124</v>
      </c>
      <c r="C227" t="s">
        <v>1</v>
      </c>
      <c r="D227" s="9" t="s">
        <v>1125</v>
      </c>
      <c r="E227" t="s">
        <v>172</v>
      </c>
      <c r="F227" t="s">
        <v>85</v>
      </c>
      <c r="G227" t="s">
        <v>65</v>
      </c>
      <c r="H227" t="s">
        <v>102</v>
      </c>
      <c r="I227">
        <v>1</v>
      </c>
      <c r="J227" s="4">
        <v>166</v>
      </c>
      <c r="K227" s="4">
        <v>235.72</v>
      </c>
      <c r="L227" s="4">
        <f>K227-J227</f>
      </c>
      <c r="M227" s="4">
        <f>L227*16.67%</f>
      </c>
      <c r="N227" s="4">
        <f>K227/100*11</f>
      </c>
      <c r="O227" s="4">
        <v>8.99</v>
      </c>
      <c r="P227" s="4">
        <v>0</v>
      </c>
      <c r="Q227" s="4">
        <f>P227*20%</f>
      </c>
      <c r="R227" s="4">
        <v>1</v>
      </c>
      <c r="S227" s="4">
        <f>L227-M227-N227-O227-P227-Q227-R227</f>
      </c>
      <c r="T227" s="4">
        <f>(S227-V227)/J227*100</f>
      </c>
      <c r="U227" s="4">
        <f>M227-Q227</f>
      </c>
      <c r="W227" s="4">
        <f>S227-V227</f>
      </c>
      <c r="AB227" t="s">
        <v>1</v>
      </c>
    </row>
    <row r="228" spans="1:28" x14ac:dyDescent="0.25">
      <c r="A228" s="8">
        <v>46192.5</v>
      </c>
      <c r="B228" t="s">
        <v>1126</v>
      </c>
      <c r="C228" t="s">
        <v>1</v>
      </c>
      <c r="D228" s="9" t="s">
        <v>1127</v>
      </c>
      <c r="E228" t="s">
        <v>81</v>
      </c>
      <c r="F228" t="s">
        <v>74</v>
      </c>
      <c r="G228" t="s">
        <v>60</v>
      </c>
      <c r="H228" t="s">
        <v>75</v>
      </c>
      <c r="I228">
        <v>1</v>
      </c>
      <c r="J228" s="4">
        <v>608</v>
      </c>
      <c r="K228" s="4">
        <v>760</v>
      </c>
      <c r="L228" s="4">
        <f>K228-J228</f>
      </c>
      <c r="M228" s="4">
        <f>L228*16.67%</f>
      </c>
      <c r="N228" s="4">
        <f>K228/100*11</f>
      </c>
      <c r="O228" s="4">
        <v>8.99</v>
      </c>
      <c r="P228" s="4">
        <v>0</v>
      </c>
      <c r="Q228" s="4">
        <f>P228*20%</f>
      </c>
      <c r="R228" s="4">
        <v>1</v>
      </c>
      <c r="S228" s="4">
        <f>L228-M228-N228-O228-P228-Q228-R228</f>
      </c>
      <c r="T228" s="4">
        <f>(S228-V228)/J228*100</f>
      </c>
      <c r="U228" s="4">
        <f>M228-Q228</f>
      </c>
      <c r="W228" s="4">
        <f>S228-V228</f>
      </c>
      <c r="AB228" t="s">
        <v>1</v>
      </c>
    </row>
    <row r="229" spans="1:28" x14ac:dyDescent="0.25">
      <c r="A229" s="8">
        <v>46192.5</v>
      </c>
      <c r="B229" t="s">
        <v>1128</v>
      </c>
      <c r="C229" t="s">
        <v>1</v>
      </c>
      <c r="D229" s="9" t="s">
        <v>1129</v>
      </c>
      <c r="E229" t="s">
        <v>69</v>
      </c>
      <c r="F229" t="s">
        <v>85</v>
      </c>
      <c r="G229" t="s">
        <v>60</v>
      </c>
      <c r="H229" t="s">
        <v>61</v>
      </c>
      <c r="I229">
        <v>1</v>
      </c>
      <c r="J229" s="4">
        <v>533</v>
      </c>
      <c r="K229" s="4">
        <v>767.52</v>
      </c>
      <c r="L229" s="4">
        <f>K229-J229</f>
      </c>
      <c r="M229" s="4">
        <f>L229*16.67%</f>
      </c>
      <c r="N229" s="4">
        <f>K229/100*11</f>
      </c>
      <c r="O229" s="4">
        <v>8.99</v>
      </c>
      <c r="P229" s="4">
        <v>0</v>
      </c>
      <c r="Q229" s="4">
        <f>P229*20%</f>
      </c>
      <c r="R229" s="4">
        <v>1</v>
      </c>
      <c r="S229" s="4">
        <f>L229-M229-N229-O229-P229-Q229-R229</f>
      </c>
      <c r="T229" s="4">
        <f>(S229-V229)/J229*100</f>
      </c>
      <c r="U229" s="4">
        <f>M229-Q229</f>
      </c>
      <c r="W229" s="4">
        <f>S229-V229</f>
      </c>
      <c r="AB229" t="s">
        <v>1</v>
      </c>
    </row>
    <row r="230" spans="1:28" x14ac:dyDescent="0.25">
      <c r="A230" s="8">
        <v>46192.5</v>
      </c>
      <c r="B230" t="s">
        <v>1130</v>
      </c>
      <c r="C230" t="s">
        <v>1</v>
      </c>
      <c r="D230" s="9" t="s">
        <v>1131</v>
      </c>
      <c r="E230" t="s">
        <v>292</v>
      </c>
      <c r="F230" t="s">
        <v>74</v>
      </c>
      <c r="G230" t="s">
        <v>126</v>
      </c>
      <c r="H230" t="s">
        <v>75</v>
      </c>
      <c r="I230">
        <v>1</v>
      </c>
      <c r="J230" s="4">
        <v>182</v>
      </c>
      <c r="K230" s="4">
        <v>222.04</v>
      </c>
      <c r="L230" s="4">
        <f>K230-J230</f>
      </c>
      <c r="M230" s="4">
        <f>L230*16.67%</f>
      </c>
      <c r="N230" s="4">
        <f>K230/100*11</f>
      </c>
      <c r="O230" s="4">
        <v>8.99</v>
      </c>
      <c r="P230" s="4">
        <v>0</v>
      </c>
      <c r="Q230" s="4">
        <f>P230*20%</f>
      </c>
      <c r="R230" s="4">
        <v>1</v>
      </c>
      <c r="S230" s="4">
        <f>L230-M230-N230-O230-P230-Q230-R230</f>
      </c>
      <c r="T230" s="4">
        <f>(S230-V230)/J230*100</f>
      </c>
      <c r="U230" s="4">
        <f>M230-Q230</f>
      </c>
      <c r="W230" s="4">
        <f>S230-V230</f>
      </c>
      <c r="AB230" t="s">
        <v>1</v>
      </c>
    </row>
    <row r="231" spans="1:28" x14ac:dyDescent="0.25">
      <c r="A231" s="8">
        <v>46192.5</v>
      </c>
      <c r="B231" t="s">
        <v>1132</v>
      </c>
      <c r="C231" t="s">
        <v>1</v>
      </c>
      <c r="D231" s="9" t="s">
        <v>1133</v>
      </c>
      <c r="E231" t="s">
        <v>172</v>
      </c>
      <c r="F231" t="s">
        <v>99</v>
      </c>
      <c r="G231" t="s">
        <v>65</v>
      </c>
      <c r="H231" t="s">
        <v>78</v>
      </c>
      <c r="I231">
        <v>1</v>
      </c>
      <c r="J231" s="4">
        <v>155</v>
      </c>
      <c r="K231" s="4">
        <v>199.95</v>
      </c>
      <c r="L231" s="4">
        <f>K231-J231</f>
      </c>
      <c r="M231" s="4">
        <f>L231*16.67%</f>
      </c>
      <c r="N231" s="4">
        <f>K231/100*11</f>
      </c>
      <c r="O231" s="4">
        <v>8.99</v>
      </c>
      <c r="P231" s="4">
        <v>0</v>
      </c>
      <c r="Q231" s="4">
        <f>P231*20%</f>
      </c>
      <c r="R231" s="4">
        <v>1</v>
      </c>
      <c r="S231" s="4">
        <f>L231-M231-N231-O231-P231-Q231-R231</f>
      </c>
      <c r="T231" s="4">
        <f>(S231-V231)/J231*100</f>
      </c>
      <c r="U231" s="4">
        <f>M231-Q231</f>
      </c>
      <c r="W231" s="4">
        <f>S231-V231</f>
      </c>
      <c r="AB231" t="s">
        <v>1</v>
      </c>
    </row>
    <row r="232" spans="1:28" x14ac:dyDescent="0.25">
      <c r="A232" s="8">
        <v>46192.5</v>
      </c>
      <c r="B232" t="s">
        <v>1134</v>
      </c>
      <c r="C232" t="s">
        <v>1</v>
      </c>
      <c r="D232" s="9" t="s">
        <v>1135</v>
      </c>
      <c r="E232" t="s">
        <v>81</v>
      </c>
      <c r="F232" t="s">
        <v>85</v>
      </c>
      <c r="G232" t="s">
        <v>60</v>
      </c>
      <c r="H232" t="s">
        <v>78</v>
      </c>
      <c r="I232">
        <v>1</v>
      </c>
      <c r="J232" s="4">
        <v>589</v>
      </c>
      <c r="K232" s="4">
        <v>724.47</v>
      </c>
      <c r="L232" s="4">
        <f>K232-J232</f>
      </c>
      <c r="M232" s="4">
        <f>L232*16.67%</f>
      </c>
      <c r="N232" s="4">
        <f>K232/100*11</f>
      </c>
      <c r="O232" s="4">
        <v>8.99</v>
      </c>
      <c r="P232" s="4">
        <v>0</v>
      </c>
      <c r="Q232" s="4">
        <f>P232*20%</f>
      </c>
      <c r="R232" s="4">
        <v>1</v>
      </c>
      <c r="S232" s="4">
        <f>L232-M232-N232-O232-P232-Q232-R232</f>
      </c>
      <c r="T232" s="4">
        <f>(S232-V232)/J232*100</f>
      </c>
      <c r="U232" s="4">
        <f>M232-Q232</f>
      </c>
      <c r="W232" s="4">
        <f>S232-V232</f>
      </c>
      <c r="AB232" t="s">
        <v>1</v>
      </c>
    </row>
    <row r="233" spans="1:28" x14ac:dyDescent="0.25">
      <c r="A233" s="8">
        <v>46192.5</v>
      </c>
      <c r="B233" t="s">
        <v>1136</v>
      </c>
      <c r="C233" t="s">
        <v>1</v>
      </c>
      <c r="D233" s="9" t="s">
        <v>1137</v>
      </c>
      <c r="E233" t="s">
        <v>91</v>
      </c>
      <c r="F233" t="s">
        <v>105</v>
      </c>
      <c r="G233" t="s">
        <v>65</v>
      </c>
      <c r="H233" t="s">
        <v>78</v>
      </c>
      <c r="I233">
        <v>1</v>
      </c>
      <c r="J233" s="4">
        <v>103</v>
      </c>
      <c r="K233" s="4">
        <v>123.6</v>
      </c>
      <c r="L233" s="4">
        <f>K233-J233</f>
      </c>
      <c r="M233" s="4">
        <f>L233*16.67%</f>
      </c>
      <c r="N233" s="4">
        <f>K233/100*11</f>
      </c>
      <c r="O233" s="4">
        <v>8.99</v>
      </c>
      <c r="P233" s="4">
        <v>0</v>
      </c>
      <c r="Q233" s="4">
        <f>P233*20%</f>
      </c>
      <c r="R233" s="4">
        <v>1</v>
      </c>
      <c r="S233" s="4">
        <f>L233-M233-N233-O233-P233-Q233-R233</f>
      </c>
      <c r="T233" s="4">
        <f>(S233-V233)/J233*100</f>
      </c>
      <c r="U233" s="4">
        <f>M233-Q233</f>
      </c>
      <c r="W233" s="4">
        <f>S233-V233</f>
      </c>
      <c r="AB233" t="s">
        <v>1</v>
      </c>
    </row>
    <row r="234" spans="1:28" x14ac:dyDescent="0.25">
      <c r="A234" s="8">
        <v>46192.5</v>
      </c>
      <c r="B234" t="s">
        <v>1138</v>
      </c>
      <c r="C234" t="s">
        <v>1</v>
      </c>
      <c r="D234" s="9" t="s">
        <v>1139</v>
      </c>
      <c r="E234" t="s">
        <v>73</v>
      </c>
      <c r="F234" t="s">
        <v>70</v>
      </c>
      <c r="G234" t="s">
        <v>60</v>
      </c>
      <c r="H234" t="s">
        <v>78</v>
      </c>
      <c r="I234">
        <v>1</v>
      </c>
      <c r="J234" s="4">
        <v>358</v>
      </c>
      <c r="K234" s="4">
        <v>436.76</v>
      </c>
      <c r="L234" s="4">
        <f>K234-J234</f>
      </c>
      <c r="M234" s="4">
        <f>L234*16.67%</f>
      </c>
      <c r="N234" s="4">
        <f>K234/100*11</f>
      </c>
      <c r="O234" s="4">
        <v>8.99</v>
      </c>
      <c r="P234" s="4">
        <v>0</v>
      </c>
      <c r="Q234" s="4">
        <f>P234*20%</f>
      </c>
      <c r="R234" s="4">
        <v>1</v>
      </c>
      <c r="S234" s="4">
        <f>L234-M234-N234-O234-P234-Q234-R234</f>
      </c>
      <c r="T234" s="4">
        <f>(S234-V234)/J234*100</f>
      </c>
      <c r="U234" s="4">
        <f>M234-Q234</f>
      </c>
      <c r="W234" s="4">
        <f>S234-V234</f>
      </c>
      <c r="AB234" t="s">
        <v>1</v>
      </c>
    </row>
    <row r="235" spans="1:28" x14ac:dyDescent="0.25">
      <c r="A235" s="8">
        <v>46191.5</v>
      </c>
      <c r="B235" t="s">
        <v>1140</v>
      </c>
      <c r="C235" t="s">
        <v>1</v>
      </c>
      <c r="D235" s="9" t="s">
        <v>1141</v>
      </c>
      <c r="E235" t="s">
        <v>91</v>
      </c>
      <c r="F235" t="s">
        <v>99</v>
      </c>
      <c r="G235" t="s">
        <v>65</v>
      </c>
      <c r="H235" t="s">
        <v>102</v>
      </c>
      <c r="I235">
        <v>1</v>
      </c>
      <c r="J235" s="4">
        <v>139</v>
      </c>
      <c r="K235" s="4">
        <v>176.53</v>
      </c>
      <c r="L235" s="4">
        <f>K235-J235</f>
      </c>
      <c r="M235" s="4">
        <f>L235*16.67%</f>
      </c>
      <c r="N235" s="4">
        <f>K235/100*11</f>
      </c>
      <c r="O235" s="4">
        <v>8.99</v>
      </c>
      <c r="P235" s="4">
        <v>0</v>
      </c>
      <c r="Q235" s="4">
        <f>P235*20%</f>
      </c>
      <c r="R235" s="4">
        <v>1</v>
      </c>
      <c r="S235" s="4">
        <f>L235-M235-N235-O235-P235-Q235-R235</f>
      </c>
      <c r="T235" s="4">
        <f>(S235-V235)/J235*100</f>
      </c>
      <c r="U235" s="4">
        <f>M235-Q235</f>
      </c>
      <c r="W235" s="4">
        <f>S235-V235</f>
      </c>
      <c r="AB235" t="s">
        <v>1</v>
      </c>
    </row>
    <row r="236" spans="1:28" x14ac:dyDescent="0.25">
      <c r="A236" s="8">
        <v>46191.5</v>
      </c>
      <c r="B236" t="s">
        <v>1142</v>
      </c>
      <c r="C236" t="s">
        <v>1</v>
      </c>
      <c r="D236" s="9" t="s">
        <v>1143</v>
      </c>
      <c r="E236" t="s">
        <v>81</v>
      </c>
      <c r="F236" t="s">
        <v>105</v>
      </c>
      <c r="G236" t="s">
        <v>60</v>
      </c>
      <c r="H236" t="s">
        <v>66</v>
      </c>
      <c r="I236">
        <v>1</v>
      </c>
      <c r="J236" s="4">
        <v>596</v>
      </c>
      <c r="K236" s="4">
        <v>768.84</v>
      </c>
      <c r="L236" s="4">
        <f>K236-J236</f>
      </c>
      <c r="M236" s="4">
        <f>L236*16.67%</f>
      </c>
      <c r="N236" s="4">
        <f>K236/100*11</f>
      </c>
      <c r="O236" s="4">
        <v>8.99</v>
      </c>
      <c r="P236" s="4">
        <v>0</v>
      </c>
      <c r="Q236" s="4">
        <f>P236*20%</f>
      </c>
      <c r="R236" s="4">
        <v>1</v>
      </c>
      <c r="S236" s="4">
        <f>L236-M236-N236-O236-P236-Q236-R236</f>
      </c>
      <c r="T236" s="4">
        <f>(S236-V236)/J236*100</f>
      </c>
      <c r="U236" s="4">
        <f>M236-Q236</f>
      </c>
      <c r="W236" s="4">
        <f>S236-V236</f>
      </c>
      <c r="AB236" t="s">
        <v>1</v>
      </c>
    </row>
    <row r="237" spans="1:28" x14ac:dyDescent="0.25">
      <c r="A237" s="8">
        <v>46191.5</v>
      </c>
      <c r="B237" t="s">
        <v>1144</v>
      </c>
      <c r="C237" t="s">
        <v>254</v>
      </c>
      <c r="D237" s="9" t="s">
        <v>1</v>
      </c>
      <c r="E237" t="s">
        <v>254</v>
      </c>
      <c r="F237" t="s">
        <v>1</v>
      </c>
      <c r="G237" t="s">
        <v>1</v>
      </c>
      <c r="H237" t="s">
        <v>61</v>
      </c>
      <c r="I237">
        <v>1</v>
      </c>
      <c r="J237" s="4">
        <v>0.8</v>
      </c>
      <c r="K237" s="4">
        <v>1.1</v>
      </c>
      <c r="L237" s="4">
        <f>K237-J237</f>
      </c>
      <c r="M237" s="4">
        <f>L237*16.67%</f>
      </c>
      <c r="N237" s="4">
        <f>K237/100*11</f>
      </c>
      <c r="O237" s="4">
        <v>8.99</v>
      </c>
      <c r="P237" s="4">
        <v>0</v>
      </c>
      <c r="Q237" s="4">
        <f>P237*20%</f>
      </c>
      <c r="R237" s="4">
        <v>0</v>
      </c>
      <c r="S237" s="4">
        <f>L237-M237-N237-O237-P237-Q237-R237</f>
      </c>
      <c r="T237" s="4">
        <f>(S237-V237)/J237*100</f>
      </c>
      <c r="U237" s="4">
        <f>M237-Q237</f>
      </c>
      <c r="W237" s="4">
        <f>S237-V237</f>
      </c>
      <c r="AB237" t="s">
        <v>1</v>
      </c>
    </row>
    <row r="238" spans="1:28" x14ac:dyDescent="0.25">
      <c r="A238" s="8">
        <v>46190.5</v>
      </c>
      <c r="B238" t="s">
        <v>1145</v>
      </c>
      <c r="C238" t="s">
        <v>1</v>
      </c>
      <c r="D238" s="9" t="s">
        <v>1146</v>
      </c>
      <c r="E238" t="s">
        <v>98</v>
      </c>
      <c r="F238" t="s">
        <v>99</v>
      </c>
      <c r="G238" t="s">
        <v>60</v>
      </c>
      <c r="H238" t="s">
        <v>78</v>
      </c>
      <c r="I238">
        <v>1</v>
      </c>
      <c r="J238" s="4">
        <v>311</v>
      </c>
      <c r="K238" s="4">
        <v>376.31</v>
      </c>
      <c r="L238" s="4">
        <f>K238-J238</f>
      </c>
      <c r="M238" s="4">
        <f>L238*16.67%</f>
      </c>
      <c r="N238" s="4">
        <f>K238/100*11</f>
      </c>
      <c r="O238" s="4">
        <v>8.99</v>
      </c>
      <c r="P238" s="4">
        <v>0</v>
      </c>
      <c r="Q238" s="4">
        <f>P238*20%</f>
      </c>
      <c r="R238" s="4">
        <v>1</v>
      </c>
      <c r="S238" s="4">
        <f>L238-M238-N238-O238-P238-Q238-R238</f>
      </c>
      <c r="T238" s="4">
        <f>(S238-V238)/J238*100</f>
      </c>
      <c r="U238" s="4">
        <f>M238-Q238</f>
      </c>
      <c r="W238" s="4">
        <f>S238-V238</f>
      </c>
      <c r="AB238" t="s">
        <v>1</v>
      </c>
    </row>
    <row r="239" spans="1:28" x14ac:dyDescent="0.25">
      <c r="A239" s="8">
        <v>46190.5</v>
      </c>
      <c r="B239" t="s">
        <v>1147</v>
      </c>
      <c r="C239" t="s">
        <v>1</v>
      </c>
      <c r="D239" s="9" t="s">
        <v>1148</v>
      </c>
      <c r="E239" t="s">
        <v>131</v>
      </c>
      <c r="F239" t="s">
        <v>105</v>
      </c>
      <c r="G239" t="s">
        <v>60</v>
      </c>
      <c r="H239" t="s">
        <v>78</v>
      </c>
      <c r="I239">
        <v>1</v>
      </c>
      <c r="J239" s="4">
        <v>265</v>
      </c>
      <c r="K239" s="4">
        <v>331.25</v>
      </c>
      <c r="L239" s="4">
        <f>K239-J239</f>
      </c>
      <c r="M239" s="4">
        <f>L239*16.67%</f>
      </c>
      <c r="N239" s="4">
        <f>K239/100*11</f>
      </c>
      <c r="O239" s="4">
        <v>8.99</v>
      </c>
      <c r="P239" s="4">
        <v>0</v>
      </c>
      <c r="Q239" s="4">
        <f>P239*20%</f>
      </c>
      <c r="R239" s="4">
        <v>1</v>
      </c>
      <c r="S239" s="4">
        <f>L239-M239-N239-O239-P239-Q239-R239</f>
      </c>
      <c r="T239" s="4">
        <f>(S239-V239)/J239*100</f>
      </c>
      <c r="U239" s="4">
        <f>M239-Q239</f>
      </c>
      <c r="W239" s="4">
        <f>S239-V239</f>
      </c>
      <c r="AB239" t="s">
        <v>1</v>
      </c>
    </row>
    <row r="240" spans="1:28" x14ac:dyDescent="0.25">
      <c r="A240" s="8">
        <v>46190.5</v>
      </c>
      <c r="B240" t="s">
        <v>1149</v>
      </c>
      <c r="C240" t="s">
        <v>1</v>
      </c>
      <c r="D240" s="9" t="s">
        <v>1150</v>
      </c>
      <c r="E240" t="s">
        <v>64</v>
      </c>
      <c r="F240" t="s">
        <v>99</v>
      </c>
      <c r="G240" t="s">
        <v>65</v>
      </c>
      <c r="H240" t="s">
        <v>61</v>
      </c>
      <c r="I240">
        <v>1</v>
      </c>
      <c r="J240" s="4">
        <v>256</v>
      </c>
      <c r="K240" s="4">
        <v>360.96</v>
      </c>
      <c r="L240" s="4">
        <f>K240-J240</f>
      </c>
      <c r="M240" s="4">
        <f>L240*16.67%</f>
      </c>
      <c r="N240" s="4">
        <f>K240/100*11</f>
      </c>
      <c r="O240" s="4">
        <v>8.99</v>
      </c>
      <c r="P240" s="4">
        <v>0</v>
      </c>
      <c r="Q240" s="4">
        <f>P240*20%</f>
      </c>
      <c r="R240" s="4">
        <v>1</v>
      </c>
      <c r="S240" s="4">
        <f>L240-M240-N240-O240-P240-Q240-R240</f>
      </c>
      <c r="T240" s="4">
        <f>(S240-V240)/J240*100</f>
      </c>
      <c r="U240" s="4">
        <f>M240-Q240</f>
      </c>
      <c r="W240" s="4">
        <f>S240-V240</f>
      </c>
      <c r="AB240" t="s">
        <v>1</v>
      </c>
    </row>
    <row r="241" spans="1:28" x14ac:dyDescent="0.25">
      <c r="A241" s="8">
        <v>46190.5</v>
      </c>
      <c r="B241" t="s">
        <v>1151</v>
      </c>
      <c r="C241" t="s">
        <v>1</v>
      </c>
      <c r="D241" s="9" t="s">
        <v>1152</v>
      </c>
      <c r="E241" t="s">
        <v>58</v>
      </c>
      <c r="F241" t="s">
        <v>59</v>
      </c>
      <c r="G241" t="s">
        <v>60</v>
      </c>
      <c r="H241" t="s">
        <v>66</v>
      </c>
      <c r="I241">
        <v>1</v>
      </c>
      <c r="J241" s="4">
        <v>460</v>
      </c>
      <c r="K241" s="4">
        <v>593.4</v>
      </c>
      <c r="L241" s="4">
        <f>K241-J241</f>
      </c>
      <c r="M241" s="4">
        <f>L241*16.67%</f>
      </c>
      <c r="N241" s="4">
        <f>K241/100*11</f>
      </c>
      <c r="O241" s="4">
        <v>8.99</v>
      </c>
      <c r="P241" s="4">
        <v>0</v>
      </c>
      <c r="Q241" s="4">
        <f>P241*20%</f>
      </c>
      <c r="R241" s="4">
        <v>1</v>
      </c>
      <c r="S241" s="4">
        <f>L241-M241-N241-O241-P241-Q241-R241</f>
      </c>
      <c r="T241" s="4">
        <f>(S241-V241)/J241*100</f>
      </c>
      <c r="U241" s="4">
        <f>M241-Q241</f>
      </c>
      <c r="W241" s="4">
        <f>S241-V241</f>
      </c>
      <c r="AB241" t="s">
        <v>1</v>
      </c>
    </row>
    <row r="242" spans="1:28" x14ac:dyDescent="0.25">
      <c r="A242" s="8">
        <v>46189.5</v>
      </c>
      <c r="B242" t="s">
        <v>1153</v>
      </c>
      <c r="C242" t="s">
        <v>1</v>
      </c>
      <c r="D242" s="9" t="s">
        <v>1154</v>
      </c>
      <c r="E242" t="s">
        <v>69</v>
      </c>
      <c r="F242" t="s">
        <v>88</v>
      </c>
      <c r="G242" t="s">
        <v>60</v>
      </c>
      <c r="H242" t="s">
        <v>66</v>
      </c>
      <c r="I242">
        <v>1</v>
      </c>
      <c r="J242" s="4">
        <v>501</v>
      </c>
      <c r="K242" s="4">
        <v>696.39</v>
      </c>
      <c r="L242" s="4">
        <f>K242-J242</f>
      </c>
      <c r="M242" s="4">
        <f>L242*16.67%</f>
      </c>
      <c r="N242" s="4">
        <f>K242/100*11</f>
      </c>
      <c r="O242" s="4">
        <v>8.99</v>
      </c>
      <c r="P242" s="4">
        <v>0</v>
      </c>
      <c r="Q242" s="4">
        <f>P242*20%</f>
      </c>
      <c r="R242" s="4">
        <v>1</v>
      </c>
      <c r="S242" s="4">
        <f>L242-M242-N242-O242-P242-Q242-R242</f>
      </c>
      <c r="T242" s="4">
        <f>(S242-V242)/J242*100</f>
      </c>
      <c r="U242" s="4">
        <f>M242-Q242</f>
      </c>
      <c r="W242" s="4">
        <f>S242-V242</f>
      </c>
      <c r="AB242" t="s">
        <v>1</v>
      </c>
    </row>
    <row r="243" spans="1:28" x14ac:dyDescent="0.25">
      <c r="A243" s="8">
        <v>46189.5</v>
      </c>
      <c r="B243" t="s">
        <v>1155</v>
      </c>
      <c r="C243" t="s">
        <v>1</v>
      </c>
      <c r="D243" s="9" t="s">
        <v>1156</v>
      </c>
      <c r="E243" t="s">
        <v>94</v>
      </c>
      <c r="F243" t="s">
        <v>85</v>
      </c>
      <c r="G243" t="s">
        <v>95</v>
      </c>
      <c r="H243" t="s">
        <v>102</v>
      </c>
      <c r="I243">
        <v>1</v>
      </c>
      <c r="J243" s="4">
        <v>64</v>
      </c>
      <c r="K243" s="4">
        <v>74.24</v>
      </c>
      <c r="L243" s="4">
        <f>K243-J243</f>
      </c>
      <c r="M243" s="4">
        <f>L243*16.67%</f>
      </c>
      <c r="N243" s="4">
        <f>K243/100*11</f>
      </c>
      <c r="O243" s="4">
        <v>8.99</v>
      </c>
      <c r="P243" s="4">
        <v>0</v>
      </c>
      <c r="Q243" s="4">
        <f>P243*20%</f>
      </c>
      <c r="R243" s="4">
        <v>1</v>
      </c>
      <c r="S243" s="4">
        <f>L243-M243-N243-O243-P243-Q243-R243</f>
      </c>
      <c r="T243" s="4">
        <f>(S243-V243)/J243*100</f>
      </c>
      <c r="U243" s="4">
        <f>M243-Q243</f>
      </c>
      <c r="W243" s="4">
        <f>S243-V243</f>
      </c>
      <c r="AB243" t="s">
        <v>1</v>
      </c>
    </row>
    <row r="244" spans="1:28" x14ac:dyDescent="0.25">
      <c r="A244" s="8">
        <v>46189.5</v>
      </c>
      <c r="B244" t="s">
        <v>1157</v>
      </c>
      <c r="C244" t="s">
        <v>1</v>
      </c>
      <c r="D244" s="9" t="s">
        <v>1158</v>
      </c>
      <c r="E244" t="s">
        <v>139</v>
      </c>
      <c r="F244" t="s">
        <v>74</v>
      </c>
      <c r="G244" t="s">
        <v>65</v>
      </c>
      <c r="H244" t="s">
        <v>78</v>
      </c>
      <c r="I244">
        <v>1</v>
      </c>
      <c r="J244" s="4">
        <v>360</v>
      </c>
      <c r="K244" s="4">
        <v>482.4</v>
      </c>
      <c r="L244" s="4">
        <f>K244-J244</f>
      </c>
      <c r="M244" s="4">
        <f>L244*16.67%</f>
      </c>
      <c r="N244" s="4">
        <f>K244/100*11</f>
      </c>
      <c r="O244" s="4">
        <v>8.99</v>
      </c>
      <c r="P244" s="4">
        <v>0</v>
      </c>
      <c r="Q244" s="4">
        <f>P244*20%</f>
      </c>
      <c r="R244" s="4">
        <v>1</v>
      </c>
      <c r="S244" s="4">
        <f>L244-M244-N244-O244-P244-Q244-R244</f>
      </c>
      <c r="T244" s="4">
        <f>(S244-V244)/J244*100</f>
      </c>
      <c r="U244" s="4">
        <f>M244-Q244</f>
      </c>
      <c r="W244" s="4">
        <f>S244-V244</f>
      </c>
      <c r="AB244" t="s">
        <v>1</v>
      </c>
    </row>
    <row r="245" spans="1:28" x14ac:dyDescent="0.25">
      <c r="A245" s="8">
        <v>46189.5</v>
      </c>
      <c r="B245" t="s">
        <v>1159</v>
      </c>
      <c r="C245" t="s">
        <v>1</v>
      </c>
      <c r="D245" s="9" t="s">
        <v>1160</v>
      </c>
      <c r="E245" t="s">
        <v>131</v>
      </c>
      <c r="F245" t="s">
        <v>70</v>
      </c>
      <c r="G245" t="s">
        <v>60</v>
      </c>
      <c r="H245" t="s">
        <v>66</v>
      </c>
      <c r="I245">
        <v>1</v>
      </c>
      <c r="J245" s="4">
        <v>294</v>
      </c>
      <c r="K245" s="4">
        <v>423.36</v>
      </c>
      <c r="L245" s="4">
        <f>K245-J245</f>
      </c>
      <c r="M245" s="4">
        <f>L245*16.67%</f>
      </c>
      <c r="N245" s="4">
        <f>K245/100*11</f>
      </c>
      <c r="O245" s="4">
        <v>8.99</v>
      </c>
      <c r="P245" s="4">
        <v>0</v>
      </c>
      <c r="Q245" s="4">
        <f>P245*20%</f>
      </c>
      <c r="R245" s="4">
        <v>1</v>
      </c>
      <c r="S245" s="4">
        <f>L245-M245-N245-O245-P245-Q245-R245</f>
      </c>
      <c r="T245" s="4">
        <f>(S245-V245)/J245*100</f>
      </c>
      <c r="U245" s="4">
        <f>M245-Q245</f>
      </c>
      <c r="W245" s="4">
        <f>S245-V245</f>
      </c>
      <c r="AB245" t="s">
        <v>1</v>
      </c>
    </row>
    <row r="246" spans="1:28" x14ac:dyDescent="0.25">
      <c r="A246" s="8">
        <v>46189.5</v>
      </c>
      <c r="B246" t="s">
        <v>1161</v>
      </c>
      <c r="C246" t="s">
        <v>1</v>
      </c>
      <c r="D246" s="9" t="s">
        <v>1162</v>
      </c>
      <c r="E246" t="s">
        <v>69</v>
      </c>
      <c r="F246" t="s">
        <v>70</v>
      </c>
      <c r="G246" t="s">
        <v>60</v>
      </c>
      <c r="H246" t="s">
        <v>102</v>
      </c>
      <c r="I246">
        <v>1</v>
      </c>
      <c r="J246" s="4">
        <v>511</v>
      </c>
      <c r="K246" s="4">
        <v>638.75</v>
      </c>
      <c r="L246" s="4">
        <f>K246-J246</f>
      </c>
      <c r="M246" s="4">
        <f>L246*16.67%</f>
      </c>
      <c r="N246" s="4">
        <f>K246/100*11</f>
      </c>
      <c r="O246" s="4">
        <v>8.99</v>
      </c>
      <c r="P246" s="4">
        <v>0</v>
      </c>
      <c r="Q246" s="4">
        <f>P246*20%</f>
      </c>
      <c r="R246" s="4">
        <v>1</v>
      </c>
      <c r="S246" s="4">
        <f>L246-M246-N246-O246-P246-Q246-R246</f>
      </c>
      <c r="T246" s="4">
        <f>(S246-V246)/J246*100</f>
      </c>
      <c r="U246" s="4">
        <f>M246-Q246</f>
      </c>
      <c r="W246" s="4">
        <f>S246-V246</f>
      </c>
      <c r="AB246" t="s">
        <v>1</v>
      </c>
    </row>
    <row r="247" spans="1:28" x14ac:dyDescent="0.25">
      <c r="A247" s="8">
        <v>46189.5</v>
      </c>
      <c r="B247" t="s">
        <v>1163</v>
      </c>
      <c r="C247" t="s">
        <v>189</v>
      </c>
      <c r="D247" s="9" t="s">
        <v>1</v>
      </c>
      <c r="E247" t="s">
        <v>189</v>
      </c>
      <c r="F247" t="s">
        <v>1</v>
      </c>
      <c r="G247" t="s">
        <v>1</v>
      </c>
      <c r="H247" t="s">
        <v>66</v>
      </c>
      <c r="I247">
        <v>1</v>
      </c>
      <c r="J247" s="4">
        <v>3.5</v>
      </c>
      <c r="K247" s="4">
        <v>4.2</v>
      </c>
      <c r="L247" s="4">
        <f>K247-J247</f>
      </c>
      <c r="M247" s="4">
        <f>L247*16.67%</f>
      </c>
      <c r="N247" s="4">
        <f>K247/100*11</f>
      </c>
      <c r="O247" s="4">
        <v>8.99</v>
      </c>
      <c r="P247" s="4">
        <v>0</v>
      </c>
      <c r="Q247" s="4">
        <f>P247*20%</f>
      </c>
      <c r="R247" s="4">
        <v>0</v>
      </c>
      <c r="S247" s="4">
        <f>L247-M247-N247-O247-P247-Q247-R247</f>
      </c>
      <c r="T247" s="4">
        <f>(S247-V247)/J247*100</f>
      </c>
      <c r="U247" s="4">
        <f>M247-Q247</f>
      </c>
      <c r="W247" s="4">
        <f>S247-V247</f>
      </c>
      <c r="AB247" t="s">
        <v>1</v>
      </c>
    </row>
    <row r="248" spans="1:28" x14ac:dyDescent="0.25">
      <c r="A248" s="8">
        <v>46189.5</v>
      </c>
      <c r="B248" t="s">
        <v>1164</v>
      </c>
      <c r="C248" t="s">
        <v>174</v>
      </c>
      <c r="D248" s="9" t="s">
        <v>1</v>
      </c>
      <c r="E248" t="s">
        <v>174</v>
      </c>
      <c r="F248" t="s">
        <v>1</v>
      </c>
      <c r="G248" t="s">
        <v>1</v>
      </c>
      <c r="H248" t="s">
        <v>66</v>
      </c>
      <c r="I248">
        <v>4</v>
      </c>
      <c r="J248" s="4">
        <v>17</v>
      </c>
      <c r="K248" s="4">
        <v>19.55</v>
      </c>
      <c r="L248" s="4">
        <f>K248-J248</f>
      </c>
      <c r="M248" s="4">
        <f>L248*16.67%</f>
      </c>
      <c r="N248" s="4">
        <f>K248/100*11</f>
      </c>
      <c r="O248" s="4">
        <v>8.99</v>
      </c>
      <c r="P248" s="4">
        <v>0</v>
      </c>
      <c r="Q248" s="4">
        <f>P248*20%</f>
      </c>
      <c r="R248" s="4">
        <v>0</v>
      </c>
      <c r="S248" s="4">
        <f>L248-M248-N248-O248-P248-Q248-R248</f>
      </c>
      <c r="T248" s="4">
        <f>(S248-V248)/J248*100</f>
      </c>
      <c r="U248" s="4">
        <f>M248-Q248</f>
      </c>
      <c r="W248" s="4">
        <f>S248-V248</f>
      </c>
      <c r="AB248" t="s">
        <v>1</v>
      </c>
    </row>
    <row r="249" spans="1:28" x14ac:dyDescent="0.25">
      <c r="A249" s="8">
        <v>46189.5</v>
      </c>
      <c r="B249" t="s">
        <v>1165</v>
      </c>
      <c r="C249" t="s">
        <v>182</v>
      </c>
      <c r="D249" s="9" t="s">
        <v>1</v>
      </c>
      <c r="E249" t="s">
        <v>182</v>
      </c>
      <c r="F249" t="s">
        <v>1</v>
      </c>
      <c r="G249" t="s">
        <v>1</v>
      </c>
      <c r="H249" t="s">
        <v>75</v>
      </c>
      <c r="I249">
        <v>2</v>
      </c>
      <c r="J249" s="4">
        <v>3.8</v>
      </c>
      <c r="K249" s="4">
        <v>4.64</v>
      </c>
      <c r="L249" s="4">
        <f>K249-J249</f>
      </c>
      <c r="M249" s="4">
        <f>L249*16.67%</f>
      </c>
      <c r="N249" s="4">
        <f>K249/100*11</f>
      </c>
      <c r="O249" s="4">
        <v>8.99</v>
      </c>
      <c r="P249" s="4">
        <v>0</v>
      </c>
      <c r="Q249" s="4">
        <f>P249*20%</f>
      </c>
      <c r="R249" s="4">
        <v>0</v>
      </c>
      <c r="S249" s="4">
        <f>L249-M249-N249-O249-P249-Q249-R249</f>
      </c>
      <c r="T249" s="4">
        <f>(S249-V249)/J249*100</f>
      </c>
      <c r="U249" s="4">
        <f>M249-Q249</f>
      </c>
      <c r="W249" s="4">
        <f>S249-V249</f>
      </c>
      <c r="AB249" t="s">
        <v>1</v>
      </c>
    </row>
    <row r="250" spans="1:28" x14ac:dyDescent="0.25">
      <c r="A250" s="8">
        <v>46189.5</v>
      </c>
      <c r="B250" t="s">
        <v>1166</v>
      </c>
      <c r="C250" t="s">
        <v>182</v>
      </c>
      <c r="D250" s="9" t="s">
        <v>1</v>
      </c>
      <c r="E250" t="s">
        <v>182</v>
      </c>
      <c r="F250" t="s">
        <v>1</v>
      </c>
      <c r="G250" t="s">
        <v>1</v>
      </c>
      <c r="H250" t="s">
        <v>75</v>
      </c>
      <c r="I250">
        <v>2</v>
      </c>
      <c r="J250" s="4">
        <v>3.8</v>
      </c>
      <c r="K250" s="4">
        <v>4.41</v>
      </c>
      <c r="L250" s="4">
        <f>K250-J250</f>
      </c>
      <c r="M250" s="4">
        <f>L250*16.67%</f>
      </c>
      <c r="N250" s="4">
        <f>K250/100*11</f>
      </c>
      <c r="O250" s="4">
        <v>8.99</v>
      </c>
      <c r="P250" s="4">
        <v>0</v>
      </c>
      <c r="Q250" s="4">
        <f>P250*20%</f>
      </c>
      <c r="R250" s="4">
        <v>0</v>
      </c>
      <c r="S250" s="4">
        <f>L250-M250-N250-O250-P250-Q250-R250</f>
      </c>
      <c r="T250" s="4">
        <f>(S250-V250)/J250*100</f>
      </c>
      <c r="U250" s="4">
        <f>M250-Q250</f>
      </c>
      <c r="W250" s="4">
        <f>S250-V250</f>
      </c>
      <c r="AB250" t="s">
        <v>1</v>
      </c>
    </row>
    <row r="251" spans="1:28" x14ac:dyDescent="0.25">
      <c r="A251" s="8">
        <v>46189.5</v>
      </c>
      <c r="B251" t="s">
        <v>1167</v>
      </c>
      <c r="C251" t="s">
        <v>185</v>
      </c>
      <c r="D251" s="9" t="s">
        <v>1</v>
      </c>
      <c r="E251" t="s">
        <v>185</v>
      </c>
      <c r="F251" t="s">
        <v>1</v>
      </c>
      <c r="G251" t="s">
        <v>1</v>
      </c>
      <c r="H251" t="s">
        <v>102</v>
      </c>
      <c r="I251">
        <v>4</v>
      </c>
      <c r="J251" s="4">
        <v>4.8</v>
      </c>
      <c r="K251" s="4">
        <v>6.58</v>
      </c>
      <c r="L251" s="4">
        <f>K251-J251</f>
      </c>
      <c r="M251" s="4">
        <f>L251*16.67%</f>
      </c>
      <c r="N251" s="4">
        <f>K251/100*11</f>
      </c>
      <c r="O251" s="4">
        <v>8.99</v>
      </c>
      <c r="P251" s="4">
        <v>0</v>
      </c>
      <c r="Q251" s="4">
        <f>P251*20%</f>
      </c>
      <c r="R251" s="4">
        <v>0</v>
      </c>
      <c r="S251" s="4">
        <f>L251-M251-N251-O251-P251-Q251-R251</f>
      </c>
      <c r="T251" s="4">
        <f>(S251-V251)/J251*100</f>
      </c>
      <c r="U251" s="4">
        <f>M251-Q251</f>
      </c>
      <c r="W251" s="4">
        <f>S251-V251</f>
      </c>
      <c r="AB251" t="s">
        <v>1</v>
      </c>
    </row>
    <row r="252" spans="1:28" x14ac:dyDescent="0.25">
      <c r="A252" s="8">
        <v>46188.5</v>
      </c>
      <c r="B252" t="s">
        <v>1168</v>
      </c>
      <c r="C252" t="s">
        <v>1</v>
      </c>
      <c r="D252" s="9" t="s">
        <v>1169</v>
      </c>
      <c r="E252" t="s">
        <v>91</v>
      </c>
      <c r="F252" t="s">
        <v>105</v>
      </c>
      <c r="G252" t="s">
        <v>65</v>
      </c>
      <c r="H252" t="s">
        <v>61</v>
      </c>
      <c r="I252">
        <v>1</v>
      </c>
      <c r="J252" s="4">
        <v>139</v>
      </c>
      <c r="K252" s="4">
        <v>191.82</v>
      </c>
      <c r="L252" s="4">
        <f>K252-J252</f>
      </c>
      <c r="M252" s="4">
        <f>L252*16.67%</f>
      </c>
      <c r="N252" s="4">
        <f>K252/100*11</f>
      </c>
      <c r="O252" s="4">
        <v>8.99</v>
      </c>
      <c r="P252" s="4">
        <v>0</v>
      </c>
      <c r="Q252" s="4">
        <f>P252*20%</f>
      </c>
      <c r="R252" s="4">
        <v>1</v>
      </c>
      <c r="S252" s="4">
        <f>L252-M252-N252-O252-P252-Q252-R252</f>
      </c>
      <c r="T252" s="4">
        <f>(S252-V252)/J252*100</f>
      </c>
      <c r="U252" s="4">
        <f>M252-Q252</f>
      </c>
      <c r="W252" s="4">
        <f>S252-V252</f>
      </c>
      <c r="AB252" t="s">
        <v>1</v>
      </c>
    </row>
    <row r="253" spans="1:28" x14ac:dyDescent="0.25">
      <c r="A253" s="8">
        <v>46188.5</v>
      </c>
      <c r="B253" t="s">
        <v>1170</v>
      </c>
      <c r="C253" t="s">
        <v>1</v>
      </c>
      <c r="D253" s="9" t="s">
        <v>1171</v>
      </c>
      <c r="E253" t="s">
        <v>73</v>
      </c>
      <c r="F253" t="s">
        <v>59</v>
      </c>
      <c r="G253" t="s">
        <v>60</v>
      </c>
      <c r="H253" t="s">
        <v>102</v>
      </c>
      <c r="I253">
        <v>1</v>
      </c>
      <c r="J253" s="4">
        <v>370</v>
      </c>
      <c r="K253" s="4">
        <v>488.4</v>
      </c>
      <c r="L253" s="4">
        <f>K253-J253</f>
      </c>
      <c r="M253" s="4">
        <f>L253*16.67%</f>
      </c>
      <c r="N253" s="4">
        <f>K253/100*11</f>
      </c>
      <c r="O253" s="4">
        <v>8.99</v>
      </c>
      <c r="P253" s="4">
        <v>0</v>
      </c>
      <c r="Q253" s="4">
        <f>P253*20%</f>
      </c>
      <c r="R253" s="4">
        <v>1</v>
      </c>
      <c r="S253" s="4">
        <f>L253-M253-N253-O253-P253-Q253-R253</f>
      </c>
      <c r="T253" s="4">
        <f>(S253-V253)/J253*100</f>
      </c>
      <c r="U253" s="4">
        <f>M253-Q253</f>
      </c>
      <c r="W253" s="4">
        <f>S253-V253</f>
      </c>
      <c r="AB253" t="s">
        <v>1</v>
      </c>
    </row>
    <row r="254" spans="1:28" x14ac:dyDescent="0.25">
      <c r="A254" s="8">
        <v>46188.5</v>
      </c>
      <c r="B254" t="s">
        <v>1172</v>
      </c>
      <c r="C254" t="s">
        <v>1</v>
      </c>
      <c r="D254" s="9" t="s">
        <v>1173</v>
      </c>
      <c r="E254" t="s">
        <v>98</v>
      </c>
      <c r="F254" t="s">
        <v>88</v>
      </c>
      <c r="G254" t="s">
        <v>65</v>
      </c>
      <c r="H254" t="s">
        <v>61</v>
      </c>
      <c r="I254">
        <v>1</v>
      </c>
      <c r="J254" s="4">
        <v>297</v>
      </c>
      <c r="K254" s="4">
        <v>397.98</v>
      </c>
      <c r="L254" s="4">
        <f>K254-J254</f>
      </c>
      <c r="M254" s="4">
        <f>L254*16.67%</f>
      </c>
      <c r="N254" s="4">
        <f>K254/100*11</f>
      </c>
      <c r="O254" s="4">
        <v>8.99</v>
      </c>
      <c r="P254" s="4">
        <v>0</v>
      </c>
      <c r="Q254" s="4">
        <f>P254*20%</f>
      </c>
      <c r="R254" s="4">
        <v>1</v>
      </c>
      <c r="S254" s="4">
        <f>L254-M254-N254-O254-P254-Q254-R254</f>
      </c>
      <c r="T254" s="4">
        <f>(S254-V254)/J254*100</f>
      </c>
      <c r="U254" s="4">
        <f>M254-Q254</f>
      </c>
      <c r="W254" s="4">
        <f>S254-V254</f>
      </c>
      <c r="AB254" t="s">
        <v>1</v>
      </c>
    </row>
    <row r="255" spans="1:28" x14ac:dyDescent="0.25">
      <c r="A255" s="8">
        <v>46188.5</v>
      </c>
      <c r="B255" t="s">
        <v>1174</v>
      </c>
      <c r="C255" t="s">
        <v>1</v>
      </c>
      <c r="D255" s="9" t="s">
        <v>1175</v>
      </c>
      <c r="E255" t="s">
        <v>114</v>
      </c>
      <c r="F255" t="s">
        <v>70</v>
      </c>
      <c r="G255" t="s">
        <v>95</v>
      </c>
      <c r="H255" t="s">
        <v>78</v>
      </c>
      <c r="I255">
        <v>1</v>
      </c>
      <c r="J255" s="4">
        <v>186</v>
      </c>
      <c r="K255" s="4">
        <v>260.4</v>
      </c>
      <c r="L255" s="4">
        <f>K255-J255</f>
      </c>
      <c r="M255" s="4">
        <f>L255*16.67%</f>
      </c>
      <c r="N255" s="4">
        <f>K255/100*11</f>
      </c>
      <c r="O255" s="4">
        <v>8.99</v>
      </c>
      <c r="P255" s="4">
        <v>0</v>
      </c>
      <c r="Q255" s="4">
        <f>P255*20%</f>
      </c>
      <c r="R255" s="4">
        <v>1</v>
      </c>
      <c r="S255" s="4">
        <f>L255-M255-N255-O255-P255-Q255-R255</f>
      </c>
      <c r="T255" s="4">
        <f>(S255-V255)/J255*100</f>
      </c>
      <c r="U255" s="4">
        <f>M255-Q255</f>
      </c>
      <c r="W255" s="4">
        <f>S255-V255</f>
      </c>
      <c r="AB255" t="s">
        <v>1</v>
      </c>
    </row>
    <row r="256" spans="1:28" x14ac:dyDescent="0.25">
      <c r="A256" s="8">
        <v>46188.5</v>
      </c>
      <c r="B256" t="s">
        <v>1176</v>
      </c>
      <c r="C256" t="s">
        <v>189</v>
      </c>
      <c r="D256" s="9" t="s">
        <v>1</v>
      </c>
      <c r="E256" t="s">
        <v>189</v>
      </c>
      <c r="F256" t="s">
        <v>1</v>
      </c>
      <c r="G256" t="s">
        <v>1</v>
      </c>
      <c r="H256" t="s">
        <v>66</v>
      </c>
      <c r="I256">
        <v>3</v>
      </c>
      <c r="J256" s="4">
        <v>10.5</v>
      </c>
      <c r="K256" s="4">
        <v>13.86</v>
      </c>
      <c r="L256" s="4">
        <f>K256-J256</f>
      </c>
      <c r="M256" s="4">
        <f>L256*16.67%</f>
      </c>
      <c r="N256" s="4">
        <f>K256/100*11</f>
      </c>
      <c r="O256" s="4">
        <v>8.99</v>
      </c>
      <c r="P256" s="4">
        <v>0</v>
      </c>
      <c r="Q256" s="4">
        <f>P256*20%</f>
      </c>
      <c r="R256" s="4">
        <v>0</v>
      </c>
      <c r="S256" s="4">
        <f>L256-M256-N256-O256-P256-Q256-R256</f>
      </c>
      <c r="T256" s="4">
        <f>(S256-V256)/J256*100</f>
      </c>
      <c r="U256" s="4">
        <f>M256-Q256</f>
      </c>
      <c r="W256" s="4">
        <f>S256-V256</f>
      </c>
      <c r="AB256" t="s">
        <v>1</v>
      </c>
    </row>
    <row r="257" spans="1:28" x14ac:dyDescent="0.25">
      <c r="A257" s="8">
        <v>46188.5</v>
      </c>
      <c r="B257" t="s">
        <v>1177</v>
      </c>
      <c r="C257" t="s">
        <v>174</v>
      </c>
      <c r="D257" s="9" t="s">
        <v>1</v>
      </c>
      <c r="E257" t="s">
        <v>174</v>
      </c>
      <c r="F257" t="s">
        <v>1</v>
      </c>
      <c r="G257" t="s">
        <v>1</v>
      </c>
      <c r="H257" t="s">
        <v>66</v>
      </c>
      <c r="I257">
        <v>2</v>
      </c>
      <c r="J257" s="4">
        <v>8.5</v>
      </c>
      <c r="K257" s="4">
        <v>11.98</v>
      </c>
      <c r="L257" s="4">
        <f>K257-J257</f>
      </c>
      <c r="M257" s="4">
        <f>L257*16.67%</f>
      </c>
      <c r="N257" s="4">
        <f>K257/100*11</f>
      </c>
      <c r="O257" s="4">
        <v>8.99</v>
      </c>
      <c r="P257" s="4">
        <v>0</v>
      </c>
      <c r="Q257" s="4">
        <f>P257*20%</f>
      </c>
      <c r="R257" s="4">
        <v>0</v>
      </c>
      <c r="S257" s="4">
        <f>L257-M257-N257-O257-P257-Q257-R257</f>
      </c>
      <c r="T257" s="4">
        <f>(S257-V257)/J257*100</f>
      </c>
      <c r="U257" s="4">
        <f>M257-Q257</f>
      </c>
      <c r="W257" s="4">
        <f>S257-V257</f>
      </c>
      <c r="AB257" t="s">
        <v>1</v>
      </c>
    </row>
    <row r="258" spans="1:28" x14ac:dyDescent="0.25">
      <c r="A258" s="8">
        <v>46188.5</v>
      </c>
      <c r="B258" t="s">
        <v>1178</v>
      </c>
      <c r="C258" t="s">
        <v>1</v>
      </c>
      <c r="D258" s="9" t="s">
        <v>1</v>
      </c>
      <c r="E258" t="s">
        <v>1</v>
      </c>
      <c r="F258" t="s">
        <v>1</v>
      </c>
      <c r="G258" t="s">
        <v>1</v>
      </c>
      <c r="H258" t="s">
        <v>66</v>
      </c>
      <c r="I258">
        <v>1</v>
      </c>
      <c r="J258" s="4">
        <v>98</v>
      </c>
      <c r="K258" s="4">
        <v>138.18</v>
      </c>
      <c r="L258" s="4">
        <f>K258-J258</f>
      </c>
      <c r="M258" s="4">
        <f>L258*16.67%</f>
      </c>
      <c r="N258" s="4">
        <f>K258/100*11</f>
      </c>
      <c r="O258" s="4">
        <v>8.99</v>
      </c>
      <c r="P258" s="4">
        <v>0</v>
      </c>
      <c r="Q258" s="4">
        <f>P258*20%</f>
      </c>
      <c r="R258" s="4">
        <v>1</v>
      </c>
      <c r="S258" s="4">
        <f>L258-M258-N258-O258-P258-Q258-R258</f>
      </c>
      <c r="T258" s="4">
        <f>(S258-V258)/J258*100</f>
      </c>
      <c r="U258" s="4">
        <f>M258-Q258</f>
      </c>
      <c r="W258" s="4">
        <f>S258-V258</f>
      </c>
      <c r="AB258" t="s">
        <v>1</v>
      </c>
    </row>
    <row r="259" spans="1:28" x14ac:dyDescent="0.25">
      <c r="A259" s="8">
        <v>46187.5</v>
      </c>
      <c r="B259" t="s">
        <v>1179</v>
      </c>
      <c r="C259" t="s">
        <v>1</v>
      </c>
      <c r="D259" s="9" t="s">
        <v>1180</v>
      </c>
      <c r="E259" t="s">
        <v>172</v>
      </c>
      <c r="F259" t="s">
        <v>74</v>
      </c>
      <c r="G259" t="s">
        <v>65</v>
      </c>
      <c r="H259" t="s">
        <v>61</v>
      </c>
      <c r="I259">
        <v>1</v>
      </c>
      <c r="J259" s="4">
        <v>162</v>
      </c>
      <c r="K259" s="4">
        <v>231.66</v>
      </c>
      <c r="L259" s="4">
        <f>K259-J259</f>
      </c>
      <c r="M259" s="4">
        <f>L259*16.67%</f>
      </c>
      <c r="N259" s="4">
        <f>K259/100*11</f>
      </c>
      <c r="O259" s="4">
        <v>8.99</v>
      </c>
      <c r="P259" s="4">
        <v>0</v>
      </c>
      <c r="Q259" s="4">
        <f>P259*20%</f>
      </c>
      <c r="R259" s="4">
        <v>1</v>
      </c>
      <c r="S259" s="4">
        <f>L259-M259-N259-O259-P259-Q259-R259</f>
      </c>
      <c r="T259" s="4">
        <f>(S259-V259)/J259*100</f>
      </c>
      <c r="U259" s="4">
        <f>M259-Q259</f>
      </c>
      <c r="W259" s="4">
        <f>S259-V259</f>
      </c>
      <c r="AB259" t="s">
        <v>1</v>
      </c>
    </row>
    <row r="260" spans="1:28" x14ac:dyDescent="0.25">
      <c r="A260" s="8">
        <v>46187.5</v>
      </c>
      <c r="B260" t="s">
        <v>1181</v>
      </c>
      <c r="C260" t="s">
        <v>1</v>
      </c>
      <c r="D260" s="9" t="s">
        <v>1182</v>
      </c>
      <c r="E260" t="s">
        <v>125</v>
      </c>
      <c r="F260" t="s">
        <v>99</v>
      </c>
      <c r="G260" t="s">
        <v>126</v>
      </c>
      <c r="H260" t="s">
        <v>102</v>
      </c>
      <c r="I260">
        <v>1</v>
      </c>
      <c r="J260" s="4">
        <v>230</v>
      </c>
      <c r="K260" s="4">
        <v>287.5</v>
      </c>
      <c r="L260" s="4">
        <f>K260-J260</f>
      </c>
      <c r="M260" s="4">
        <f>L260*16.67%</f>
      </c>
      <c r="N260" s="4">
        <f>K260/100*11</f>
      </c>
      <c r="O260" s="4">
        <v>8.99</v>
      </c>
      <c r="P260" s="4">
        <v>0</v>
      </c>
      <c r="Q260" s="4">
        <f>P260*20%</f>
      </c>
      <c r="R260" s="4">
        <v>1</v>
      </c>
      <c r="S260" s="4">
        <f>L260-M260-N260-O260-P260-Q260-R260</f>
      </c>
      <c r="T260" s="4">
        <f>(S260-V260)/J260*100</f>
      </c>
      <c r="U260" s="4">
        <f>M260-Q260</f>
      </c>
      <c r="W260" s="4">
        <f>S260-V260</f>
      </c>
      <c r="AB260" t="s">
        <v>1</v>
      </c>
    </row>
    <row r="261" spans="1:28" x14ac:dyDescent="0.25">
      <c r="A261" s="8">
        <v>46187.5</v>
      </c>
      <c r="B261" t="s">
        <v>1183</v>
      </c>
      <c r="C261" t="s">
        <v>177</v>
      </c>
      <c r="D261" s="9" t="s">
        <v>1</v>
      </c>
      <c r="E261" t="s">
        <v>177</v>
      </c>
      <c r="F261" t="s">
        <v>1</v>
      </c>
      <c r="G261" t="s">
        <v>1</v>
      </c>
      <c r="H261" t="s">
        <v>78</v>
      </c>
      <c r="I261">
        <v>1</v>
      </c>
      <c r="J261" s="4">
        <v>0.15</v>
      </c>
      <c r="K261" s="4">
        <v>0.2</v>
      </c>
      <c r="L261" s="4">
        <f>K261-J261</f>
      </c>
      <c r="M261" s="4">
        <f>L261*16.67%</f>
      </c>
      <c r="N261" s="4">
        <f>K261/100*11</f>
      </c>
      <c r="O261" s="4">
        <v>8.99</v>
      </c>
      <c r="P261" s="4">
        <v>0</v>
      </c>
      <c r="Q261" s="4">
        <f>P261*20%</f>
      </c>
      <c r="R261" s="4">
        <v>0</v>
      </c>
      <c r="S261" s="4">
        <f>L261-M261-N261-O261-P261-Q261-R261</f>
      </c>
      <c r="T261" s="4">
        <f>(S261-V261)/J261*100</f>
      </c>
      <c r="U261" s="4">
        <f>M261-Q261</f>
      </c>
      <c r="W261" s="4">
        <f>S261-V261</f>
      </c>
      <c r="AB261" t="s">
        <v>1</v>
      </c>
    </row>
    <row r="262" spans="1:28" x14ac:dyDescent="0.25">
      <c r="A262" s="8">
        <v>46186.5</v>
      </c>
      <c r="B262" t="s">
        <v>1184</v>
      </c>
      <c r="C262" t="s">
        <v>1</v>
      </c>
      <c r="D262" s="9" t="s">
        <v>1185</v>
      </c>
      <c r="E262" t="s">
        <v>125</v>
      </c>
      <c r="F262" t="s">
        <v>74</v>
      </c>
      <c r="G262" t="s">
        <v>126</v>
      </c>
      <c r="H262" t="s">
        <v>66</v>
      </c>
      <c r="I262">
        <v>1</v>
      </c>
      <c r="J262" s="4">
        <v>290</v>
      </c>
      <c r="K262" s="4">
        <v>394.4</v>
      </c>
      <c r="L262" s="4">
        <f>K262-J262</f>
      </c>
      <c r="M262" s="4">
        <f>L262*16.67%</f>
      </c>
      <c r="N262" s="4">
        <f>K262/100*11</f>
      </c>
      <c r="O262" s="4">
        <v>8.99</v>
      </c>
      <c r="P262" s="4">
        <v>0</v>
      </c>
      <c r="Q262" s="4">
        <f>P262*20%</f>
      </c>
      <c r="R262" s="4">
        <v>1</v>
      </c>
      <c r="S262" s="4">
        <f>L262-M262-N262-O262-P262-Q262-R262</f>
      </c>
      <c r="T262" s="4">
        <f>(S262-V262)/J262*100</f>
      </c>
      <c r="U262" s="4">
        <f>M262-Q262</f>
      </c>
      <c r="W262" s="4">
        <f>S262-V262</f>
      </c>
      <c r="AB262" t="s">
        <v>1</v>
      </c>
    </row>
    <row r="263" spans="1:28" x14ac:dyDescent="0.25">
      <c r="A263" s="8">
        <v>46186.5</v>
      </c>
      <c r="B263" t="s">
        <v>1186</v>
      </c>
      <c r="C263" t="s">
        <v>1</v>
      </c>
      <c r="D263" s="9" t="s">
        <v>1187</v>
      </c>
      <c r="E263" t="s">
        <v>94</v>
      </c>
      <c r="F263" t="s">
        <v>85</v>
      </c>
      <c r="G263" t="s">
        <v>95</v>
      </c>
      <c r="H263" t="s">
        <v>66</v>
      </c>
      <c r="I263">
        <v>1</v>
      </c>
      <c r="J263" s="4">
        <v>63</v>
      </c>
      <c r="K263" s="4">
        <v>83.16</v>
      </c>
      <c r="L263" s="4">
        <f>K263-J263</f>
      </c>
      <c r="M263" s="4">
        <f>L263*16.67%</f>
      </c>
      <c r="N263" s="4">
        <f>K263/100*11</f>
      </c>
      <c r="O263" s="4">
        <v>8.99</v>
      </c>
      <c r="P263" s="4">
        <v>0</v>
      </c>
      <c r="Q263" s="4">
        <f>P263*20%</f>
      </c>
      <c r="R263" s="4">
        <v>1</v>
      </c>
      <c r="S263" s="4">
        <f>L263-M263-N263-O263-P263-Q263-R263</f>
      </c>
      <c r="T263" s="4">
        <f>(S263-V263)/J263*100</f>
      </c>
      <c r="U263" s="4">
        <f>M263-Q263</f>
      </c>
      <c r="W263" s="4">
        <f>S263-V263</f>
      </c>
      <c r="AB263" t="s">
        <v>1</v>
      </c>
    </row>
    <row r="264" spans="1:28" x14ac:dyDescent="0.25">
      <c r="A264" s="8">
        <v>46186.5</v>
      </c>
      <c r="B264" t="s">
        <v>1188</v>
      </c>
      <c r="C264" t="s">
        <v>1</v>
      </c>
      <c r="D264" s="9" t="s">
        <v>1189</v>
      </c>
      <c r="E264" t="s">
        <v>64</v>
      </c>
      <c r="F264" t="s">
        <v>70</v>
      </c>
      <c r="G264" t="s">
        <v>65</v>
      </c>
      <c r="H264" t="s">
        <v>78</v>
      </c>
      <c r="I264">
        <v>1</v>
      </c>
      <c r="J264" s="4">
        <v>257</v>
      </c>
      <c r="K264" s="4">
        <v>372.65</v>
      </c>
      <c r="L264" s="4">
        <f>K264-J264</f>
      </c>
      <c r="M264" s="4">
        <f>L264*16.67%</f>
      </c>
      <c r="N264" s="4">
        <f>K264/100*11</f>
      </c>
      <c r="O264" s="4">
        <v>8.99</v>
      </c>
      <c r="P264" s="4">
        <v>0</v>
      </c>
      <c r="Q264" s="4">
        <f>P264*20%</f>
      </c>
      <c r="R264" s="4">
        <v>1</v>
      </c>
      <c r="S264" s="4">
        <f>L264-M264-N264-O264-P264-Q264-R264</f>
      </c>
      <c r="T264" s="4">
        <f>(S264-V264)/J264*100</f>
      </c>
      <c r="U264" s="4">
        <f>M264-Q264</f>
      </c>
      <c r="W264" s="4">
        <f>S264-V264</f>
      </c>
      <c r="AB264" t="s">
        <v>1</v>
      </c>
    </row>
    <row r="265" spans="1:28" x14ac:dyDescent="0.25">
      <c r="A265" s="8">
        <v>46186.5</v>
      </c>
      <c r="B265" t="s">
        <v>1190</v>
      </c>
      <c r="C265" t="s">
        <v>1</v>
      </c>
      <c r="D265" s="9" t="s">
        <v>1191</v>
      </c>
      <c r="E265" t="s">
        <v>131</v>
      </c>
      <c r="F265" t="s">
        <v>99</v>
      </c>
      <c r="G265" t="s">
        <v>65</v>
      </c>
      <c r="H265" t="s">
        <v>75</v>
      </c>
      <c r="I265">
        <v>1</v>
      </c>
      <c r="J265" s="4">
        <v>267</v>
      </c>
      <c r="K265" s="4">
        <v>363.12</v>
      </c>
      <c r="L265" s="4">
        <f>K265-J265</f>
      </c>
      <c r="M265" s="4">
        <f>L265*16.67%</f>
      </c>
      <c r="N265" s="4">
        <f>K265/100*11</f>
      </c>
      <c r="O265" s="4">
        <v>8.99</v>
      </c>
      <c r="P265" s="4">
        <v>0</v>
      </c>
      <c r="Q265" s="4">
        <f>P265*20%</f>
      </c>
      <c r="R265" s="4">
        <v>1</v>
      </c>
      <c r="S265" s="4">
        <f>L265-M265-N265-O265-P265-Q265-R265</f>
      </c>
      <c r="T265" s="4">
        <f>(S265-V265)/J265*100</f>
      </c>
      <c r="U265" s="4">
        <f>M265-Q265</f>
      </c>
      <c r="W265" s="4">
        <f>S265-V265</f>
      </c>
      <c r="AB265" t="s">
        <v>1</v>
      </c>
    </row>
    <row r="266" spans="1:28" x14ac:dyDescent="0.25">
      <c r="A266" s="8">
        <v>46186.5</v>
      </c>
      <c r="B266" t="s">
        <v>1192</v>
      </c>
      <c r="C266" t="s">
        <v>189</v>
      </c>
      <c r="D266" s="9" t="s">
        <v>1</v>
      </c>
      <c r="E266" t="s">
        <v>189</v>
      </c>
      <c r="F266" t="s">
        <v>1</v>
      </c>
      <c r="G266" t="s">
        <v>1</v>
      </c>
      <c r="H266" t="s">
        <v>66</v>
      </c>
      <c r="I266">
        <v>2</v>
      </c>
      <c r="J266" s="4">
        <v>7</v>
      </c>
      <c r="K266" s="4">
        <v>9.66</v>
      </c>
      <c r="L266" s="4">
        <f>K266-J266</f>
      </c>
      <c r="M266" s="4">
        <f>L266*16.67%</f>
      </c>
      <c r="N266" s="4">
        <f>K266/100*11</f>
      </c>
      <c r="O266" s="4">
        <v>8.99</v>
      </c>
      <c r="P266" s="4">
        <v>0</v>
      </c>
      <c r="Q266" s="4">
        <f>P266*20%</f>
      </c>
      <c r="R266" s="4">
        <v>0</v>
      </c>
      <c r="S266" s="4">
        <f>L266-M266-N266-O266-P266-Q266-R266</f>
      </c>
      <c r="T266" s="4">
        <f>(S266-V266)/J266*100</f>
      </c>
      <c r="U266" s="4">
        <f>M266-Q266</f>
      </c>
      <c r="W266" s="4">
        <f>S266-V266</f>
      </c>
      <c r="AB266" t="s">
        <v>1</v>
      </c>
    </row>
    <row r="267" spans="1:28" x14ac:dyDescent="0.25">
      <c r="A267" s="8">
        <v>46185.5</v>
      </c>
      <c r="B267" t="s">
        <v>1193</v>
      </c>
      <c r="C267" t="s">
        <v>1</v>
      </c>
      <c r="D267" s="9" t="s">
        <v>1194</v>
      </c>
      <c r="E267" t="s">
        <v>64</v>
      </c>
      <c r="F267" t="s">
        <v>70</v>
      </c>
      <c r="G267" t="s">
        <v>65</v>
      </c>
      <c r="H267" t="s">
        <v>102</v>
      </c>
      <c r="I267">
        <v>1</v>
      </c>
      <c r="J267" s="4">
        <v>238</v>
      </c>
      <c r="K267" s="4">
        <v>337.96</v>
      </c>
      <c r="L267" s="4">
        <f>K267-J267</f>
      </c>
      <c r="M267" s="4">
        <f>L267*16.67%</f>
      </c>
      <c r="N267" s="4">
        <f>K267/100*11</f>
      </c>
      <c r="O267" s="4">
        <v>8.99</v>
      </c>
      <c r="P267" s="4">
        <v>0</v>
      </c>
      <c r="Q267" s="4">
        <f>P267*20%</f>
      </c>
      <c r="R267" s="4">
        <v>1</v>
      </c>
      <c r="S267" s="4">
        <f>L267-M267-N267-O267-P267-Q267-R267</f>
      </c>
      <c r="T267" s="4">
        <f>(S267-V267)/J267*100</f>
      </c>
      <c r="U267" s="4">
        <f>M267-Q267</f>
      </c>
      <c r="W267" s="4">
        <f>S267-V267</f>
      </c>
      <c r="AB267" t="s">
        <v>1</v>
      </c>
    </row>
    <row r="268" spans="1:28" x14ac:dyDescent="0.25">
      <c r="A268" s="8">
        <v>46185.5</v>
      </c>
      <c r="B268" t="s">
        <v>1195</v>
      </c>
      <c r="C268" t="s">
        <v>1</v>
      </c>
      <c r="D268" s="9" t="s">
        <v>1196</v>
      </c>
      <c r="E268" t="s">
        <v>114</v>
      </c>
      <c r="F268" t="s">
        <v>74</v>
      </c>
      <c r="G268" t="s">
        <v>95</v>
      </c>
      <c r="H268" t="s">
        <v>61</v>
      </c>
      <c r="I268">
        <v>1</v>
      </c>
      <c r="J268" s="4">
        <v>243</v>
      </c>
      <c r="K268" s="4">
        <v>311.04</v>
      </c>
      <c r="L268" s="4">
        <f>K268-J268</f>
      </c>
      <c r="M268" s="4">
        <f>L268*16.67%</f>
      </c>
      <c r="N268" s="4">
        <f>K268/100*11</f>
      </c>
      <c r="O268" s="4">
        <v>8.99</v>
      </c>
      <c r="P268" s="4">
        <v>0</v>
      </c>
      <c r="Q268" s="4">
        <f>P268*20%</f>
      </c>
      <c r="R268" s="4">
        <v>1</v>
      </c>
      <c r="S268" s="4">
        <f>L268-M268-N268-O268-P268-Q268-R268</f>
      </c>
      <c r="T268" s="4">
        <f>(S268-V268)/J268*100</f>
      </c>
      <c r="U268" s="4">
        <f>M268-Q268</f>
      </c>
      <c r="W268" s="4">
        <f>S268-V268</f>
      </c>
      <c r="AB268" t="s">
        <v>1</v>
      </c>
    </row>
    <row r="269" spans="1:28" x14ac:dyDescent="0.25">
      <c r="A269" s="8">
        <v>46185.5</v>
      </c>
      <c r="B269" t="s">
        <v>1197</v>
      </c>
      <c r="C269" t="s">
        <v>1</v>
      </c>
      <c r="D269" s="9" t="s">
        <v>1198</v>
      </c>
      <c r="E269" t="s">
        <v>125</v>
      </c>
      <c r="F269" t="s">
        <v>99</v>
      </c>
      <c r="G269" t="s">
        <v>126</v>
      </c>
      <c r="H269" t="s">
        <v>102</v>
      </c>
      <c r="I269">
        <v>1</v>
      </c>
      <c r="J269" s="4">
        <v>236</v>
      </c>
      <c r="K269" s="4">
        <v>323.32</v>
      </c>
      <c r="L269" s="4">
        <f>K269-J269</f>
      </c>
      <c r="M269" s="4">
        <f>L269*16.67%</f>
      </c>
      <c r="N269" s="4">
        <f>K269/100*11</f>
      </c>
      <c r="O269" s="4">
        <v>8.99</v>
      </c>
      <c r="P269" s="4">
        <v>0</v>
      </c>
      <c r="Q269" s="4">
        <f>P269*20%</f>
      </c>
      <c r="R269" s="4">
        <v>1</v>
      </c>
      <c r="S269" s="4">
        <f>L269-M269-N269-O269-P269-Q269-R269</f>
      </c>
      <c r="T269" s="4">
        <f>(S269-V269)/J269*100</f>
      </c>
      <c r="U269" s="4">
        <f>M269-Q269</f>
      </c>
      <c r="W269" s="4">
        <f>S269-V269</f>
      </c>
      <c r="AB269" t="s">
        <v>1</v>
      </c>
    </row>
    <row r="270" spans="1:28" x14ac:dyDescent="0.25">
      <c r="A270" s="8">
        <v>46185.5</v>
      </c>
      <c r="B270" t="s">
        <v>1199</v>
      </c>
      <c r="C270" t="s">
        <v>1</v>
      </c>
      <c r="D270" s="9" t="s">
        <v>1200</v>
      </c>
      <c r="E270" t="s">
        <v>64</v>
      </c>
      <c r="F270" t="s">
        <v>70</v>
      </c>
      <c r="G270" t="s">
        <v>65</v>
      </c>
      <c r="H270" t="s">
        <v>102</v>
      </c>
      <c r="I270">
        <v>1</v>
      </c>
      <c r="J270" s="4">
        <v>249</v>
      </c>
      <c r="K270" s="4">
        <v>293.82</v>
      </c>
      <c r="L270" s="4">
        <f>K270-J270</f>
      </c>
      <c r="M270" s="4">
        <f>L270*16.67%</f>
      </c>
      <c r="N270" s="4">
        <f>K270/100*11</f>
      </c>
      <c r="O270" s="4">
        <v>8.99</v>
      </c>
      <c r="P270" s="4">
        <v>0</v>
      </c>
      <c r="Q270" s="4">
        <f>P270*20%</f>
      </c>
      <c r="R270" s="4">
        <v>1</v>
      </c>
      <c r="S270" s="4">
        <f>L270-M270-N270-O270-P270-Q270-R270</f>
      </c>
      <c r="T270" s="4">
        <f>(S270-V270)/J270*100</f>
      </c>
      <c r="U270" s="4">
        <f>M270-Q270</f>
      </c>
      <c r="W270" s="4">
        <f>S270-V270</f>
      </c>
      <c r="AB270" t="s">
        <v>1</v>
      </c>
    </row>
    <row r="271" spans="1:28" x14ac:dyDescent="0.25">
      <c r="A271" s="8">
        <v>46185.5</v>
      </c>
      <c r="B271" t="s">
        <v>1201</v>
      </c>
      <c r="C271" t="s">
        <v>174</v>
      </c>
      <c r="D271" s="9" t="s">
        <v>1</v>
      </c>
      <c r="E271" t="s">
        <v>174</v>
      </c>
      <c r="F271" t="s">
        <v>1</v>
      </c>
      <c r="G271" t="s">
        <v>1</v>
      </c>
      <c r="H271" t="s">
        <v>66</v>
      </c>
      <c r="I271">
        <v>3</v>
      </c>
      <c r="J271" s="4">
        <v>12.75</v>
      </c>
      <c r="K271" s="4">
        <v>17.72</v>
      </c>
      <c r="L271" s="4">
        <f>K271-J271</f>
      </c>
      <c r="M271" s="4">
        <f>L271*16.67%</f>
      </c>
      <c r="N271" s="4">
        <f>K271/100*11</f>
      </c>
      <c r="O271" s="4">
        <v>8.99</v>
      </c>
      <c r="P271" s="4">
        <v>0</v>
      </c>
      <c r="Q271" s="4">
        <f>P271*20%</f>
      </c>
      <c r="R271" s="4">
        <v>0</v>
      </c>
      <c r="S271" s="4">
        <f>L271-M271-N271-O271-P271-Q271-R271</f>
      </c>
      <c r="T271" s="4">
        <f>(S271-V271)/J271*100</f>
      </c>
      <c r="U271" s="4">
        <f>M271-Q271</f>
      </c>
      <c r="W271" s="4">
        <f>S271-V271</f>
      </c>
      <c r="AB271" t="s">
        <v>1</v>
      </c>
    </row>
    <row r="272" spans="1:28" x14ac:dyDescent="0.25">
      <c r="A272" s="8">
        <v>46185.5</v>
      </c>
      <c r="B272" t="s">
        <v>1202</v>
      </c>
      <c r="C272" t="s">
        <v>174</v>
      </c>
      <c r="D272" s="9" t="s">
        <v>1</v>
      </c>
      <c r="E272" t="s">
        <v>174</v>
      </c>
      <c r="F272" t="s">
        <v>1</v>
      </c>
      <c r="G272" t="s">
        <v>1</v>
      </c>
      <c r="H272" t="s">
        <v>66</v>
      </c>
      <c r="I272">
        <v>4</v>
      </c>
      <c r="J272" s="4">
        <v>17</v>
      </c>
      <c r="K272" s="4">
        <v>19.72</v>
      </c>
      <c r="L272" s="4">
        <f>K272-J272</f>
      </c>
      <c r="M272" s="4">
        <f>L272*16.67%</f>
      </c>
      <c r="N272" s="4">
        <f>K272/100*11</f>
      </c>
      <c r="O272" s="4">
        <v>8.99</v>
      </c>
      <c r="P272" s="4">
        <v>0</v>
      </c>
      <c r="Q272" s="4">
        <f>P272*20%</f>
      </c>
      <c r="R272" s="4">
        <v>0</v>
      </c>
      <c r="S272" s="4">
        <f>L272-M272-N272-O272-P272-Q272-R272</f>
      </c>
      <c r="T272" s="4">
        <f>(S272-V272)/J272*100</f>
      </c>
      <c r="U272" s="4">
        <f>M272-Q272</f>
      </c>
      <c r="W272" s="4">
        <f>S272-V272</f>
      </c>
      <c r="AB272" t="s">
        <v>1</v>
      </c>
    </row>
    <row r="273" spans="1:28" x14ac:dyDescent="0.25">
      <c r="A273" s="8">
        <v>46184.5</v>
      </c>
      <c r="B273" t="s">
        <v>1203</v>
      </c>
      <c r="C273" t="s">
        <v>1</v>
      </c>
      <c r="D273" s="9" t="s">
        <v>1204</v>
      </c>
      <c r="E273" t="s">
        <v>69</v>
      </c>
      <c r="F273" t="s">
        <v>59</v>
      </c>
      <c r="G273" t="s">
        <v>60</v>
      </c>
      <c r="H273" t="s">
        <v>75</v>
      </c>
      <c r="I273">
        <v>1</v>
      </c>
      <c r="J273" s="4">
        <v>534</v>
      </c>
      <c r="K273" s="4">
        <v>656.82</v>
      </c>
      <c r="L273" s="4">
        <f>K273-J273</f>
      </c>
      <c r="M273" s="4">
        <f>L273*16.67%</f>
      </c>
      <c r="N273" s="4">
        <f>K273/100*11</f>
      </c>
      <c r="O273" s="4">
        <v>8.99</v>
      </c>
      <c r="P273" s="4">
        <v>0</v>
      </c>
      <c r="Q273" s="4">
        <f>P273*20%</f>
      </c>
      <c r="R273" s="4">
        <v>1</v>
      </c>
      <c r="S273" s="4">
        <f>L273-M273-N273-O273-P273-Q273-R273</f>
      </c>
      <c r="T273" s="4">
        <f>(S273-V273)/J273*100</f>
      </c>
      <c r="U273" s="4">
        <f>M273-Q273</f>
      </c>
      <c r="W273" s="4">
        <f>S273-V273</f>
      </c>
      <c r="AB273" t="s">
        <v>1</v>
      </c>
    </row>
    <row r="274" spans="1:28" x14ac:dyDescent="0.25">
      <c r="A274" s="8">
        <v>46184.5</v>
      </c>
      <c r="B274" t="s">
        <v>1205</v>
      </c>
      <c r="C274" t="s">
        <v>1</v>
      </c>
      <c r="D274" s="9" t="s">
        <v>1206</v>
      </c>
      <c r="E274" t="s">
        <v>234</v>
      </c>
      <c r="F274" t="s">
        <v>99</v>
      </c>
      <c r="G274" t="s">
        <v>65</v>
      </c>
      <c r="H274" t="s">
        <v>61</v>
      </c>
      <c r="I274">
        <v>1</v>
      </c>
      <c r="J274" s="4">
        <v>174</v>
      </c>
      <c r="K274" s="4">
        <v>220.98</v>
      </c>
      <c r="L274" s="4">
        <f>K274-J274</f>
      </c>
      <c r="M274" s="4">
        <f>L274*16.67%</f>
      </c>
      <c r="N274" s="4">
        <f>K274/100*11</f>
      </c>
      <c r="O274" s="4">
        <v>8.99</v>
      </c>
      <c r="P274" s="4">
        <v>0</v>
      </c>
      <c r="Q274" s="4">
        <f>P274*20%</f>
      </c>
      <c r="R274" s="4">
        <v>1</v>
      </c>
      <c r="S274" s="4">
        <f>L274-M274-N274-O274-P274-Q274-R274</f>
      </c>
      <c r="T274" s="4">
        <f>(S274-V274)/J274*100</f>
      </c>
      <c r="U274" s="4">
        <f>M274-Q274</f>
      </c>
      <c r="W274" s="4">
        <f>S274-V274</f>
      </c>
      <c r="AB274" t="s">
        <v>1</v>
      </c>
    </row>
    <row r="275" spans="1:28" x14ac:dyDescent="0.25">
      <c r="A275" s="8">
        <v>46184.5</v>
      </c>
      <c r="B275" t="s">
        <v>1207</v>
      </c>
      <c r="C275" t="s">
        <v>182</v>
      </c>
      <c r="D275" s="9" t="s">
        <v>1</v>
      </c>
      <c r="E275" t="s">
        <v>182</v>
      </c>
      <c r="F275" t="s">
        <v>1</v>
      </c>
      <c r="G275" t="s">
        <v>1</v>
      </c>
      <c r="H275" t="s">
        <v>75</v>
      </c>
      <c r="I275">
        <v>2</v>
      </c>
      <c r="J275" s="4">
        <v>3.8</v>
      </c>
      <c r="K275" s="4">
        <v>5.24</v>
      </c>
      <c r="L275" s="4">
        <f>K275-J275</f>
      </c>
      <c r="M275" s="4">
        <f>L275*16.67%</f>
      </c>
      <c r="N275" s="4">
        <f>K275/100*11</f>
      </c>
      <c r="O275" s="4">
        <v>8.99</v>
      </c>
      <c r="P275" s="4">
        <v>0</v>
      </c>
      <c r="Q275" s="4">
        <f>P275*20%</f>
      </c>
      <c r="R275" s="4">
        <v>0</v>
      </c>
      <c r="S275" s="4">
        <f>L275-M275-N275-O275-P275-Q275-R275</f>
      </c>
      <c r="T275" s="4">
        <f>(S275-V275)/J275*100</f>
      </c>
      <c r="U275" s="4">
        <f>M275-Q275</f>
      </c>
      <c r="W275" s="4">
        <f>S275-V275</f>
      </c>
      <c r="AB275" t="s">
        <v>1</v>
      </c>
    </row>
    <row r="276" spans="1:28" x14ac:dyDescent="0.25">
      <c r="A276" s="8">
        <v>46184.5</v>
      </c>
      <c r="B276" t="s">
        <v>1208</v>
      </c>
      <c r="C276" t="s">
        <v>1</v>
      </c>
      <c r="D276" s="9" t="s">
        <v>1</v>
      </c>
      <c r="E276" t="s">
        <v>1</v>
      </c>
      <c r="F276" t="s">
        <v>1</v>
      </c>
      <c r="G276" t="s">
        <v>1</v>
      </c>
      <c r="H276" t="s">
        <v>78</v>
      </c>
      <c r="I276">
        <v>1</v>
      </c>
      <c r="J276" s="4">
        <v>543</v>
      </c>
      <c r="K276" s="4">
        <v>749.34</v>
      </c>
      <c r="L276" s="4">
        <f>K276-J276</f>
      </c>
      <c r="M276" s="4">
        <f>L276*16.67%</f>
      </c>
      <c r="N276" s="4">
        <f>K276/100*11</f>
      </c>
      <c r="O276" s="4">
        <v>8.99</v>
      </c>
      <c r="P276" s="4">
        <v>0</v>
      </c>
      <c r="Q276" s="4">
        <f>P276*20%</f>
      </c>
      <c r="R276" s="4">
        <v>1</v>
      </c>
      <c r="S276" s="4">
        <f>L276-M276-N276-O276-P276-Q276-R276</f>
      </c>
      <c r="T276" s="4">
        <f>(S276-V276)/J276*100</f>
      </c>
      <c r="U276" s="4">
        <f>M276-Q276</f>
      </c>
      <c r="W276" s="4">
        <f>S276-V276</f>
      </c>
      <c r="AB276" t="s">
        <v>1</v>
      </c>
    </row>
    <row r="277" spans="1:28" x14ac:dyDescent="0.25">
      <c r="A277" s="8">
        <v>46183.5</v>
      </c>
      <c r="B277" t="s">
        <v>1209</v>
      </c>
      <c r="C277" t="s">
        <v>1</v>
      </c>
      <c r="D277" s="9" t="s">
        <v>1210</v>
      </c>
      <c r="E277" t="s">
        <v>64</v>
      </c>
      <c r="F277" t="s">
        <v>59</v>
      </c>
      <c r="G277" t="s">
        <v>65</v>
      </c>
      <c r="H277" t="s">
        <v>66</v>
      </c>
      <c r="I277">
        <v>1</v>
      </c>
      <c r="J277" s="4">
        <v>229</v>
      </c>
      <c r="K277" s="4">
        <v>270.22</v>
      </c>
      <c r="L277" s="4">
        <f>K277-J277</f>
      </c>
      <c r="M277" s="4">
        <f>L277*16.67%</f>
      </c>
      <c r="N277" s="4">
        <f>K277/100*11</f>
      </c>
      <c r="O277" s="4">
        <v>8.99</v>
      </c>
      <c r="P277" s="4">
        <v>0</v>
      </c>
      <c r="Q277" s="4">
        <f>P277*20%</f>
      </c>
      <c r="R277" s="4">
        <v>1</v>
      </c>
      <c r="S277" s="4">
        <f>L277-M277-N277-O277-P277-Q277-R277</f>
      </c>
      <c r="T277" s="4">
        <f>(S277-V277)/J277*100</f>
      </c>
      <c r="U277" s="4">
        <f>M277-Q277</f>
      </c>
      <c r="W277" s="4">
        <f>S277-V277</f>
      </c>
      <c r="AB277" t="s">
        <v>1</v>
      </c>
    </row>
    <row r="278" spans="1:28" x14ac:dyDescent="0.25">
      <c r="A278" s="8">
        <v>46183.5</v>
      </c>
      <c r="B278" t="s">
        <v>1211</v>
      </c>
      <c r="C278" t="s">
        <v>1</v>
      </c>
      <c r="D278" s="9" t="s">
        <v>1212</v>
      </c>
      <c r="E278" t="s">
        <v>64</v>
      </c>
      <c r="F278" t="s">
        <v>70</v>
      </c>
      <c r="G278" t="s">
        <v>65</v>
      </c>
      <c r="H278" t="s">
        <v>66</v>
      </c>
      <c r="I278">
        <v>1</v>
      </c>
      <c r="J278" s="4">
        <v>246</v>
      </c>
      <c r="K278" s="4">
        <v>346.86</v>
      </c>
      <c r="L278" s="4">
        <f>K278-J278</f>
      </c>
      <c r="M278" s="4">
        <f>L278*16.67%</f>
      </c>
      <c r="N278" s="4">
        <f>K278/100*11</f>
      </c>
      <c r="O278" s="4">
        <v>8.99</v>
      </c>
      <c r="P278" s="4">
        <v>0</v>
      </c>
      <c r="Q278" s="4">
        <f>P278*20%</f>
      </c>
      <c r="R278" s="4">
        <v>1</v>
      </c>
      <c r="S278" s="4">
        <f>L278-M278-N278-O278-P278-Q278-R278</f>
      </c>
      <c r="T278" s="4">
        <f>(S278-V278)/J278*100</f>
      </c>
      <c r="U278" s="4">
        <f>M278-Q278</f>
      </c>
      <c r="W278" s="4">
        <f>S278-V278</f>
      </c>
      <c r="AB278" t="s">
        <v>1</v>
      </c>
    </row>
    <row r="279" spans="1:28" x14ac:dyDescent="0.25">
      <c r="A279" s="8">
        <v>46183.5</v>
      </c>
      <c r="B279" t="s">
        <v>1213</v>
      </c>
      <c r="C279" t="s">
        <v>1</v>
      </c>
      <c r="D279" s="9" t="s">
        <v>1214</v>
      </c>
      <c r="E279" t="s">
        <v>114</v>
      </c>
      <c r="F279" t="s">
        <v>88</v>
      </c>
      <c r="G279" t="s">
        <v>60</v>
      </c>
      <c r="H279" t="s">
        <v>66</v>
      </c>
      <c r="I279">
        <v>1</v>
      </c>
      <c r="J279" s="4">
        <v>259</v>
      </c>
      <c r="K279" s="4">
        <v>303.03</v>
      </c>
      <c r="L279" s="4">
        <f>K279-J279</f>
      </c>
      <c r="M279" s="4">
        <f>L279*16.67%</f>
      </c>
      <c r="N279" s="4">
        <f>K279/100*11</f>
      </c>
      <c r="O279" s="4">
        <v>8.99</v>
      </c>
      <c r="P279" s="4">
        <v>0</v>
      </c>
      <c r="Q279" s="4">
        <f>P279*20%</f>
      </c>
      <c r="R279" s="4">
        <v>1</v>
      </c>
      <c r="S279" s="4">
        <f>L279-M279-N279-O279-P279-Q279-R279</f>
      </c>
      <c r="T279" s="4">
        <f>(S279-V279)/J279*100</f>
      </c>
      <c r="U279" s="4">
        <f>M279-Q279</f>
      </c>
      <c r="W279" s="4">
        <f>S279-V279</f>
      </c>
      <c r="AB279" t="s">
        <v>1</v>
      </c>
    </row>
    <row r="280" spans="1:28" x14ac:dyDescent="0.25">
      <c r="A280" s="8">
        <v>46183.5</v>
      </c>
      <c r="B280" t="s">
        <v>1215</v>
      </c>
      <c r="C280" t="s">
        <v>1</v>
      </c>
      <c r="D280" s="9" t="s">
        <v>1216</v>
      </c>
      <c r="E280" t="s">
        <v>73</v>
      </c>
      <c r="F280" t="s">
        <v>59</v>
      </c>
      <c r="G280" t="s">
        <v>60</v>
      </c>
      <c r="H280" t="s">
        <v>75</v>
      </c>
      <c r="I280">
        <v>1</v>
      </c>
      <c r="J280" s="4">
        <v>359</v>
      </c>
      <c r="K280" s="4">
        <v>473.88</v>
      </c>
      <c r="L280" s="4">
        <f>K280-J280</f>
      </c>
      <c r="M280" s="4">
        <f>L280*16.67%</f>
      </c>
      <c r="N280" s="4">
        <f>K280/100*11</f>
      </c>
      <c r="O280" s="4">
        <v>8.99</v>
      </c>
      <c r="P280" s="4">
        <v>0</v>
      </c>
      <c r="Q280" s="4">
        <f>P280*20%</f>
      </c>
      <c r="R280" s="4">
        <v>1</v>
      </c>
      <c r="S280" s="4">
        <f>L280-M280-N280-O280-P280-Q280-R280</f>
      </c>
      <c r="T280" s="4">
        <f>(S280-V280)/J280*100</f>
      </c>
      <c r="U280" s="4">
        <f>M280-Q280</f>
      </c>
      <c r="W280" s="4">
        <f>S280-V280</f>
      </c>
      <c r="AB280" t="s">
        <v>1</v>
      </c>
    </row>
    <row r="281" spans="1:28" x14ac:dyDescent="0.25">
      <c r="A281" s="8">
        <v>46183.5</v>
      </c>
      <c r="B281" t="s">
        <v>1217</v>
      </c>
      <c r="C281" t="s">
        <v>1</v>
      </c>
      <c r="D281" s="9" t="s">
        <v>1218</v>
      </c>
      <c r="E281" t="s">
        <v>139</v>
      </c>
      <c r="F281" t="s">
        <v>99</v>
      </c>
      <c r="G281" t="s">
        <v>65</v>
      </c>
      <c r="H281" t="s">
        <v>102</v>
      </c>
      <c r="I281">
        <v>1</v>
      </c>
      <c r="J281" s="4">
        <v>341</v>
      </c>
      <c r="K281" s="4">
        <v>477.4</v>
      </c>
      <c r="L281" s="4">
        <f>K281-J281</f>
      </c>
      <c r="M281" s="4">
        <f>L281*16.67%</f>
      </c>
      <c r="N281" s="4">
        <f>K281/100*11</f>
      </c>
      <c r="O281" s="4">
        <v>8.99</v>
      </c>
      <c r="P281" s="4">
        <v>0</v>
      </c>
      <c r="Q281" s="4">
        <f>P281*20%</f>
      </c>
      <c r="R281" s="4">
        <v>1</v>
      </c>
      <c r="S281" s="4">
        <f>L281-M281-N281-O281-P281-Q281-R281</f>
      </c>
      <c r="T281" s="4">
        <f>(S281-V281)/J281*100</f>
      </c>
      <c r="U281" s="4">
        <f>M281-Q281</f>
      </c>
      <c r="W281" s="4">
        <f>S281-V281</f>
      </c>
      <c r="AB281" t="s">
        <v>1</v>
      </c>
    </row>
    <row r="282" spans="1:28" x14ac:dyDescent="0.25">
      <c r="A282" s="8">
        <v>46183.5</v>
      </c>
      <c r="B282" t="s">
        <v>1219</v>
      </c>
      <c r="C282" t="s">
        <v>1</v>
      </c>
      <c r="D282" s="9" t="s">
        <v>1220</v>
      </c>
      <c r="E282" t="s">
        <v>91</v>
      </c>
      <c r="F282" t="s">
        <v>70</v>
      </c>
      <c r="G282" t="s">
        <v>95</v>
      </c>
      <c r="H282" t="s">
        <v>102</v>
      </c>
      <c r="I282">
        <v>1</v>
      </c>
      <c r="J282" s="4">
        <v>115</v>
      </c>
      <c r="K282" s="4">
        <v>149.5</v>
      </c>
      <c r="L282" s="4">
        <f>K282-J282</f>
      </c>
      <c r="M282" s="4">
        <f>L282*16.67%</f>
      </c>
      <c r="N282" s="4">
        <f>K282/100*11</f>
      </c>
      <c r="O282" s="4">
        <v>8.99</v>
      </c>
      <c r="P282" s="4">
        <v>0</v>
      </c>
      <c r="Q282" s="4">
        <f>P282*20%</f>
      </c>
      <c r="R282" s="4">
        <v>1</v>
      </c>
      <c r="S282" s="4">
        <f>L282-M282-N282-O282-P282-Q282-R282</f>
      </c>
      <c r="T282" s="4">
        <f>(S282-V282)/J282*100</f>
      </c>
      <c r="U282" s="4">
        <f>M282-Q282</f>
      </c>
      <c r="W282" s="4">
        <f>S282-V282</f>
      </c>
      <c r="AB282" t="s">
        <v>1</v>
      </c>
    </row>
    <row r="283" spans="1:28" x14ac:dyDescent="0.25">
      <c r="A283" s="8">
        <v>46183.5</v>
      </c>
      <c r="B283" t="s">
        <v>1221</v>
      </c>
      <c r="C283" t="s">
        <v>1</v>
      </c>
      <c r="D283" s="9" t="s">
        <v>1222</v>
      </c>
      <c r="E283" t="s">
        <v>125</v>
      </c>
      <c r="F283" t="s">
        <v>70</v>
      </c>
      <c r="G283" t="s">
        <v>126</v>
      </c>
      <c r="H283" t="s">
        <v>75</v>
      </c>
      <c r="I283">
        <v>1</v>
      </c>
      <c r="J283" s="4">
        <v>233</v>
      </c>
      <c r="K283" s="4">
        <v>302.9</v>
      </c>
      <c r="L283" s="4">
        <f>K283-J283</f>
      </c>
      <c r="M283" s="4">
        <f>L283*16.67%</f>
      </c>
      <c r="N283" s="4">
        <f>K283/100*11</f>
      </c>
      <c r="O283" s="4">
        <v>8.99</v>
      </c>
      <c r="P283" s="4">
        <v>0</v>
      </c>
      <c r="Q283" s="4">
        <f>P283*20%</f>
      </c>
      <c r="R283" s="4">
        <v>1</v>
      </c>
      <c r="S283" s="4">
        <f>L283-M283-N283-O283-P283-Q283-R283</f>
      </c>
      <c r="T283" s="4">
        <f>(S283-V283)/J283*100</f>
      </c>
      <c r="U283" s="4">
        <f>M283-Q283</f>
      </c>
      <c r="W283" s="4">
        <f>S283-V283</f>
      </c>
      <c r="AB283" t="s">
        <v>1</v>
      </c>
    </row>
    <row r="284" spans="1:28" x14ac:dyDescent="0.25">
      <c r="A284" s="8">
        <v>46183.5</v>
      </c>
      <c r="B284" t="s">
        <v>1223</v>
      </c>
      <c r="C284" t="s">
        <v>189</v>
      </c>
      <c r="D284" s="9" t="s">
        <v>1</v>
      </c>
      <c r="E284" t="s">
        <v>189</v>
      </c>
      <c r="F284" t="s">
        <v>1</v>
      </c>
      <c r="G284" t="s">
        <v>1</v>
      </c>
      <c r="H284" t="s">
        <v>66</v>
      </c>
      <c r="I284">
        <v>2</v>
      </c>
      <c r="J284" s="4">
        <v>7</v>
      </c>
      <c r="K284" s="4">
        <v>10.15</v>
      </c>
      <c r="L284" s="4">
        <f>K284-J284</f>
      </c>
      <c r="M284" s="4">
        <f>L284*16.67%</f>
      </c>
      <c r="N284" s="4">
        <f>K284/100*11</f>
      </c>
      <c r="O284" s="4">
        <v>8.99</v>
      </c>
      <c r="P284" s="4">
        <v>0</v>
      </c>
      <c r="Q284" s="4">
        <f>P284*20%</f>
      </c>
      <c r="R284" s="4">
        <v>0</v>
      </c>
      <c r="S284" s="4">
        <f>L284-M284-N284-O284-P284-Q284-R284</f>
      </c>
      <c r="T284" s="4">
        <f>(S284-V284)/J284*100</f>
      </c>
      <c r="U284" s="4">
        <f>M284-Q284</f>
      </c>
      <c r="W284" s="4">
        <f>S284-V284</f>
      </c>
      <c r="AB284" t="s">
        <v>1</v>
      </c>
    </row>
    <row r="285" spans="1:28" x14ac:dyDescent="0.25">
      <c r="A285" s="8">
        <v>46183.5</v>
      </c>
      <c r="B285" t="s">
        <v>1224</v>
      </c>
      <c r="C285" t="s">
        <v>185</v>
      </c>
      <c r="D285" s="9" t="s">
        <v>1</v>
      </c>
      <c r="E285" t="s">
        <v>185</v>
      </c>
      <c r="F285" t="s">
        <v>1</v>
      </c>
      <c r="G285" t="s">
        <v>1</v>
      </c>
      <c r="H285" t="s">
        <v>102</v>
      </c>
      <c r="I285">
        <v>1</v>
      </c>
      <c r="J285" s="4">
        <v>1.2</v>
      </c>
      <c r="K285" s="4">
        <v>1.66</v>
      </c>
      <c r="L285" s="4">
        <f>K285-J285</f>
      </c>
      <c r="M285" s="4">
        <f>L285*16.67%</f>
      </c>
      <c r="N285" s="4">
        <f>K285/100*11</f>
      </c>
      <c r="O285" s="4">
        <v>8.99</v>
      </c>
      <c r="P285" s="4">
        <v>0</v>
      </c>
      <c r="Q285" s="4">
        <f>P285*20%</f>
      </c>
      <c r="R285" s="4">
        <v>0</v>
      </c>
      <c r="S285" s="4">
        <f>L285-M285-N285-O285-P285-Q285-R285</f>
      </c>
      <c r="T285" s="4">
        <f>(S285-V285)/J285*100</f>
      </c>
      <c r="U285" s="4">
        <f>M285-Q285</f>
      </c>
      <c r="W285" s="4">
        <f>S285-V285</f>
      </c>
      <c r="AB285" t="s">
        <v>1</v>
      </c>
    </row>
    <row r="286" spans="1:28" x14ac:dyDescent="0.25">
      <c r="A286" s="8">
        <v>46182.5</v>
      </c>
      <c r="B286" t="s">
        <v>1225</v>
      </c>
      <c r="C286" t="s">
        <v>1</v>
      </c>
      <c r="D286" s="9" t="s">
        <v>1226</v>
      </c>
      <c r="E286" t="s">
        <v>94</v>
      </c>
      <c r="F286" t="s">
        <v>99</v>
      </c>
      <c r="G286" t="s">
        <v>95</v>
      </c>
      <c r="H286" t="s">
        <v>78</v>
      </c>
      <c r="I286">
        <v>1</v>
      </c>
      <c r="J286" s="4">
        <v>78</v>
      </c>
      <c r="K286" s="4">
        <v>109.2</v>
      </c>
      <c r="L286" s="4">
        <f>K286-J286</f>
      </c>
      <c r="M286" s="4">
        <f>L286*16.67%</f>
      </c>
      <c r="N286" s="4">
        <f>K286/100*11</f>
      </c>
      <c r="O286" s="4">
        <v>8.99</v>
      </c>
      <c r="P286" s="4">
        <v>0</v>
      </c>
      <c r="Q286" s="4">
        <f>P286*20%</f>
      </c>
      <c r="R286" s="4">
        <v>1</v>
      </c>
      <c r="S286" s="4">
        <f>L286-M286-N286-O286-P286-Q286-R286</f>
      </c>
      <c r="T286" s="4">
        <f>(S286-V286)/J286*100</f>
      </c>
      <c r="U286" s="4">
        <f>M286-Q286</f>
      </c>
      <c r="W286" s="4">
        <f>S286-V286</f>
      </c>
      <c r="AB286" t="s">
        <v>1</v>
      </c>
    </row>
    <row r="287" spans="1:28" x14ac:dyDescent="0.25">
      <c r="A287" s="8">
        <v>46182.5</v>
      </c>
      <c r="B287" t="s">
        <v>1227</v>
      </c>
      <c r="C287" t="s">
        <v>1</v>
      </c>
      <c r="D287" s="9" t="s">
        <v>1228</v>
      </c>
      <c r="E287" t="s">
        <v>98</v>
      </c>
      <c r="F287" t="s">
        <v>88</v>
      </c>
      <c r="G287" t="s">
        <v>65</v>
      </c>
      <c r="H287" t="s">
        <v>66</v>
      </c>
      <c r="I287">
        <v>1</v>
      </c>
      <c r="J287" s="4">
        <v>339</v>
      </c>
      <c r="K287" s="4">
        <v>474.6</v>
      </c>
      <c r="L287" s="4">
        <f>K287-J287</f>
      </c>
      <c r="M287" s="4">
        <f>L287*16.67%</f>
      </c>
      <c r="N287" s="4">
        <f>K287/100*11</f>
      </c>
      <c r="O287" s="4">
        <v>8.99</v>
      </c>
      <c r="P287" s="4">
        <v>0</v>
      </c>
      <c r="Q287" s="4">
        <f>P287*20%</f>
      </c>
      <c r="R287" s="4">
        <v>1</v>
      </c>
      <c r="S287" s="4">
        <f>L287-M287-N287-O287-P287-Q287-R287</f>
      </c>
      <c r="T287" s="4">
        <f>(S287-V287)/J287*100</f>
      </c>
      <c r="U287" s="4">
        <f>M287-Q287</f>
      </c>
      <c r="W287" s="4">
        <f>S287-V287</f>
      </c>
      <c r="AB287" t="s">
        <v>1</v>
      </c>
    </row>
    <row r="288" spans="1:28" x14ac:dyDescent="0.25">
      <c r="A288" s="8">
        <v>46182.5</v>
      </c>
      <c r="B288" t="s">
        <v>1229</v>
      </c>
      <c r="C288" t="s">
        <v>1</v>
      </c>
      <c r="D288" s="9" t="s">
        <v>1230</v>
      </c>
      <c r="E288" t="s">
        <v>134</v>
      </c>
      <c r="F288" t="s">
        <v>105</v>
      </c>
      <c r="G288" t="s">
        <v>65</v>
      </c>
      <c r="H288" t="s">
        <v>102</v>
      </c>
      <c r="I288">
        <v>1</v>
      </c>
      <c r="J288" s="4">
        <v>125</v>
      </c>
      <c r="K288" s="4">
        <v>176.25</v>
      </c>
      <c r="L288" s="4">
        <f>K288-J288</f>
      </c>
      <c r="M288" s="4">
        <f>L288*16.67%</f>
      </c>
      <c r="N288" s="4">
        <f>K288/100*11</f>
      </c>
      <c r="O288" s="4">
        <v>8.99</v>
      </c>
      <c r="P288" s="4">
        <v>0</v>
      </c>
      <c r="Q288" s="4">
        <f>P288*20%</f>
      </c>
      <c r="R288" s="4">
        <v>1</v>
      </c>
      <c r="S288" s="4">
        <f>L288-M288-N288-O288-P288-Q288-R288</f>
      </c>
      <c r="T288" s="4">
        <f>(S288-V288)/J288*100</f>
      </c>
      <c r="U288" s="4">
        <f>M288-Q288</f>
      </c>
      <c r="W288" s="4">
        <f>S288-V288</f>
      </c>
      <c r="AB288" t="s">
        <v>1</v>
      </c>
    </row>
    <row r="289" spans="1:28" x14ac:dyDescent="0.25">
      <c r="A289" s="8">
        <v>46182.5</v>
      </c>
      <c r="B289" t="s">
        <v>1231</v>
      </c>
      <c r="C289" t="s">
        <v>1</v>
      </c>
      <c r="D289" s="9" t="s">
        <v>1232</v>
      </c>
      <c r="E289" t="s">
        <v>81</v>
      </c>
      <c r="F289" t="s">
        <v>74</v>
      </c>
      <c r="G289" t="s">
        <v>60</v>
      </c>
      <c r="H289" t="s">
        <v>61</v>
      </c>
      <c r="I289">
        <v>1</v>
      </c>
      <c r="J289" s="4">
        <v>620</v>
      </c>
      <c r="K289" s="4">
        <v>855.6</v>
      </c>
      <c r="L289" s="4">
        <f>K289-J289</f>
      </c>
      <c r="M289" s="4">
        <f>L289*16.67%</f>
      </c>
      <c r="N289" s="4">
        <f>K289/100*11</f>
      </c>
      <c r="O289" s="4">
        <v>8.99</v>
      </c>
      <c r="P289" s="4">
        <v>0</v>
      </c>
      <c r="Q289" s="4">
        <f>P289*20%</f>
      </c>
      <c r="R289" s="4">
        <v>1</v>
      </c>
      <c r="S289" s="4">
        <f>L289-M289-N289-O289-P289-Q289-R289</f>
      </c>
      <c r="T289" s="4">
        <f>(S289-V289)/J289*100</f>
      </c>
      <c r="U289" s="4">
        <f>M289-Q289</f>
      </c>
      <c r="W289" s="4">
        <f>S289-V289</f>
      </c>
      <c r="AB289" t="s">
        <v>1</v>
      </c>
    </row>
    <row r="290" spans="1:28" x14ac:dyDescent="0.25">
      <c r="A290" s="8">
        <v>46182.5</v>
      </c>
      <c r="B290" t="s">
        <v>1233</v>
      </c>
      <c r="C290" t="s">
        <v>1</v>
      </c>
      <c r="D290" s="9" t="s">
        <v>1234</v>
      </c>
      <c r="E290" t="s">
        <v>134</v>
      </c>
      <c r="F290" t="s">
        <v>70</v>
      </c>
      <c r="G290" t="s">
        <v>95</v>
      </c>
      <c r="H290" t="s">
        <v>66</v>
      </c>
      <c r="I290">
        <v>1</v>
      </c>
      <c r="J290" s="4">
        <v>116</v>
      </c>
      <c r="K290" s="4">
        <v>145</v>
      </c>
      <c r="L290" s="4">
        <f>K290-J290</f>
      </c>
      <c r="M290" s="4">
        <f>L290*16.67%</f>
      </c>
      <c r="N290" s="4">
        <f>K290/100*11</f>
      </c>
      <c r="O290" s="4">
        <v>8.99</v>
      </c>
      <c r="P290" s="4">
        <v>0</v>
      </c>
      <c r="Q290" s="4">
        <f>P290*20%</f>
      </c>
      <c r="R290" s="4">
        <v>1</v>
      </c>
      <c r="S290" s="4">
        <f>L290-M290-N290-O290-P290-Q290-R290</f>
      </c>
      <c r="T290" s="4">
        <f>(S290-V290)/J290*100</f>
      </c>
      <c r="U290" s="4">
        <f>M290-Q290</f>
      </c>
      <c r="W290" s="4">
        <f>S290-V290</f>
      </c>
      <c r="AB290" t="s">
        <v>1</v>
      </c>
    </row>
    <row r="291" spans="1:28" x14ac:dyDescent="0.25">
      <c r="A291" s="8">
        <v>46182.5</v>
      </c>
      <c r="B291" t="s">
        <v>1235</v>
      </c>
      <c r="C291" t="s">
        <v>177</v>
      </c>
      <c r="D291" s="9" t="s">
        <v>1</v>
      </c>
      <c r="E291" t="s">
        <v>177</v>
      </c>
      <c r="F291" t="s">
        <v>1</v>
      </c>
      <c r="G291" t="s">
        <v>1</v>
      </c>
      <c r="H291" t="s">
        <v>78</v>
      </c>
      <c r="I291">
        <v>1</v>
      </c>
      <c r="J291" s="4">
        <v>0.15</v>
      </c>
      <c r="K291" s="4">
        <v>0.17</v>
      </c>
      <c r="L291" s="4">
        <f>K291-J291</f>
      </c>
      <c r="M291" s="4">
        <f>L291*16.67%</f>
      </c>
      <c r="N291" s="4">
        <f>K291/100*11</f>
      </c>
      <c r="O291" s="4">
        <v>8.99</v>
      </c>
      <c r="P291" s="4">
        <v>0</v>
      </c>
      <c r="Q291" s="4">
        <f>P291*20%</f>
      </c>
      <c r="R291" s="4">
        <v>0</v>
      </c>
      <c r="S291" s="4">
        <f>L291-M291-N291-O291-P291-Q291-R291</f>
      </c>
      <c r="T291" s="4">
        <f>(S291-V291)/J291*100</f>
      </c>
      <c r="U291" s="4">
        <f>M291-Q291</f>
      </c>
      <c r="W291" s="4">
        <f>S291-V291</f>
      </c>
      <c r="AB291" t="s">
        <v>1</v>
      </c>
    </row>
    <row r="292" spans="1:28" x14ac:dyDescent="0.25">
      <c r="A292" s="8">
        <v>46182.5</v>
      </c>
      <c r="B292" t="s">
        <v>1236</v>
      </c>
      <c r="C292" t="s">
        <v>177</v>
      </c>
      <c r="D292" s="9" t="s">
        <v>1</v>
      </c>
      <c r="E292" t="s">
        <v>177</v>
      </c>
      <c r="F292" t="s">
        <v>1</v>
      </c>
      <c r="G292" t="s">
        <v>1</v>
      </c>
      <c r="H292" t="s">
        <v>78</v>
      </c>
      <c r="I292">
        <v>4</v>
      </c>
      <c r="J292" s="4">
        <v>0.6</v>
      </c>
      <c r="K292" s="4">
        <v>0.8</v>
      </c>
      <c r="L292" s="4">
        <f>K292-J292</f>
      </c>
      <c r="M292" s="4">
        <f>L292*16.67%</f>
      </c>
      <c r="N292" s="4">
        <f>K292/100*11</f>
      </c>
      <c r="O292" s="4">
        <v>8.99</v>
      </c>
      <c r="P292" s="4">
        <v>0</v>
      </c>
      <c r="Q292" s="4">
        <f>P292*20%</f>
      </c>
      <c r="R292" s="4">
        <v>0</v>
      </c>
      <c r="S292" s="4">
        <f>L292-M292-N292-O292-P292-Q292-R292</f>
      </c>
      <c r="T292" s="4">
        <f>(S292-V292)/J292*100</f>
      </c>
      <c r="U292" s="4">
        <f>M292-Q292</f>
      </c>
      <c r="W292" s="4">
        <f>S292-V292</f>
      </c>
      <c r="AB292" t="s">
        <v>1</v>
      </c>
    </row>
    <row r="293" spans="1:28" x14ac:dyDescent="0.25">
      <c r="A293" s="8">
        <v>46181.5</v>
      </c>
      <c r="B293" t="s">
        <v>1237</v>
      </c>
      <c r="C293" t="s">
        <v>1</v>
      </c>
      <c r="D293" s="9" t="s">
        <v>1238</v>
      </c>
      <c r="E293" t="s">
        <v>84</v>
      </c>
      <c r="F293" t="s">
        <v>88</v>
      </c>
      <c r="G293" t="s">
        <v>60</v>
      </c>
      <c r="H293" t="s">
        <v>75</v>
      </c>
      <c r="I293">
        <v>1</v>
      </c>
      <c r="J293" s="4">
        <v>671</v>
      </c>
      <c r="K293" s="4">
        <v>852.17</v>
      </c>
      <c r="L293" s="4">
        <f>K293-J293</f>
      </c>
      <c r="M293" s="4">
        <f>L293*16.67%</f>
      </c>
      <c r="N293" s="4">
        <f>K293/100*11</f>
      </c>
      <c r="O293" s="4">
        <v>8.99</v>
      </c>
      <c r="P293" s="4">
        <v>0</v>
      </c>
      <c r="Q293" s="4">
        <f>P293*20%</f>
      </c>
      <c r="R293" s="4">
        <v>1</v>
      </c>
      <c r="S293" s="4">
        <f>L293-M293-N293-O293-P293-Q293-R293</f>
      </c>
      <c r="T293" s="4">
        <f>(S293-V293)/J293*100</f>
      </c>
      <c r="U293" s="4">
        <f>M293-Q293</f>
      </c>
      <c r="W293" s="4">
        <f>S293-V293</f>
      </c>
      <c r="AB293" t="s">
        <v>1</v>
      </c>
    </row>
    <row r="294" spans="1:28" x14ac:dyDescent="0.25">
      <c r="A294" s="8">
        <v>46181.5</v>
      </c>
      <c r="B294" t="s">
        <v>1239</v>
      </c>
      <c r="C294" t="s">
        <v>1</v>
      </c>
      <c r="D294" s="9" t="s">
        <v>1240</v>
      </c>
      <c r="E294" t="s">
        <v>114</v>
      </c>
      <c r="F294" t="s">
        <v>85</v>
      </c>
      <c r="G294" t="s">
        <v>95</v>
      </c>
      <c r="H294" t="s">
        <v>61</v>
      </c>
      <c r="I294">
        <v>1</v>
      </c>
      <c r="J294" s="4">
        <v>226</v>
      </c>
      <c r="K294" s="4">
        <v>305.1</v>
      </c>
      <c r="L294" s="4">
        <f>K294-J294</f>
      </c>
      <c r="M294" s="4">
        <f>L294*16.67%</f>
      </c>
      <c r="N294" s="4">
        <f>K294/100*11</f>
      </c>
      <c r="O294" s="4">
        <v>8.99</v>
      </c>
      <c r="P294" s="4">
        <v>0</v>
      </c>
      <c r="Q294" s="4">
        <f>P294*20%</f>
      </c>
      <c r="R294" s="4">
        <v>1</v>
      </c>
      <c r="S294" s="4">
        <f>L294-M294-N294-O294-P294-Q294-R294</f>
      </c>
      <c r="T294" s="4">
        <f>(S294-V294)/J294*100</f>
      </c>
      <c r="U294" s="4">
        <f>M294-Q294</f>
      </c>
      <c r="W294" s="4">
        <f>S294-V294</f>
      </c>
      <c r="AB294" t="s">
        <v>1</v>
      </c>
    </row>
    <row r="295" spans="1:28" x14ac:dyDescent="0.25">
      <c r="A295" s="8">
        <v>46181.5</v>
      </c>
      <c r="B295" t="s">
        <v>1241</v>
      </c>
      <c r="C295" t="s">
        <v>1</v>
      </c>
      <c r="D295" s="9" t="s">
        <v>1242</v>
      </c>
      <c r="E295" t="s">
        <v>125</v>
      </c>
      <c r="F295" t="s">
        <v>85</v>
      </c>
      <c r="G295" t="s">
        <v>126</v>
      </c>
      <c r="H295" t="s">
        <v>78</v>
      </c>
      <c r="I295">
        <v>1</v>
      </c>
      <c r="J295" s="4">
        <v>292</v>
      </c>
      <c r="K295" s="4">
        <v>417.56</v>
      </c>
      <c r="L295" s="4">
        <f>K295-J295</f>
      </c>
      <c r="M295" s="4">
        <f>L295*16.67%</f>
      </c>
      <c r="N295" s="4">
        <f>K295/100*11</f>
      </c>
      <c r="O295" s="4">
        <v>8.99</v>
      </c>
      <c r="P295" s="4">
        <v>0</v>
      </c>
      <c r="Q295" s="4">
        <f>P295*20%</f>
      </c>
      <c r="R295" s="4">
        <v>1</v>
      </c>
      <c r="S295" s="4">
        <f>L295-M295-N295-O295-P295-Q295-R295</f>
      </c>
      <c r="T295" s="4">
        <f>(S295-V295)/J295*100</f>
      </c>
      <c r="U295" s="4">
        <f>M295-Q295</f>
      </c>
      <c r="W295" s="4">
        <f>S295-V295</f>
      </c>
      <c r="AB295" t="s">
        <v>1</v>
      </c>
    </row>
    <row r="296" spans="1:28" x14ac:dyDescent="0.25">
      <c r="A296" s="8">
        <v>46181.5</v>
      </c>
      <c r="B296" t="s">
        <v>1243</v>
      </c>
      <c r="C296" t="s">
        <v>1</v>
      </c>
      <c r="D296" s="9" t="s">
        <v>1244</v>
      </c>
      <c r="E296" t="s">
        <v>64</v>
      </c>
      <c r="F296" t="s">
        <v>105</v>
      </c>
      <c r="G296" t="s">
        <v>65</v>
      </c>
      <c r="H296" t="s">
        <v>61</v>
      </c>
      <c r="I296">
        <v>1</v>
      </c>
      <c r="J296" s="4">
        <v>259</v>
      </c>
      <c r="K296" s="4">
        <v>313.39</v>
      </c>
      <c r="L296" s="4">
        <f>K296-J296</f>
      </c>
      <c r="M296" s="4">
        <f>L296*16.67%</f>
      </c>
      <c r="N296" s="4">
        <f>K296/100*11</f>
      </c>
      <c r="O296" s="4">
        <v>8.99</v>
      </c>
      <c r="P296" s="4">
        <v>0</v>
      </c>
      <c r="Q296" s="4">
        <f>P296*20%</f>
      </c>
      <c r="R296" s="4">
        <v>1</v>
      </c>
      <c r="S296" s="4">
        <f>L296-M296-N296-O296-P296-Q296-R296</f>
      </c>
      <c r="T296" s="4">
        <f>(S296-V296)/J296*100</f>
      </c>
      <c r="U296" s="4">
        <f>M296-Q296</f>
      </c>
      <c r="W296" s="4">
        <f>S296-V296</f>
      </c>
      <c r="AB296" t="s">
        <v>1</v>
      </c>
    </row>
    <row r="297" spans="1:28" x14ac:dyDescent="0.25">
      <c r="A297" s="8">
        <v>46181.5</v>
      </c>
      <c r="B297" t="s">
        <v>1245</v>
      </c>
      <c r="C297" t="s">
        <v>1</v>
      </c>
      <c r="D297" s="9" t="s">
        <v>1246</v>
      </c>
      <c r="E297" t="s">
        <v>69</v>
      </c>
      <c r="F297" t="s">
        <v>70</v>
      </c>
      <c r="G297" t="s">
        <v>60</v>
      </c>
      <c r="H297" t="s">
        <v>75</v>
      </c>
      <c r="I297">
        <v>1</v>
      </c>
      <c r="J297" s="4">
        <v>517</v>
      </c>
      <c r="K297" s="4">
        <v>610.06</v>
      </c>
      <c r="L297" s="4">
        <f>K297-J297</f>
      </c>
      <c r="M297" s="4">
        <f>L297*16.67%</f>
      </c>
      <c r="N297" s="4">
        <f>K297/100*11</f>
      </c>
      <c r="O297" s="4">
        <v>8.99</v>
      </c>
      <c r="P297" s="4">
        <v>0</v>
      </c>
      <c r="Q297" s="4">
        <f>P297*20%</f>
      </c>
      <c r="R297" s="4">
        <v>1</v>
      </c>
      <c r="S297" s="4">
        <f>L297-M297-N297-O297-P297-Q297-R297</f>
      </c>
      <c r="T297" s="4">
        <f>(S297-V297)/J297*100</f>
      </c>
      <c r="U297" s="4">
        <f>M297-Q297</f>
      </c>
      <c r="W297" s="4">
        <f>S297-V297</f>
      </c>
      <c r="AB297" t="s">
        <v>1</v>
      </c>
    </row>
    <row r="298" spans="1:28" x14ac:dyDescent="0.25">
      <c r="A298" s="8">
        <v>46181.5</v>
      </c>
      <c r="B298" t="s">
        <v>1247</v>
      </c>
      <c r="C298" t="s">
        <v>1</v>
      </c>
      <c r="D298" s="9" t="s">
        <v>1248</v>
      </c>
      <c r="E298" t="s">
        <v>234</v>
      </c>
      <c r="F298" t="s">
        <v>70</v>
      </c>
      <c r="G298" t="s">
        <v>65</v>
      </c>
      <c r="H298" t="s">
        <v>75</v>
      </c>
      <c r="I298">
        <v>1</v>
      </c>
      <c r="J298" s="4">
        <v>187</v>
      </c>
      <c r="K298" s="4">
        <v>239.36</v>
      </c>
      <c r="L298" s="4">
        <f>K298-J298</f>
      </c>
      <c r="M298" s="4">
        <f>L298*16.67%</f>
      </c>
      <c r="N298" s="4">
        <f>K298/100*11</f>
      </c>
      <c r="O298" s="4">
        <v>8.99</v>
      </c>
      <c r="P298" s="4">
        <v>0</v>
      </c>
      <c r="Q298" s="4">
        <f>P298*20%</f>
      </c>
      <c r="R298" s="4">
        <v>1</v>
      </c>
      <c r="S298" s="4">
        <f>L298-M298-N298-O298-P298-Q298-R298</f>
      </c>
      <c r="T298" s="4">
        <f>(S298-V298)/J298*100</f>
      </c>
      <c r="U298" s="4">
        <f>M298-Q298</f>
      </c>
      <c r="W298" s="4">
        <f>S298-V298</f>
      </c>
      <c r="AB298" t="s">
        <v>1</v>
      </c>
    </row>
    <row r="299" spans="1:28" x14ac:dyDescent="0.25">
      <c r="A299" s="8">
        <v>46181.5</v>
      </c>
      <c r="B299" t="s">
        <v>1249</v>
      </c>
      <c r="C299" t="s">
        <v>254</v>
      </c>
      <c r="D299" s="9" t="s">
        <v>1</v>
      </c>
      <c r="E299" t="s">
        <v>254</v>
      </c>
      <c r="F299" t="s">
        <v>1</v>
      </c>
      <c r="G299" t="s">
        <v>1</v>
      </c>
      <c r="H299" t="s">
        <v>61</v>
      </c>
      <c r="I299">
        <v>2</v>
      </c>
      <c r="J299" s="4">
        <v>1.6</v>
      </c>
      <c r="K299" s="4">
        <v>2.13</v>
      </c>
      <c r="L299" s="4">
        <f>K299-J299</f>
      </c>
      <c r="M299" s="4">
        <f>L299*16.67%</f>
      </c>
      <c r="N299" s="4">
        <f>K299/100*11</f>
      </c>
      <c r="O299" s="4">
        <v>8.99</v>
      </c>
      <c r="P299" s="4">
        <v>0</v>
      </c>
      <c r="Q299" s="4">
        <f>P299*20%</f>
      </c>
      <c r="R299" s="4">
        <v>0</v>
      </c>
      <c r="S299" s="4">
        <f>L299-M299-N299-O299-P299-Q299-R299</f>
      </c>
      <c r="T299" s="4">
        <f>(S299-V299)/J299*100</f>
      </c>
      <c r="U299" s="4">
        <f>M299-Q299</f>
      </c>
      <c r="W299" s="4">
        <f>S299-V299</f>
      </c>
      <c r="AB299" t="s">
        <v>1</v>
      </c>
    </row>
    <row r="300" spans="1:28" x14ac:dyDescent="0.25">
      <c r="A300" s="8">
        <v>46181.5</v>
      </c>
      <c r="B300" t="s">
        <v>1250</v>
      </c>
      <c r="C300" t="s">
        <v>1</v>
      </c>
      <c r="D300" s="9" t="s">
        <v>1</v>
      </c>
      <c r="E300" t="s">
        <v>1</v>
      </c>
      <c r="F300" t="s">
        <v>1</v>
      </c>
      <c r="G300" t="s">
        <v>1</v>
      </c>
      <c r="H300" t="s">
        <v>75</v>
      </c>
      <c r="I300">
        <v>1</v>
      </c>
      <c r="J300" s="4">
        <v>290</v>
      </c>
      <c r="K300" s="4">
        <v>397.3</v>
      </c>
      <c r="L300" s="4">
        <f>K300-J300</f>
      </c>
      <c r="M300" s="4">
        <f>L300*16.67%</f>
      </c>
      <c r="N300" s="4">
        <f>K300/100*11</f>
      </c>
      <c r="O300" s="4">
        <v>8.99</v>
      </c>
      <c r="P300" s="4">
        <v>0</v>
      </c>
      <c r="Q300" s="4">
        <f>P300*20%</f>
      </c>
      <c r="R300" s="4">
        <v>1</v>
      </c>
      <c r="S300" s="4">
        <f>L300-M300-N300-O300-P300-Q300-R300</f>
      </c>
      <c r="T300" s="4">
        <f>(S300-V300)/J300*100</f>
      </c>
      <c r="U300" s="4">
        <f>M300-Q300</f>
      </c>
      <c r="W300" s="4">
        <f>S300-V300</f>
      </c>
      <c r="AB300" t="s">
        <v>1</v>
      </c>
    </row>
    <row r="301" spans="1:28" x14ac:dyDescent="0.25">
      <c r="A301" s="8">
        <v>46180.5</v>
      </c>
      <c r="B301" t="s">
        <v>1251</v>
      </c>
      <c r="C301" t="s">
        <v>1</v>
      </c>
      <c r="D301" s="9" t="s">
        <v>1252</v>
      </c>
      <c r="E301" t="s">
        <v>69</v>
      </c>
      <c r="F301" t="s">
        <v>105</v>
      </c>
      <c r="G301" t="s">
        <v>60</v>
      </c>
      <c r="H301" t="s">
        <v>61</v>
      </c>
      <c r="I301">
        <v>1</v>
      </c>
      <c r="J301" s="4">
        <v>517</v>
      </c>
      <c r="K301" s="4">
        <v>599.72</v>
      </c>
      <c r="L301" s="4">
        <f>K301-J301</f>
      </c>
      <c r="M301" s="4">
        <f>L301*16.67%</f>
      </c>
      <c r="N301" s="4">
        <f>K301/100*11</f>
      </c>
      <c r="O301" s="4">
        <v>8.99</v>
      </c>
      <c r="P301" s="4">
        <v>0</v>
      </c>
      <c r="Q301" s="4">
        <f>P301*20%</f>
      </c>
      <c r="R301" s="4">
        <v>1</v>
      </c>
      <c r="S301" s="4">
        <f>L301-M301-N301-O301-P301-Q301-R301</f>
      </c>
      <c r="T301" s="4">
        <f>(S301-V301)/J301*100</f>
      </c>
      <c r="U301" s="4">
        <f>M301-Q301</f>
      </c>
      <c r="W301" s="4">
        <f>S301-V301</f>
      </c>
      <c r="AB301" t="s">
        <v>1</v>
      </c>
    </row>
    <row r="302" spans="1:28" x14ac:dyDescent="0.25">
      <c r="A302" s="8">
        <v>46180.5</v>
      </c>
      <c r="B302" t="s">
        <v>1253</v>
      </c>
      <c r="C302" t="s">
        <v>1</v>
      </c>
      <c r="D302" s="9" t="s">
        <v>1254</v>
      </c>
      <c r="E302" t="s">
        <v>73</v>
      </c>
      <c r="F302" t="s">
        <v>88</v>
      </c>
      <c r="G302" t="s">
        <v>60</v>
      </c>
      <c r="H302" t="s">
        <v>61</v>
      </c>
      <c r="I302">
        <v>1</v>
      </c>
      <c r="J302" s="4">
        <v>348</v>
      </c>
      <c r="K302" s="4">
        <v>504.6</v>
      </c>
      <c r="L302" s="4">
        <f>K302-J302</f>
      </c>
      <c r="M302" s="4">
        <f>L302*16.67%</f>
      </c>
      <c r="N302" s="4">
        <f>K302/100*11</f>
      </c>
      <c r="O302" s="4">
        <v>8.99</v>
      </c>
      <c r="P302" s="4">
        <v>0</v>
      </c>
      <c r="Q302" s="4">
        <f>P302*20%</f>
      </c>
      <c r="R302" s="4">
        <v>1</v>
      </c>
      <c r="S302" s="4">
        <f>L302-M302-N302-O302-P302-Q302-R302</f>
      </c>
      <c r="T302" s="4">
        <f>(S302-V302)/J302*100</f>
      </c>
      <c r="U302" s="4">
        <f>M302-Q302</f>
      </c>
      <c r="W302" s="4">
        <f>S302-V302</f>
      </c>
      <c r="AB302" t="s">
        <v>1</v>
      </c>
    </row>
    <row r="303" spans="1:28" x14ac:dyDescent="0.25">
      <c r="A303" s="8">
        <v>46180.5</v>
      </c>
      <c r="B303" t="s">
        <v>1255</v>
      </c>
      <c r="C303" t="s">
        <v>1</v>
      </c>
      <c r="D303" s="9" t="s">
        <v>1256</v>
      </c>
      <c r="E303" t="s">
        <v>98</v>
      </c>
      <c r="F303" t="s">
        <v>74</v>
      </c>
      <c r="G303" t="s">
        <v>65</v>
      </c>
      <c r="H303" t="s">
        <v>61</v>
      </c>
      <c r="I303">
        <v>1</v>
      </c>
      <c r="J303" s="4">
        <v>294</v>
      </c>
      <c r="K303" s="4">
        <v>355.74</v>
      </c>
      <c r="L303" s="4">
        <f>K303-J303</f>
      </c>
      <c r="M303" s="4">
        <f>L303*16.67%</f>
      </c>
      <c r="N303" s="4">
        <f>K303/100*11</f>
      </c>
      <c r="O303" s="4">
        <v>8.99</v>
      </c>
      <c r="P303" s="4">
        <v>0</v>
      </c>
      <c r="Q303" s="4">
        <f>P303*20%</f>
      </c>
      <c r="R303" s="4">
        <v>1</v>
      </c>
      <c r="S303" s="4">
        <f>L303-M303-N303-O303-P303-Q303-R303</f>
      </c>
      <c r="T303" s="4">
        <f>(S303-V303)/J303*100</f>
      </c>
      <c r="U303" s="4">
        <f>M303-Q303</f>
      </c>
      <c r="W303" s="4">
        <f>S303-V303</f>
      </c>
      <c r="AB303" t="s">
        <v>1</v>
      </c>
    </row>
    <row r="304" spans="1:28" x14ac:dyDescent="0.25">
      <c r="A304" s="8">
        <v>46180.5</v>
      </c>
      <c r="B304" t="s">
        <v>1257</v>
      </c>
      <c r="C304" t="s">
        <v>1</v>
      </c>
      <c r="D304" s="9" t="s">
        <v>1258</v>
      </c>
      <c r="E304" t="s">
        <v>172</v>
      </c>
      <c r="F304" t="s">
        <v>88</v>
      </c>
      <c r="G304" t="s">
        <v>65</v>
      </c>
      <c r="H304" t="s">
        <v>66</v>
      </c>
      <c r="I304">
        <v>1</v>
      </c>
      <c r="J304" s="4">
        <v>144</v>
      </c>
      <c r="K304" s="4">
        <v>203.04</v>
      </c>
      <c r="L304" s="4">
        <f>K304-J304</f>
      </c>
      <c r="M304" s="4">
        <f>L304*16.67%</f>
      </c>
      <c r="N304" s="4">
        <f>K304/100*11</f>
      </c>
      <c r="O304" s="4">
        <v>8.99</v>
      </c>
      <c r="P304" s="4">
        <v>0</v>
      </c>
      <c r="Q304" s="4">
        <f>P304*20%</f>
      </c>
      <c r="R304" s="4">
        <v>1</v>
      </c>
      <c r="S304" s="4">
        <f>L304-M304-N304-O304-P304-Q304-R304</f>
      </c>
      <c r="T304" s="4">
        <f>(S304-V304)/J304*100</f>
      </c>
      <c r="U304" s="4">
        <f>M304-Q304</f>
      </c>
      <c r="W304" s="4">
        <f>S304-V304</f>
      </c>
      <c r="AB304" t="s">
        <v>1</v>
      </c>
    </row>
    <row r="305" spans="1:28" x14ac:dyDescent="0.25">
      <c r="A305" s="8">
        <v>46180.5</v>
      </c>
      <c r="B305" t="s">
        <v>1259</v>
      </c>
      <c r="C305" t="s">
        <v>254</v>
      </c>
      <c r="D305" s="9" t="s">
        <v>1</v>
      </c>
      <c r="E305" t="s">
        <v>254</v>
      </c>
      <c r="F305" t="s">
        <v>1</v>
      </c>
      <c r="G305" t="s">
        <v>1</v>
      </c>
      <c r="H305" t="s">
        <v>61</v>
      </c>
      <c r="I305">
        <v>2</v>
      </c>
      <c r="J305" s="4">
        <v>1.6</v>
      </c>
      <c r="K305" s="4">
        <v>1.92</v>
      </c>
      <c r="L305" s="4">
        <f>K305-J305</f>
      </c>
      <c r="M305" s="4">
        <f>L305*16.67%</f>
      </c>
      <c r="N305" s="4">
        <f>K305/100*11</f>
      </c>
      <c r="O305" s="4">
        <v>8.99</v>
      </c>
      <c r="P305" s="4">
        <v>0</v>
      </c>
      <c r="Q305" s="4">
        <f>P305*20%</f>
      </c>
      <c r="R305" s="4">
        <v>0</v>
      </c>
      <c r="S305" s="4">
        <f>L305-M305-N305-O305-P305-Q305-R305</f>
      </c>
      <c r="T305" s="4">
        <f>(S305-V305)/J305*100</f>
      </c>
      <c r="U305" s="4">
        <f>M305-Q305</f>
      </c>
      <c r="W305" s="4">
        <f>S305-V305</f>
      </c>
      <c r="AB305" t="s">
        <v>1</v>
      </c>
    </row>
    <row r="306" spans="1:28" x14ac:dyDescent="0.25">
      <c r="A306" s="8">
        <v>46180.5</v>
      </c>
      <c r="B306" t="s">
        <v>1260</v>
      </c>
      <c r="C306" t="s">
        <v>182</v>
      </c>
      <c r="D306" s="9" t="s">
        <v>1</v>
      </c>
      <c r="E306" t="s">
        <v>182</v>
      </c>
      <c r="F306" t="s">
        <v>1</v>
      </c>
      <c r="G306" t="s">
        <v>1</v>
      </c>
      <c r="H306" t="s">
        <v>75</v>
      </c>
      <c r="I306">
        <v>4</v>
      </c>
      <c r="J306" s="4">
        <v>7.6</v>
      </c>
      <c r="K306" s="4">
        <v>8.97</v>
      </c>
      <c r="L306" s="4">
        <f>K306-J306</f>
      </c>
      <c r="M306" s="4">
        <f>L306*16.67%</f>
      </c>
      <c r="N306" s="4">
        <f>K306/100*11</f>
      </c>
      <c r="O306" s="4">
        <v>8.99</v>
      </c>
      <c r="P306" s="4">
        <v>0</v>
      </c>
      <c r="Q306" s="4">
        <f>P306*20%</f>
      </c>
      <c r="R306" s="4">
        <v>0</v>
      </c>
      <c r="S306" s="4">
        <f>L306-M306-N306-O306-P306-Q306-R306</f>
      </c>
      <c r="T306" s="4">
        <f>(S306-V306)/J306*100</f>
      </c>
      <c r="U306" s="4">
        <f>M306-Q306</f>
      </c>
      <c r="W306" s="4">
        <f>S306-V306</f>
      </c>
      <c r="AB306" t="s">
        <v>1</v>
      </c>
    </row>
    <row r="307" spans="1:28" x14ac:dyDescent="0.25">
      <c r="A307" s="8">
        <v>46180.5</v>
      </c>
      <c r="B307" t="s">
        <v>1261</v>
      </c>
      <c r="C307" t="s">
        <v>185</v>
      </c>
      <c r="D307" s="9" t="s">
        <v>1</v>
      </c>
      <c r="E307" t="s">
        <v>185</v>
      </c>
      <c r="F307" t="s">
        <v>1</v>
      </c>
      <c r="G307" t="s">
        <v>1</v>
      </c>
      <c r="H307" t="s">
        <v>102</v>
      </c>
      <c r="I307">
        <v>3</v>
      </c>
      <c r="J307" s="4">
        <v>3.6</v>
      </c>
      <c r="K307" s="4">
        <v>5.08</v>
      </c>
      <c r="L307" s="4">
        <f>K307-J307</f>
      </c>
      <c r="M307" s="4">
        <f>L307*16.67%</f>
      </c>
      <c r="N307" s="4">
        <f>K307/100*11</f>
      </c>
      <c r="O307" s="4">
        <v>8.99</v>
      </c>
      <c r="P307" s="4">
        <v>0</v>
      </c>
      <c r="Q307" s="4">
        <f>P307*20%</f>
      </c>
      <c r="R307" s="4">
        <v>0</v>
      </c>
      <c r="S307" s="4">
        <f>L307-M307-N307-O307-P307-Q307-R307</f>
      </c>
      <c r="T307" s="4">
        <f>(S307-V307)/J307*100</f>
      </c>
      <c r="U307" s="4">
        <f>M307-Q307</f>
      </c>
      <c r="W307" s="4">
        <f>S307-V307</f>
      </c>
      <c r="AB307" t="s">
        <v>1</v>
      </c>
    </row>
    <row r="308" spans="1:28" x14ac:dyDescent="0.25">
      <c r="A308" s="8">
        <v>46179.5</v>
      </c>
      <c r="B308" t="s">
        <v>1262</v>
      </c>
      <c r="C308" t="s">
        <v>1</v>
      </c>
      <c r="D308" s="9" t="s">
        <v>1263</v>
      </c>
      <c r="E308" t="s">
        <v>114</v>
      </c>
      <c r="F308" t="s">
        <v>74</v>
      </c>
      <c r="G308" t="s">
        <v>60</v>
      </c>
      <c r="H308" t="s">
        <v>66</v>
      </c>
      <c r="I308">
        <v>1</v>
      </c>
      <c r="J308" s="4">
        <v>256</v>
      </c>
      <c r="K308" s="4">
        <v>320</v>
      </c>
      <c r="L308" s="4">
        <f>K308-J308</f>
      </c>
      <c r="M308" s="4">
        <f>L308*16.67%</f>
      </c>
      <c r="N308" s="4">
        <f>K308/100*11</f>
      </c>
      <c r="O308" s="4">
        <v>8.99</v>
      </c>
      <c r="P308" s="4">
        <v>0</v>
      </c>
      <c r="Q308" s="4">
        <f>P308*20%</f>
      </c>
      <c r="R308" s="4">
        <v>1</v>
      </c>
      <c r="S308" s="4">
        <f>L308-M308-N308-O308-P308-Q308-R308</f>
      </c>
      <c r="T308" s="4">
        <f>(S308-V308)/J308*100</f>
      </c>
      <c r="U308" s="4">
        <f>M308-Q308</f>
      </c>
      <c r="W308" s="4">
        <f>S308-V308</f>
      </c>
      <c r="AB308" t="s">
        <v>1</v>
      </c>
    </row>
    <row r="309" spans="1:28" x14ac:dyDescent="0.25">
      <c r="A309" s="8">
        <v>46179.5</v>
      </c>
      <c r="B309" t="s">
        <v>1264</v>
      </c>
      <c r="C309" t="s">
        <v>1</v>
      </c>
      <c r="D309" s="9" t="s">
        <v>1265</v>
      </c>
      <c r="E309" t="s">
        <v>131</v>
      </c>
      <c r="F309" t="s">
        <v>74</v>
      </c>
      <c r="G309" t="s">
        <v>60</v>
      </c>
      <c r="H309" t="s">
        <v>102</v>
      </c>
      <c r="I309">
        <v>1</v>
      </c>
      <c r="J309" s="4">
        <v>278</v>
      </c>
      <c r="K309" s="4">
        <v>336.38</v>
      </c>
      <c r="L309" s="4">
        <f>K309-J309</f>
      </c>
      <c r="M309" s="4">
        <f>L309*16.67%</f>
      </c>
      <c r="N309" s="4">
        <f>K309/100*11</f>
      </c>
      <c r="O309" s="4">
        <v>8.99</v>
      </c>
      <c r="P309" s="4">
        <v>0</v>
      </c>
      <c r="Q309" s="4">
        <f>P309*20%</f>
      </c>
      <c r="R309" s="4">
        <v>1</v>
      </c>
      <c r="S309" s="4">
        <f>L309-M309-N309-O309-P309-Q309-R309</f>
      </c>
      <c r="T309" s="4">
        <f>(S309-V309)/J309*100</f>
      </c>
      <c r="U309" s="4">
        <f>M309-Q309</f>
      </c>
      <c r="W309" s="4">
        <f>S309-V309</f>
      </c>
      <c r="AB309" t="s">
        <v>1</v>
      </c>
    </row>
    <row r="310" spans="1:28" x14ac:dyDescent="0.25">
      <c r="A310" s="8">
        <v>46179.5</v>
      </c>
      <c r="B310" t="s">
        <v>1266</v>
      </c>
      <c r="C310" t="s">
        <v>1</v>
      </c>
      <c r="D310" s="9" t="s">
        <v>1267</v>
      </c>
      <c r="E310" t="s">
        <v>84</v>
      </c>
      <c r="F310" t="s">
        <v>105</v>
      </c>
      <c r="G310" t="s">
        <v>60</v>
      </c>
      <c r="H310" t="s">
        <v>61</v>
      </c>
      <c r="I310">
        <v>1</v>
      </c>
      <c r="J310" s="4">
        <v>716</v>
      </c>
      <c r="K310" s="4">
        <v>995.24</v>
      </c>
      <c r="L310" s="4">
        <f>K310-J310</f>
      </c>
      <c r="M310" s="4">
        <f>L310*16.67%</f>
      </c>
      <c r="N310" s="4">
        <f>K310/100*11</f>
      </c>
      <c r="O310" s="4">
        <v>8.99</v>
      </c>
      <c r="P310" s="4">
        <v>0</v>
      </c>
      <c r="Q310" s="4">
        <f>P310*20%</f>
      </c>
      <c r="R310" s="4">
        <v>1</v>
      </c>
      <c r="S310" s="4">
        <f>L310-M310-N310-O310-P310-Q310-R310</f>
      </c>
      <c r="T310" s="4">
        <f>(S310-V310)/J310*100</f>
      </c>
      <c r="U310" s="4">
        <f>M310-Q310</f>
      </c>
      <c r="W310" s="4">
        <f>S310-V310</f>
      </c>
      <c r="AB310" t="s">
        <v>1</v>
      </c>
    </row>
    <row r="311" spans="1:28" x14ac:dyDescent="0.25">
      <c r="A311" s="8">
        <v>46179.5</v>
      </c>
      <c r="B311" t="s">
        <v>1268</v>
      </c>
      <c r="C311" t="s">
        <v>174</v>
      </c>
      <c r="D311" s="9" t="s">
        <v>1</v>
      </c>
      <c r="E311" t="s">
        <v>174</v>
      </c>
      <c r="F311" t="s">
        <v>1</v>
      </c>
      <c r="G311" t="s">
        <v>1</v>
      </c>
      <c r="H311" t="s">
        <v>66</v>
      </c>
      <c r="I311">
        <v>4</v>
      </c>
      <c r="J311" s="4">
        <v>17</v>
      </c>
      <c r="K311" s="4">
        <v>22.78</v>
      </c>
      <c r="L311" s="4">
        <f>K311-J311</f>
      </c>
      <c r="M311" s="4">
        <f>L311*16.67%</f>
      </c>
      <c r="N311" s="4">
        <f>K311/100*11</f>
      </c>
      <c r="O311" s="4">
        <v>8.99</v>
      </c>
      <c r="P311" s="4">
        <v>0</v>
      </c>
      <c r="Q311" s="4">
        <f>P311*20%</f>
      </c>
      <c r="R311" s="4">
        <v>0</v>
      </c>
      <c r="S311" s="4">
        <f>L311-M311-N311-O311-P311-Q311-R311</f>
      </c>
      <c r="T311" s="4">
        <f>(S311-V311)/J311*100</f>
      </c>
      <c r="U311" s="4">
        <f>M311-Q311</f>
      </c>
      <c r="W311" s="4">
        <f>S311-V311</f>
      </c>
      <c r="AB311" t="s">
        <v>1</v>
      </c>
    </row>
    <row r="312" spans="1:28" x14ac:dyDescent="0.25">
      <c r="A312" s="8">
        <v>46178.5</v>
      </c>
      <c r="B312" t="s">
        <v>1269</v>
      </c>
      <c r="C312" t="s">
        <v>189</v>
      </c>
      <c r="D312" s="9" t="s">
        <v>1</v>
      </c>
      <c r="E312" t="s">
        <v>189</v>
      </c>
      <c r="F312" t="s">
        <v>1</v>
      </c>
      <c r="G312" t="s">
        <v>1</v>
      </c>
      <c r="H312" t="s">
        <v>66</v>
      </c>
      <c r="I312">
        <v>1</v>
      </c>
      <c r="J312" s="4">
        <v>3.5</v>
      </c>
      <c r="K312" s="4">
        <v>4.2</v>
      </c>
      <c r="L312" s="4">
        <f>K312-J312</f>
      </c>
      <c r="M312" s="4">
        <f>L312*16.67%</f>
      </c>
      <c r="N312" s="4">
        <f>K312/100*11</f>
      </c>
      <c r="O312" s="4">
        <v>8.99</v>
      </c>
      <c r="P312" s="4">
        <v>0</v>
      </c>
      <c r="Q312" s="4">
        <f>P312*20%</f>
      </c>
      <c r="R312" s="4">
        <v>0</v>
      </c>
      <c r="S312" s="4">
        <f>L312-M312-N312-O312-P312-Q312-R312</f>
      </c>
      <c r="T312" s="4">
        <f>(S312-V312)/J312*100</f>
      </c>
      <c r="U312" s="4">
        <f>M312-Q312</f>
      </c>
      <c r="W312" s="4">
        <f>S312-V312</f>
      </c>
      <c r="AB312" t="s">
        <v>1</v>
      </c>
    </row>
    <row r="313" spans="1:28" x14ac:dyDescent="0.25">
      <c r="A313" s="8">
        <v>46177.5</v>
      </c>
      <c r="B313" t="s">
        <v>1270</v>
      </c>
      <c r="C313" t="s">
        <v>1</v>
      </c>
      <c r="D313" s="9" t="s">
        <v>1271</v>
      </c>
      <c r="E313" t="s">
        <v>125</v>
      </c>
      <c r="F313" t="s">
        <v>74</v>
      </c>
      <c r="G313" t="s">
        <v>126</v>
      </c>
      <c r="H313" t="s">
        <v>102</v>
      </c>
      <c r="I313">
        <v>1</v>
      </c>
      <c r="J313" s="4">
        <v>254</v>
      </c>
      <c r="K313" s="4">
        <v>340.36</v>
      </c>
      <c r="L313" s="4">
        <f>K313-J313</f>
      </c>
      <c r="M313" s="4">
        <f>L313*16.67%</f>
      </c>
      <c r="N313" s="4">
        <f>K313/100*11</f>
      </c>
      <c r="O313" s="4">
        <v>8.99</v>
      </c>
      <c r="P313" s="4">
        <v>0</v>
      </c>
      <c r="Q313" s="4">
        <f>P313*20%</f>
      </c>
      <c r="R313" s="4">
        <v>1</v>
      </c>
      <c r="S313" s="4">
        <f>L313-M313-N313-O313-P313-Q313-R313</f>
      </c>
      <c r="T313" s="4">
        <f>(S313-V313)/J313*100</f>
      </c>
      <c r="U313" s="4">
        <f>M313-Q313</f>
      </c>
      <c r="W313" s="4">
        <f>S313-V313</f>
      </c>
      <c r="AB313" t="s">
        <v>1</v>
      </c>
    </row>
    <row r="314" spans="1:28" x14ac:dyDescent="0.25">
      <c r="A314" s="8">
        <v>46177.5</v>
      </c>
      <c r="B314" t="s">
        <v>1272</v>
      </c>
      <c r="C314" t="s">
        <v>1</v>
      </c>
      <c r="D314" s="9" t="s">
        <v>1273</v>
      </c>
      <c r="E314" t="s">
        <v>234</v>
      </c>
      <c r="F314" t="s">
        <v>70</v>
      </c>
      <c r="G314" t="s">
        <v>65</v>
      </c>
      <c r="H314" t="s">
        <v>61</v>
      </c>
      <c r="I314">
        <v>1</v>
      </c>
      <c r="J314" s="4">
        <v>175</v>
      </c>
      <c r="K314" s="4">
        <v>227.5</v>
      </c>
      <c r="L314" s="4">
        <f>K314-J314</f>
      </c>
      <c r="M314" s="4">
        <f>L314*16.67%</f>
      </c>
      <c r="N314" s="4">
        <f>K314/100*11</f>
      </c>
      <c r="O314" s="4">
        <v>8.99</v>
      </c>
      <c r="P314" s="4">
        <v>0</v>
      </c>
      <c r="Q314" s="4">
        <f>P314*20%</f>
      </c>
      <c r="R314" s="4">
        <v>1</v>
      </c>
      <c r="S314" s="4">
        <f>L314-M314-N314-O314-P314-Q314-R314</f>
      </c>
      <c r="T314" s="4">
        <f>(S314-V314)/J314*100</f>
      </c>
      <c r="U314" s="4">
        <f>M314-Q314</f>
      </c>
      <c r="W314" s="4">
        <f>S314-V314</f>
      </c>
      <c r="AB314" t="s">
        <v>1</v>
      </c>
    </row>
    <row r="315" spans="1:28" x14ac:dyDescent="0.25">
      <c r="A315" s="8">
        <v>46177.5</v>
      </c>
      <c r="B315" t="s">
        <v>1274</v>
      </c>
      <c r="C315" t="s">
        <v>1</v>
      </c>
      <c r="D315" s="9" t="s">
        <v>1275</v>
      </c>
      <c r="E315" t="s">
        <v>94</v>
      </c>
      <c r="F315" t="s">
        <v>59</v>
      </c>
      <c r="G315" t="s">
        <v>95</v>
      </c>
      <c r="H315" t="s">
        <v>102</v>
      </c>
      <c r="I315">
        <v>1</v>
      </c>
      <c r="J315" s="4">
        <v>76</v>
      </c>
      <c r="K315" s="4">
        <v>88.16</v>
      </c>
      <c r="L315" s="4">
        <f>K315-J315</f>
      </c>
      <c r="M315" s="4">
        <f>L315*16.67%</f>
      </c>
      <c r="N315" s="4">
        <f>K315/100*11</f>
      </c>
      <c r="O315" s="4">
        <v>8.99</v>
      </c>
      <c r="P315" s="4">
        <v>0</v>
      </c>
      <c r="Q315" s="4">
        <f>P315*20%</f>
      </c>
      <c r="R315" s="4">
        <v>1</v>
      </c>
      <c r="S315" s="4">
        <f>L315-M315-N315-O315-P315-Q315-R315</f>
      </c>
      <c r="T315" s="4">
        <f>(S315-V315)/J315*100</f>
      </c>
      <c r="U315" s="4">
        <f>M315-Q315</f>
      </c>
      <c r="W315" s="4">
        <f>S315-V315</f>
      </c>
      <c r="AB315" t="s">
        <v>1</v>
      </c>
    </row>
    <row r="316" spans="1:28" x14ac:dyDescent="0.25">
      <c r="A316" s="8">
        <v>46177.5</v>
      </c>
      <c r="B316" t="s">
        <v>1276</v>
      </c>
      <c r="C316" t="s">
        <v>177</v>
      </c>
      <c r="D316" s="9" t="s">
        <v>1</v>
      </c>
      <c r="E316" t="s">
        <v>177</v>
      </c>
      <c r="F316" t="s">
        <v>1</v>
      </c>
      <c r="G316" t="s">
        <v>1</v>
      </c>
      <c r="H316" t="s">
        <v>78</v>
      </c>
      <c r="I316">
        <v>4</v>
      </c>
      <c r="J316" s="4">
        <v>0.6</v>
      </c>
      <c r="K316" s="4">
        <v>0.7</v>
      </c>
      <c r="L316" s="4">
        <f>K316-J316</f>
      </c>
      <c r="M316" s="4">
        <f>L316*16.67%</f>
      </c>
      <c r="N316" s="4">
        <f>K316/100*11</f>
      </c>
      <c r="O316" s="4">
        <v>8.99</v>
      </c>
      <c r="P316" s="4">
        <v>0</v>
      </c>
      <c r="Q316" s="4">
        <f>P316*20%</f>
      </c>
      <c r="R316" s="4">
        <v>0</v>
      </c>
      <c r="S316" s="4">
        <f>L316-M316-N316-O316-P316-Q316-R316</f>
      </c>
      <c r="T316" s="4">
        <f>(S316-V316)/J316*100</f>
      </c>
      <c r="U316" s="4">
        <f>M316-Q316</f>
      </c>
      <c r="W316" s="4">
        <f>S316-V316</f>
      </c>
      <c r="AB316" t="s">
        <v>1</v>
      </c>
    </row>
    <row r="317" spans="1:28" x14ac:dyDescent="0.25">
      <c r="A317" s="8">
        <v>46177.5</v>
      </c>
      <c r="B317" t="s">
        <v>1277</v>
      </c>
      <c r="C317" t="s">
        <v>182</v>
      </c>
      <c r="D317" s="9" t="s">
        <v>1</v>
      </c>
      <c r="E317" t="s">
        <v>182</v>
      </c>
      <c r="F317" t="s">
        <v>1</v>
      </c>
      <c r="G317" t="s">
        <v>1</v>
      </c>
      <c r="H317" t="s">
        <v>75</v>
      </c>
      <c r="I317">
        <v>4</v>
      </c>
      <c r="J317" s="4">
        <v>7.6</v>
      </c>
      <c r="K317" s="4">
        <v>8.82</v>
      </c>
      <c r="L317" s="4">
        <f>K317-J317</f>
      </c>
      <c r="M317" s="4">
        <f>L317*16.67%</f>
      </c>
      <c r="N317" s="4">
        <f>K317/100*11</f>
      </c>
      <c r="O317" s="4">
        <v>8.99</v>
      </c>
      <c r="P317" s="4">
        <v>0</v>
      </c>
      <c r="Q317" s="4">
        <f>P317*20%</f>
      </c>
      <c r="R317" s="4">
        <v>0</v>
      </c>
      <c r="S317" s="4">
        <f>L317-M317-N317-O317-P317-Q317-R317</f>
      </c>
      <c r="T317" s="4">
        <f>(S317-V317)/J317*100</f>
      </c>
      <c r="U317" s="4">
        <f>M317-Q317</f>
      </c>
      <c r="W317" s="4">
        <f>S317-V317</f>
      </c>
      <c r="AB317" t="s">
        <v>1</v>
      </c>
    </row>
    <row r="318" spans="1:28" x14ac:dyDescent="0.25">
      <c r="A318" s="8">
        <v>46176.5</v>
      </c>
      <c r="B318" t="s">
        <v>1278</v>
      </c>
      <c r="C318" t="s">
        <v>1</v>
      </c>
      <c r="D318" s="9" t="s">
        <v>1279</v>
      </c>
      <c r="E318" t="s">
        <v>139</v>
      </c>
      <c r="F318" t="s">
        <v>99</v>
      </c>
      <c r="G318" t="s">
        <v>65</v>
      </c>
      <c r="H318" t="s">
        <v>102</v>
      </c>
      <c r="I318">
        <v>1</v>
      </c>
      <c r="J318" s="4">
        <v>316</v>
      </c>
      <c r="K318" s="4">
        <v>420.28</v>
      </c>
      <c r="L318" s="4">
        <f>K318-J318</f>
      </c>
      <c r="M318" s="4">
        <f>L318*16.67%</f>
      </c>
      <c r="N318" s="4">
        <f>K318/100*11</f>
      </c>
      <c r="O318" s="4">
        <v>8.99</v>
      </c>
      <c r="P318" s="4">
        <v>0</v>
      </c>
      <c r="Q318" s="4">
        <f>P318*20%</f>
      </c>
      <c r="R318" s="4">
        <v>1</v>
      </c>
      <c r="S318" s="4">
        <f>L318-M318-N318-O318-P318-Q318-R318</f>
      </c>
      <c r="T318" s="4">
        <f>(S318-V318)/J318*100</f>
      </c>
      <c r="U318" s="4">
        <f>M318-Q318</f>
      </c>
      <c r="W318" s="4">
        <f>S318-V318</f>
      </c>
      <c r="AB318" t="s">
        <v>1</v>
      </c>
    </row>
    <row r="319" spans="1:28" x14ac:dyDescent="0.25">
      <c r="A319" s="8">
        <v>46176.5</v>
      </c>
      <c r="B319" t="s">
        <v>1280</v>
      </c>
      <c r="C319" t="s">
        <v>1</v>
      </c>
      <c r="D319" s="9" t="s">
        <v>1281</v>
      </c>
      <c r="E319" t="s">
        <v>134</v>
      </c>
      <c r="F319" t="s">
        <v>99</v>
      </c>
      <c r="G319" t="s">
        <v>65</v>
      </c>
      <c r="H319" t="s">
        <v>102</v>
      </c>
      <c r="I319">
        <v>1</v>
      </c>
      <c r="J319" s="4">
        <v>106</v>
      </c>
      <c r="K319" s="4">
        <v>139.92</v>
      </c>
      <c r="L319" s="4">
        <f>K319-J319</f>
      </c>
      <c r="M319" s="4">
        <f>L319*16.67%</f>
      </c>
      <c r="N319" s="4">
        <f>K319/100*11</f>
      </c>
      <c r="O319" s="4">
        <v>8.99</v>
      </c>
      <c r="P319" s="4">
        <v>0</v>
      </c>
      <c r="Q319" s="4">
        <f>P319*20%</f>
      </c>
      <c r="R319" s="4">
        <v>1</v>
      </c>
      <c r="S319" s="4">
        <f>L319-M319-N319-O319-P319-Q319-R319</f>
      </c>
      <c r="T319" s="4">
        <f>(S319-V319)/J319*100</f>
      </c>
      <c r="U319" s="4">
        <f>M319-Q319</f>
      </c>
      <c r="W319" s="4">
        <f>S319-V319</f>
      </c>
      <c r="AB319" t="s">
        <v>1</v>
      </c>
    </row>
    <row r="320" spans="1:28" x14ac:dyDescent="0.25">
      <c r="A320" s="8">
        <v>46176.5</v>
      </c>
      <c r="B320" t="s">
        <v>1282</v>
      </c>
      <c r="C320" t="s">
        <v>1</v>
      </c>
      <c r="D320" s="9" t="s">
        <v>1283</v>
      </c>
      <c r="E320" t="s">
        <v>81</v>
      </c>
      <c r="F320" t="s">
        <v>70</v>
      </c>
      <c r="G320" t="s">
        <v>65</v>
      </c>
      <c r="H320" t="s">
        <v>78</v>
      </c>
      <c r="I320">
        <v>1</v>
      </c>
      <c r="J320" s="4">
        <v>604</v>
      </c>
      <c r="K320" s="4">
        <v>742.92</v>
      </c>
      <c r="L320" s="4">
        <f>K320-J320</f>
      </c>
      <c r="M320" s="4">
        <f>L320*16.67%</f>
      </c>
      <c r="N320" s="4">
        <f>K320/100*11</f>
      </c>
      <c r="O320" s="4">
        <v>8.99</v>
      </c>
      <c r="P320" s="4">
        <v>0</v>
      </c>
      <c r="Q320" s="4">
        <f>P320*20%</f>
      </c>
      <c r="R320" s="4">
        <v>1</v>
      </c>
      <c r="S320" s="4">
        <f>L320-M320-N320-O320-P320-Q320-R320</f>
      </c>
      <c r="T320" s="4">
        <f>(S320-V320)/J320*100</f>
      </c>
      <c r="U320" s="4">
        <f>M320-Q320</f>
      </c>
      <c r="W320" s="4">
        <f>S320-V320</f>
      </c>
      <c r="AB320" t="s">
        <v>1</v>
      </c>
    </row>
    <row r="321" spans="1:28" x14ac:dyDescent="0.25">
      <c r="A321" s="8">
        <v>46176.5</v>
      </c>
      <c r="B321" t="s">
        <v>1284</v>
      </c>
      <c r="C321" t="s">
        <v>1</v>
      </c>
      <c r="D321" s="9" t="s">
        <v>1285</v>
      </c>
      <c r="E321" t="s">
        <v>69</v>
      </c>
      <c r="F321" t="s">
        <v>59</v>
      </c>
      <c r="G321" t="s">
        <v>60</v>
      </c>
      <c r="H321" t="s">
        <v>66</v>
      </c>
      <c r="I321">
        <v>1</v>
      </c>
      <c r="J321" s="4">
        <v>524</v>
      </c>
      <c r="K321" s="4">
        <v>660.24</v>
      </c>
      <c r="L321" s="4">
        <f>K321-J321</f>
      </c>
      <c r="M321" s="4">
        <f>L321*16.67%</f>
      </c>
      <c r="N321" s="4">
        <f>K321/100*11</f>
      </c>
      <c r="O321" s="4">
        <v>8.99</v>
      </c>
      <c r="P321" s="4">
        <v>0</v>
      </c>
      <c r="Q321" s="4">
        <f>P321*20%</f>
      </c>
      <c r="R321" s="4">
        <v>1</v>
      </c>
      <c r="S321" s="4">
        <f>L321-M321-N321-O321-P321-Q321-R321</f>
      </c>
      <c r="T321" s="4">
        <f>(S321-V321)/J321*100</f>
      </c>
      <c r="U321" s="4">
        <f>M321-Q321</f>
      </c>
      <c r="W321" s="4">
        <f>S321-V321</f>
      </c>
      <c r="AB321" t="s">
        <v>1</v>
      </c>
    </row>
    <row r="322" spans="1:28" x14ac:dyDescent="0.25">
      <c r="A322" s="8">
        <v>46175.5</v>
      </c>
      <c r="B322" t="s">
        <v>1286</v>
      </c>
      <c r="C322" t="s">
        <v>1</v>
      </c>
      <c r="D322" s="9" t="s">
        <v>1287</v>
      </c>
      <c r="E322" t="s">
        <v>139</v>
      </c>
      <c r="F322" t="s">
        <v>105</v>
      </c>
      <c r="G322" t="s">
        <v>60</v>
      </c>
      <c r="H322" t="s">
        <v>66</v>
      </c>
      <c r="I322">
        <v>1</v>
      </c>
      <c r="J322" s="4">
        <v>335</v>
      </c>
      <c r="K322" s="4">
        <v>442.2</v>
      </c>
      <c r="L322" s="4">
        <f>K322-J322</f>
      </c>
      <c r="M322" s="4">
        <f>L322*16.67%</f>
      </c>
      <c r="N322" s="4">
        <f>K322/100*11</f>
      </c>
      <c r="O322" s="4">
        <v>8.99</v>
      </c>
      <c r="P322" s="4">
        <v>0</v>
      </c>
      <c r="Q322" s="4">
        <f>P322*20%</f>
      </c>
      <c r="R322" s="4">
        <v>1</v>
      </c>
      <c r="S322" s="4">
        <f>L322-M322-N322-O322-P322-Q322-R322</f>
      </c>
      <c r="T322" s="4">
        <f>(S322-V322)/J322*100</f>
      </c>
      <c r="U322" s="4">
        <f>M322-Q322</f>
      </c>
      <c r="W322" s="4">
        <f>S322-V322</f>
      </c>
      <c r="AB322" t="s">
        <v>1</v>
      </c>
    </row>
    <row r="323" spans="1:28" x14ac:dyDescent="0.25">
      <c r="A323" s="8">
        <v>46175.5</v>
      </c>
      <c r="B323" t="s">
        <v>1288</v>
      </c>
      <c r="C323" t="s">
        <v>1</v>
      </c>
      <c r="D323" s="9" t="s">
        <v>1289</v>
      </c>
      <c r="E323" t="s">
        <v>81</v>
      </c>
      <c r="F323" t="s">
        <v>59</v>
      </c>
      <c r="G323" t="s">
        <v>65</v>
      </c>
      <c r="H323" t="s">
        <v>66</v>
      </c>
      <c r="I323">
        <v>1</v>
      </c>
      <c r="J323" s="4">
        <v>544</v>
      </c>
      <c r="K323" s="4">
        <v>756.16</v>
      </c>
      <c r="L323" s="4">
        <f>K323-J323</f>
      </c>
      <c r="M323" s="4">
        <f>L323*16.67%</f>
      </c>
      <c r="N323" s="4">
        <f>K323/100*11</f>
      </c>
      <c r="O323" s="4">
        <v>8.99</v>
      </c>
      <c r="P323" s="4">
        <v>0</v>
      </c>
      <c r="Q323" s="4">
        <f>P323*20%</f>
      </c>
      <c r="R323" s="4">
        <v>1</v>
      </c>
      <c r="S323" s="4">
        <f>L323-M323-N323-O323-P323-Q323-R323</f>
      </c>
      <c r="T323" s="4">
        <f>(S323-V323)/J323*100</f>
      </c>
      <c r="U323" s="4">
        <f>M323-Q323</f>
      </c>
      <c r="W323" s="4">
        <f>S323-V323</f>
      </c>
      <c r="AB323" t="s">
        <v>1</v>
      </c>
    </row>
    <row r="324" spans="1:28" x14ac:dyDescent="0.25">
      <c r="A324" s="8">
        <v>46175.5</v>
      </c>
      <c r="B324" t="s">
        <v>1290</v>
      </c>
      <c r="C324" t="s">
        <v>1</v>
      </c>
      <c r="D324" s="9" t="s">
        <v>1291</v>
      </c>
      <c r="E324" t="s">
        <v>98</v>
      </c>
      <c r="F324" t="s">
        <v>59</v>
      </c>
      <c r="G324" t="s">
        <v>65</v>
      </c>
      <c r="H324" t="s">
        <v>66</v>
      </c>
      <c r="I324">
        <v>1</v>
      </c>
      <c r="J324" s="4">
        <v>292</v>
      </c>
      <c r="K324" s="4">
        <v>414.64</v>
      </c>
      <c r="L324" s="4">
        <f>K324-J324</f>
      </c>
      <c r="M324" s="4">
        <f>L324*16.67%</f>
      </c>
      <c r="N324" s="4">
        <f>K324/100*11</f>
      </c>
      <c r="O324" s="4">
        <v>8.99</v>
      </c>
      <c r="P324" s="4">
        <v>0</v>
      </c>
      <c r="Q324" s="4">
        <f>P324*20%</f>
      </c>
      <c r="R324" s="4">
        <v>1</v>
      </c>
      <c r="S324" s="4">
        <f>L324-M324-N324-O324-P324-Q324-R324</f>
      </c>
      <c r="T324" s="4">
        <f>(S324-V324)/J324*100</f>
      </c>
      <c r="U324" s="4">
        <f>M324-Q324</f>
      </c>
      <c r="W324" s="4">
        <f>S324-V324</f>
      </c>
      <c r="AB324" t="s">
        <v>1</v>
      </c>
    </row>
    <row r="325" spans="1:28" x14ac:dyDescent="0.25">
      <c r="A325" s="8">
        <v>46175.5</v>
      </c>
      <c r="B325" t="s">
        <v>1292</v>
      </c>
      <c r="C325" t="s">
        <v>1</v>
      </c>
      <c r="D325" s="9" t="s">
        <v>1293</v>
      </c>
      <c r="E325" t="s">
        <v>98</v>
      </c>
      <c r="F325" t="s">
        <v>70</v>
      </c>
      <c r="G325" t="s">
        <v>60</v>
      </c>
      <c r="H325" t="s">
        <v>75</v>
      </c>
      <c r="I325">
        <v>1</v>
      </c>
      <c r="J325" s="4">
        <v>284</v>
      </c>
      <c r="K325" s="4">
        <v>397.6</v>
      </c>
      <c r="L325" s="4">
        <f>K325-J325</f>
      </c>
      <c r="M325" s="4">
        <f>L325*16.67%</f>
      </c>
      <c r="N325" s="4">
        <f>K325/100*11</f>
      </c>
      <c r="O325" s="4">
        <v>8.99</v>
      </c>
      <c r="P325" s="4">
        <v>0</v>
      </c>
      <c r="Q325" s="4">
        <f>P325*20%</f>
      </c>
      <c r="R325" s="4">
        <v>1</v>
      </c>
      <c r="S325" s="4">
        <f>L325-M325-N325-O325-P325-Q325-R325</f>
      </c>
      <c r="T325" s="4">
        <f>(S325-V325)/J325*100</f>
      </c>
      <c r="U325" s="4">
        <f>M325-Q325</f>
      </c>
      <c r="W325" s="4">
        <f>S325-V325</f>
      </c>
      <c r="AB325" t="s">
        <v>1</v>
      </c>
    </row>
    <row r="326" spans="1:28" x14ac:dyDescent="0.25">
      <c r="A326" s="8">
        <v>46175.5</v>
      </c>
      <c r="B326" t="s">
        <v>1294</v>
      </c>
      <c r="C326" t="s">
        <v>1</v>
      </c>
      <c r="D326" s="9" t="s">
        <v>1295</v>
      </c>
      <c r="E326" t="s">
        <v>234</v>
      </c>
      <c r="F326" t="s">
        <v>85</v>
      </c>
      <c r="G326" t="s">
        <v>65</v>
      </c>
      <c r="H326" t="s">
        <v>102</v>
      </c>
      <c r="I326">
        <v>1</v>
      </c>
      <c r="J326" s="4">
        <v>180</v>
      </c>
      <c r="K326" s="4">
        <v>241.2</v>
      </c>
      <c r="L326" s="4">
        <f>K326-J326</f>
      </c>
      <c r="M326" s="4">
        <f>L326*16.67%</f>
      </c>
      <c r="N326" s="4">
        <f>K326/100*11</f>
      </c>
      <c r="O326" s="4">
        <v>8.99</v>
      </c>
      <c r="P326" s="4">
        <v>0</v>
      </c>
      <c r="Q326" s="4">
        <f>P326*20%</f>
      </c>
      <c r="R326" s="4">
        <v>1</v>
      </c>
      <c r="S326" s="4">
        <f>L326-M326-N326-O326-P326-Q326-R326</f>
      </c>
      <c r="T326" s="4">
        <f>(S326-V326)/J326*100</f>
      </c>
      <c r="U326" s="4">
        <f>M326-Q326</f>
      </c>
      <c r="W326" s="4">
        <f>S326-V326</f>
      </c>
      <c r="AB326" t="s">
        <v>1</v>
      </c>
    </row>
    <row r="327" spans="1:28" x14ac:dyDescent="0.25">
      <c r="A327" s="8">
        <v>46174.5</v>
      </c>
      <c r="B327" t="s">
        <v>1296</v>
      </c>
      <c r="C327" t="s">
        <v>1</v>
      </c>
      <c r="D327" s="9" t="s">
        <v>1297</v>
      </c>
      <c r="E327" t="s">
        <v>94</v>
      </c>
      <c r="F327" t="s">
        <v>99</v>
      </c>
      <c r="G327" t="s">
        <v>95</v>
      </c>
      <c r="H327" t="s">
        <v>66</v>
      </c>
      <c r="I327">
        <v>1</v>
      </c>
      <c r="J327" s="4">
        <v>78</v>
      </c>
      <c r="K327" s="4">
        <v>104.52</v>
      </c>
      <c r="L327" s="4">
        <f>K327-J327</f>
      </c>
      <c r="M327" s="4">
        <f>L327*16.67%</f>
      </c>
      <c r="N327" s="4">
        <f>K327/100*11</f>
      </c>
      <c r="O327" s="4">
        <v>8.99</v>
      </c>
      <c r="P327" s="4">
        <v>0</v>
      </c>
      <c r="Q327" s="4">
        <f>P327*20%</f>
      </c>
      <c r="R327" s="4">
        <v>1</v>
      </c>
      <c r="S327" s="4">
        <f>L327-M327-N327-O327-P327-Q327-R327</f>
      </c>
      <c r="T327" s="4">
        <f>(S327-V327)/J327*100</f>
      </c>
      <c r="U327" s="4">
        <f>M327-Q327</f>
      </c>
      <c r="W327" s="4">
        <f>S327-V327</f>
      </c>
      <c r="AB327" t="s">
        <v>1</v>
      </c>
    </row>
    <row r="328" spans="1:28" x14ac:dyDescent="0.25">
      <c r="A328" s="8">
        <v>46174.5</v>
      </c>
      <c r="B328" t="s">
        <v>1298</v>
      </c>
      <c r="C328" t="s">
        <v>1</v>
      </c>
      <c r="D328" s="9" t="s">
        <v>1299</v>
      </c>
      <c r="E328" t="s">
        <v>94</v>
      </c>
      <c r="F328" t="s">
        <v>59</v>
      </c>
      <c r="G328" t="s">
        <v>95</v>
      </c>
      <c r="H328" t="s">
        <v>75</v>
      </c>
      <c r="I328">
        <v>1</v>
      </c>
      <c r="J328" s="4">
        <v>88</v>
      </c>
      <c r="K328" s="4">
        <v>108.24</v>
      </c>
      <c r="L328" s="4">
        <f>K328-J328</f>
      </c>
      <c r="M328" s="4">
        <f>L328*16.67%</f>
      </c>
      <c r="N328" s="4">
        <f>K328/100*11</f>
      </c>
      <c r="O328" s="4">
        <v>8.99</v>
      </c>
      <c r="P328" s="4">
        <v>0</v>
      </c>
      <c r="Q328" s="4">
        <f>P328*20%</f>
      </c>
      <c r="R328" s="4">
        <v>1</v>
      </c>
      <c r="S328" s="4">
        <f>L328-M328-N328-O328-P328-Q328-R328</f>
      </c>
      <c r="T328" s="4">
        <f>(S328-V328)/J328*100</f>
      </c>
      <c r="U328" s="4">
        <f>M328-Q328</f>
      </c>
      <c r="W328" s="4">
        <f>S328-V328</f>
      </c>
      <c r="AB328" t="s">
        <v>1</v>
      </c>
    </row>
    <row r="329" spans="1:28" x14ac:dyDescent="0.25">
      <c r="A329" s="8">
        <v>46174.5</v>
      </c>
      <c r="B329" t="s">
        <v>1300</v>
      </c>
      <c r="C329" t="s">
        <v>1</v>
      </c>
      <c r="D329" s="9" t="s">
        <v>1301</v>
      </c>
      <c r="E329" t="s">
        <v>84</v>
      </c>
      <c r="F329" t="s">
        <v>85</v>
      </c>
      <c r="G329" t="s">
        <v>60</v>
      </c>
      <c r="H329" t="s">
        <v>78</v>
      </c>
      <c r="I329">
        <v>1</v>
      </c>
      <c r="J329" s="4">
        <v>751</v>
      </c>
      <c r="K329" s="4">
        <v>961.28</v>
      </c>
      <c r="L329" s="4">
        <f>K329-J329</f>
      </c>
      <c r="M329" s="4">
        <f>L329*16.67%</f>
      </c>
      <c r="N329" s="4">
        <f>K329/100*11</f>
      </c>
      <c r="O329" s="4">
        <v>8.99</v>
      </c>
      <c r="P329" s="4">
        <v>0</v>
      </c>
      <c r="Q329" s="4">
        <f>P329*20%</f>
      </c>
      <c r="R329" s="4">
        <v>1</v>
      </c>
      <c r="S329" s="4">
        <f>L329-M329-N329-O329-P329-Q329-R329</f>
      </c>
      <c r="T329" s="4">
        <f>(S329-V329)/J329*100</f>
      </c>
      <c r="U329" s="4">
        <f>M329-Q329</f>
      </c>
      <c r="W329" s="4">
        <f>S329-V329</f>
      </c>
      <c r="AB329" t="s">
        <v>1</v>
      </c>
    </row>
    <row r="330" spans="1:28" x14ac:dyDescent="0.25">
      <c r="A330" s="8">
        <v>46174.5</v>
      </c>
      <c r="B330" t="s">
        <v>1302</v>
      </c>
      <c r="C330" t="s">
        <v>1</v>
      </c>
      <c r="D330" s="9" t="s">
        <v>1303</v>
      </c>
      <c r="E330" t="s">
        <v>134</v>
      </c>
      <c r="F330" t="s">
        <v>105</v>
      </c>
      <c r="G330" t="s">
        <v>95</v>
      </c>
      <c r="H330" t="s">
        <v>78</v>
      </c>
      <c r="I330">
        <v>1</v>
      </c>
      <c r="J330" s="4">
        <v>119</v>
      </c>
      <c r="K330" s="4">
        <v>155.89</v>
      </c>
      <c r="L330" s="4">
        <f>K330-J330</f>
      </c>
      <c r="M330" s="4">
        <f>L330*16.67%</f>
      </c>
      <c r="N330" s="4">
        <f>K330/100*11</f>
      </c>
      <c r="O330" s="4">
        <v>8.99</v>
      </c>
      <c r="P330" s="4">
        <v>0</v>
      </c>
      <c r="Q330" s="4">
        <f>P330*20%</f>
      </c>
      <c r="R330" s="4">
        <v>1</v>
      </c>
      <c r="S330" s="4">
        <f>L330-M330-N330-O330-P330-Q330-R330</f>
      </c>
      <c r="T330" s="4">
        <f>(S330-V330)/J330*100</f>
      </c>
      <c r="U330" s="4">
        <f>M330-Q330</f>
      </c>
      <c r="W330" s="4">
        <f>S330-V330</f>
      </c>
      <c r="AB330" t="s">
        <v>1</v>
      </c>
    </row>
    <row r="331" spans="1:28" x14ac:dyDescent="0.25">
      <c r="A331" s="8">
        <v>46174.5</v>
      </c>
      <c r="B331" t="s">
        <v>1304</v>
      </c>
      <c r="C331" t="s">
        <v>182</v>
      </c>
      <c r="D331" s="9" t="s">
        <v>1</v>
      </c>
      <c r="E331" t="s">
        <v>182</v>
      </c>
      <c r="F331" t="s">
        <v>1</v>
      </c>
      <c r="G331" t="s">
        <v>1</v>
      </c>
      <c r="H331" t="s">
        <v>75</v>
      </c>
      <c r="I331">
        <v>1</v>
      </c>
      <c r="J331" s="4">
        <v>1.9</v>
      </c>
      <c r="K331" s="4">
        <v>2.41</v>
      </c>
      <c r="L331" s="4">
        <f>K331-J331</f>
      </c>
      <c r="M331" s="4">
        <f>L331*16.67%</f>
      </c>
      <c r="N331" s="4">
        <f>K331/100*11</f>
      </c>
      <c r="O331" s="4">
        <v>8.99</v>
      </c>
      <c r="P331" s="4">
        <v>0</v>
      </c>
      <c r="Q331" s="4">
        <f>P331*20%</f>
      </c>
      <c r="R331" s="4">
        <v>0</v>
      </c>
      <c r="S331" s="4">
        <f>L331-M331-N331-O331-P331-Q331-R331</f>
      </c>
      <c r="T331" s="4">
        <f>(S331-V331)/J331*100</f>
      </c>
      <c r="U331" s="4">
        <f>M331-Q331</f>
      </c>
      <c r="W331" s="4">
        <f>S331-V331</f>
      </c>
      <c r="AB331" t="s">
        <v>1</v>
      </c>
    </row>
    <row r="332" spans="1:28" x14ac:dyDescent="0.25">
      <c r="A332" s="8">
        <v>46173.5</v>
      </c>
      <c r="B332" t="s">
        <v>1305</v>
      </c>
      <c r="C332" t="s">
        <v>1</v>
      </c>
      <c r="D332" s="9" t="s">
        <v>1306</v>
      </c>
      <c r="E332" t="s">
        <v>172</v>
      </c>
      <c r="F332" t="s">
        <v>85</v>
      </c>
      <c r="G332" t="s">
        <v>65</v>
      </c>
      <c r="H332" t="s">
        <v>75</v>
      </c>
      <c r="I332">
        <v>1</v>
      </c>
      <c r="J332" s="4">
        <v>143</v>
      </c>
      <c r="K332" s="4">
        <v>178.75</v>
      </c>
      <c r="L332" s="4">
        <f>K332-J332</f>
      </c>
      <c r="M332" s="4">
        <f>L332*16.67%</f>
      </c>
      <c r="N332" s="4">
        <f>K332/100*11</f>
      </c>
      <c r="O332" s="4">
        <v>8.99</v>
      </c>
      <c r="P332" s="4">
        <v>0</v>
      </c>
      <c r="Q332" s="4">
        <f>P332*20%</f>
      </c>
      <c r="R332" s="4">
        <v>1</v>
      </c>
      <c r="S332" s="4">
        <f>L332-M332-N332-O332-P332-Q332-R332</f>
      </c>
      <c r="T332" s="4">
        <f>(S332-V332)/J332*100</f>
      </c>
      <c r="U332" s="4">
        <f>M332-Q332</f>
      </c>
      <c r="W332" s="4">
        <f>S332-V332</f>
      </c>
      <c r="AB332" t="s">
        <v>1</v>
      </c>
    </row>
    <row r="333" spans="1:28" x14ac:dyDescent="0.25">
      <c r="A333" s="8">
        <v>46173.5</v>
      </c>
      <c r="B333" t="s">
        <v>1307</v>
      </c>
      <c r="C333" t="s">
        <v>1</v>
      </c>
      <c r="D333" s="9" t="s">
        <v>1308</v>
      </c>
      <c r="E333" t="s">
        <v>139</v>
      </c>
      <c r="F333" t="s">
        <v>59</v>
      </c>
      <c r="G333" t="s">
        <v>60</v>
      </c>
      <c r="H333" t="s">
        <v>66</v>
      </c>
      <c r="I333">
        <v>1</v>
      </c>
      <c r="J333" s="4">
        <v>333</v>
      </c>
      <c r="K333" s="4">
        <v>382.95</v>
      </c>
      <c r="L333" s="4">
        <f>K333-J333</f>
      </c>
      <c r="M333" s="4">
        <f>L333*16.67%</f>
      </c>
      <c r="N333" s="4">
        <f>K333/100*11</f>
      </c>
      <c r="O333" s="4">
        <v>8.99</v>
      </c>
      <c r="P333" s="4">
        <v>0</v>
      </c>
      <c r="Q333" s="4">
        <f>P333*20%</f>
      </c>
      <c r="R333" s="4">
        <v>1</v>
      </c>
      <c r="S333" s="4">
        <f>L333-M333-N333-O333-P333-Q333-R333</f>
      </c>
      <c r="T333" s="4">
        <f>(S333-V333)/J333*100</f>
      </c>
      <c r="U333" s="4">
        <f>M333-Q333</f>
      </c>
      <c r="W333" s="4">
        <f>S333-V333</f>
      </c>
      <c r="AB333" t="s">
        <v>1</v>
      </c>
    </row>
    <row r="334" spans="1:28" x14ac:dyDescent="0.25">
      <c r="A334" s="8">
        <v>46173.5</v>
      </c>
      <c r="B334" t="s">
        <v>1309</v>
      </c>
      <c r="C334" t="s">
        <v>185</v>
      </c>
      <c r="D334" s="9" t="s">
        <v>1</v>
      </c>
      <c r="E334" t="s">
        <v>185</v>
      </c>
      <c r="F334" t="s">
        <v>1</v>
      </c>
      <c r="G334" t="s">
        <v>1</v>
      </c>
      <c r="H334" t="s">
        <v>102</v>
      </c>
      <c r="I334">
        <v>1</v>
      </c>
      <c r="J334" s="4">
        <v>1.2</v>
      </c>
      <c r="K334" s="4">
        <v>1.66</v>
      </c>
      <c r="L334" s="4">
        <f>K334-J334</f>
      </c>
      <c r="M334" s="4">
        <f>L334*16.67%</f>
      </c>
      <c r="N334" s="4">
        <f>K334/100*11</f>
      </c>
      <c r="O334" s="4">
        <v>8.99</v>
      </c>
      <c r="P334" s="4">
        <v>0</v>
      </c>
      <c r="Q334" s="4">
        <f>P334*20%</f>
      </c>
      <c r="R334" s="4">
        <v>0</v>
      </c>
      <c r="S334" s="4">
        <f>L334-M334-N334-O334-P334-Q334-R334</f>
      </c>
      <c r="T334" s="4">
        <f>(S334-V334)/J334*100</f>
      </c>
      <c r="U334" s="4">
        <f>M334-Q334</f>
      </c>
      <c r="W334" s="4">
        <f>S334-V334</f>
      </c>
      <c r="AB334" t="s">
        <v>1</v>
      </c>
    </row>
    <row r="335" spans="1:28" x14ac:dyDescent="0.25">
      <c r="A335" s="8">
        <v>46172.5</v>
      </c>
      <c r="B335" t="s">
        <v>1310</v>
      </c>
      <c r="C335" t="s">
        <v>1</v>
      </c>
      <c r="D335" s="9" t="s">
        <v>1311</v>
      </c>
      <c r="E335" t="s">
        <v>234</v>
      </c>
      <c r="F335" t="s">
        <v>99</v>
      </c>
      <c r="G335" t="s">
        <v>65</v>
      </c>
      <c r="H335" t="s">
        <v>61</v>
      </c>
      <c r="I335">
        <v>1</v>
      </c>
      <c r="J335" s="4">
        <v>162</v>
      </c>
      <c r="K335" s="4">
        <v>221.94</v>
      </c>
      <c r="L335" s="4">
        <f>K335-J335</f>
      </c>
      <c r="M335" s="4">
        <f>L335*16.67%</f>
      </c>
      <c r="N335" s="4">
        <f>K335/100*11</f>
      </c>
      <c r="O335" s="4">
        <v>8.99</v>
      </c>
      <c r="P335" s="4">
        <v>0</v>
      </c>
      <c r="Q335" s="4">
        <f>P335*20%</f>
      </c>
      <c r="R335" s="4">
        <v>1</v>
      </c>
      <c r="S335" s="4">
        <f>L335-M335-N335-O335-P335-Q335-R335</f>
      </c>
      <c r="T335" s="4">
        <f>(S335-V335)/J335*100</f>
      </c>
      <c r="U335" s="4">
        <f>M335-Q335</f>
      </c>
      <c r="W335" s="4">
        <f>S335-V335</f>
      </c>
      <c r="AB335" t="s">
        <v>1</v>
      </c>
    </row>
    <row r="336" spans="1:28" x14ac:dyDescent="0.25">
      <c r="A336" s="8">
        <v>46172.5</v>
      </c>
      <c r="B336" t="s">
        <v>1312</v>
      </c>
      <c r="C336" t="s">
        <v>1</v>
      </c>
      <c r="D336" s="9" t="s">
        <v>1313</v>
      </c>
      <c r="E336" t="s">
        <v>69</v>
      </c>
      <c r="F336" t="s">
        <v>88</v>
      </c>
      <c r="G336" t="s">
        <v>60</v>
      </c>
      <c r="H336" t="s">
        <v>66</v>
      </c>
      <c r="I336">
        <v>1</v>
      </c>
      <c r="J336" s="4">
        <v>510</v>
      </c>
      <c r="K336" s="4">
        <v>601.8</v>
      </c>
      <c r="L336" s="4">
        <f>K336-J336</f>
      </c>
      <c r="M336" s="4">
        <f>L336*16.67%</f>
      </c>
      <c r="N336" s="4">
        <f>K336/100*11</f>
      </c>
      <c r="O336" s="4">
        <v>8.99</v>
      </c>
      <c r="P336" s="4">
        <v>0</v>
      </c>
      <c r="Q336" s="4">
        <f>P336*20%</f>
      </c>
      <c r="R336" s="4">
        <v>1</v>
      </c>
      <c r="S336" s="4">
        <f>L336-M336-N336-O336-P336-Q336-R336</f>
      </c>
      <c r="T336" s="4">
        <f>(S336-V336)/J336*100</f>
      </c>
      <c r="U336" s="4">
        <f>M336-Q336</f>
      </c>
      <c r="W336" s="4">
        <f>S336-V336</f>
      </c>
      <c r="AB336" t="s">
        <v>1</v>
      </c>
    </row>
    <row r="337" spans="1:28" x14ac:dyDescent="0.25">
      <c r="A337" s="8">
        <v>46172.5</v>
      </c>
      <c r="B337" t="s">
        <v>1314</v>
      </c>
      <c r="C337" t="s">
        <v>1</v>
      </c>
      <c r="D337" s="9" t="s">
        <v>1315</v>
      </c>
      <c r="E337" t="s">
        <v>172</v>
      </c>
      <c r="F337" t="s">
        <v>85</v>
      </c>
      <c r="G337" t="s">
        <v>65</v>
      </c>
      <c r="H337" t="s">
        <v>61</v>
      </c>
      <c r="I337">
        <v>1</v>
      </c>
      <c r="J337" s="4">
        <v>150</v>
      </c>
      <c r="K337" s="4">
        <v>181.5</v>
      </c>
      <c r="L337" s="4">
        <f>K337-J337</f>
      </c>
      <c r="M337" s="4">
        <f>L337*16.67%</f>
      </c>
      <c r="N337" s="4">
        <f>K337/100*11</f>
      </c>
      <c r="O337" s="4">
        <v>8.99</v>
      </c>
      <c r="P337" s="4">
        <v>0</v>
      </c>
      <c r="Q337" s="4">
        <f>P337*20%</f>
      </c>
      <c r="R337" s="4">
        <v>1</v>
      </c>
      <c r="S337" s="4">
        <f>L337-M337-N337-O337-P337-Q337-R337</f>
      </c>
      <c r="T337" s="4">
        <f>(S337-V337)/J337*100</f>
      </c>
      <c r="U337" s="4">
        <f>M337-Q337</f>
      </c>
      <c r="W337" s="4">
        <f>S337-V337</f>
      </c>
      <c r="AB337" t="s">
        <v>1</v>
      </c>
    </row>
    <row r="338" spans="1:28" x14ac:dyDescent="0.25">
      <c r="A338" s="8">
        <v>46171.5</v>
      </c>
      <c r="B338" t="s">
        <v>1316</v>
      </c>
      <c r="C338" t="s">
        <v>1</v>
      </c>
      <c r="D338" s="9" t="s">
        <v>1317</v>
      </c>
      <c r="E338" t="s">
        <v>81</v>
      </c>
      <c r="F338" t="s">
        <v>59</v>
      </c>
      <c r="G338" t="s">
        <v>65</v>
      </c>
      <c r="H338" t="s">
        <v>78</v>
      </c>
      <c r="I338">
        <v>1</v>
      </c>
      <c r="J338" s="4">
        <v>613</v>
      </c>
      <c r="K338" s="4">
        <v>809.16</v>
      </c>
      <c r="L338" s="4">
        <f>K338-J338</f>
      </c>
      <c r="M338" s="4">
        <f>L338*16.67%</f>
      </c>
      <c r="N338" s="4">
        <f>K338/100*11</f>
      </c>
      <c r="O338" s="4">
        <v>8.99</v>
      </c>
      <c r="P338" s="4">
        <v>0</v>
      </c>
      <c r="Q338" s="4">
        <f>P338*20%</f>
      </c>
      <c r="R338" s="4">
        <v>1</v>
      </c>
      <c r="S338" s="4">
        <f>L338-M338-N338-O338-P338-Q338-R338</f>
      </c>
      <c r="T338" s="4">
        <f>(S338-V338)/J338*100</f>
      </c>
      <c r="U338" s="4">
        <f>M338-Q338</f>
      </c>
      <c r="W338" s="4">
        <f>S338-V338</f>
      </c>
      <c r="AB338" t="s">
        <v>1</v>
      </c>
    </row>
    <row r="339" spans="1:28" x14ac:dyDescent="0.25">
      <c r="A339" s="8">
        <v>46171.5</v>
      </c>
      <c r="B339" t="s">
        <v>1318</v>
      </c>
      <c r="C339" t="s">
        <v>1</v>
      </c>
      <c r="D339" s="9" t="s">
        <v>1319</v>
      </c>
      <c r="E339" t="s">
        <v>73</v>
      </c>
      <c r="F339" t="s">
        <v>88</v>
      </c>
      <c r="G339" t="s">
        <v>60</v>
      </c>
      <c r="H339" t="s">
        <v>61</v>
      </c>
      <c r="I339">
        <v>1</v>
      </c>
      <c r="J339" s="4">
        <v>322</v>
      </c>
      <c r="K339" s="4">
        <v>392.84</v>
      </c>
      <c r="L339" s="4">
        <f>K339-J339</f>
      </c>
      <c r="M339" s="4">
        <f>L339*16.67%</f>
      </c>
      <c r="N339" s="4">
        <f>K339/100*11</f>
      </c>
      <c r="O339" s="4">
        <v>8.99</v>
      </c>
      <c r="P339" s="4">
        <v>0</v>
      </c>
      <c r="Q339" s="4">
        <f>P339*20%</f>
      </c>
      <c r="R339" s="4">
        <v>1</v>
      </c>
      <c r="S339" s="4">
        <f>L339-M339-N339-O339-P339-Q339-R339</f>
      </c>
      <c r="T339" s="4">
        <f>(S339-V339)/J339*100</f>
      </c>
      <c r="U339" s="4">
        <f>M339-Q339</f>
      </c>
      <c r="W339" s="4">
        <f>S339-V339</f>
      </c>
      <c r="AB339" t="s">
        <v>1</v>
      </c>
    </row>
    <row r="340" spans="1:28" x14ac:dyDescent="0.25">
      <c r="A340" s="8">
        <v>46171.5</v>
      </c>
      <c r="B340" t="s">
        <v>1320</v>
      </c>
      <c r="C340" t="s">
        <v>1</v>
      </c>
      <c r="D340" s="9" t="s">
        <v>1321</v>
      </c>
      <c r="E340" t="s">
        <v>84</v>
      </c>
      <c r="F340" t="s">
        <v>85</v>
      </c>
      <c r="G340" t="s">
        <v>60</v>
      </c>
      <c r="H340" t="s">
        <v>75</v>
      </c>
      <c r="I340">
        <v>1</v>
      </c>
      <c r="J340" s="4">
        <v>722</v>
      </c>
      <c r="K340" s="4">
        <v>938.6</v>
      </c>
      <c r="L340" s="4">
        <f>K340-J340</f>
      </c>
      <c r="M340" s="4">
        <f>L340*16.67%</f>
      </c>
      <c r="N340" s="4">
        <f>K340/100*11</f>
      </c>
      <c r="O340" s="4">
        <v>8.99</v>
      </c>
      <c r="P340" s="4">
        <v>0</v>
      </c>
      <c r="Q340" s="4">
        <f>P340*20%</f>
      </c>
      <c r="R340" s="4">
        <v>1</v>
      </c>
      <c r="S340" s="4">
        <f>L340-M340-N340-O340-P340-Q340-R340</f>
      </c>
      <c r="T340" s="4">
        <f>(S340-V340)/J340*100</f>
      </c>
      <c r="U340" s="4">
        <f>M340-Q340</f>
      </c>
      <c r="W340" s="4">
        <f>S340-V340</f>
      </c>
      <c r="AB340" t="s">
        <v>1</v>
      </c>
    </row>
    <row r="341" spans="1:28" x14ac:dyDescent="0.25">
      <c r="A341" s="8">
        <v>46171.5</v>
      </c>
      <c r="B341" t="s">
        <v>1322</v>
      </c>
      <c r="C341" t="s">
        <v>1</v>
      </c>
      <c r="D341" s="9" t="s">
        <v>1323</v>
      </c>
      <c r="E341" t="s">
        <v>81</v>
      </c>
      <c r="F341" t="s">
        <v>88</v>
      </c>
      <c r="G341" t="s">
        <v>60</v>
      </c>
      <c r="H341" t="s">
        <v>78</v>
      </c>
      <c r="I341">
        <v>1</v>
      </c>
      <c r="J341" s="4">
        <v>550</v>
      </c>
      <c r="K341" s="4">
        <v>737</v>
      </c>
      <c r="L341" s="4">
        <f>K341-J341</f>
      </c>
      <c r="M341" s="4">
        <f>L341*16.67%</f>
      </c>
      <c r="N341" s="4">
        <f>K341/100*11</f>
      </c>
      <c r="O341" s="4">
        <v>8.99</v>
      </c>
      <c r="P341" s="4">
        <v>0</v>
      </c>
      <c r="Q341" s="4">
        <f>P341*20%</f>
      </c>
      <c r="R341" s="4">
        <v>1</v>
      </c>
      <c r="S341" s="4">
        <f>L341-M341-N341-O341-P341-Q341-R341</f>
      </c>
      <c r="T341" s="4">
        <f>(S341-V341)/J341*100</f>
      </c>
      <c r="U341" s="4">
        <f>M341-Q341</f>
      </c>
      <c r="W341" s="4">
        <f>S341-V341</f>
      </c>
      <c r="AB341" t="s">
        <v>1</v>
      </c>
    </row>
    <row r="342" spans="1:28" x14ac:dyDescent="0.25">
      <c r="A342" s="8">
        <v>46171.5</v>
      </c>
      <c r="B342" t="s">
        <v>1324</v>
      </c>
      <c r="C342" t="s">
        <v>1</v>
      </c>
      <c r="D342" s="9" t="s">
        <v>1325</v>
      </c>
      <c r="E342" t="s">
        <v>292</v>
      </c>
      <c r="F342" t="s">
        <v>74</v>
      </c>
      <c r="G342" t="s">
        <v>126</v>
      </c>
      <c r="H342" t="s">
        <v>102</v>
      </c>
      <c r="I342">
        <v>1</v>
      </c>
      <c r="J342" s="4">
        <v>204</v>
      </c>
      <c r="K342" s="4">
        <v>295.8</v>
      </c>
      <c r="L342" s="4">
        <f>K342-J342</f>
      </c>
      <c r="M342" s="4">
        <f>L342*16.67%</f>
      </c>
      <c r="N342" s="4">
        <f>K342/100*11</f>
      </c>
      <c r="O342" s="4">
        <v>8.99</v>
      </c>
      <c r="P342" s="4">
        <v>0</v>
      </c>
      <c r="Q342" s="4">
        <f>P342*20%</f>
      </c>
      <c r="R342" s="4">
        <v>1</v>
      </c>
      <c r="S342" s="4">
        <f>L342-M342-N342-O342-P342-Q342-R342</f>
      </c>
      <c r="T342" s="4">
        <f>(S342-V342)/J342*100</f>
      </c>
      <c r="U342" s="4">
        <f>M342-Q342</f>
      </c>
      <c r="W342" s="4">
        <f>S342-V342</f>
      </c>
      <c r="AB342" t="s">
        <v>1</v>
      </c>
    </row>
    <row r="343" spans="1:28" x14ac:dyDescent="0.25">
      <c r="A343" s="8">
        <v>46171.5</v>
      </c>
      <c r="B343" t="s">
        <v>1326</v>
      </c>
      <c r="C343" t="s">
        <v>1</v>
      </c>
      <c r="D343" s="9" t="s">
        <v>1327</v>
      </c>
      <c r="E343" t="s">
        <v>114</v>
      </c>
      <c r="F343" t="s">
        <v>99</v>
      </c>
      <c r="G343" t="s">
        <v>95</v>
      </c>
      <c r="H343" t="s">
        <v>66</v>
      </c>
      <c r="I343">
        <v>1</v>
      </c>
      <c r="J343" s="4">
        <v>223</v>
      </c>
      <c r="K343" s="4">
        <v>318.89</v>
      </c>
      <c r="L343" s="4">
        <f>K343-J343</f>
      </c>
      <c r="M343" s="4">
        <f>L343*16.67%</f>
      </c>
      <c r="N343" s="4">
        <f>K343/100*11</f>
      </c>
      <c r="O343" s="4">
        <v>8.99</v>
      </c>
      <c r="P343" s="4">
        <v>0</v>
      </c>
      <c r="Q343" s="4">
        <f>P343*20%</f>
      </c>
      <c r="R343" s="4">
        <v>1</v>
      </c>
      <c r="S343" s="4">
        <f>L343-M343-N343-O343-P343-Q343-R343</f>
      </c>
      <c r="T343" s="4">
        <f>(S343-V343)/J343*100</f>
      </c>
      <c r="U343" s="4">
        <f>M343-Q343</f>
      </c>
      <c r="W343" s="4">
        <f>S343-V343</f>
      </c>
      <c r="AB343" t="s">
        <v>1</v>
      </c>
    </row>
    <row r="344" spans="1:28" x14ac:dyDescent="0.25">
      <c r="A344" s="8">
        <v>46171.5</v>
      </c>
      <c r="B344" t="s">
        <v>1328</v>
      </c>
      <c r="C344" t="s">
        <v>1</v>
      </c>
      <c r="D344" s="9" t="s">
        <v>1329</v>
      </c>
      <c r="E344" t="s">
        <v>94</v>
      </c>
      <c r="F344" t="s">
        <v>70</v>
      </c>
      <c r="G344" t="s">
        <v>95</v>
      </c>
      <c r="H344" t="s">
        <v>78</v>
      </c>
      <c r="I344">
        <v>1</v>
      </c>
      <c r="J344" s="4">
        <v>68</v>
      </c>
      <c r="K344" s="4">
        <v>84.32</v>
      </c>
      <c r="L344" s="4">
        <f>K344-J344</f>
      </c>
      <c r="M344" s="4">
        <f>L344*16.67%</f>
      </c>
      <c r="N344" s="4">
        <f>K344/100*11</f>
      </c>
      <c r="O344" s="4">
        <v>8.99</v>
      </c>
      <c r="P344" s="4">
        <v>0</v>
      </c>
      <c r="Q344" s="4">
        <f>P344*20%</f>
      </c>
      <c r="R344" s="4">
        <v>1</v>
      </c>
      <c r="S344" s="4">
        <f>L344-M344-N344-O344-P344-Q344-R344</f>
      </c>
      <c r="T344" s="4">
        <f>(S344-V344)/J344*100</f>
      </c>
      <c r="U344" s="4">
        <f>M344-Q344</f>
      </c>
      <c r="W344" s="4">
        <f>S344-V344</f>
      </c>
      <c r="AB344" t="s">
        <v>1</v>
      </c>
    </row>
    <row r="345" spans="1:28" x14ac:dyDescent="0.25">
      <c r="A345" s="8">
        <v>46171.5</v>
      </c>
      <c r="B345" t="s">
        <v>1330</v>
      </c>
      <c r="C345" t="s">
        <v>1</v>
      </c>
      <c r="D345" s="9" t="s">
        <v>1331</v>
      </c>
      <c r="E345" t="s">
        <v>125</v>
      </c>
      <c r="F345" t="s">
        <v>85</v>
      </c>
      <c r="G345" t="s">
        <v>126</v>
      </c>
      <c r="H345" t="s">
        <v>75</v>
      </c>
      <c r="I345">
        <v>1</v>
      </c>
      <c r="J345" s="4">
        <v>247</v>
      </c>
      <c r="K345" s="4">
        <v>353.21</v>
      </c>
      <c r="L345" s="4">
        <f>K345-J345</f>
      </c>
      <c r="M345" s="4">
        <f>L345*16.67%</f>
      </c>
      <c r="N345" s="4">
        <f>K345/100*11</f>
      </c>
      <c r="O345" s="4">
        <v>8.99</v>
      </c>
      <c r="P345" s="4">
        <v>0</v>
      </c>
      <c r="Q345" s="4">
        <f>P345*20%</f>
      </c>
      <c r="R345" s="4">
        <v>1</v>
      </c>
      <c r="S345" s="4">
        <f>L345-M345-N345-O345-P345-Q345-R345</f>
      </c>
      <c r="T345" s="4">
        <f>(S345-V345)/J345*100</f>
      </c>
      <c r="U345" s="4">
        <f>M345-Q345</f>
      </c>
      <c r="W345" s="4">
        <f>S345-V345</f>
      </c>
      <c r="AB345" t="s">
        <v>1</v>
      </c>
    </row>
    <row r="346" spans="1:28" x14ac:dyDescent="0.25">
      <c r="A346" s="8">
        <v>46171.5</v>
      </c>
      <c r="B346" t="s">
        <v>1332</v>
      </c>
      <c r="C346" t="s">
        <v>254</v>
      </c>
      <c r="D346" s="9" t="s">
        <v>1</v>
      </c>
      <c r="E346" t="s">
        <v>254</v>
      </c>
      <c r="F346" t="s">
        <v>1</v>
      </c>
      <c r="G346" t="s">
        <v>1</v>
      </c>
      <c r="H346" t="s">
        <v>61</v>
      </c>
      <c r="I346">
        <v>3</v>
      </c>
      <c r="J346" s="4">
        <v>2.4</v>
      </c>
      <c r="K346" s="4">
        <v>3.46</v>
      </c>
      <c r="L346" s="4">
        <f>K346-J346</f>
      </c>
      <c r="M346" s="4">
        <f>L346*16.67%</f>
      </c>
      <c r="N346" s="4">
        <f>K346/100*11</f>
      </c>
      <c r="O346" s="4">
        <v>8.99</v>
      </c>
      <c r="P346" s="4">
        <v>0</v>
      </c>
      <c r="Q346" s="4">
        <f>P346*20%</f>
      </c>
      <c r="R346" s="4">
        <v>0</v>
      </c>
      <c r="S346" s="4">
        <f>L346-M346-N346-O346-P346-Q346-R346</f>
      </c>
      <c r="T346" s="4">
        <f>(S346-V346)/J346*100</f>
      </c>
      <c r="U346" s="4">
        <f>M346-Q346</f>
      </c>
      <c r="W346" s="4">
        <f>S346-V346</f>
      </c>
      <c r="AB346" t="s">
        <v>1</v>
      </c>
    </row>
    <row r="347" spans="1:28" x14ac:dyDescent="0.25">
      <c r="A347" s="8">
        <v>46171.5</v>
      </c>
      <c r="B347" t="s">
        <v>1333</v>
      </c>
      <c r="C347" t="s">
        <v>1</v>
      </c>
      <c r="D347" s="9" t="s">
        <v>1</v>
      </c>
      <c r="E347" t="s">
        <v>1</v>
      </c>
      <c r="F347" t="s">
        <v>1</v>
      </c>
      <c r="G347" t="s">
        <v>1</v>
      </c>
      <c r="H347" t="s">
        <v>75</v>
      </c>
      <c r="I347">
        <v>1</v>
      </c>
      <c r="J347" s="4">
        <v>573</v>
      </c>
      <c r="K347" s="4">
        <v>739.17</v>
      </c>
      <c r="L347" s="4">
        <f>K347-J347</f>
      </c>
      <c r="M347" s="4">
        <f>L347*16.67%</f>
      </c>
      <c r="N347" s="4">
        <f>K347/100*11</f>
      </c>
      <c r="O347" s="4">
        <v>8.99</v>
      </c>
      <c r="P347" s="4">
        <v>0</v>
      </c>
      <c r="Q347" s="4">
        <f>P347*20%</f>
      </c>
      <c r="R347" s="4">
        <v>1</v>
      </c>
      <c r="S347" s="4">
        <f>L347-M347-N347-O347-P347-Q347-R347</f>
      </c>
      <c r="T347" s="4">
        <f>(S347-V347)/J347*100</f>
      </c>
      <c r="U347" s="4">
        <f>M347-Q347</f>
      </c>
      <c r="W347" s="4">
        <f>S347-V347</f>
      </c>
      <c r="AB347" t="s">
        <v>1</v>
      </c>
    </row>
    <row r="348" spans="1:28" x14ac:dyDescent="0.25">
      <c r="A348" s="8">
        <v>46171.5</v>
      </c>
      <c r="B348" t="s">
        <v>1334</v>
      </c>
      <c r="C348" t="s">
        <v>1</v>
      </c>
      <c r="D348" s="9" t="s">
        <v>1</v>
      </c>
      <c r="E348" t="s">
        <v>1</v>
      </c>
      <c r="F348" t="s">
        <v>1</v>
      </c>
      <c r="G348" t="s">
        <v>1</v>
      </c>
      <c r="H348" t="s">
        <v>78</v>
      </c>
      <c r="I348">
        <v>1</v>
      </c>
      <c r="J348" s="4">
        <v>102</v>
      </c>
      <c r="K348" s="4">
        <v>135.66</v>
      </c>
      <c r="L348" s="4">
        <f>K348-J348</f>
      </c>
      <c r="M348" s="4">
        <f>L348*16.67%</f>
      </c>
      <c r="N348" s="4">
        <f>K348/100*11</f>
      </c>
      <c r="O348" s="4">
        <v>8.99</v>
      </c>
      <c r="P348" s="4">
        <v>0</v>
      </c>
      <c r="Q348" s="4">
        <f>P348*20%</f>
      </c>
      <c r="R348" s="4">
        <v>1</v>
      </c>
      <c r="S348" s="4">
        <f>L348-M348-N348-O348-P348-Q348-R348</f>
      </c>
      <c r="T348" s="4">
        <f>(S348-V348)/J348*100</f>
      </c>
      <c r="U348" s="4">
        <f>M348-Q348</f>
      </c>
      <c r="W348" s="4">
        <f>S348-V348</f>
      </c>
      <c r="AB348" t="s">
        <v>1</v>
      </c>
    </row>
    <row r="349" spans="1:28" x14ac:dyDescent="0.25">
      <c r="A349" s="8">
        <v>46170.5</v>
      </c>
      <c r="B349" t="s">
        <v>1335</v>
      </c>
      <c r="C349" t="s">
        <v>1</v>
      </c>
      <c r="D349" s="9" t="s">
        <v>1336</v>
      </c>
      <c r="E349" t="s">
        <v>81</v>
      </c>
      <c r="F349" t="s">
        <v>88</v>
      </c>
      <c r="G349" t="s">
        <v>65</v>
      </c>
      <c r="H349" t="s">
        <v>66</v>
      </c>
      <c r="I349">
        <v>1</v>
      </c>
      <c r="J349" s="4">
        <v>521</v>
      </c>
      <c r="K349" s="4">
        <v>646.04</v>
      </c>
      <c r="L349" s="4">
        <f>K349-J349</f>
      </c>
      <c r="M349" s="4">
        <f>L349*16.67%</f>
      </c>
      <c r="N349" s="4">
        <f>K349/100*11</f>
      </c>
      <c r="O349" s="4">
        <v>8.99</v>
      </c>
      <c r="P349" s="4">
        <v>0</v>
      </c>
      <c r="Q349" s="4">
        <f>P349*20%</f>
      </c>
      <c r="R349" s="4">
        <v>1</v>
      </c>
      <c r="S349" s="4">
        <f>L349-M349-N349-O349-P349-Q349-R349</f>
      </c>
      <c r="T349" s="4">
        <f>(S349-V349)/J349*100</f>
      </c>
      <c r="U349" s="4">
        <f>M349-Q349</f>
      </c>
      <c r="W349" s="4">
        <f>S349-V349</f>
      </c>
      <c r="AB349" t="s">
        <v>1</v>
      </c>
    </row>
    <row r="350" spans="1:28" x14ac:dyDescent="0.25">
      <c r="A350" s="8">
        <v>46170.5</v>
      </c>
      <c r="B350" t="s">
        <v>1337</v>
      </c>
      <c r="C350" t="s">
        <v>1</v>
      </c>
      <c r="D350" s="9" t="s">
        <v>1338</v>
      </c>
      <c r="E350" t="s">
        <v>125</v>
      </c>
      <c r="F350" t="s">
        <v>105</v>
      </c>
      <c r="G350" t="s">
        <v>126</v>
      </c>
      <c r="H350" t="s">
        <v>102</v>
      </c>
      <c r="I350">
        <v>1</v>
      </c>
      <c r="J350" s="4">
        <v>251</v>
      </c>
      <c r="K350" s="4">
        <v>321.28</v>
      </c>
      <c r="L350" s="4">
        <f>K350-J350</f>
      </c>
      <c r="M350" s="4">
        <f>L350*16.67%</f>
      </c>
      <c r="N350" s="4">
        <f>K350/100*11</f>
      </c>
      <c r="O350" s="4">
        <v>8.99</v>
      </c>
      <c r="P350" s="4">
        <v>0</v>
      </c>
      <c r="Q350" s="4">
        <f>P350*20%</f>
      </c>
      <c r="R350" s="4">
        <v>1</v>
      </c>
      <c r="S350" s="4">
        <f>L350-M350-N350-O350-P350-Q350-R350</f>
      </c>
      <c r="T350" s="4">
        <f>(S350-V350)/J350*100</f>
      </c>
      <c r="U350" s="4">
        <f>M350-Q350</f>
      </c>
      <c r="W350" s="4">
        <f>S350-V350</f>
      </c>
      <c r="AB350" t="s">
        <v>1</v>
      </c>
    </row>
    <row r="351" spans="1:28" x14ac:dyDescent="0.25">
      <c r="A351" s="8">
        <v>46170.5</v>
      </c>
      <c r="B351" t="s">
        <v>1339</v>
      </c>
      <c r="C351" t="s">
        <v>1</v>
      </c>
      <c r="D351" s="9" t="s">
        <v>1340</v>
      </c>
      <c r="E351" t="s">
        <v>94</v>
      </c>
      <c r="F351" t="s">
        <v>74</v>
      </c>
      <c r="G351" t="s">
        <v>95</v>
      </c>
      <c r="H351" t="s">
        <v>75</v>
      </c>
      <c r="I351">
        <v>1</v>
      </c>
      <c r="J351" s="4">
        <v>64</v>
      </c>
      <c r="K351" s="4">
        <v>82.56</v>
      </c>
      <c r="L351" s="4">
        <f>K351-J351</f>
      </c>
      <c r="M351" s="4">
        <f>L351*16.67%</f>
      </c>
      <c r="N351" s="4">
        <f>K351/100*11</f>
      </c>
      <c r="O351" s="4">
        <v>8.99</v>
      </c>
      <c r="P351" s="4">
        <v>0</v>
      </c>
      <c r="Q351" s="4">
        <f>P351*20%</f>
      </c>
      <c r="R351" s="4">
        <v>1</v>
      </c>
      <c r="S351" s="4">
        <f>L351-M351-N351-O351-P351-Q351-R351</f>
      </c>
      <c r="T351" s="4">
        <f>(S351-V351)/J351*100</f>
      </c>
      <c r="U351" s="4">
        <f>M351-Q351</f>
      </c>
      <c r="W351" s="4">
        <f>S351-V351</f>
      </c>
      <c r="AB351" t="s">
        <v>1</v>
      </c>
    </row>
    <row r="352" spans="1:28" x14ac:dyDescent="0.25">
      <c r="A352" s="8">
        <v>46170.5</v>
      </c>
      <c r="B352" t="s">
        <v>1341</v>
      </c>
      <c r="C352" t="s">
        <v>1</v>
      </c>
      <c r="D352" s="9" t="s">
        <v>1342</v>
      </c>
      <c r="E352" t="s">
        <v>134</v>
      </c>
      <c r="F352" t="s">
        <v>85</v>
      </c>
      <c r="G352" t="s">
        <v>95</v>
      </c>
      <c r="H352" t="s">
        <v>66</v>
      </c>
      <c r="I352">
        <v>1</v>
      </c>
      <c r="J352" s="4">
        <v>139</v>
      </c>
      <c r="K352" s="4">
        <v>197.38</v>
      </c>
      <c r="L352" s="4">
        <f>K352-J352</f>
      </c>
      <c r="M352" s="4">
        <f>L352*16.67%</f>
      </c>
      <c r="N352" s="4">
        <f>K352/100*11</f>
      </c>
      <c r="O352" s="4">
        <v>8.99</v>
      </c>
      <c r="P352" s="4">
        <v>0</v>
      </c>
      <c r="Q352" s="4">
        <f>P352*20%</f>
      </c>
      <c r="R352" s="4">
        <v>1</v>
      </c>
      <c r="S352" s="4">
        <f>L352-M352-N352-O352-P352-Q352-R352</f>
      </c>
      <c r="T352" s="4">
        <f>(S352-V352)/J352*100</f>
      </c>
      <c r="U352" s="4">
        <f>M352-Q352</f>
      </c>
      <c r="W352" s="4">
        <f>S352-V352</f>
      </c>
      <c r="AB352" t="s">
        <v>1</v>
      </c>
    </row>
    <row r="353" spans="1:28" x14ac:dyDescent="0.25">
      <c r="A353" s="8">
        <v>46170.5</v>
      </c>
      <c r="B353" t="s">
        <v>1343</v>
      </c>
      <c r="C353" t="s">
        <v>1</v>
      </c>
      <c r="D353" s="9" t="s">
        <v>1344</v>
      </c>
      <c r="E353" t="s">
        <v>64</v>
      </c>
      <c r="F353" t="s">
        <v>88</v>
      </c>
      <c r="G353" t="s">
        <v>65</v>
      </c>
      <c r="H353" t="s">
        <v>78</v>
      </c>
      <c r="I353">
        <v>1</v>
      </c>
      <c r="J353" s="4">
        <v>229</v>
      </c>
      <c r="K353" s="4">
        <v>320.6</v>
      </c>
      <c r="L353" s="4">
        <f>K353-J353</f>
      </c>
      <c r="M353" s="4">
        <f>L353*16.67%</f>
      </c>
      <c r="N353" s="4">
        <f>K353/100*11</f>
      </c>
      <c r="O353" s="4">
        <v>8.99</v>
      </c>
      <c r="P353" s="4">
        <v>0</v>
      </c>
      <c r="Q353" s="4">
        <f>P353*20%</f>
      </c>
      <c r="R353" s="4">
        <v>1</v>
      </c>
      <c r="S353" s="4">
        <f>L353-M353-N353-O353-P353-Q353-R353</f>
      </c>
      <c r="T353" s="4">
        <f>(S353-V353)/J353*100</f>
      </c>
      <c r="U353" s="4">
        <f>M353-Q353</f>
      </c>
      <c r="W353" s="4">
        <f>S353-V353</f>
      </c>
      <c r="AB353" t="s">
        <v>1</v>
      </c>
    </row>
    <row r="354" spans="1:28" x14ac:dyDescent="0.25">
      <c r="A354" s="8">
        <v>46170.5</v>
      </c>
      <c r="B354" t="s">
        <v>1345</v>
      </c>
      <c r="C354" t="s">
        <v>189</v>
      </c>
      <c r="D354" s="9" t="s">
        <v>1</v>
      </c>
      <c r="E354" t="s">
        <v>189</v>
      </c>
      <c r="F354" t="s">
        <v>1</v>
      </c>
      <c r="G354" t="s">
        <v>1</v>
      </c>
      <c r="H354" t="s">
        <v>66</v>
      </c>
      <c r="I354">
        <v>3</v>
      </c>
      <c r="J354" s="4">
        <v>10.5</v>
      </c>
      <c r="K354" s="4">
        <v>13.34</v>
      </c>
      <c r="L354" s="4">
        <f>K354-J354</f>
      </c>
      <c r="M354" s="4">
        <f>L354*16.67%</f>
      </c>
      <c r="N354" s="4">
        <f>K354/100*11</f>
      </c>
      <c r="O354" s="4">
        <v>8.99</v>
      </c>
      <c r="P354" s="4">
        <v>0</v>
      </c>
      <c r="Q354" s="4">
        <f>P354*20%</f>
      </c>
      <c r="R354" s="4">
        <v>0</v>
      </c>
      <c r="S354" s="4">
        <f>L354-M354-N354-O354-P354-Q354-R354</f>
      </c>
      <c r="T354" s="4">
        <f>(S354-V354)/J354*100</f>
      </c>
      <c r="U354" s="4">
        <f>M354-Q354</f>
      </c>
      <c r="W354" s="4">
        <f>S354-V354</f>
      </c>
      <c r="AB354" t="s">
        <v>1</v>
      </c>
    </row>
    <row r="355" spans="1:28" x14ac:dyDescent="0.25">
      <c r="A355" s="8">
        <v>46170.5</v>
      </c>
      <c r="B355" t="s">
        <v>1346</v>
      </c>
      <c r="C355" t="s">
        <v>174</v>
      </c>
      <c r="D355" s="9" t="s">
        <v>1</v>
      </c>
      <c r="E355" t="s">
        <v>174</v>
      </c>
      <c r="F355" t="s">
        <v>1</v>
      </c>
      <c r="G355" t="s">
        <v>1</v>
      </c>
      <c r="H355" t="s">
        <v>66</v>
      </c>
      <c r="I355">
        <v>1</v>
      </c>
      <c r="J355" s="4">
        <v>4.25</v>
      </c>
      <c r="K355" s="4">
        <v>5.86</v>
      </c>
      <c r="L355" s="4">
        <f>K355-J355</f>
      </c>
      <c r="M355" s="4">
        <f>L355*16.67%</f>
      </c>
      <c r="N355" s="4">
        <f>K355/100*11</f>
      </c>
      <c r="O355" s="4">
        <v>8.99</v>
      </c>
      <c r="P355" s="4">
        <v>0</v>
      </c>
      <c r="Q355" s="4">
        <f>P355*20%</f>
      </c>
      <c r="R355" s="4">
        <v>0</v>
      </c>
      <c r="S355" s="4">
        <f>L355-M355-N355-O355-P355-Q355-R355</f>
      </c>
      <c r="T355" s="4">
        <f>(S355-V355)/J355*100</f>
      </c>
      <c r="U355" s="4">
        <f>M355-Q355</f>
      </c>
      <c r="W355" s="4">
        <f>S355-V355</f>
      </c>
      <c r="AB355" t="s">
        <v>1</v>
      </c>
    </row>
    <row r="356" spans="1:28" x14ac:dyDescent="0.25">
      <c r="A356" s="8">
        <v>46169.5</v>
      </c>
      <c r="B356" t="s">
        <v>1347</v>
      </c>
      <c r="C356" t="s">
        <v>1</v>
      </c>
      <c r="D356" s="9" t="s">
        <v>1348</v>
      </c>
      <c r="E356" t="s">
        <v>114</v>
      </c>
      <c r="F356" t="s">
        <v>88</v>
      </c>
      <c r="G356" t="s">
        <v>95</v>
      </c>
      <c r="H356" t="s">
        <v>66</v>
      </c>
      <c r="I356">
        <v>1</v>
      </c>
      <c r="J356" s="4">
        <v>232</v>
      </c>
      <c r="K356" s="4">
        <v>296.96</v>
      </c>
      <c r="L356" s="4">
        <f>K356-J356</f>
      </c>
      <c r="M356" s="4">
        <f>L356*16.67%</f>
      </c>
      <c r="N356" s="4">
        <f>K356/100*11</f>
      </c>
      <c r="O356" s="4">
        <v>8.99</v>
      </c>
      <c r="P356" s="4">
        <v>0</v>
      </c>
      <c r="Q356" s="4">
        <f>P356*20%</f>
      </c>
      <c r="R356" s="4">
        <v>1</v>
      </c>
      <c r="S356" s="4">
        <f>L356-M356-N356-O356-P356-Q356-R356</f>
      </c>
      <c r="T356" s="4">
        <f>(S356-V356)/J356*100</f>
      </c>
      <c r="U356" s="4">
        <f>M356-Q356</f>
      </c>
      <c r="W356" s="4">
        <f>S356-V356</f>
      </c>
      <c r="AB356" t="s">
        <v>1</v>
      </c>
    </row>
    <row r="357" spans="1:28" x14ac:dyDescent="0.25">
      <c r="A357" s="8">
        <v>46169.5</v>
      </c>
      <c r="B357" t="s">
        <v>1349</v>
      </c>
      <c r="C357" t="s">
        <v>1</v>
      </c>
      <c r="D357" s="9" t="s">
        <v>1350</v>
      </c>
      <c r="E357" t="s">
        <v>73</v>
      </c>
      <c r="F357" t="s">
        <v>74</v>
      </c>
      <c r="G357" t="s">
        <v>60</v>
      </c>
      <c r="H357" t="s">
        <v>102</v>
      </c>
      <c r="I357">
        <v>1</v>
      </c>
      <c r="J357" s="4">
        <v>378</v>
      </c>
      <c r="K357" s="4">
        <v>446.04</v>
      </c>
      <c r="L357" s="4">
        <f>K357-J357</f>
      </c>
      <c r="M357" s="4">
        <f>L357*16.67%</f>
      </c>
      <c r="N357" s="4">
        <f>K357/100*11</f>
      </c>
      <c r="O357" s="4">
        <v>8.99</v>
      </c>
      <c r="P357" s="4">
        <v>0</v>
      </c>
      <c r="Q357" s="4">
        <f>P357*20%</f>
      </c>
      <c r="R357" s="4">
        <v>1</v>
      </c>
      <c r="S357" s="4">
        <f>L357-M357-N357-O357-P357-Q357-R357</f>
      </c>
      <c r="T357" s="4">
        <f>(S357-V357)/J357*100</f>
      </c>
      <c r="U357" s="4">
        <f>M357-Q357</f>
      </c>
      <c r="W357" s="4">
        <f>S357-V357</f>
      </c>
      <c r="AB357" t="s">
        <v>1</v>
      </c>
    </row>
    <row r="358" spans="1:28" x14ac:dyDescent="0.25">
      <c r="A358" s="8">
        <v>46169.5</v>
      </c>
      <c r="B358" t="s">
        <v>1351</v>
      </c>
      <c r="C358" t="s">
        <v>189</v>
      </c>
      <c r="D358" s="9" t="s">
        <v>1</v>
      </c>
      <c r="E358" t="s">
        <v>189</v>
      </c>
      <c r="F358" t="s">
        <v>1</v>
      </c>
      <c r="G358" t="s">
        <v>1</v>
      </c>
      <c r="H358" t="s">
        <v>66</v>
      </c>
      <c r="I358">
        <v>1</v>
      </c>
      <c r="J358" s="4">
        <v>3.5</v>
      </c>
      <c r="K358" s="4">
        <v>4.09</v>
      </c>
      <c r="L358" s="4">
        <f>K358-J358</f>
      </c>
      <c r="M358" s="4">
        <f>L358*16.67%</f>
      </c>
      <c r="N358" s="4">
        <f>K358/100*11</f>
      </c>
      <c r="O358" s="4">
        <v>8.99</v>
      </c>
      <c r="P358" s="4">
        <v>0</v>
      </c>
      <c r="Q358" s="4">
        <f>P358*20%</f>
      </c>
      <c r="R358" s="4">
        <v>0</v>
      </c>
      <c r="S358" s="4">
        <f>L358-M358-N358-O358-P358-Q358-R358</f>
      </c>
      <c r="T358" s="4">
        <f>(S358-V358)/J358*100</f>
      </c>
      <c r="U358" s="4">
        <f>M358-Q358</f>
      </c>
      <c r="W358" s="4">
        <f>S358-V358</f>
      </c>
      <c r="AB358" t="s">
        <v>1</v>
      </c>
    </row>
    <row r="359" spans="1:28" x14ac:dyDescent="0.25">
      <c r="A359" s="8">
        <v>46169.5</v>
      </c>
      <c r="B359" t="s">
        <v>1352</v>
      </c>
      <c r="C359" t="s">
        <v>1</v>
      </c>
      <c r="D359" s="9" t="s">
        <v>1</v>
      </c>
      <c r="E359" t="s">
        <v>1</v>
      </c>
      <c r="F359" t="s">
        <v>1</v>
      </c>
      <c r="G359" t="s">
        <v>1</v>
      </c>
      <c r="H359" t="s">
        <v>75</v>
      </c>
      <c r="I359">
        <v>1</v>
      </c>
      <c r="J359" s="4">
        <v>285</v>
      </c>
      <c r="K359" s="4">
        <v>373.35</v>
      </c>
      <c r="L359" s="4">
        <f>K359-J359</f>
      </c>
      <c r="M359" s="4">
        <f>L359*16.67%</f>
      </c>
      <c r="N359" s="4">
        <f>K359/100*11</f>
      </c>
      <c r="O359" s="4">
        <v>8.99</v>
      </c>
      <c r="P359" s="4">
        <v>0</v>
      </c>
      <c r="Q359" s="4">
        <f>P359*20%</f>
      </c>
      <c r="R359" s="4">
        <v>1</v>
      </c>
      <c r="S359" s="4">
        <f>L359-M359-N359-O359-P359-Q359-R359</f>
      </c>
      <c r="T359" s="4">
        <f>(S359-V359)/J359*100</f>
      </c>
      <c r="U359" s="4">
        <f>M359-Q359</f>
      </c>
      <c r="W359" s="4">
        <f>S359-V359</f>
      </c>
      <c r="AB359" t="s">
        <v>1</v>
      </c>
    </row>
    <row r="360" spans="1:28" x14ac:dyDescent="0.25">
      <c r="A360" s="8">
        <v>46168.5</v>
      </c>
      <c r="B360" t="s">
        <v>1353</v>
      </c>
      <c r="C360" t="s">
        <v>1</v>
      </c>
      <c r="D360" s="9" t="s">
        <v>1</v>
      </c>
      <c r="E360" t="s">
        <v>1</v>
      </c>
      <c r="F360" t="s">
        <v>1</v>
      </c>
      <c r="G360" t="s">
        <v>1</v>
      </c>
      <c r="H360" t="s">
        <v>102</v>
      </c>
      <c r="I360">
        <v>1</v>
      </c>
      <c r="J360" s="4">
        <v>248</v>
      </c>
      <c r="K360" s="4">
        <v>327.36</v>
      </c>
      <c r="L360" s="4">
        <f>K360-J360</f>
      </c>
      <c r="M360" s="4">
        <f>L360*16.67%</f>
      </c>
      <c r="N360" s="4">
        <f>K360/100*11</f>
      </c>
      <c r="O360" s="4">
        <v>8.99</v>
      </c>
      <c r="P360" s="4">
        <v>0</v>
      </c>
      <c r="Q360" s="4">
        <f>P360*20%</f>
      </c>
      <c r="R360" s="4">
        <v>1</v>
      </c>
      <c r="S360" s="4">
        <f>L360-M360-N360-O360-P360-Q360-R360</f>
      </c>
      <c r="T360" s="4">
        <f>(S360-V360)/J360*100</f>
      </c>
      <c r="U360" s="4">
        <f>M360-Q360</f>
      </c>
      <c r="W360" s="4">
        <f>S360-V360</f>
      </c>
      <c r="AB360" t="s">
        <v>1</v>
      </c>
    </row>
    <row r="361" spans="1:28" x14ac:dyDescent="0.25">
      <c r="A361" s="8">
        <v>46167.5</v>
      </c>
      <c r="B361" t="s">
        <v>1354</v>
      </c>
      <c r="C361" t="s">
        <v>1</v>
      </c>
      <c r="D361" s="9" t="s">
        <v>1355</v>
      </c>
      <c r="E361" t="s">
        <v>172</v>
      </c>
      <c r="F361" t="s">
        <v>99</v>
      </c>
      <c r="G361" t="s">
        <v>65</v>
      </c>
      <c r="H361" t="s">
        <v>102</v>
      </c>
      <c r="I361">
        <v>1</v>
      </c>
      <c r="J361" s="4">
        <v>180</v>
      </c>
      <c r="K361" s="4">
        <v>261</v>
      </c>
      <c r="L361" s="4">
        <f>K361-J361</f>
      </c>
      <c r="M361" s="4">
        <f>L361*16.67%</f>
      </c>
      <c r="N361" s="4">
        <f>K361/100*11</f>
      </c>
      <c r="O361" s="4">
        <v>8.99</v>
      </c>
      <c r="P361" s="4">
        <v>0</v>
      </c>
      <c r="Q361" s="4">
        <f>P361*20%</f>
      </c>
      <c r="R361" s="4">
        <v>1</v>
      </c>
      <c r="S361" s="4">
        <f>L361-M361-N361-O361-P361-Q361-R361</f>
      </c>
      <c r="T361" s="4">
        <f>(S361-V361)/J361*100</f>
      </c>
      <c r="U361" s="4">
        <f>M361-Q361</f>
      </c>
      <c r="W361" s="4">
        <f>S361-V361</f>
      </c>
      <c r="AB361" t="s">
        <v>1</v>
      </c>
    </row>
    <row r="362" spans="1:28" x14ac:dyDescent="0.25">
      <c r="A362" s="8">
        <v>46167.5</v>
      </c>
      <c r="B362" t="s">
        <v>1356</v>
      </c>
      <c r="C362" t="s">
        <v>1</v>
      </c>
      <c r="D362" s="9" t="s">
        <v>1357</v>
      </c>
      <c r="E362" t="s">
        <v>73</v>
      </c>
      <c r="F362" t="s">
        <v>88</v>
      </c>
      <c r="G362" t="s">
        <v>60</v>
      </c>
      <c r="H362" t="s">
        <v>75</v>
      </c>
      <c r="I362">
        <v>1</v>
      </c>
      <c r="J362" s="4">
        <v>379</v>
      </c>
      <c r="K362" s="4">
        <v>504.07</v>
      </c>
      <c r="L362" s="4">
        <f>K362-J362</f>
      </c>
      <c r="M362" s="4">
        <f>L362*16.67%</f>
      </c>
      <c r="N362" s="4">
        <f>K362/100*11</f>
      </c>
      <c r="O362" s="4">
        <v>8.99</v>
      </c>
      <c r="P362" s="4">
        <v>0</v>
      </c>
      <c r="Q362" s="4">
        <f>P362*20%</f>
      </c>
      <c r="R362" s="4">
        <v>1</v>
      </c>
      <c r="S362" s="4">
        <f>L362-M362-N362-O362-P362-Q362-R362</f>
      </c>
      <c r="T362" s="4">
        <f>(S362-V362)/J362*100</f>
      </c>
      <c r="U362" s="4">
        <f>M362-Q362</f>
      </c>
      <c r="W362" s="4">
        <f>S362-V362</f>
      </c>
      <c r="AB362" t="s">
        <v>1</v>
      </c>
    </row>
    <row r="363" spans="1:28" x14ac:dyDescent="0.25">
      <c r="A363" s="8">
        <v>46167.5</v>
      </c>
      <c r="B363" t="s">
        <v>1358</v>
      </c>
      <c r="C363" t="s">
        <v>1</v>
      </c>
      <c r="D363" s="9" t="s">
        <v>1359</v>
      </c>
      <c r="E363" t="s">
        <v>172</v>
      </c>
      <c r="F363" t="s">
        <v>88</v>
      </c>
      <c r="G363" t="s">
        <v>65</v>
      </c>
      <c r="H363" t="s">
        <v>75</v>
      </c>
      <c r="I363">
        <v>1</v>
      </c>
      <c r="J363" s="4">
        <v>157</v>
      </c>
      <c r="K363" s="4">
        <v>197.82</v>
      </c>
      <c r="L363" s="4">
        <f>K363-J363</f>
      </c>
      <c r="M363" s="4">
        <f>L363*16.67%</f>
      </c>
      <c r="N363" s="4">
        <f>K363/100*11</f>
      </c>
      <c r="O363" s="4">
        <v>8.99</v>
      </c>
      <c r="P363" s="4">
        <v>0</v>
      </c>
      <c r="Q363" s="4">
        <f>P363*20%</f>
      </c>
      <c r="R363" s="4">
        <v>1</v>
      </c>
      <c r="S363" s="4">
        <f>L363-M363-N363-O363-P363-Q363-R363</f>
      </c>
      <c r="T363" s="4">
        <f>(S363-V363)/J363*100</f>
      </c>
      <c r="U363" s="4">
        <f>M363-Q363</f>
      </c>
      <c r="W363" s="4">
        <f>S363-V363</f>
      </c>
      <c r="AB363" t="s">
        <v>1</v>
      </c>
    </row>
    <row r="364" spans="1:28" x14ac:dyDescent="0.25">
      <c r="A364" s="8">
        <v>46167.5</v>
      </c>
      <c r="B364" t="s">
        <v>1360</v>
      </c>
      <c r="C364" t="s">
        <v>174</v>
      </c>
      <c r="D364" s="9" t="s">
        <v>1</v>
      </c>
      <c r="E364" t="s">
        <v>174</v>
      </c>
      <c r="F364" t="s">
        <v>1</v>
      </c>
      <c r="G364" t="s">
        <v>1</v>
      </c>
      <c r="H364" t="s">
        <v>66</v>
      </c>
      <c r="I364">
        <v>1</v>
      </c>
      <c r="J364" s="4">
        <v>4.25</v>
      </c>
      <c r="K364" s="4">
        <v>4.97</v>
      </c>
      <c r="L364" s="4">
        <f>K364-J364</f>
      </c>
      <c r="M364" s="4">
        <f>L364*16.67%</f>
      </c>
      <c r="N364" s="4">
        <f>K364/100*11</f>
      </c>
      <c r="O364" s="4">
        <v>8.99</v>
      </c>
      <c r="P364" s="4">
        <v>0</v>
      </c>
      <c r="Q364" s="4">
        <f>P364*20%</f>
      </c>
      <c r="R364" s="4">
        <v>0</v>
      </c>
      <c r="S364" s="4">
        <f>L364-M364-N364-O364-P364-Q364-R364</f>
      </c>
      <c r="T364" s="4">
        <f>(S364-V364)/J364*100</f>
      </c>
      <c r="U364" s="4">
        <f>M364-Q364</f>
      </c>
      <c r="W364" s="4">
        <f>S364-V364</f>
      </c>
      <c r="AB364" t="s">
        <v>1</v>
      </c>
    </row>
    <row r="365" spans="1:28" x14ac:dyDescent="0.25">
      <c r="A365" s="8">
        <v>46167.5</v>
      </c>
      <c r="B365" t="s">
        <v>1361</v>
      </c>
      <c r="C365" t="s">
        <v>254</v>
      </c>
      <c r="D365" s="9" t="s">
        <v>1</v>
      </c>
      <c r="E365" t="s">
        <v>254</v>
      </c>
      <c r="F365" t="s">
        <v>1</v>
      </c>
      <c r="G365" t="s">
        <v>1</v>
      </c>
      <c r="H365" t="s">
        <v>61</v>
      </c>
      <c r="I365">
        <v>3</v>
      </c>
      <c r="J365" s="4">
        <v>2.4</v>
      </c>
      <c r="K365" s="4">
        <v>3.26</v>
      </c>
      <c r="L365" s="4">
        <f>K365-J365</f>
      </c>
      <c r="M365" s="4">
        <f>L365*16.67%</f>
      </c>
      <c r="N365" s="4">
        <f>K365/100*11</f>
      </c>
      <c r="O365" s="4">
        <v>8.99</v>
      </c>
      <c r="P365" s="4">
        <v>0</v>
      </c>
      <c r="Q365" s="4">
        <f>P365*20%</f>
      </c>
      <c r="R365" s="4">
        <v>0</v>
      </c>
      <c r="S365" s="4">
        <f>L365-M365-N365-O365-P365-Q365-R365</f>
      </c>
      <c r="T365" s="4">
        <f>(S365-V365)/J365*100</f>
      </c>
      <c r="U365" s="4">
        <f>M365-Q365</f>
      </c>
      <c r="W365" s="4">
        <f>S365-V365</f>
      </c>
      <c r="AB365" t="s">
        <v>1</v>
      </c>
    </row>
    <row r="366" spans="1:28" x14ac:dyDescent="0.25">
      <c r="A366" s="8">
        <v>46166.5</v>
      </c>
      <c r="B366" t="s">
        <v>1362</v>
      </c>
      <c r="C366" t="s">
        <v>1</v>
      </c>
      <c r="D366" s="9" t="s">
        <v>1363</v>
      </c>
      <c r="E366" t="s">
        <v>134</v>
      </c>
      <c r="F366" t="s">
        <v>70</v>
      </c>
      <c r="G366" t="s">
        <v>95</v>
      </c>
      <c r="H366" t="s">
        <v>61</v>
      </c>
      <c r="I366">
        <v>1</v>
      </c>
      <c r="J366" s="4">
        <v>127</v>
      </c>
      <c r="K366" s="4">
        <v>167.64</v>
      </c>
      <c r="L366" s="4">
        <f>K366-J366</f>
      </c>
      <c r="M366" s="4">
        <f>L366*16.67%</f>
      </c>
      <c r="N366" s="4">
        <f>K366/100*11</f>
      </c>
      <c r="O366" s="4">
        <v>8.99</v>
      </c>
      <c r="P366" s="4">
        <v>0</v>
      </c>
      <c r="Q366" s="4">
        <f>P366*20%</f>
      </c>
      <c r="R366" s="4">
        <v>1</v>
      </c>
      <c r="S366" s="4">
        <f>L366-M366-N366-O366-P366-Q366-R366</f>
      </c>
      <c r="T366" s="4">
        <f>(S366-V366)/J366*100</f>
      </c>
      <c r="U366" s="4">
        <f>M366-Q366</f>
      </c>
      <c r="W366" s="4">
        <f>S366-V366</f>
      </c>
      <c r="AB366" t="s">
        <v>1</v>
      </c>
    </row>
    <row r="367" spans="1:28" x14ac:dyDescent="0.25">
      <c r="A367" s="8">
        <v>46165.5</v>
      </c>
      <c r="B367" t="s">
        <v>1364</v>
      </c>
      <c r="C367" t="s">
        <v>1</v>
      </c>
      <c r="D367" s="9" t="s">
        <v>1365</v>
      </c>
      <c r="E367" t="s">
        <v>81</v>
      </c>
      <c r="F367" t="s">
        <v>74</v>
      </c>
      <c r="G367" t="s">
        <v>65</v>
      </c>
      <c r="H367" t="s">
        <v>102</v>
      </c>
      <c r="I367">
        <v>1</v>
      </c>
      <c r="J367" s="4">
        <v>568</v>
      </c>
      <c r="K367" s="4">
        <v>738.4</v>
      </c>
      <c r="L367" s="4">
        <f>K367-J367</f>
      </c>
      <c r="M367" s="4">
        <f>L367*16.67%</f>
      </c>
      <c r="N367" s="4">
        <f>K367/100*11</f>
      </c>
      <c r="O367" s="4">
        <v>8.99</v>
      </c>
      <c r="P367" s="4">
        <v>0</v>
      </c>
      <c r="Q367" s="4">
        <f>P367*20%</f>
      </c>
      <c r="R367" s="4">
        <v>1</v>
      </c>
      <c r="S367" s="4">
        <f>L367-M367-N367-O367-P367-Q367-R367</f>
      </c>
      <c r="T367" s="4">
        <f>(S367-V367)/J367*100</f>
      </c>
      <c r="U367" s="4">
        <f>M367-Q367</f>
      </c>
      <c r="W367" s="4">
        <f>S367-V367</f>
      </c>
      <c r="AB367" t="s">
        <v>1</v>
      </c>
    </row>
    <row r="368" spans="1:28" x14ac:dyDescent="0.25">
      <c r="A368" s="8">
        <v>46165.5</v>
      </c>
      <c r="B368" t="s">
        <v>1366</v>
      </c>
      <c r="C368" t="s">
        <v>1</v>
      </c>
      <c r="D368" s="9" t="s">
        <v>1367</v>
      </c>
      <c r="E368" t="s">
        <v>69</v>
      </c>
      <c r="F368" t="s">
        <v>85</v>
      </c>
      <c r="G368" t="s">
        <v>60</v>
      </c>
      <c r="H368" t="s">
        <v>78</v>
      </c>
      <c r="I368">
        <v>1</v>
      </c>
      <c r="J368" s="4">
        <v>529</v>
      </c>
      <c r="K368" s="4">
        <v>650.67</v>
      </c>
      <c r="L368" s="4">
        <f>K368-J368</f>
      </c>
      <c r="M368" s="4">
        <f>L368*16.67%</f>
      </c>
      <c r="N368" s="4">
        <f>K368/100*11</f>
      </c>
      <c r="O368" s="4">
        <v>8.99</v>
      </c>
      <c r="P368" s="4">
        <v>0</v>
      </c>
      <c r="Q368" s="4">
        <f>P368*20%</f>
      </c>
      <c r="R368" s="4">
        <v>1</v>
      </c>
      <c r="S368" s="4">
        <f>L368-M368-N368-O368-P368-Q368-R368</f>
      </c>
      <c r="T368" s="4">
        <f>(S368-V368)/J368*100</f>
      </c>
      <c r="U368" s="4">
        <f>M368-Q368</f>
      </c>
      <c r="W368" s="4">
        <f>S368-V368</f>
      </c>
      <c r="AB368" t="s">
        <v>1</v>
      </c>
    </row>
    <row r="369" spans="1:28" x14ac:dyDescent="0.25">
      <c r="A369" s="8">
        <v>46165.5</v>
      </c>
      <c r="B369" t="s">
        <v>1368</v>
      </c>
      <c r="C369" t="s">
        <v>1</v>
      </c>
      <c r="D369" s="9" t="s">
        <v>1369</v>
      </c>
      <c r="E369" t="s">
        <v>84</v>
      </c>
      <c r="F369" t="s">
        <v>85</v>
      </c>
      <c r="G369" t="s">
        <v>60</v>
      </c>
      <c r="H369" t="s">
        <v>78</v>
      </c>
      <c r="I369">
        <v>1</v>
      </c>
      <c r="J369" s="4">
        <v>685</v>
      </c>
      <c r="K369" s="4">
        <v>801.45</v>
      </c>
      <c r="L369" s="4">
        <f>K369-J369</f>
      </c>
      <c r="M369" s="4">
        <f>L369*16.67%</f>
      </c>
      <c r="N369" s="4">
        <f>K369/100*11</f>
      </c>
      <c r="O369" s="4">
        <v>8.99</v>
      </c>
      <c r="P369" s="4">
        <v>0</v>
      </c>
      <c r="Q369" s="4">
        <f>P369*20%</f>
      </c>
      <c r="R369" s="4">
        <v>1</v>
      </c>
      <c r="S369" s="4">
        <f>L369-M369-N369-O369-P369-Q369-R369</f>
      </c>
      <c r="T369" s="4">
        <f>(S369-V369)/J369*100</f>
      </c>
      <c r="U369" s="4">
        <f>M369-Q369</f>
      </c>
      <c r="W369" s="4">
        <f>S369-V369</f>
      </c>
      <c r="AB369" t="s">
        <v>1</v>
      </c>
    </row>
    <row r="370" spans="1:28" x14ac:dyDescent="0.25">
      <c r="A370" s="8">
        <v>46165.5</v>
      </c>
      <c r="B370" t="s">
        <v>1370</v>
      </c>
      <c r="C370" t="s">
        <v>177</v>
      </c>
      <c r="D370" s="9" t="s">
        <v>1</v>
      </c>
      <c r="E370" t="s">
        <v>177</v>
      </c>
      <c r="F370" t="s">
        <v>1</v>
      </c>
      <c r="G370" t="s">
        <v>1</v>
      </c>
      <c r="H370" t="s">
        <v>78</v>
      </c>
      <c r="I370">
        <v>3</v>
      </c>
      <c r="J370" s="4">
        <v>0.45</v>
      </c>
      <c r="K370" s="4">
        <v>0.57</v>
      </c>
      <c r="L370" s="4">
        <f>K370-J370</f>
      </c>
      <c r="M370" s="4">
        <f>L370*16.67%</f>
      </c>
      <c r="N370" s="4">
        <f>K370/100*11</f>
      </c>
      <c r="O370" s="4">
        <v>8.99</v>
      </c>
      <c r="P370" s="4">
        <v>0</v>
      </c>
      <c r="Q370" s="4">
        <f>P370*20%</f>
      </c>
      <c r="R370" s="4">
        <v>0</v>
      </c>
      <c r="S370" s="4">
        <f>L370-M370-N370-O370-P370-Q370-R370</f>
      </c>
      <c r="T370" s="4">
        <f>(S370-V370)/J370*100</f>
      </c>
      <c r="U370" s="4">
        <f>M370-Q370</f>
      </c>
      <c r="W370" s="4">
        <f>S370-V370</f>
      </c>
      <c r="AB370" t="s">
        <v>1</v>
      </c>
    </row>
    <row r="371" spans="1:28" x14ac:dyDescent="0.25">
      <c r="A371" s="8">
        <v>46165.5</v>
      </c>
      <c r="B371" t="s">
        <v>1371</v>
      </c>
      <c r="C371" t="s">
        <v>254</v>
      </c>
      <c r="D371" s="9" t="s">
        <v>1</v>
      </c>
      <c r="E371" t="s">
        <v>254</v>
      </c>
      <c r="F371" t="s">
        <v>1</v>
      </c>
      <c r="G371" t="s">
        <v>1</v>
      </c>
      <c r="H371" t="s">
        <v>61</v>
      </c>
      <c r="I371">
        <v>4</v>
      </c>
      <c r="J371" s="4">
        <v>3.2</v>
      </c>
      <c r="K371" s="4">
        <v>4.13</v>
      </c>
      <c r="L371" s="4">
        <f>K371-J371</f>
      </c>
      <c r="M371" s="4">
        <f>L371*16.67%</f>
      </c>
      <c r="N371" s="4">
        <f>K371/100*11</f>
      </c>
      <c r="O371" s="4">
        <v>8.99</v>
      </c>
      <c r="P371" s="4">
        <v>0</v>
      </c>
      <c r="Q371" s="4">
        <f>P371*20%</f>
      </c>
      <c r="R371" s="4">
        <v>0</v>
      </c>
      <c r="S371" s="4">
        <f>L371-M371-N371-O371-P371-Q371-R371</f>
      </c>
      <c r="T371" s="4">
        <f>(S371-V371)/J371*100</f>
      </c>
      <c r="U371" s="4">
        <f>M371-Q371</f>
      </c>
      <c r="W371" s="4">
        <f>S371-V371</f>
      </c>
      <c r="AB371" t="s">
        <v>1</v>
      </c>
    </row>
    <row r="372" spans="1:28" x14ac:dyDescent="0.25">
      <c r="A372" s="8">
        <v>46165.5</v>
      </c>
      <c r="B372" t="s">
        <v>1372</v>
      </c>
      <c r="C372" t="s">
        <v>185</v>
      </c>
      <c r="D372" s="9" t="s">
        <v>1</v>
      </c>
      <c r="E372" t="s">
        <v>185</v>
      </c>
      <c r="F372" t="s">
        <v>1</v>
      </c>
      <c r="G372" t="s">
        <v>1</v>
      </c>
      <c r="H372" t="s">
        <v>102</v>
      </c>
      <c r="I372">
        <v>3</v>
      </c>
      <c r="J372" s="4">
        <v>3.6</v>
      </c>
      <c r="K372" s="4">
        <v>4.61</v>
      </c>
      <c r="L372" s="4">
        <f>K372-J372</f>
      </c>
      <c r="M372" s="4">
        <f>L372*16.67%</f>
      </c>
      <c r="N372" s="4">
        <f>K372/100*11</f>
      </c>
      <c r="O372" s="4">
        <v>8.99</v>
      </c>
      <c r="P372" s="4">
        <v>0</v>
      </c>
      <c r="Q372" s="4">
        <f>P372*20%</f>
      </c>
      <c r="R372" s="4">
        <v>0</v>
      </c>
      <c r="S372" s="4">
        <f>L372-M372-N372-O372-P372-Q372-R372</f>
      </c>
      <c r="T372" s="4">
        <f>(S372-V372)/J372*100</f>
      </c>
      <c r="U372" s="4">
        <f>M372-Q372</f>
      </c>
      <c r="W372" s="4">
        <f>S372-V372</f>
      </c>
      <c r="AB372" t="s">
        <v>1</v>
      </c>
    </row>
    <row r="373" spans="1:28" x14ac:dyDescent="0.25">
      <c r="A373" s="8">
        <v>46164.5</v>
      </c>
      <c r="B373" t="s">
        <v>1373</v>
      </c>
      <c r="C373" t="s">
        <v>1</v>
      </c>
      <c r="D373" s="9" t="s">
        <v>1374</v>
      </c>
      <c r="E373" t="s">
        <v>292</v>
      </c>
      <c r="F373" t="s">
        <v>74</v>
      </c>
      <c r="G373" t="s">
        <v>126</v>
      </c>
      <c r="H373" t="s">
        <v>75</v>
      </c>
      <c r="I373">
        <v>1</v>
      </c>
      <c r="J373" s="4">
        <v>155</v>
      </c>
      <c r="K373" s="4">
        <v>195.3</v>
      </c>
      <c r="L373" s="4">
        <f>K373-J373</f>
      </c>
      <c r="M373" s="4">
        <f>L373*16.67%</f>
      </c>
      <c r="N373" s="4">
        <f>K373/100*11</f>
      </c>
      <c r="O373" s="4">
        <v>8.99</v>
      </c>
      <c r="P373" s="4">
        <v>0</v>
      </c>
      <c r="Q373" s="4">
        <f>P373*20%</f>
      </c>
      <c r="R373" s="4">
        <v>1</v>
      </c>
      <c r="S373" s="4">
        <f>L373-M373-N373-O373-P373-Q373-R373</f>
      </c>
      <c r="T373" s="4">
        <f>(S373-V373)/J373*100</f>
      </c>
      <c r="U373" s="4">
        <f>M373-Q373</f>
      </c>
      <c r="W373" s="4">
        <f>S373-V373</f>
      </c>
      <c r="AB373" t="s">
        <v>1</v>
      </c>
    </row>
    <row r="374" spans="1:28" x14ac:dyDescent="0.25">
      <c r="A374" s="8">
        <v>46164.5</v>
      </c>
      <c r="B374" t="s">
        <v>1375</v>
      </c>
      <c r="C374" t="s">
        <v>1</v>
      </c>
      <c r="D374" s="9" t="s">
        <v>1376</v>
      </c>
      <c r="E374" t="s">
        <v>91</v>
      </c>
      <c r="F374" t="s">
        <v>74</v>
      </c>
      <c r="G374" t="s">
        <v>95</v>
      </c>
      <c r="H374" t="s">
        <v>66</v>
      </c>
      <c r="I374">
        <v>1</v>
      </c>
      <c r="J374" s="4">
        <v>126</v>
      </c>
      <c r="K374" s="4">
        <v>161.28</v>
      </c>
      <c r="L374" s="4">
        <f>K374-J374</f>
      </c>
      <c r="M374" s="4">
        <f>L374*16.67%</f>
      </c>
      <c r="N374" s="4">
        <f>K374/100*11</f>
      </c>
      <c r="O374" s="4">
        <v>8.99</v>
      </c>
      <c r="P374" s="4">
        <v>0</v>
      </c>
      <c r="Q374" s="4">
        <f>P374*20%</f>
      </c>
      <c r="R374" s="4">
        <v>1</v>
      </c>
      <c r="S374" s="4">
        <f>L374-M374-N374-O374-P374-Q374-R374</f>
      </c>
      <c r="T374" s="4">
        <f>(S374-V374)/J374*100</f>
      </c>
      <c r="U374" s="4">
        <f>M374-Q374</f>
      </c>
      <c r="W374" s="4">
        <f>S374-V374</f>
      </c>
      <c r="AB374" t="s">
        <v>1</v>
      </c>
    </row>
    <row r="375" spans="1:28" x14ac:dyDescent="0.25">
      <c r="A375" s="8">
        <v>46164.5</v>
      </c>
      <c r="B375" t="s">
        <v>1377</v>
      </c>
      <c r="C375" t="s">
        <v>1</v>
      </c>
      <c r="D375" s="9" t="s">
        <v>1378</v>
      </c>
      <c r="E375" t="s">
        <v>139</v>
      </c>
      <c r="F375" t="s">
        <v>59</v>
      </c>
      <c r="G375" t="s">
        <v>60</v>
      </c>
      <c r="H375" t="s">
        <v>66</v>
      </c>
      <c r="I375">
        <v>1</v>
      </c>
      <c r="J375" s="4">
        <v>367</v>
      </c>
      <c r="K375" s="4">
        <v>462.42</v>
      </c>
      <c r="L375" s="4">
        <f>K375-J375</f>
      </c>
      <c r="M375" s="4">
        <f>L375*16.67%</f>
      </c>
      <c r="N375" s="4">
        <f>K375/100*11</f>
      </c>
      <c r="O375" s="4">
        <v>8.99</v>
      </c>
      <c r="P375" s="4">
        <v>0</v>
      </c>
      <c r="Q375" s="4">
        <f>P375*20%</f>
      </c>
      <c r="R375" s="4">
        <v>1</v>
      </c>
      <c r="S375" s="4">
        <f>L375-M375-N375-O375-P375-Q375-R375</f>
      </c>
      <c r="T375" s="4">
        <f>(S375-V375)/J375*100</f>
      </c>
      <c r="U375" s="4">
        <f>M375-Q375</f>
      </c>
      <c r="W375" s="4">
        <f>S375-V375</f>
      </c>
      <c r="AB375" t="s">
        <v>1</v>
      </c>
    </row>
    <row r="376" spans="1:28" x14ac:dyDescent="0.25">
      <c r="A376" s="8">
        <v>46164.5</v>
      </c>
      <c r="B376" t="s">
        <v>1379</v>
      </c>
      <c r="C376" t="s">
        <v>1</v>
      </c>
      <c r="D376" s="9" t="s">
        <v>1380</v>
      </c>
      <c r="E376" t="s">
        <v>84</v>
      </c>
      <c r="F376" t="s">
        <v>70</v>
      </c>
      <c r="G376" t="s">
        <v>60</v>
      </c>
      <c r="H376" t="s">
        <v>78</v>
      </c>
      <c r="I376">
        <v>1</v>
      </c>
      <c r="J376" s="4">
        <v>667</v>
      </c>
      <c r="K376" s="4">
        <v>840.42</v>
      </c>
      <c r="L376" s="4">
        <f>K376-J376</f>
      </c>
      <c r="M376" s="4">
        <f>L376*16.67%</f>
      </c>
      <c r="N376" s="4">
        <f>K376/100*11</f>
      </c>
      <c r="O376" s="4">
        <v>8.99</v>
      </c>
      <c r="P376" s="4">
        <v>0</v>
      </c>
      <c r="Q376" s="4">
        <f>P376*20%</f>
      </c>
      <c r="R376" s="4">
        <v>1</v>
      </c>
      <c r="S376" s="4">
        <f>L376-M376-N376-O376-P376-Q376-R376</f>
      </c>
      <c r="T376" s="4">
        <f>(S376-V376)/J376*100</f>
      </c>
      <c r="U376" s="4">
        <f>M376-Q376</f>
      </c>
      <c r="W376" s="4">
        <f>S376-V376</f>
      </c>
      <c r="AB376" t="s">
        <v>1</v>
      </c>
    </row>
    <row r="377" spans="1:28" x14ac:dyDescent="0.25">
      <c r="A377" s="8">
        <v>46164.5</v>
      </c>
      <c r="B377" t="s">
        <v>1381</v>
      </c>
      <c r="C377" t="s">
        <v>1</v>
      </c>
      <c r="D377" s="9" t="s">
        <v>1382</v>
      </c>
      <c r="E377" t="s">
        <v>73</v>
      </c>
      <c r="F377" t="s">
        <v>74</v>
      </c>
      <c r="G377" t="s">
        <v>60</v>
      </c>
      <c r="H377" t="s">
        <v>75</v>
      </c>
      <c r="I377">
        <v>1</v>
      </c>
      <c r="J377" s="4">
        <v>330</v>
      </c>
      <c r="K377" s="4">
        <v>465.3</v>
      </c>
      <c r="L377" s="4">
        <f>K377-J377</f>
      </c>
      <c r="M377" s="4">
        <f>L377*16.67%</f>
      </c>
      <c r="N377" s="4">
        <f>K377/100*11</f>
      </c>
      <c r="O377" s="4">
        <v>8.99</v>
      </c>
      <c r="P377" s="4">
        <v>0</v>
      </c>
      <c r="Q377" s="4">
        <f>P377*20%</f>
      </c>
      <c r="R377" s="4">
        <v>1</v>
      </c>
      <c r="S377" s="4">
        <f>L377-M377-N377-O377-P377-Q377-R377</f>
      </c>
      <c r="T377" s="4">
        <f>(S377-V377)/J377*100</f>
      </c>
      <c r="U377" s="4">
        <f>M377-Q377</f>
      </c>
      <c r="W377" s="4">
        <f>S377-V377</f>
      </c>
      <c r="AB377" t="s">
        <v>1</v>
      </c>
    </row>
    <row r="378" spans="1:28" x14ac:dyDescent="0.25">
      <c r="A378" s="8">
        <v>46163.5</v>
      </c>
      <c r="B378" t="s">
        <v>1383</v>
      </c>
      <c r="C378" t="s">
        <v>1</v>
      </c>
      <c r="D378" s="9" t="s">
        <v>1384</v>
      </c>
      <c r="E378" t="s">
        <v>64</v>
      </c>
      <c r="F378" t="s">
        <v>85</v>
      </c>
      <c r="G378" t="s">
        <v>65</v>
      </c>
      <c r="H378" t="s">
        <v>78</v>
      </c>
      <c r="I378">
        <v>1</v>
      </c>
      <c r="J378" s="4">
        <v>229</v>
      </c>
      <c r="K378" s="4">
        <v>277.09</v>
      </c>
      <c r="L378" s="4">
        <f>K378-J378</f>
      </c>
      <c r="M378" s="4">
        <f>L378*16.67%</f>
      </c>
      <c r="N378" s="4">
        <f>K378/100*11</f>
      </c>
      <c r="O378" s="4">
        <v>8.99</v>
      </c>
      <c r="P378" s="4">
        <v>0</v>
      </c>
      <c r="Q378" s="4">
        <f>P378*20%</f>
      </c>
      <c r="R378" s="4">
        <v>1</v>
      </c>
      <c r="S378" s="4">
        <f>L378-M378-N378-O378-P378-Q378-R378</f>
      </c>
      <c r="T378" s="4">
        <f>(S378-V378)/J378*100</f>
      </c>
      <c r="U378" s="4">
        <f>M378-Q378</f>
      </c>
      <c r="W378" s="4">
        <f>S378-V378</f>
      </c>
      <c r="AB378" t="s">
        <v>1</v>
      </c>
    </row>
    <row r="379" spans="1:28" x14ac:dyDescent="0.25">
      <c r="A379" s="8">
        <v>46163.5</v>
      </c>
      <c r="B379" t="s">
        <v>1385</v>
      </c>
      <c r="C379" t="s">
        <v>1</v>
      </c>
      <c r="D379" s="9" t="s">
        <v>1386</v>
      </c>
      <c r="E379" t="s">
        <v>292</v>
      </c>
      <c r="F379" t="s">
        <v>59</v>
      </c>
      <c r="G379" t="s">
        <v>126</v>
      </c>
      <c r="H379" t="s">
        <v>66</v>
      </c>
      <c r="I379">
        <v>1</v>
      </c>
      <c r="J379" s="4">
        <v>195</v>
      </c>
      <c r="K379" s="4">
        <v>237.9</v>
      </c>
      <c r="L379" s="4">
        <f>K379-J379</f>
      </c>
      <c r="M379" s="4">
        <f>L379*16.67%</f>
      </c>
      <c r="N379" s="4">
        <f>K379/100*11</f>
      </c>
      <c r="O379" s="4">
        <v>8.99</v>
      </c>
      <c r="P379" s="4">
        <v>0</v>
      </c>
      <c r="Q379" s="4">
        <f>P379*20%</f>
      </c>
      <c r="R379" s="4">
        <v>1</v>
      </c>
      <c r="S379" s="4">
        <f>L379-M379-N379-O379-P379-Q379-R379</f>
      </c>
      <c r="T379" s="4">
        <f>(S379-V379)/J379*100</f>
      </c>
      <c r="U379" s="4">
        <f>M379-Q379</f>
      </c>
      <c r="W379" s="4">
        <f>S379-V379</f>
      </c>
      <c r="AB379" t="s">
        <v>1</v>
      </c>
    </row>
    <row r="380" spans="1:28" x14ac:dyDescent="0.25">
      <c r="A380" s="8">
        <v>46163.5</v>
      </c>
      <c r="B380" t="s">
        <v>1387</v>
      </c>
      <c r="C380" t="s">
        <v>1</v>
      </c>
      <c r="D380" s="9" t="s">
        <v>1388</v>
      </c>
      <c r="E380" t="s">
        <v>58</v>
      </c>
      <c r="F380" t="s">
        <v>99</v>
      </c>
      <c r="G380" t="s">
        <v>60</v>
      </c>
      <c r="H380" t="s">
        <v>75</v>
      </c>
      <c r="I380">
        <v>1</v>
      </c>
      <c r="J380" s="4">
        <v>429</v>
      </c>
      <c r="K380" s="4">
        <v>613.47</v>
      </c>
      <c r="L380" s="4">
        <f>K380-J380</f>
      </c>
      <c r="M380" s="4">
        <f>L380*16.67%</f>
      </c>
      <c r="N380" s="4">
        <f>K380/100*11</f>
      </c>
      <c r="O380" s="4">
        <v>8.99</v>
      </c>
      <c r="P380" s="4">
        <v>0</v>
      </c>
      <c r="Q380" s="4">
        <f>P380*20%</f>
      </c>
      <c r="R380" s="4">
        <v>1</v>
      </c>
      <c r="S380" s="4">
        <f>L380-M380-N380-O380-P380-Q380-R380</f>
      </c>
      <c r="T380" s="4">
        <f>(S380-V380)/J380*100</f>
      </c>
      <c r="U380" s="4">
        <f>M380-Q380</f>
      </c>
      <c r="W380" s="4">
        <f>S380-V380</f>
      </c>
      <c r="AB380" t="s">
        <v>1</v>
      </c>
    </row>
    <row r="381" spans="1:28" x14ac:dyDescent="0.25">
      <c r="A381" s="8">
        <v>46163.5</v>
      </c>
      <c r="B381" t="s">
        <v>1389</v>
      </c>
      <c r="C381" t="s">
        <v>1</v>
      </c>
      <c r="D381" s="9" t="s">
        <v>1390</v>
      </c>
      <c r="E381" t="s">
        <v>114</v>
      </c>
      <c r="F381" t="s">
        <v>59</v>
      </c>
      <c r="G381" t="s">
        <v>60</v>
      </c>
      <c r="H381" t="s">
        <v>102</v>
      </c>
      <c r="I381">
        <v>1</v>
      </c>
      <c r="J381" s="4">
        <v>244</v>
      </c>
      <c r="K381" s="4">
        <v>341.6</v>
      </c>
      <c r="L381" s="4">
        <f>K381-J381</f>
      </c>
      <c r="M381" s="4">
        <f>L381*16.67%</f>
      </c>
      <c r="N381" s="4">
        <f>K381/100*11</f>
      </c>
      <c r="O381" s="4">
        <v>8.99</v>
      </c>
      <c r="P381" s="4">
        <v>0</v>
      </c>
      <c r="Q381" s="4">
        <f>P381*20%</f>
      </c>
      <c r="R381" s="4">
        <v>1</v>
      </c>
      <c r="S381" s="4">
        <f>L381-M381-N381-O381-P381-Q381-R381</f>
      </c>
      <c r="T381" s="4">
        <f>(S381-V381)/J381*100</f>
      </c>
      <c r="U381" s="4">
        <f>M381-Q381</f>
      </c>
      <c r="W381" s="4">
        <f>S381-V381</f>
      </c>
      <c r="AB381" t="s">
        <v>1</v>
      </c>
    </row>
    <row r="382" spans="1:28" x14ac:dyDescent="0.25">
      <c r="A382" s="8">
        <v>46163.5</v>
      </c>
      <c r="B382" t="s">
        <v>1391</v>
      </c>
      <c r="C382" t="s">
        <v>1</v>
      </c>
      <c r="D382" s="9" t="s">
        <v>1392</v>
      </c>
      <c r="E382" t="s">
        <v>292</v>
      </c>
      <c r="F382" t="s">
        <v>85</v>
      </c>
      <c r="G382" t="s">
        <v>126</v>
      </c>
      <c r="H382" t="s">
        <v>66</v>
      </c>
      <c r="I382">
        <v>1</v>
      </c>
      <c r="J382" s="4">
        <v>208</v>
      </c>
      <c r="K382" s="4">
        <v>260</v>
      </c>
      <c r="L382" s="4">
        <f>K382-J382</f>
      </c>
      <c r="M382" s="4">
        <f>L382*16.67%</f>
      </c>
      <c r="N382" s="4">
        <f>K382/100*11</f>
      </c>
      <c r="O382" s="4">
        <v>8.99</v>
      </c>
      <c r="P382" s="4">
        <v>0</v>
      </c>
      <c r="Q382" s="4">
        <f>P382*20%</f>
      </c>
      <c r="R382" s="4">
        <v>1</v>
      </c>
      <c r="S382" s="4">
        <f>L382-M382-N382-O382-P382-Q382-R382</f>
      </c>
      <c r="T382" s="4">
        <f>(S382-V382)/J382*100</f>
      </c>
      <c r="U382" s="4">
        <f>M382-Q382</f>
      </c>
      <c r="W382" s="4">
        <f>S382-V382</f>
      </c>
      <c r="AB382" t="s">
        <v>1</v>
      </c>
    </row>
    <row r="383" spans="1:28" x14ac:dyDescent="0.25">
      <c r="A383" s="10">
        <v>46163.5</v>
      </c>
      <c r="B383" s="11" t="s">
        <v>1393</v>
      </c>
      <c r="C383" s="11" t="s">
        <v>1</v>
      </c>
      <c r="D383" s="12" t="s">
        <v>1394</v>
      </c>
      <c r="E383" s="11" t="s">
        <v>73</v>
      </c>
      <c r="F383" s="11" t="s">
        <v>74</v>
      </c>
      <c r="G383" s="11" t="s">
        <v>60</v>
      </c>
      <c r="H383" s="11" t="s">
        <v>66</v>
      </c>
      <c r="I383" s="11">
        <v>1</v>
      </c>
      <c r="J383" s="13">
        <v>347</v>
      </c>
      <c r="K383" s="13">
        <v>423.34</v>
      </c>
      <c r="L383" s="13">
        <f>K383-J383</f>
      </c>
      <c r="M383" s="13">
        <f>L383*16.67%</f>
      </c>
      <c r="N383" s="13">
        <f>K383/100*11</f>
      </c>
      <c r="O383" s="13">
        <v>8.99</v>
      </c>
      <c r="P383" s="13">
        <v>0</v>
      </c>
      <c r="Q383" s="13">
        <f>P383*20%</f>
      </c>
      <c r="R383" s="13">
        <v>1</v>
      </c>
      <c r="S383" s="13">
        <v>0</v>
      </c>
      <c r="T383" s="13">
        <f>(S383-V383)/J383*100</f>
      </c>
      <c r="U383" s="13">
        <f>M383-Q383</f>
      </c>
      <c r="V383" s="11"/>
      <c r="W383" s="13">
        <f>S383-V383</f>
      </c>
      <c r="X383" s="10">
        <v>46241.5</v>
      </c>
      <c r="Y383" s="11" t="s">
        <v>678</v>
      </c>
      <c r="Z383" s="11">
        <v>2</v>
      </c>
      <c r="AA383" s="11" t="s">
        <v>679</v>
      </c>
      <c r="AB383" s="11" t="s">
        <v>1</v>
      </c>
    </row>
    <row r="384" spans="1:28" x14ac:dyDescent="0.25">
      <c r="A384" s="8">
        <v>46163.5</v>
      </c>
      <c r="B384" t="s">
        <v>1395</v>
      </c>
      <c r="C384" t="s">
        <v>254</v>
      </c>
      <c r="D384" s="9" t="s">
        <v>1</v>
      </c>
      <c r="E384" t="s">
        <v>254</v>
      </c>
      <c r="F384" t="s">
        <v>1</v>
      </c>
      <c r="G384" t="s">
        <v>1</v>
      </c>
      <c r="H384" t="s">
        <v>61</v>
      </c>
      <c r="I384">
        <v>3</v>
      </c>
      <c r="J384" s="4">
        <v>2.4</v>
      </c>
      <c r="K384" s="4">
        <v>3.17</v>
      </c>
      <c r="L384" s="4">
        <f>K384-J384</f>
      </c>
      <c r="M384" s="4">
        <f>L384*16.67%</f>
      </c>
      <c r="N384" s="4">
        <f>K384/100*11</f>
      </c>
      <c r="O384" s="4">
        <v>8.99</v>
      </c>
      <c r="P384" s="4">
        <v>0</v>
      </c>
      <c r="Q384" s="4">
        <f>P384*20%</f>
      </c>
      <c r="R384" s="4">
        <v>0</v>
      </c>
      <c r="S384" s="4">
        <f>L384-M384-N384-O384-P384-Q384-R384</f>
      </c>
      <c r="T384" s="4">
        <f>(S384-V384)/J384*100</f>
      </c>
      <c r="U384" s="4">
        <f>M384-Q384</f>
      </c>
      <c r="W384" s="4">
        <f>S384-V384</f>
      </c>
      <c r="AB384" t="s">
        <v>1</v>
      </c>
    </row>
    <row r="385" spans="1:28" x14ac:dyDescent="0.25">
      <c r="A385" s="8">
        <v>46162.5</v>
      </c>
      <c r="B385" t="s">
        <v>1396</v>
      </c>
      <c r="C385" t="s">
        <v>254</v>
      </c>
      <c r="D385" s="9" t="s">
        <v>1</v>
      </c>
      <c r="E385" t="s">
        <v>254</v>
      </c>
      <c r="F385" t="s">
        <v>1</v>
      </c>
      <c r="G385" t="s">
        <v>1</v>
      </c>
      <c r="H385" t="s">
        <v>61</v>
      </c>
      <c r="I385">
        <v>2</v>
      </c>
      <c r="J385" s="4">
        <v>1.6</v>
      </c>
      <c r="K385" s="4">
        <v>1.89</v>
      </c>
      <c r="L385" s="4">
        <f>K385-J385</f>
      </c>
      <c r="M385" s="4">
        <f>L385*16.67%</f>
      </c>
      <c r="N385" s="4">
        <f>K385/100*11</f>
      </c>
      <c r="O385" s="4">
        <v>8.99</v>
      </c>
      <c r="P385" s="4">
        <v>0</v>
      </c>
      <c r="Q385" s="4">
        <f>P385*20%</f>
      </c>
      <c r="R385" s="4">
        <v>0</v>
      </c>
      <c r="S385" s="4">
        <f>L385-M385-N385-O385-P385-Q385-R385</f>
      </c>
      <c r="T385" s="4">
        <f>(S385-V385)/J385*100</f>
      </c>
      <c r="U385" s="4">
        <f>M385-Q385</f>
      </c>
      <c r="W385" s="4">
        <f>S385-V385</f>
      </c>
      <c r="AB385" t="s">
        <v>1</v>
      </c>
    </row>
    <row r="386" spans="1:28" x14ac:dyDescent="0.25">
      <c r="A386" s="8">
        <v>46162.5</v>
      </c>
      <c r="B386" t="s">
        <v>1397</v>
      </c>
      <c r="C386" t="s">
        <v>182</v>
      </c>
      <c r="D386" s="9" t="s">
        <v>1</v>
      </c>
      <c r="E386" t="s">
        <v>182</v>
      </c>
      <c r="F386" t="s">
        <v>1</v>
      </c>
      <c r="G386" t="s">
        <v>1</v>
      </c>
      <c r="H386" t="s">
        <v>75</v>
      </c>
      <c r="I386">
        <v>3</v>
      </c>
      <c r="J386" s="4">
        <v>5.7</v>
      </c>
      <c r="K386" s="4">
        <v>6.67</v>
      </c>
      <c r="L386" s="4">
        <f>K386-J386</f>
      </c>
      <c r="M386" s="4">
        <f>L386*16.67%</f>
      </c>
      <c r="N386" s="4">
        <f>K386/100*11</f>
      </c>
      <c r="O386" s="4">
        <v>8.99</v>
      </c>
      <c r="P386" s="4">
        <v>0</v>
      </c>
      <c r="Q386" s="4">
        <f>P386*20%</f>
      </c>
      <c r="R386" s="4">
        <v>0</v>
      </c>
      <c r="S386" s="4">
        <f>L386-M386-N386-O386-P386-Q386-R386</f>
      </c>
      <c r="T386" s="4">
        <f>(S386-V386)/J386*100</f>
      </c>
      <c r="U386" s="4">
        <f>M386-Q386</f>
      </c>
      <c r="W386" s="4">
        <f>S386-V386</f>
      </c>
      <c r="AB386" t="s">
        <v>1</v>
      </c>
    </row>
    <row r="387" spans="1:28" x14ac:dyDescent="0.25">
      <c r="A387" s="8">
        <v>46162.5</v>
      </c>
      <c r="B387" t="s">
        <v>1398</v>
      </c>
      <c r="C387" t="s">
        <v>185</v>
      </c>
      <c r="D387" s="9" t="s">
        <v>1</v>
      </c>
      <c r="E387" t="s">
        <v>185</v>
      </c>
      <c r="F387" t="s">
        <v>1</v>
      </c>
      <c r="G387" t="s">
        <v>1</v>
      </c>
      <c r="H387" t="s">
        <v>102</v>
      </c>
      <c r="I387">
        <v>1</v>
      </c>
      <c r="J387" s="4">
        <v>1.2</v>
      </c>
      <c r="K387" s="4">
        <v>1.4</v>
      </c>
      <c r="L387" s="4">
        <f>K387-J387</f>
      </c>
      <c r="M387" s="4">
        <f>L387*16.67%</f>
      </c>
      <c r="N387" s="4">
        <f>K387/100*11</f>
      </c>
      <c r="O387" s="4">
        <v>8.99</v>
      </c>
      <c r="P387" s="4">
        <v>0</v>
      </c>
      <c r="Q387" s="4">
        <f>P387*20%</f>
      </c>
      <c r="R387" s="4">
        <v>0</v>
      </c>
      <c r="S387" s="4">
        <f>L387-M387-N387-O387-P387-Q387-R387</f>
      </c>
      <c r="T387" s="4">
        <f>(S387-V387)/J387*100</f>
      </c>
      <c r="U387" s="4">
        <f>M387-Q387</f>
      </c>
      <c r="W387" s="4">
        <f>S387-V387</f>
      </c>
      <c r="AB387" t="s">
        <v>1</v>
      </c>
    </row>
    <row r="388" spans="1:28" x14ac:dyDescent="0.25">
      <c r="A388" s="8">
        <v>46161.5</v>
      </c>
      <c r="B388" t="s">
        <v>1399</v>
      </c>
      <c r="C388" t="s">
        <v>1</v>
      </c>
      <c r="D388" s="9" t="s">
        <v>1400</v>
      </c>
      <c r="E388" t="s">
        <v>91</v>
      </c>
      <c r="F388" t="s">
        <v>59</v>
      </c>
      <c r="G388" t="s">
        <v>65</v>
      </c>
      <c r="H388" t="s">
        <v>75</v>
      </c>
      <c r="I388">
        <v>1</v>
      </c>
      <c r="J388" s="4">
        <v>105</v>
      </c>
      <c r="K388" s="4">
        <v>147</v>
      </c>
      <c r="L388" s="4">
        <f>K388-J388</f>
      </c>
      <c r="M388" s="4">
        <f>L388*16.67%</f>
      </c>
      <c r="N388" s="4">
        <f>K388/100*11</f>
      </c>
      <c r="O388" s="4">
        <v>8.99</v>
      </c>
      <c r="P388" s="4">
        <v>0</v>
      </c>
      <c r="Q388" s="4">
        <f>P388*20%</f>
      </c>
      <c r="R388" s="4">
        <v>1</v>
      </c>
      <c r="S388" s="4">
        <f>L388-M388-N388-O388-P388-Q388-R388</f>
      </c>
      <c r="T388" s="4">
        <f>(S388-V388)/J388*100</f>
      </c>
      <c r="U388" s="4">
        <f>M388-Q388</f>
      </c>
      <c r="W388" s="4">
        <f>S388-V388</f>
      </c>
      <c r="AB388" t="s">
        <v>1</v>
      </c>
    </row>
    <row r="389" spans="1:28" x14ac:dyDescent="0.25">
      <c r="A389" s="8">
        <v>46161.5</v>
      </c>
      <c r="B389" t="s">
        <v>1401</v>
      </c>
      <c r="C389" t="s">
        <v>1</v>
      </c>
      <c r="D389" s="9" t="s">
        <v>1402</v>
      </c>
      <c r="E389" t="s">
        <v>114</v>
      </c>
      <c r="F389" t="s">
        <v>59</v>
      </c>
      <c r="G389" t="s">
        <v>95</v>
      </c>
      <c r="H389" t="s">
        <v>66</v>
      </c>
      <c r="I389">
        <v>1</v>
      </c>
      <c r="J389" s="4">
        <v>255</v>
      </c>
      <c r="K389" s="4">
        <v>318.75</v>
      </c>
      <c r="L389" s="4">
        <f>K389-J389</f>
      </c>
      <c r="M389" s="4">
        <f>L389*16.67%</f>
      </c>
      <c r="N389" s="4">
        <f>K389/100*11</f>
      </c>
      <c r="O389" s="4">
        <v>8.99</v>
      </c>
      <c r="P389" s="4">
        <v>0</v>
      </c>
      <c r="Q389" s="4">
        <f>P389*20%</f>
      </c>
      <c r="R389" s="4">
        <v>1</v>
      </c>
      <c r="S389" s="4">
        <f>L389-M389-N389-O389-P389-Q389-R389</f>
      </c>
      <c r="T389" s="4">
        <f>(S389-V389)/J389*100</f>
      </c>
      <c r="U389" s="4">
        <f>M389-Q389</f>
      </c>
      <c r="W389" s="4">
        <f>S389-V389</f>
      </c>
      <c r="AB389" t="s">
        <v>1</v>
      </c>
    </row>
    <row r="390" spans="1:28" x14ac:dyDescent="0.25">
      <c r="A390" s="8">
        <v>46160.5</v>
      </c>
      <c r="B390" t="s">
        <v>1403</v>
      </c>
      <c r="C390" t="s">
        <v>1</v>
      </c>
      <c r="D390" s="9" t="s">
        <v>1404</v>
      </c>
      <c r="E390" t="s">
        <v>114</v>
      </c>
      <c r="F390" t="s">
        <v>88</v>
      </c>
      <c r="G390" t="s">
        <v>60</v>
      </c>
      <c r="H390" t="s">
        <v>61</v>
      </c>
      <c r="I390">
        <v>1</v>
      </c>
      <c r="J390" s="4">
        <v>222</v>
      </c>
      <c r="K390" s="4">
        <v>281.94</v>
      </c>
      <c r="L390" s="4">
        <f>K390-J390</f>
      </c>
      <c r="M390" s="4">
        <f>L390*16.67%</f>
      </c>
      <c r="N390" s="4">
        <f>K390/100*11</f>
      </c>
      <c r="O390" s="4">
        <v>8.99</v>
      </c>
      <c r="P390" s="4">
        <v>0</v>
      </c>
      <c r="Q390" s="4">
        <f>P390*20%</f>
      </c>
      <c r="R390" s="4">
        <v>1</v>
      </c>
      <c r="S390" s="4">
        <f>L390-M390-N390-O390-P390-Q390-R390</f>
      </c>
      <c r="T390" s="4">
        <f>(S390-V390)/J390*100</f>
      </c>
      <c r="U390" s="4">
        <f>M390-Q390</f>
      </c>
      <c r="W390" s="4">
        <f>S390-V390</f>
      </c>
      <c r="AB390" t="s">
        <v>1</v>
      </c>
    </row>
    <row r="391" spans="1:28" x14ac:dyDescent="0.25">
      <c r="A391" s="8">
        <v>46160.5</v>
      </c>
      <c r="B391" t="s">
        <v>1405</v>
      </c>
      <c r="C391" t="s">
        <v>1</v>
      </c>
      <c r="D391" s="9" t="s">
        <v>1406</v>
      </c>
      <c r="E391" t="s">
        <v>114</v>
      </c>
      <c r="F391" t="s">
        <v>74</v>
      </c>
      <c r="G391" t="s">
        <v>95</v>
      </c>
      <c r="H391" t="s">
        <v>102</v>
      </c>
      <c r="I391">
        <v>1</v>
      </c>
      <c r="J391" s="4">
        <v>206</v>
      </c>
      <c r="K391" s="4">
        <v>238.96</v>
      </c>
      <c r="L391" s="4">
        <f>K391-J391</f>
      </c>
      <c r="M391" s="4">
        <f>L391*16.67%</f>
      </c>
      <c r="N391" s="4">
        <f>K391/100*11</f>
      </c>
      <c r="O391" s="4">
        <v>8.99</v>
      </c>
      <c r="P391" s="4">
        <v>0</v>
      </c>
      <c r="Q391" s="4">
        <f>P391*20%</f>
      </c>
      <c r="R391" s="4">
        <v>1</v>
      </c>
      <c r="S391" s="4">
        <f>L391-M391-N391-O391-P391-Q391-R391</f>
      </c>
      <c r="T391" s="4">
        <f>(S391-V391)/J391*100</f>
      </c>
      <c r="U391" s="4">
        <f>M391-Q391</f>
      </c>
      <c r="W391" s="4">
        <f>S391-V391</f>
      </c>
      <c r="AB391" t="s">
        <v>1</v>
      </c>
    </row>
    <row r="392" spans="1:28" x14ac:dyDescent="0.25">
      <c r="A392" s="8">
        <v>46160.5</v>
      </c>
      <c r="B392" t="s">
        <v>1407</v>
      </c>
      <c r="C392" t="s">
        <v>185</v>
      </c>
      <c r="D392" s="9" t="s">
        <v>1</v>
      </c>
      <c r="E392" t="s">
        <v>185</v>
      </c>
      <c r="F392" t="s">
        <v>1</v>
      </c>
      <c r="G392" t="s">
        <v>1</v>
      </c>
      <c r="H392" t="s">
        <v>102</v>
      </c>
      <c r="I392">
        <v>3</v>
      </c>
      <c r="J392" s="4">
        <v>3.6</v>
      </c>
      <c r="K392" s="4">
        <v>4.32</v>
      </c>
      <c r="L392" s="4">
        <f>K392-J392</f>
      </c>
      <c r="M392" s="4">
        <f>L392*16.67%</f>
      </c>
      <c r="N392" s="4">
        <f>K392/100*11</f>
      </c>
      <c r="O392" s="4">
        <v>8.99</v>
      </c>
      <c r="P392" s="4">
        <v>0</v>
      </c>
      <c r="Q392" s="4">
        <f>P392*20%</f>
      </c>
      <c r="R392" s="4">
        <v>0</v>
      </c>
      <c r="S392" s="4">
        <f>L392-M392-N392-O392-P392-Q392-R392</f>
      </c>
      <c r="T392" s="4">
        <f>(S392-V392)/J392*100</f>
      </c>
      <c r="U392" s="4">
        <f>M392-Q392</f>
      </c>
      <c r="W392" s="4">
        <f>S392-V392</f>
      </c>
      <c r="AB392" t="s">
        <v>1</v>
      </c>
    </row>
    <row r="393" spans="1:28" x14ac:dyDescent="0.25">
      <c r="A393" s="8">
        <v>46159.5</v>
      </c>
      <c r="B393" t="s">
        <v>1408</v>
      </c>
      <c r="C393" t="s">
        <v>1</v>
      </c>
      <c r="D393" s="9" t="s">
        <v>1409</v>
      </c>
      <c r="E393" t="s">
        <v>98</v>
      </c>
      <c r="F393" t="s">
        <v>105</v>
      </c>
      <c r="G393" t="s">
        <v>60</v>
      </c>
      <c r="H393" t="s">
        <v>102</v>
      </c>
      <c r="I393">
        <v>1</v>
      </c>
      <c r="J393" s="4">
        <v>289</v>
      </c>
      <c r="K393" s="4">
        <v>407.49</v>
      </c>
      <c r="L393" s="4">
        <f>K393-J393</f>
      </c>
      <c r="M393" s="4">
        <f>L393*16.67%</f>
      </c>
      <c r="N393" s="4">
        <f>K393/100*11</f>
      </c>
      <c r="O393" s="4">
        <v>8.99</v>
      </c>
      <c r="P393" s="4">
        <v>0</v>
      </c>
      <c r="Q393" s="4">
        <f>P393*20%</f>
      </c>
      <c r="R393" s="4">
        <v>1</v>
      </c>
      <c r="S393" s="4">
        <f>L393-M393-N393-O393-P393-Q393-R393</f>
      </c>
      <c r="T393" s="4">
        <f>(S393-V393)/J393*100</f>
      </c>
      <c r="U393" s="4">
        <f>M393-Q393</f>
      </c>
      <c r="W393" s="4">
        <f>S393-V393</f>
      </c>
      <c r="AB393" t="s">
        <v>1</v>
      </c>
    </row>
    <row r="394" spans="1:28" x14ac:dyDescent="0.25">
      <c r="A394" s="8">
        <v>46159.5</v>
      </c>
      <c r="B394" t="s">
        <v>1410</v>
      </c>
      <c r="C394" t="s">
        <v>1</v>
      </c>
      <c r="D394" s="9" t="s">
        <v>1411</v>
      </c>
      <c r="E394" t="s">
        <v>69</v>
      </c>
      <c r="F394" t="s">
        <v>59</v>
      </c>
      <c r="G394" t="s">
        <v>60</v>
      </c>
      <c r="H394" t="s">
        <v>66</v>
      </c>
      <c r="I394">
        <v>1</v>
      </c>
      <c r="J394" s="4">
        <v>554</v>
      </c>
      <c r="K394" s="4">
        <v>653.72</v>
      </c>
      <c r="L394" s="4">
        <f>K394-J394</f>
      </c>
      <c r="M394" s="4">
        <f>L394*16.67%</f>
      </c>
      <c r="N394" s="4">
        <f>K394/100*11</f>
      </c>
      <c r="O394" s="4">
        <v>8.99</v>
      </c>
      <c r="P394" s="4">
        <v>0</v>
      </c>
      <c r="Q394" s="4">
        <f>P394*20%</f>
      </c>
      <c r="R394" s="4">
        <v>1</v>
      </c>
      <c r="S394" s="4">
        <f>L394-M394-N394-O394-P394-Q394-R394</f>
      </c>
      <c r="T394" s="4">
        <f>(S394-V394)/J394*100</f>
      </c>
      <c r="U394" s="4">
        <f>M394-Q394</f>
      </c>
      <c r="W394" s="4">
        <f>S394-V394</f>
      </c>
      <c r="AB394" t="s">
        <v>1</v>
      </c>
    </row>
    <row r="395" spans="1:28" x14ac:dyDescent="0.25">
      <c r="A395" s="8">
        <v>46159.5</v>
      </c>
      <c r="B395" t="s">
        <v>1412</v>
      </c>
      <c r="C395" t="s">
        <v>1</v>
      </c>
      <c r="D395" s="9" t="s">
        <v>1413</v>
      </c>
      <c r="E395" t="s">
        <v>98</v>
      </c>
      <c r="F395" t="s">
        <v>105</v>
      </c>
      <c r="G395" t="s">
        <v>60</v>
      </c>
      <c r="H395" t="s">
        <v>66</v>
      </c>
      <c r="I395">
        <v>1</v>
      </c>
      <c r="J395" s="4">
        <v>300</v>
      </c>
      <c r="K395" s="4">
        <v>420</v>
      </c>
      <c r="L395" s="4">
        <f>K395-J395</f>
      </c>
      <c r="M395" s="4">
        <f>L395*16.67%</f>
      </c>
      <c r="N395" s="4">
        <f>K395/100*11</f>
      </c>
      <c r="O395" s="4">
        <v>8.99</v>
      </c>
      <c r="P395" s="4">
        <v>0</v>
      </c>
      <c r="Q395" s="4">
        <f>P395*20%</f>
      </c>
      <c r="R395" s="4">
        <v>1</v>
      </c>
      <c r="S395" s="4">
        <f>L395-M395-N395-O395-P395-Q395-R395</f>
      </c>
      <c r="T395" s="4">
        <f>(S395-V395)/J395*100</f>
      </c>
      <c r="U395" s="4">
        <f>M395-Q395</f>
      </c>
      <c r="W395" s="4">
        <f>S395-V395</f>
      </c>
      <c r="AB395" t="s">
        <v>1</v>
      </c>
    </row>
    <row r="396" spans="1:28" x14ac:dyDescent="0.25">
      <c r="A396" s="8">
        <v>46159.5</v>
      </c>
      <c r="B396" t="s">
        <v>1414</v>
      </c>
      <c r="C396" t="s">
        <v>1</v>
      </c>
      <c r="D396" s="9" t="s">
        <v>1415</v>
      </c>
      <c r="E396" t="s">
        <v>234</v>
      </c>
      <c r="F396" t="s">
        <v>105</v>
      </c>
      <c r="G396" t="s">
        <v>65</v>
      </c>
      <c r="H396" t="s">
        <v>75</v>
      </c>
      <c r="I396">
        <v>1</v>
      </c>
      <c r="J396" s="4">
        <v>186</v>
      </c>
      <c r="K396" s="4">
        <v>245.52</v>
      </c>
      <c r="L396" s="4">
        <f>K396-J396</f>
      </c>
      <c r="M396" s="4">
        <f>L396*16.67%</f>
      </c>
      <c r="N396" s="4">
        <f>K396/100*11</f>
      </c>
      <c r="O396" s="4">
        <v>8.99</v>
      </c>
      <c r="P396" s="4">
        <v>0</v>
      </c>
      <c r="Q396" s="4">
        <f>P396*20%</f>
      </c>
      <c r="R396" s="4">
        <v>1</v>
      </c>
      <c r="S396" s="4">
        <f>L396-M396-N396-O396-P396-Q396-R396</f>
      </c>
      <c r="T396" s="4">
        <f>(S396-V396)/J396*100</f>
      </c>
      <c r="U396" s="4">
        <f>M396-Q396</f>
      </c>
      <c r="W396" s="4">
        <f>S396-V396</f>
      </c>
      <c r="AB396" t="s">
        <v>1</v>
      </c>
    </row>
    <row r="397" spans="1:28" x14ac:dyDescent="0.25">
      <c r="A397" s="8">
        <v>46159.5</v>
      </c>
      <c r="B397" t="s">
        <v>1416</v>
      </c>
      <c r="C397" t="s">
        <v>1</v>
      </c>
      <c r="D397" s="9" t="s">
        <v>1417</v>
      </c>
      <c r="E397" t="s">
        <v>94</v>
      </c>
      <c r="F397" t="s">
        <v>88</v>
      </c>
      <c r="G397" t="s">
        <v>95</v>
      </c>
      <c r="H397" t="s">
        <v>61</v>
      </c>
      <c r="I397">
        <v>1</v>
      </c>
      <c r="J397" s="4">
        <v>79</v>
      </c>
      <c r="K397" s="4">
        <v>91.64</v>
      </c>
      <c r="L397" s="4">
        <f>K397-J397</f>
      </c>
      <c r="M397" s="4">
        <f>L397*16.67%</f>
      </c>
      <c r="N397" s="4">
        <f>K397/100*11</f>
      </c>
      <c r="O397" s="4">
        <v>8.99</v>
      </c>
      <c r="P397" s="4">
        <v>0</v>
      </c>
      <c r="Q397" s="4">
        <f>P397*20%</f>
      </c>
      <c r="R397" s="4">
        <v>1</v>
      </c>
      <c r="S397" s="4">
        <f>L397-M397-N397-O397-P397-Q397-R397</f>
      </c>
      <c r="T397" s="4">
        <f>(S397-V397)/J397*100</f>
      </c>
      <c r="U397" s="4">
        <f>M397-Q397</f>
      </c>
      <c r="W397" s="4">
        <f>S397-V397</f>
      </c>
      <c r="AB397" t="s">
        <v>1</v>
      </c>
    </row>
    <row r="398" spans="1:28" x14ac:dyDescent="0.25">
      <c r="A398" s="8">
        <v>46159.5</v>
      </c>
      <c r="B398" t="s">
        <v>1418</v>
      </c>
      <c r="C398" t="s">
        <v>1</v>
      </c>
      <c r="D398" s="9" t="s">
        <v>1419</v>
      </c>
      <c r="E398" t="s">
        <v>73</v>
      </c>
      <c r="F398" t="s">
        <v>74</v>
      </c>
      <c r="G398" t="s">
        <v>60</v>
      </c>
      <c r="H398" t="s">
        <v>78</v>
      </c>
      <c r="I398">
        <v>1</v>
      </c>
      <c r="J398" s="4">
        <v>340</v>
      </c>
      <c r="K398" s="4">
        <v>455.6</v>
      </c>
      <c r="L398" s="4">
        <f>K398-J398</f>
      </c>
      <c r="M398" s="4">
        <f>L398*16.67%</f>
      </c>
      <c r="N398" s="4">
        <f>K398/100*11</f>
      </c>
      <c r="O398" s="4">
        <v>8.99</v>
      </c>
      <c r="P398" s="4">
        <v>0</v>
      </c>
      <c r="Q398" s="4">
        <f>P398*20%</f>
      </c>
      <c r="R398" s="4">
        <v>1</v>
      </c>
      <c r="S398" s="4">
        <f>L398-M398-N398-O398-P398-Q398-R398</f>
      </c>
      <c r="T398" s="4">
        <f>(S398-V398)/J398*100</f>
      </c>
      <c r="U398" s="4">
        <f>M398-Q398</f>
      </c>
      <c r="W398" s="4">
        <f>S398-V398</f>
      </c>
      <c r="AB398" t="s">
        <v>1</v>
      </c>
    </row>
    <row r="399" spans="1:28" x14ac:dyDescent="0.25">
      <c r="A399" s="8">
        <v>46159.5</v>
      </c>
      <c r="B399" t="s">
        <v>1420</v>
      </c>
      <c r="C399" t="s">
        <v>174</v>
      </c>
      <c r="D399" s="9" t="s">
        <v>1</v>
      </c>
      <c r="E399" t="s">
        <v>174</v>
      </c>
      <c r="F399" t="s">
        <v>1</v>
      </c>
      <c r="G399" t="s">
        <v>1</v>
      </c>
      <c r="H399" t="s">
        <v>66</v>
      </c>
      <c r="I399">
        <v>1</v>
      </c>
      <c r="J399" s="4">
        <v>4.25</v>
      </c>
      <c r="K399" s="4">
        <v>5.48</v>
      </c>
      <c r="L399" s="4">
        <f>K399-J399</f>
      </c>
      <c r="M399" s="4">
        <f>L399*16.67%</f>
      </c>
      <c r="N399" s="4">
        <f>K399/100*11</f>
      </c>
      <c r="O399" s="4">
        <v>8.99</v>
      </c>
      <c r="P399" s="4">
        <v>0</v>
      </c>
      <c r="Q399" s="4">
        <f>P399*20%</f>
      </c>
      <c r="R399" s="4">
        <v>0</v>
      </c>
      <c r="S399" s="4">
        <f>L399-M399-N399-O399-P399-Q399-R399</f>
      </c>
      <c r="T399" s="4">
        <f>(S399-V399)/J399*100</f>
      </c>
      <c r="U399" s="4">
        <f>M399-Q399</f>
      </c>
      <c r="W399" s="4">
        <f>S399-V399</f>
      </c>
      <c r="AB399" t="s">
        <v>1</v>
      </c>
    </row>
    <row r="400" spans="1:28" x14ac:dyDescent="0.25">
      <c r="A400" s="8">
        <v>46158.5</v>
      </c>
      <c r="B400" t="s">
        <v>1421</v>
      </c>
      <c r="C400" t="s">
        <v>1</v>
      </c>
      <c r="D400" s="9" t="s">
        <v>1422</v>
      </c>
      <c r="E400" t="s">
        <v>114</v>
      </c>
      <c r="F400" t="s">
        <v>74</v>
      </c>
      <c r="G400" t="s">
        <v>60</v>
      </c>
      <c r="H400" t="s">
        <v>78</v>
      </c>
      <c r="I400">
        <v>1</v>
      </c>
      <c r="J400" s="4">
        <v>203</v>
      </c>
      <c r="K400" s="4">
        <v>235.48</v>
      </c>
      <c r="L400" s="4">
        <f>K400-J400</f>
      </c>
      <c r="M400" s="4">
        <f>L400*16.67%</f>
      </c>
      <c r="N400" s="4">
        <f>K400/100*11</f>
      </c>
      <c r="O400" s="4">
        <v>8.99</v>
      </c>
      <c r="P400" s="4">
        <v>0</v>
      </c>
      <c r="Q400" s="4">
        <f>P400*20%</f>
      </c>
      <c r="R400" s="4">
        <v>1</v>
      </c>
      <c r="S400" s="4">
        <f>L400-M400-N400-O400-P400-Q400-R400</f>
      </c>
      <c r="T400" s="4">
        <f>(S400-V400)/J400*100</f>
      </c>
      <c r="U400" s="4">
        <f>M400-Q400</f>
      </c>
      <c r="W400" s="4">
        <f>S400-V400</f>
      </c>
      <c r="AB400" t="s">
        <v>1</v>
      </c>
    </row>
    <row r="401" spans="1:28" x14ac:dyDescent="0.25">
      <c r="A401" s="8">
        <v>46158.5</v>
      </c>
      <c r="B401" t="s">
        <v>1423</v>
      </c>
      <c r="C401" t="s">
        <v>1</v>
      </c>
      <c r="D401" s="9" t="s">
        <v>1424</v>
      </c>
      <c r="E401" t="s">
        <v>94</v>
      </c>
      <c r="F401" t="s">
        <v>74</v>
      </c>
      <c r="G401" t="s">
        <v>95</v>
      </c>
      <c r="H401" t="s">
        <v>61</v>
      </c>
      <c r="I401">
        <v>1</v>
      </c>
      <c r="J401" s="4">
        <v>71</v>
      </c>
      <c r="K401" s="4">
        <v>91.59</v>
      </c>
      <c r="L401" s="4">
        <f>K401-J401</f>
      </c>
      <c r="M401" s="4">
        <f>L401*16.67%</f>
      </c>
      <c r="N401" s="4">
        <f>K401/100*11</f>
      </c>
      <c r="O401" s="4">
        <v>8.99</v>
      </c>
      <c r="P401" s="4">
        <v>0</v>
      </c>
      <c r="Q401" s="4">
        <f>P401*20%</f>
      </c>
      <c r="R401" s="4">
        <v>1</v>
      </c>
      <c r="S401" s="4">
        <f>L401-M401-N401-O401-P401-Q401-R401</f>
      </c>
      <c r="T401" s="4">
        <f>(S401-V401)/J401*100</f>
      </c>
      <c r="U401" s="4">
        <f>M401-Q401</f>
      </c>
      <c r="W401" s="4">
        <f>S401-V401</f>
      </c>
      <c r="AB401" t="s">
        <v>1</v>
      </c>
    </row>
    <row r="402" spans="1:28" x14ac:dyDescent="0.25">
      <c r="A402" s="8">
        <v>46158.5</v>
      </c>
      <c r="B402" t="s">
        <v>1425</v>
      </c>
      <c r="C402" t="s">
        <v>1</v>
      </c>
      <c r="D402" s="9" t="s">
        <v>1426</v>
      </c>
      <c r="E402" t="s">
        <v>64</v>
      </c>
      <c r="F402" t="s">
        <v>70</v>
      </c>
      <c r="G402" t="s">
        <v>65</v>
      </c>
      <c r="H402" t="s">
        <v>66</v>
      </c>
      <c r="I402">
        <v>1</v>
      </c>
      <c r="J402" s="4">
        <v>249</v>
      </c>
      <c r="K402" s="4">
        <v>293.82</v>
      </c>
      <c r="L402" s="4">
        <f>K402-J402</f>
      </c>
      <c r="M402" s="4">
        <f>L402*16.67%</f>
      </c>
      <c r="N402" s="4">
        <f>K402/100*11</f>
      </c>
      <c r="O402" s="4">
        <v>8.99</v>
      </c>
      <c r="P402" s="4">
        <v>0</v>
      </c>
      <c r="Q402" s="4">
        <f>P402*20%</f>
      </c>
      <c r="R402" s="4">
        <v>1</v>
      </c>
      <c r="S402" s="4">
        <f>L402-M402-N402-O402-P402-Q402-R402</f>
      </c>
      <c r="T402" s="4">
        <f>(S402-V402)/J402*100</f>
      </c>
      <c r="U402" s="4">
        <f>M402-Q402</f>
      </c>
      <c r="W402" s="4">
        <f>S402-V402</f>
      </c>
      <c r="AB402" t="s">
        <v>1</v>
      </c>
    </row>
    <row r="403" spans="1:28" x14ac:dyDescent="0.25">
      <c r="A403" s="8">
        <v>46158.5</v>
      </c>
      <c r="B403" t="s">
        <v>1427</v>
      </c>
      <c r="C403" t="s">
        <v>185</v>
      </c>
      <c r="D403" s="9" t="s">
        <v>1</v>
      </c>
      <c r="E403" t="s">
        <v>185</v>
      </c>
      <c r="F403" t="s">
        <v>1</v>
      </c>
      <c r="G403" t="s">
        <v>1</v>
      </c>
      <c r="H403" t="s">
        <v>102</v>
      </c>
      <c r="I403">
        <v>4</v>
      </c>
      <c r="J403" s="4">
        <v>4.8</v>
      </c>
      <c r="K403" s="4">
        <v>5.86</v>
      </c>
      <c r="L403" s="4">
        <f>K403-J403</f>
      </c>
      <c r="M403" s="4">
        <f>L403*16.67%</f>
      </c>
      <c r="N403" s="4">
        <f>K403/100*11</f>
      </c>
      <c r="O403" s="4">
        <v>8.99</v>
      </c>
      <c r="P403" s="4">
        <v>0</v>
      </c>
      <c r="Q403" s="4">
        <f>P403*20%</f>
      </c>
      <c r="R403" s="4">
        <v>0</v>
      </c>
      <c r="S403" s="4">
        <f>L403-M403-N403-O403-P403-Q403-R403</f>
      </c>
      <c r="T403" s="4">
        <f>(S403-V403)/J403*100</f>
      </c>
      <c r="U403" s="4">
        <f>M403-Q403</f>
      </c>
      <c r="W403" s="4">
        <f>S403-V403</f>
      </c>
      <c r="AB403" t="s">
        <v>1</v>
      </c>
    </row>
    <row r="404" spans="1:28" x14ac:dyDescent="0.25">
      <c r="A404" s="8">
        <v>46157.5</v>
      </c>
      <c r="B404" t="s">
        <v>1428</v>
      </c>
      <c r="C404" t="s">
        <v>1</v>
      </c>
      <c r="D404" s="9" t="s">
        <v>1429</v>
      </c>
      <c r="E404" t="s">
        <v>94</v>
      </c>
      <c r="F404" t="s">
        <v>70</v>
      </c>
      <c r="G404" t="s">
        <v>95</v>
      </c>
      <c r="H404" t="s">
        <v>61</v>
      </c>
      <c r="I404">
        <v>1</v>
      </c>
      <c r="J404" s="4">
        <v>76</v>
      </c>
      <c r="K404" s="4">
        <v>108.68</v>
      </c>
      <c r="L404" s="4">
        <f>K404-J404</f>
      </c>
      <c r="M404" s="4">
        <f>L404*16.67%</f>
      </c>
      <c r="N404" s="4">
        <f>K404/100*11</f>
      </c>
      <c r="O404" s="4">
        <v>8.99</v>
      </c>
      <c r="P404" s="4">
        <v>0</v>
      </c>
      <c r="Q404" s="4">
        <f>P404*20%</f>
      </c>
      <c r="R404" s="4">
        <v>1</v>
      </c>
      <c r="S404" s="4">
        <f>L404-M404-N404-O404-P404-Q404-R404</f>
      </c>
      <c r="T404" s="4">
        <f>(S404-V404)/J404*100</f>
      </c>
      <c r="U404" s="4">
        <f>M404-Q404</f>
      </c>
      <c r="W404" s="4">
        <f>S404-V404</f>
      </c>
      <c r="AB404" t="s">
        <v>1</v>
      </c>
    </row>
    <row r="405" spans="1:28" x14ac:dyDescent="0.25">
      <c r="A405" s="8">
        <v>46157.5</v>
      </c>
      <c r="B405" t="s">
        <v>1430</v>
      </c>
      <c r="C405" t="s">
        <v>1</v>
      </c>
      <c r="D405" s="9" t="s">
        <v>1431</v>
      </c>
      <c r="E405" t="s">
        <v>234</v>
      </c>
      <c r="F405" t="s">
        <v>99</v>
      </c>
      <c r="G405" t="s">
        <v>65</v>
      </c>
      <c r="H405" t="s">
        <v>66</v>
      </c>
      <c r="I405">
        <v>1</v>
      </c>
      <c r="J405" s="4">
        <v>166</v>
      </c>
      <c r="K405" s="4">
        <v>194.22</v>
      </c>
      <c r="L405" s="4">
        <f>K405-J405</f>
      </c>
      <c r="M405" s="4">
        <f>L405*16.67%</f>
      </c>
      <c r="N405" s="4">
        <f>K405/100*11</f>
      </c>
      <c r="O405" s="4">
        <v>8.99</v>
      </c>
      <c r="P405" s="4">
        <v>0</v>
      </c>
      <c r="Q405" s="4">
        <f>P405*20%</f>
      </c>
      <c r="R405" s="4">
        <v>1</v>
      </c>
      <c r="S405" s="4">
        <f>L405-M405-N405-O405-P405-Q405-R405</f>
      </c>
      <c r="T405" s="4">
        <f>(S405-V405)/J405*100</f>
      </c>
      <c r="U405" s="4">
        <f>M405-Q405</f>
      </c>
      <c r="W405" s="4">
        <f>S405-V405</f>
      </c>
      <c r="AB405" t="s">
        <v>1</v>
      </c>
    </row>
    <row r="406" spans="1:28" x14ac:dyDescent="0.25">
      <c r="A406" s="8">
        <v>46157.5</v>
      </c>
      <c r="B406" t="s">
        <v>1432</v>
      </c>
      <c r="C406" t="s">
        <v>1</v>
      </c>
      <c r="D406" s="9" t="s">
        <v>1433</v>
      </c>
      <c r="E406" t="s">
        <v>114</v>
      </c>
      <c r="F406" t="s">
        <v>88</v>
      </c>
      <c r="G406" t="s">
        <v>95</v>
      </c>
      <c r="H406" t="s">
        <v>61</v>
      </c>
      <c r="I406">
        <v>1</v>
      </c>
      <c r="J406" s="4">
        <v>218</v>
      </c>
      <c r="K406" s="4">
        <v>252.88</v>
      </c>
      <c r="L406" s="4">
        <f>K406-J406</f>
      </c>
      <c r="M406" s="4">
        <f>L406*16.67%</f>
      </c>
      <c r="N406" s="4">
        <f>K406/100*11</f>
      </c>
      <c r="O406" s="4">
        <v>8.99</v>
      </c>
      <c r="P406" s="4">
        <v>0</v>
      </c>
      <c r="Q406" s="4">
        <f>P406*20%</f>
      </c>
      <c r="R406" s="4">
        <v>1</v>
      </c>
      <c r="S406" s="4">
        <f>L406-M406-N406-O406-P406-Q406-R406</f>
      </c>
      <c r="T406" s="4">
        <f>(S406-V406)/J406*100</f>
      </c>
      <c r="U406" s="4">
        <f>M406-Q406</f>
      </c>
      <c r="W406" s="4">
        <f>S406-V406</f>
      </c>
      <c r="AB406" t="s">
        <v>1</v>
      </c>
    </row>
    <row r="407" spans="1:28" x14ac:dyDescent="0.25">
      <c r="A407" s="8">
        <v>46157.5</v>
      </c>
      <c r="B407" t="s">
        <v>1434</v>
      </c>
      <c r="C407" t="s">
        <v>1</v>
      </c>
      <c r="D407" s="9" t="s">
        <v>1435</v>
      </c>
      <c r="E407" t="s">
        <v>69</v>
      </c>
      <c r="F407" t="s">
        <v>88</v>
      </c>
      <c r="G407" t="s">
        <v>60</v>
      </c>
      <c r="H407" t="s">
        <v>66</v>
      </c>
      <c r="I407">
        <v>1</v>
      </c>
      <c r="J407" s="4">
        <v>524</v>
      </c>
      <c r="K407" s="4">
        <v>717.88</v>
      </c>
      <c r="L407" s="4">
        <f>K407-J407</f>
      </c>
      <c r="M407" s="4">
        <f>L407*16.67%</f>
      </c>
      <c r="N407" s="4">
        <f>K407/100*11</f>
      </c>
      <c r="O407" s="4">
        <v>8.99</v>
      </c>
      <c r="P407" s="4">
        <v>0</v>
      </c>
      <c r="Q407" s="4">
        <f>P407*20%</f>
      </c>
      <c r="R407" s="4">
        <v>1</v>
      </c>
      <c r="S407" s="4">
        <f>L407-M407-N407-O407-P407-Q407-R407</f>
      </c>
      <c r="T407" s="4">
        <f>(S407-V407)/J407*100</f>
      </c>
      <c r="U407" s="4">
        <f>M407-Q407</f>
      </c>
      <c r="W407" s="4">
        <f>S407-V407</f>
      </c>
      <c r="AB407" t="s">
        <v>1</v>
      </c>
    </row>
    <row r="408" spans="1:28" x14ac:dyDescent="0.25">
      <c r="A408" s="8">
        <v>46157.5</v>
      </c>
      <c r="B408" t="s">
        <v>1436</v>
      </c>
      <c r="C408" t="s">
        <v>1</v>
      </c>
      <c r="D408" s="9" t="s">
        <v>1437</v>
      </c>
      <c r="E408" t="s">
        <v>94</v>
      </c>
      <c r="F408" t="s">
        <v>88</v>
      </c>
      <c r="G408" t="s">
        <v>95</v>
      </c>
      <c r="H408" t="s">
        <v>61</v>
      </c>
      <c r="I408">
        <v>1</v>
      </c>
      <c r="J408" s="4">
        <v>74</v>
      </c>
      <c r="K408" s="4">
        <v>85.1</v>
      </c>
      <c r="L408" s="4">
        <f>K408-J408</f>
      </c>
      <c r="M408" s="4">
        <f>L408*16.67%</f>
      </c>
      <c r="N408" s="4">
        <f>K408/100*11</f>
      </c>
      <c r="O408" s="4">
        <v>8.99</v>
      </c>
      <c r="P408" s="4">
        <v>0</v>
      </c>
      <c r="Q408" s="4">
        <f>P408*20%</f>
      </c>
      <c r="R408" s="4">
        <v>1</v>
      </c>
      <c r="S408" s="4">
        <f>L408-M408-N408-O408-P408-Q408-R408</f>
      </c>
      <c r="T408" s="4">
        <f>(S408-V408)/J408*100</f>
      </c>
      <c r="U408" s="4">
        <f>M408-Q408</f>
      </c>
      <c r="W408" s="4">
        <f>S408-V408</f>
      </c>
      <c r="AB408" t="s">
        <v>1</v>
      </c>
    </row>
    <row r="409" spans="1:28" x14ac:dyDescent="0.25">
      <c r="A409" s="8">
        <v>46157.5</v>
      </c>
      <c r="B409" t="s">
        <v>1438</v>
      </c>
      <c r="C409" t="s">
        <v>185</v>
      </c>
      <c r="D409" s="9" t="s">
        <v>1</v>
      </c>
      <c r="E409" t="s">
        <v>185</v>
      </c>
      <c r="F409" t="s">
        <v>1</v>
      </c>
      <c r="G409" t="s">
        <v>1</v>
      </c>
      <c r="H409" t="s">
        <v>102</v>
      </c>
      <c r="I409">
        <v>2</v>
      </c>
      <c r="J409" s="4">
        <v>2.4</v>
      </c>
      <c r="K409" s="4">
        <v>2.76</v>
      </c>
      <c r="L409" s="4">
        <f>K409-J409</f>
      </c>
      <c r="M409" s="4">
        <f>L409*16.67%</f>
      </c>
      <c r="N409" s="4">
        <f>K409/100*11</f>
      </c>
      <c r="O409" s="4">
        <v>8.99</v>
      </c>
      <c r="P409" s="4">
        <v>0</v>
      </c>
      <c r="Q409" s="4">
        <f>P409*20%</f>
      </c>
      <c r="R409" s="4">
        <v>0</v>
      </c>
      <c r="S409" s="4">
        <f>L409-M409-N409-O409-P409-Q409-R409</f>
      </c>
      <c r="T409" s="4">
        <f>(S409-V409)/J409*100</f>
      </c>
      <c r="U409" s="4">
        <f>M409-Q409</f>
      </c>
      <c r="W409" s="4">
        <f>S409-V409</f>
      </c>
      <c r="AB409" t="s">
        <v>1</v>
      </c>
    </row>
    <row r="410" spans="1:28" x14ac:dyDescent="0.25">
      <c r="A410" s="8">
        <v>46156.5</v>
      </c>
      <c r="B410" t="s">
        <v>1439</v>
      </c>
      <c r="C410" t="s">
        <v>1</v>
      </c>
      <c r="D410" s="9" t="s">
        <v>1440</v>
      </c>
      <c r="E410" t="s">
        <v>81</v>
      </c>
      <c r="F410" t="s">
        <v>105</v>
      </c>
      <c r="G410" t="s">
        <v>60</v>
      </c>
      <c r="H410" t="s">
        <v>61</v>
      </c>
      <c r="I410">
        <v>1</v>
      </c>
      <c r="J410" s="4">
        <v>583</v>
      </c>
      <c r="K410" s="4">
        <v>775.39</v>
      </c>
      <c r="L410" s="4">
        <f>K410-J410</f>
      </c>
      <c r="M410" s="4">
        <f>L410*16.67%</f>
      </c>
      <c r="N410" s="4">
        <f>K410/100*11</f>
      </c>
      <c r="O410" s="4">
        <v>8.99</v>
      </c>
      <c r="P410" s="4">
        <v>0</v>
      </c>
      <c r="Q410" s="4">
        <f>P410*20%</f>
      </c>
      <c r="R410" s="4">
        <v>1</v>
      </c>
      <c r="S410" s="4">
        <f>L410-M410-N410-O410-P410-Q410-R410</f>
      </c>
      <c r="T410" s="4">
        <f>(S410-V410)/J410*100</f>
      </c>
      <c r="U410" s="4">
        <f>M410-Q410</f>
      </c>
      <c r="W410" s="4">
        <f>S410-V410</f>
      </c>
      <c r="AB410" t="s">
        <v>1</v>
      </c>
    </row>
    <row r="411" spans="1:28" x14ac:dyDescent="0.25">
      <c r="A411" s="8">
        <v>46156.5</v>
      </c>
      <c r="B411" t="s">
        <v>1441</v>
      </c>
      <c r="C411" t="s">
        <v>1</v>
      </c>
      <c r="D411" s="9" t="s">
        <v>1442</v>
      </c>
      <c r="E411" t="s">
        <v>91</v>
      </c>
      <c r="F411" t="s">
        <v>59</v>
      </c>
      <c r="G411" t="s">
        <v>95</v>
      </c>
      <c r="H411" t="s">
        <v>66</v>
      </c>
      <c r="I411">
        <v>1</v>
      </c>
      <c r="J411" s="4">
        <v>119</v>
      </c>
      <c r="K411" s="4">
        <v>140.42</v>
      </c>
      <c r="L411" s="4">
        <f>K411-J411</f>
      </c>
      <c r="M411" s="4">
        <f>L411*16.67%</f>
      </c>
      <c r="N411" s="4">
        <f>K411/100*11</f>
      </c>
      <c r="O411" s="4">
        <v>8.99</v>
      </c>
      <c r="P411" s="4">
        <v>0</v>
      </c>
      <c r="Q411" s="4">
        <f>P411*20%</f>
      </c>
      <c r="R411" s="4">
        <v>1</v>
      </c>
      <c r="S411" s="4">
        <f>L411-M411-N411-O411-P411-Q411-R411</f>
      </c>
      <c r="T411" s="4">
        <f>(S411-V411)/J411*100</f>
      </c>
      <c r="U411" s="4">
        <f>M411-Q411</f>
      </c>
      <c r="W411" s="4">
        <f>S411-V411</f>
      </c>
      <c r="AB411" t="s">
        <v>1</v>
      </c>
    </row>
    <row r="412" spans="1:28" x14ac:dyDescent="0.25">
      <c r="A412" s="8">
        <v>46156.5</v>
      </c>
      <c r="B412" t="s">
        <v>1443</v>
      </c>
      <c r="C412" t="s">
        <v>189</v>
      </c>
      <c r="D412" s="9" t="s">
        <v>1</v>
      </c>
      <c r="E412" t="s">
        <v>189</v>
      </c>
      <c r="F412" t="s">
        <v>1</v>
      </c>
      <c r="G412" t="s">
        <v>1</v>
      </c>
      <c r="H412" t="s">
        <v>66</v>
      </c>
      <c r="I412">
        <v>1</v>
      </c>
      <c r="J412" s="4">
        <v>3.5</v>
      </c>
      <c r="K412" s="4">
        <v>4.38</v>
      </c>
      <c r="L412" s="4">
        <f>K412-J412</f>
      </c>
      <c r="M412" s="4">
        <f>L412*16.67%</f>
      </c>
      <c r="N412" s="4">
        <f>K412/100*11</f>
      </c>
      <c r="O412" s="4">
        <v>8.99</v>
      </c>
      <c r="P412" s="4">
        <v>0</v>
      </c>
      <c r="Q412" s="4">
        <f>P412*20%</f>
      </c>
      <c r="R412" s="4">
        <v>0</v>
      </c>
      <c r="S412" s="4">
        <f>L412-M412-N412-O412-P412-Q412-R412</f>
      </c>
      <c r="T412" s="4">
        <f>(S412-V412)/J412*100</f>
      </c>
      <c r="U412" s="4">
        <f>M412-Q412</f>
      </c>
      <c r="W412" s="4">
        <f>S412-V412</f>
      </c>
      <c r="AB412" t="s">
        <v>1</v>
      </c>
    </row>
    <row r="413" spans="1:28" x14ac:dyDescent="0.25">
      <c r="A413" s="8">
        <v>46156.5</v>
      </c>
      <c r="B413" t="s">
        <v>1444</v>
      </c>
      <c r="C413" t="s">
        <v>254</v>
      </c>
      <c r="D413" s="9" t="s">
        <v>1</v>
      </c>
      <c r="E413" t="s">
        <v>254</v>
      </c>
      <c r="F413" t="s">
        <v>1</v>
      </c>
      <c r="G413" t="s">
        <v>1</v>
      </c>
      <c r="H413" t="s">
        <v>61</v>
      </c>
      <c r="I413">
        <v>2</v>
      </c>
      <c r="J413" s="4">
        <v>1.6</v>
      </c>
      <c r="K413" s="4">
        <v>1.84</v>
      </c>
      <c r="L413" s="4">
        <f>K413-J413</f>
      </c>
      <c r="M413" s="4">
        <f>L413*16.67%</f>
      </c>
      <c r="N413" s="4">
        <f>K413/100*11</f>
      </c>
      <c r="O413" s="4">
        <v>8.99</v>
      </c>
      <c r="P413" s="4">
        <v>0</v>
      </c>
      <c r="Q413" s="4">
        <f>P413*20%</f>
      </c>
      <c r="R413" s="4">
        <v>0</v>
      </c>
      <c r="S413" s="4">
        <f>L413-M413-N413-O413-P413-Q413-R413</f>
      </c>
      <c r="T413" s="4">
        <f>(S413-V413)/J413*100</f>
      </c>
      <c r="U413" s="4">
        <f>M413-Q413</f>
      </c>
      <c r="W413" s="4">
        <f>S413-V413</f>
      </c>
      <c r="AB413" t="s">
        <v>1</v>
      </c>
    </row>
    <row r="414" spans="1:28" x14ac:dyDescent="0.25">
      <c r="A414" s="8">
        <v>46156.5</v>
      </c>
      <c r="B414" t="s">
        <v>1445</v>
      </c>
      <c r="C414" t="s">
        <v>182</v>
      </c>
      <c r="D414" s="9" t="s">
        <v>1</v>
      </c>
      <c r="E414" t="s">
        <v>182</v>
      </c>
      <c r="F414" t="s">
        <v>1</v>
      </c>
      <c r="G414" t="s">
        <v>1</v>
      </c>
      <c r="H414" t="s">
        <v>75</v>
      </c>
      <c r="I414">
        <v>2</v>
      </c>
      <c r="J414" s="4">
        <v>3.8</v>
      </c>
      <c r="K414" s="4">
        <v>4.56</v>
      </c>
      <c r="L414" s="4">
        <f>K414-J414</f>
      </c>
      <c r="M414" s="4">
        <f>L414*16.67%</f>
      </c>
      <c r="N414" s="4">
        <f>K414/100*11</f>
      </c>
      <c r="O414" s="4">
        <v>8.99</v>
      </c>
      <c r="P414" s="4">
        <v>0</v>
      </c>
      <c r="Q414" s="4">
        <f>P414*20%</f>
      </c>
      <c r="R414" s="4">
        <v>0</v>
      </c>
      <c r="S414" s="4">
        <f>L414-M414-N414-O414-P414-Q414-R414</f>
      </c>
      <c r="T414" s="4">
        <f>(S414-V414)/J414*100</f>
      </c>
      <c r="U414" s="4">
        <f>M414-Q414</f>
      </c>
      <c r="W414" s="4">
        <f>S414-V414</f>
      </c>
      <c r="AB414" t="s">
        <v>1</v>
      </c>
    </row>
    <row r="415" spans="1:28" x14ac:dyDescent="0.25">
      <c r="A415" s="8">
        <v>46155.5</v>
      </c>
      <c r="B415" t="s">
        <v>1446</v>
      </c>
      <c r="C415" t="s">
        <v>1</v>
      </c>
      <c r="D415" s="9" t="s">
        <v>1447</v>
      </c>
      <c r="E415" t="s">
        <v>131</v>
      </c>
      <c r="F415" t="s">
        <v>74</v>
      </c>
      <c r="G415" t="s">
        <v>65</v>
      </c>
      <c r="H415" t="s">
        <v>61</v>
      </c>
      <c r="I415">
        <v>1</v>
      </c>
      <c r="J415" s="4">
        <v>336</v>
      </c>
      <c r="K415" s="4">
        <v>467.04</v>
      </c>
      <c r="L415" s="4">
        <f>K415-J415</f>
      </c>
      <c r="M415" s="4">
        <f>L415*16.67%</f>
      </c>
      <c r="N415" s="4">
        <f>K415/100*11</f>
      </c>
      <c r="O415" s="4">
        <v>8.99</v>
      </c>
      <c r="P415" s="4">
        <v>0</v>
      </c>
      <c r="Q415" s="4">
        <f>P415*20%</f>
      </c>
      <c r="R415" s="4">
        <v>1</v>
      </c>
      <c r="S415" s="4">
        <f>L415-M415-N415-O415-P415-Q415-R415</f>
      </c>
      <c r="T415" s="4">
        <f>(S415-V415)/J415*100</f>
      </c>
      <c r="U415" s="4">
        <f>M415-Q415</f>
      </c>
      <c r="W415" s="4">
        <f>S415-V415</f>
      </c>
      <c r="AB415" t="s">
        <v>1</v>
      </c>
    </row>
    <row r="416" spans="1:28" x14ac:dyDescent="0.25">
      <c r="A416" s="8">
        <v>46155.5</v>
      </c>
      <c r="B416" t="s">
        <v>1448</v>
      </c>
      <c r="C416" t="s">
        <v>254</v>
      </c>
      <c r="D416" s="9" t="s">
        <v>1</v>
      </c>
      <c r="E416" t="s">
        <v>254</v>
      </c>
      <c r="F416" t="s">
        <v>1</v>
      </c>
      <c r="G416" t="s">
        <v>1</v>
      </c>
      <c r="H416" t="s">
        <v>61</v>
      </c>
      <c r="I416">
        <v>4</v>
      </c>
      <c r="J416" s="4">
        <v>3.2</v>
      </c>
      <c r="K416" s="4">
        <v>4.19</v>
      </c>
      <c r="L416" s="4">
        <f>K416-J416</f>
      </c>
      <c r="M416" s="4">
        <f>L416*16.67%</f>
      </c>
      <c r="N416" s="4">
        <f>K416/100*11</f>
      </c>
      <c r="O416" s="4">
        <v>8.99</v>
      </c>
      <c r="P416" s="4">
        <v>0</v>
      </c>
      <c r="Q416" s="4">
        <f>P416*20%</f>
      </c>
      <c r="R416" s="4">
        <v>0</v>
      </c>
      <c r="S416" s="4">
        <f>L416-M416-N416-O416-P416-Q416-R416</f>
      </c>
      <c r="T416" s="4">
        <f>(S416-V416)/J416*100</f>
      </c>
      <c r="U416" s="4">
        <f>M416-Q416</f>
      </c>
      <c r="W416" s="4">
        <f>S416-V416</f>
      </c>
      <c r="AB416" t="s">
        <v>1</v>
      </c>
    </row>
    <row r="417" spans="1:28" x14ac:dyDescent="0.25">
      <c r="A417" s="8">
        <v>46154.5</v>
      </c>
      <c r="B417" t="s">
        <v>1449</v>
      </c>
      <c r="C417" t="s">
        <v>1</v>
      </c>
      <c r="D417" s="9" t="s">
        <v>1450</v>
      </c>
      <c r="E417" t="s">
        <v>58</v>
      </c>
      <c r="F417" t="s">
        <v>105</v>
      </c>
      <c r="G417" t="s">
        <v>60</v>
      </c>
      <c r="H417" t="s">
        <v>75</v>
      </c>
      <c r="I417">
        <v>1</v>
      </c>
      <c r="J417" s="4">
        <v>477</v>
      </c>
      <c r="K417" s="4">
        <v>567.63</v>
      </c>
      <c r="L417" s="4">
        <f>K417-J417</f>
      </c>
      <c r="M417" s="4">
        <f>L417*16.67%</f>
      </c>
      <c r="N417" s="4">
        <f>K417/100*11</f>
      </c>
      <c r="O417" s="4">
        <v>8.99</v>
      </c>
      <c r="P417" s="4">
        <v>0</v>
      </c>
      <c r="Q417" s="4">
        <f>P417*20%</f>
      </c>
      <c r="R417" s="4">
        <v>1</v>
      </c>
      <c r="S417" s="4">
        <f>L417-M417-N417-O417-P417-Q417-R417</f>
      </c>
      <c r="T417" s="4">
        <f>(S417-V417)/J417*100</f>
      </c>
      <c r="U417" s="4">
        <f>M417-Q417</f>
      </c>
      <c r="W417" s="4">
        <f>S417-V417</f>
      </c>
      <c r="AB417" t="s">
        <v>1</v>
      </c>
    </row>
    <row r="418" spans="1:28" x14ac:dyDescent="0.25">
      <c r="A418" s="8">
        <v>46154.5</v>
      </c>
      <c r="B418" t="s">
        <v>1451</v>
      </c>
      <c r="C418" t="s">
        <v>1</v>
      </c>
      <c r="D418" s="9" t="s">
        <v>1452</v>
      </c>
      <c r="E418" t="s">
        <v>91</v>
      </c>
      <c r="F418" t="s">
        <v>99</v>
      </c>
      <c r="G418" t="s">
        <v>65</v>
      </c>
      <c r="H418" t="s">
        <v>78</v>
      </c>
      <c r="I418">
        <v>1</v>
      </c>
      <c r="J418" s="4">
        <v>132</v>
      </c>
      <c r="K418" s="4">
        <v>161.04</v>
      </c>
      <c r="L418" s="4">
        <f>K418-J418</f>
      </c>
      <c r="M418" s="4">
        <f>L418*16.67%</f>
      </c>
      <c r="N418" s="4">
        <f>K418/100*11</f>
      </c>
      <c r="O418" s="4">
        <v>8.99</v>
      </c>
      <c r="P418" s="4">
        <v>0</v>
      </c>
      <c r="Q418" s="4">
        <f>P418*20%</f>
      </c>
      <c r="R418" s="4">
        <v>1</v>
      </c>
      <c r="S418" s="4">
        <f>L418-M418-N418-O418-P418-Q418-R418</f>
      </c>
      <c r="T418" s="4">
        <f>(S418-V418)/J418*100</f>
      </c>
      <c r="U418" s="4">
        <f>M418-Q418</f>
      </c>
      <c r="W418" s="4">
        <f>S418-V418</f>
      </c>
      <c r="AB418" t="s">
        <v>1</v>
      </c>
    </row>
    <row r="419" spans="1:28" x14ac:dyDescent="0.25">
      <c r="A419" s="8">
        <v>46153.5</v>
      </c>
      <c r="B419" t="s">
        <v>1453</v>
      </c>
      <c r="C419" t="s">
        <v>1</v>
      </c>
      <c r="D419" s="9" t="s">
        <v>1454</v>
      </c>
      <c r="E419" t="s">
        <v>131</v>
      </c>
      <c r="F419" t="s">
        <v>88</v>
      </c>
      <c r="G419" t="s">
        <v>65</v>
      </c>
      <c r="H419" t="s">
        <v>66</v>
      </c>
      <c r="I419">
        <v>1</v>
      </c>
      <c r="J419" s="4">
        <v>331</v>
      </c>
      <c r="K419" s="4">
        <v>446.85</v>
      </c>
      <c r="L419" s="4">
        <f>K419-J419</f>
      </c>
      <c r="M419" s="4">
        <f>L419*16.67%</f>
      </c>
      <c r="N419" s="4">
        <f>K419/100*11</f>
      </c>
      <c r="O419" s="4">
        <v>8.99</v>
      </c>
      <c r="P419" s="4">
        <v>0</v>
      </c>
      <c r="Q419" s="4">
        <f>P419*20%</f>
      </c>
      <c r="R419" s="4">
        <v>1</v>
      </c>
      <c r="S419" s="4">
        <f>L419-M419-N419-O419-P419-Q419-R419</f>
      </c>
      <c r="T419" s="4">
        <f>(S419-V419)/J419*100</f>
      </c>
      <c r="U419" s="4">
        <f>M419-Q419</f>
      </c>
      <c r="W419" s="4">
        <f>S419-V419</f>
      </c>
      <c r="AB419" t="s">
        <v>1</v>
      </c>
    </row>
    <row r="420" spans="1:28" x14ac:dyDescent="0.25">
      <c r="A420" s="8">
        <v>46153.5</v>
      </c>
      <c r="B420" t="s">
        <v>1455</v>
      </c>
      <c r="C420" t="s">
        <v>1</v>
      </c>
      <c r="D420" s="9" t="s">
        <v>1456</v>
      </c>
      <c r="E420" t="s">
        <v>64</v>
      </c>
      <c r="F420" t="s">
        <v>59</v>
      </c>
      <c r="G420" t="s">
        <v>65</v>
      </c>
      <c r="H420" t="s">
        <v>61</v>
      </c>
      <c r="I420">
        <v>1</v>
      </c>
      <c r="J420" s="4">
        <v>241</v>
      </c>
      <c r="K420" s="4">
        <v>308.48</v>
      </c>
      <c r="L420" s="4">
        <f>K420-J420</f>
      </c>
      <c r="M420" s="4">
        <f>L420*16.67%</f>
      </c>
      <c r="N420" s="4">
        <f>K420/100*11</f>
      </c>
      <c r="O420" s="4">
        <v>8.99</v>
      </c>
      <c r="P420" s="4">
        <v>0</v>
      </c>
      <c r="Q420" s="4">
        <f>P420*20%</f>
      </c>
      <c r="R420" s="4">
        <v>1</v>
      </c>
      <c r="S420" s="4">
        <f>L420-M420-N420-O420-P420-Q420-R420</f>
      </c>
      <c r="T420" s="4">
        <f>(S420-V420)/J420*100</f>
      </c>
      <c r="U420" s="4">
        <f>M420-Q420</f>
      </c>
      <c r="W420" s="4">
        <f>S420-V420</f>
      </c>
      <c r="AB420" t="s">
        <v>1</v>
      </c>
    </row>
    <row r="421" spans="1:28" x14ac:dyDescent="0.25">
      <c r="A421" s="8">
        <v>46153.5</v>
      </c>
      <c r="B421" t="s">
        <v>1457</v>
      </c>
      <c r="C421" t="s">
        <v>174</v>
      </c>
      <c r="D421" s="9" t="s">
        <v>1</v>
      </c>
      <c r="E421" t="s">
        <v>174</v>
      </c>
      <c r="F421" t="s">
        <v>1</v>
      </c>
      <c r="G421" t="s">
        <v>1</v>
      </c>
      <c r="H421" t="s">
        <v>66</v>
      </c>
      <c r="I421">
        <v>1</v>
      </c>
      <c r="J421" s="4">
        <v>4.25</v>
      </c>
      <c r="K421" s="4">
        <v>4.93</v>
      </c>
      <c r="L421" s="4">
        <f>K421-J421</f>
      </c>
      <c r="M421" s="4">
        <f>L421*16.67%</f>
      </c>
      <c r="N421" s="4">
        <f>K421/100*11</f>
      </c>
      <c r="O421" s="4">
        <v>8.99</v>
      </c>
      <c r="P421" s="4">
        <v>0</v>
      </c>
      <c r="Q421" s="4">
        <f>P421*20%</f>
      </c>
      <c r="R421" s="4">
        <v>0</v>
      </c>
      <c r="S421" s="4">
        <f>L421-M421-N421-O421-P421-Q421-R421</f>
      </c>
      <c r="T421" s="4">
        <f>(S421-V421)/J421*100</f>
      </c>
      <c r="U421" s="4">
        <f>M421-Q421</f>
      </c>
      <c r="W421" s="4">
        <f>S421-V421</f>
      </c>
      <c r="AB421" t="s">
        <v>1</v>
      </c>
    </row>
    <row r="422" spans="1:28" x14ac:dyDescent="0.25">
      <c r="A422" s="8">
        <v>46152.5</v>
      </c>
      <c r="B422" t="s">
        <v>1458</v>
      </c>
      <c r="C422" t="s">
        <v>1</v>
      </c>
      <c r="D422" s="9" t="s">
        <v>1459</v>
      </c>
      <c r="E422" t="s">
        <v>91</v>
      </c>
      <c r="F422" t="s">
        <v>105</v>
      </c>
      <c r="G422" t="s">
        <v>65</v>
      </c>
      <c r="H422" t="s">
        <v>75</v>
      </c>
      <c r="I422">
        <v>1</v>
      </c>
      <c r="J422" s="4">
        <v>133</v>
      </c>
      <c r="K422" s="4">
        <v>160.93</v>
      </c>
      <c r="L422" s="4">
        <f>K422-J422</f>
      </c>
      <c r="M422" s="4">
        <f>L422*16.67%</f>
      </c>
      <c r="N422" s="4">
        <f>K422/100*11</f>
      </c>
      <c r="O422" s="4">
        <v>8.99</v>
      </c>
      <c r="P422" s="4">
        <v>0</v>
      </c>
      <c r="Q422" s="4">
        <f>P422*20%</f>
      </c>
      <c r="R422" s="4">
        <v>1</v>
      </c>
      <c r="S422" s="4">
        <f>L422-M422-N422-O422-P422-Q422-R422</f>
      </c>
      <c r="T422" s="4">
        <f>(S422-V422)/J422*100</f>
      </c>
      <c r="U422" s="4">
        <f>M422-Q422</f>
      </c>
      <c r="W422" s="4">
        <f>S422-V422</f>
      </c>
      <c r="AB422" t="s">
        <v>1</v>
      </c>
    </row>
    <row r="423" spans="1:28" x14ac:dyDescent="0.25">
      <c r="A423" s="8">
        <v>46152.5</v>
      </c>
      <c r="B423" t="s">
        <v>1460</v>
      </c>
      <c r="C423" t="s">
        <v>254</v>
      </c>
      <c r="D423" s="9" t="s">
        <v>1</v>
      </c>
      <c r="E423" t="s">
        <v>254</v>
      </c>
      <c r="F423" t="s">
        <v>1</v>
      </c>
      <c r="G423" t="s">
        <v>1</v>
      </c>
      <c r="H423" t="s">
        <v>61</v>
      </c>
      <c r="I423">
        <v>1</v>
      </c>
      <c r="J423" s="4">
        <v>0.8</v>
      </c>
      <c r="K423" s="4">
        <v>1.09</v>
      </c>
      <c r="L423" s="4">
        <f>K423-J423</f>
      </c>
      <c r="M423" s="4">
        <f>L423*16.67%</f>
      </c>
      <c r="N423" s="4">
        <f>K423/100*11</f>
      </c>
      <c r="O423" s="4">
        <v>8.99</v>
      </c>
      <c r="P423" s="4">
        <v>0</v>
      </c>
      <c r="Q423" s="4">
        <f>P423*20%</f>
      </c>
      <c r="R423" s="4">
        <v>0</v>
      </c>
      <c r="S423" s="4">
        <f>L423-M423-N423-O423-P423-Q423-R423</f>
      </c>
      <c r="T423" s="4">
        <f>(S423-V423)/J423*100</f>
      </c>
      <c r="U423" s="4">
        <f>M423-Q423</f>
      </c>
      <c r="W423" s="4">
        <f>S423-V423</f>
      </c>
      <c r="AB423" t="s">
        <v>1</v>
      </c>
    </row>
    <row r="424" spans="1:28" x14ac:dyDescent="0.25">
      <c r="A424" s="8">
        <v>46151.5</v>
      </c>
      <c r="B424" t="s">
        <v>1461</v>
      </c>
      <c r="C424" t="s">
        <v>1</v>
      </c>
      <c r="D424" s="9" t="s">
        <v>1462</v>
      </c>
      <c r="E424" t="s">
        <v>84</v>
      </c>
      <c r="F424" t="s">
        <v>99</v>
      </c>
      <c r="G424" t="s">
        <v>60</v>
      </c>
      <c r="H424" t="s">
        <v>75</v>
      </c>
      <c r="I424">
        <v>1</v>
      </c>
      <c r="J424" s="4">
        <v>765</v>
      </c>
      <c r="K424" s="4">
        <v>1055.7</v>
      </c>
      <c r="L424" s="4">
        <f>K424-J424</f>
      </c>
      <c r="M424" s="4">
        <f>L424*16.67%</f>
      </c>
      <c r="N424" s="4">
        <f>K424/100*11</f>
      </c>
      <c r="O424" s="4">
        <v>8.99</v>
      </c>
      <c r="P424" s="4">
        <v>0</v>
      </c>
      <c r="Q424" s="4">
        <f>P424*20%</f>
      </c>
      <c r="R424" s="4">
        <v>1</v>
      </c>
      <c r="S424" s="4">
        <f>L424-M424-N424-O424-P424-Q424-R424</f>
      </c>
      <c r="T424" s="4">
        <f>(S424-V424)/J424*100</f>
      </c>
      <c r="U424" s="4">
        <f>M424-Q424</f>
      </c>
      <c r="W424" s="4">
        <f>S424-V424</f>
      </c>
      <c r="AB424" t="s">
        <v>1</v>
      </c>
    </row>
    <row r="425" spans="1:28" x14ac:dyDescent="0.25">
      <c r="A425" s="8">
        <v>46151.5</v>
      </c>
      <c r="B425" t="s">
        <v>1463</v>
      </c>
      <c r="C425" t="s">
        <v>189</v>
      </c>
      <c r="D425" s="9" t="s">
        <v>1</v>
      </c>
      <c r="E425" t="s">
        <v>189</v>
      </c>
      <c r="F425" t="s">
        <v>1</v>
      </c>
      <c r="G425" t="s">
        <v>1</v>
      </c>
      <c r="H425" t="s">
        <v>66</v>
      </c>
      <c r="I425">
        <v>1</v>
      </c>
      <c r="J425" s="4">
        <v>3.5</v>
      </c>
      <c r="K425" s="4">
        <v>4.97</v>
      </c>
      <c r="L425" s="4">
        <f>K425-J425</f>
      </c>
      <c r="M425" s="4">
        <f>L425*16.67%</f>
      </c>
      <c r="N425" s="4">
        <f>K425/100*11</f>
      </c>
      <c r="O425" s="4">
        <v>8.99</v>
      </c>
      <c r="P425" s="4">
        <v>0</v>
      </c>
      <c r="Q425" s="4">
        <f>P425*20%</f>
      </c>
      <c r="R425" s="4">
        <v>0</v>
      </c>
      <c r="S425" s="4">
        <f>L425-M425-N425-O425-P425-Q425-R425</f>
      </c>
      <c r="T425" s="4">
        <f>(S425-V425)/J425*100</f>
      </c>
      <c r="U425" s="4">
        <f>M425-Q425</f>
      </c>
      <c r="W425" s="4">
        <f>S425-V425</f>
      </c>
      <c r="AB425" t="s">
        <v>1</v>
      </c>
    </row>
    <row r="426" spans="1:28" x14ac:dyDescent="0.25">
      <c r="A426" s="8">
        <v>46151.5</v>
      </c>
      <c r="B426" t="s">
        <v>1464</v>
      </c>
      <c r="C426" t="s">
        <v>189</v>
      </c>
      <c r="D426" s="9" t="s">
        <v>1</v>
      </c>
      <c r="E426" t="s">
        <v>189</v>
      </c>
      <c r="F426" t="s">
        <v>1</v>
      </c>
      <c r="G426" t="s">
        <v>1</v>
      </c>
      <c r="H426" t="s">
        <v>66</v>
      </c>
      <c r="I426">
        <v>2</v>
      </c>
      <c r="J426" s="4">
        <v>7</v>
      </c>
      <c r="K426" s="4">
        <v>9.87</v>
      </c>
      <c r="L426" s="4">
        <f>K426-J426</f>
      </c>
      <c r="M426" s="4">
        <f>L426*16.67%</f>
      </c>
      <c r="N426" s="4">
        <f>K426/100*11</f>
      </c>
      <c r="O426" s="4">
        <v>8.99</v>
      </c>
      <c r="P426" s="4">
        <v>0</v>
      </c>
      <c r="Q426" s="4">
        <f>P426*20%</f>
      </c>
      <c r="R426" s="4">
        <v>0</v>
      </c>
      <c r="S426" s="4">
        <f>L426-M426-N426-O426-P426-Q426-R426</f>
      </c>
      <c r="T426" s="4">
        <f>(S426-V426)/J426*100</f>
      </c>
      <c r="U426" s="4">
        <f>M426-Q426</f>
      </c>
      <c r="W426" s="4">
        <f>S426-V426</f>
      </c>
      <c r="AB426" t="s">
        <v>1</v>
      </c>
    </row>
    <row r="427" spans="1:28" x14ac:dyDescent="0.25">
      <c r="A427" s="8">
        <v>46151.5</v>
      </c>
      <c r="B427" t="s">
        <v>1465</v>
      </c>
      <c r="C427" t="s">
        <v>182</v>
      </c>
      <c r="D427" s="9" t="s">
        <v>1</v>
      </c>
      <c r="E427" t="s">
        <v>182</v>
      </c>
      <c r="F427" t="s">
        <v>1</v>
      </c>
      <c r="G427" t="s">
        <v>1</v>
      </c>
      <c r="H427" t="s">
        <v>75</v>
      </c>
      <c r="I427">
        <v>4</v>
      </c>
      <c r="J427" s="4">
        <v>7.6</v>
      </c>
      <c r="K427" s="4">
        <v>9.8</v>
      </c>
      <c r="L427" s="4">
        <f>K427-J427</f>
      </c>
      <c r="M427" s="4">
        <f>L427*16.67%</f>
      </c>
      <c r="N427" s="4">
        <f>K427/100*11</f>
      </c>
      <c r="O427" s="4">
        <v>8.99</v>
      </c>
      <c r="P427" s="4">
        <v>0</v>
      </c>
      <c r="Q427" s="4">
        <f>P427*20%</f>
      </c>
      <c r="R427" s="4">
        <v>0</v>
      </c>
      <c r="S427" s="4">
        <f>L427-M427-N427-O427-P427-Q427-R427</f>
      </c>
      <c r="T427" s="4">
        <f>(S427-V427)/J427*100</f>
      </c>
      <c r="U427" s="4">
        <f>M427-Q427</f>
      </c>
      <c r="W427" s="4">
        <f>S427-V427</f>
      </c>
      <c r="AB427" t="s">
        <v>1</v>
      </c>
    </row>
    <row r="428" spans="1:28" x14ac:dyDescent="0.25">
      <c r="A428" s="8">
        <v>46151.5</v>
      </c>
      <c r="B428" t="s">
        <v>1466</v>
      </c>
      <c r="C428" t="s">
        <v>185</v>
      </c>
      <c r="D428" s="9" t="s">
        <v>1</v>
      </c>
      <c r="E428" t="s">
        <v>185</v>
      </c>
      <c r="F428" t="s">
        <v>1</v>
      </c>
      <c r="G428" t="s">
        <v>1</v>
      </c>
      <c r="H428" t="s">
        <v>102</v>
      </c>
      <c r="I428">
        <v>1</v>
      </c>
      <c r="J428" s="4">
        <v>1.2</v>
      </c>
      <c r="K428" s="4">
        <v>1.58</v>
      </c>
      <c r="L428" s="4">
        <f>K428-J428</f>
      </c>
      <c r="M428" s="4">
        <f>L428*16.67%</f>
      </c>
      <c r="N428" s="4">
        <f>K428/100*11</f>
      </c>
      <c r="O428" s="4">
        <v>8.99</v>
      </c>
      <c r="P428" s="4">
        <v>0</v>
      </c>
      <c r="Q428" s="4">
        <f>P428*20%</f>
      </c>
      <c r="R428" s="4">
        <v>0</v>
      </c>
      <c r="S428" s="4">
        <f>L428-M428-N428-O428-P428-Q428-R428</f>
      </c>
      <c r="T428" s="4">
        <f>(S428-V428)/J428*100</f>
      </c>
      <c r="U428" s="4">
        <f>M428-Q428</f>
      </c>
      <c r="W428" s="4">
        <f>S428-V428</f>
      </c>
      <c r="AB428" t="s">
        <v>1</v>
      </c>
    </row>
    <row r="429" spans="1:28" x14ac:dyDescent="0.25">
      <c r="A429" s="8">
        <v>46150.5</v>
      </c>
      <c r="B429" t="s">
        <v>1467</v>
      </c>
      <c r="C429" t="s">
        <v>1</v>
      </c>
      <c r="D429" s="9" t="s">
        <v>1468</v>
      </c>
      <c r="E429" t="s">
        <v>98</v>
      </c>
      <c r="F429" t="s">
        <v>70</v>
      </c>
      <c r="G429" t="s">
        <v>60</v>
      </c>
      <c r="H429" t="s">
        <v>78</v>
      </c>
      <c r="I429">
        <v>1</v>
      </c>
      <c r="J429" s="4">
        <v>299</v>
      </c>
      <c r="K429" s="4">
        <v>394.68</v>
      </c>
      <c r="L429" s="4">
        <f>K429-J429</f>
      </c>
      <c r="M429" s="4">
        <f>L429*16.67%</f>
      </c>
      <c r="N429" s="4">
        <f>K429/100*11</f>
      </c>
      <c r="O429" s="4">
        <v>8.99</v>
      </c>
      <c r="P429" s="4">
        <v>0</v>
      </c>
      <c r="Q429" s="4">
        <f>P429*20%</f>
      </c>
      <c r="R429" s="4">
        <v>1</v>
      </c>
      <c r="S429" s="4">
        <f>L429-M429-N429-O429-P429-Q429-R429</f>
      </c>
      <c r="T429" s="4">
        <f>(S429-V429)/J429*100</f>
      </c>
      <c r="U429" s="4">
        <f>M429-Q429</f>
      </c>
      <c r="W429" s="4">
        <f>S429-V429</f>
      </c>
      <c r="AB429" t="s">
        <v>1</v>
      </c>
    </row>
    <row r="430" spans="1:28" x14ac:dyDescent="0.25">
      <c r="A430" s="8">
        <v>46149.5</v>
      </c>
      <c r="B430" t="s">
        <v>1469</v>
      </c>
      <c r="C430" t="s">
        <v>185</v>
      </c>
      <c r="D430" s="9" t="s">
        <v>1</v>
      </c>
      <c r="E430" t="s">
        <v>185</v>
      </c>
      <c r="F430" t="s">
        <v>1</v>
      </c>
      <c r="G430" t="s">
        <v>1</v>
      </c>
      <c r="H430" t="s">
        <v>102</v>
      </c>
      <c r="I430">
        <v>2</v>
      </c>
      <c r="J430" s="4">
        <v>2.4</v>
      </c>
      <c r="K430" s="4">
        <v>3</v>
      </c>
      <c r="L430" s="4">
        <f>K430-J430</f>
      </c>
      <c r="M430" s="4">
        <f>L430*16.67%</f>
      </c>
      <c r="N430" s="4">
        <f>K430/100*11</f>
      </c>
      <c r="O430" s="4">
        <v>8.99</v>
      </c>
      <c r="P430" s="4">
        <v>0</v>
      </c>
      <c r="Q430" s="4">
        <f>P430*20%</f>
      </c>
      <c r="R430" s="4">
        <v>0</v>
      </c>
      <c r="S430" s="4">
        <f>L430-M430-N430-O430-P430-Q430-R430</f>
      </c>
      <c r="T430" s="4">
        <f>(S430-V430)/J430*100</f>
      </c>
      <c r="U430" s="4">
        <f>M430-Q430</f>
      </c>
      <c r="W430" s="4">
        <f>S430-V430</f>
      </c>
      <c r="AB430" t="s">
        <v>1</v>
      </c>
    </row>
    <row r="431" spans="1:28" x14ac:dyDescent="0.25">
      <c r="A431" s="8">
        <v>46148.5</v>
      </c>
      <c r="B431" t="s">
        <v>1470</v>
      </c>
      <c r="C431" t="s">
        <v>185</v>
      </c>
      <c r="D431" s="9" t="s">
        <v>1</v>
      </c>
      <c r="E431" t="s">
        <v>185</v>
      </c>
      <c r="F431" t="s">
        <v>1</v>
      </c>
      <c r="G431" t="s">
        <v>1</v>
      </c>
      <c r="H431" t="s">
        <v>102</v>
      </c>
      <c r="I431">
        <v>1</v>
      </c>
      <c r="J431" s="4">
        <v>1.2</v>
      </c>
      <c r="K431" s="4">
        <v>1.73</v>
      </c>
      <c r="L431" s="4">
        <f>K431-J431</f>
      </c>
      <c r="M431" s="4">
        <f>L431*16.67%</f>
      </c>
      <c r="N431" s="4">
        <f>K431/100*11</f>
      </c>
      <c r="O431" s="4">
        <v>8.99</v>
      </c>
      <c r="P431" s="4">
        <v>0</v>
      </c>
      <c r="Q431" s="4">
        <f>P431*20%</f>
      </c>
      <c r="R431" s="4">
        <v>0</v>
      </c>
      <c r="S431" s="4">
        <f>L431-M431-N431-O431-P431-Q431-R431</f>
      </c>
      <c r="T431" s="4">
        <f>(S431-V431)/J431*100</f>
      </c>
      <c r="U431" s="4">
        <f>M431-Q431</f>
      </c>
      <c r="W431" s="4">
        <f>S431-V431</f>
      </c>
      <c r="AB431" t="s">
        <v>1</v>
      </c>
    </row>
    <row r="432" spans="1:28" x14ac:dyDescent="0.25">
      <c r="A432" s="8">
        <v>46148.5</v>
      </c>
      <c r="B432" t="s">
        <v>1471</v>
      </c>
      <c r="C432" t="s">
        <v>185</v>
      </c>
      <c r="D432" s="9" t="s">
        <v>1</v>
      </c>
      <c r="E432" t="s">
        <v>185</v>
      </c>
      <c r="F432" t="s">
        <v>1</v>
      </c>
      <c r="G432" t="s">
        <v>1</v>
      </c>
      <c r="H432" t="s">
        <v>102</v>
      </c>
      <c r="I432">
        <v>1</v>
      </c>
      <c r="J432" s="4">
        <v>1.2</v>
      </c>
      <c r="K432" s="4">
        <v>1.74</v>
      </c>
      <c r="L432" s="4">
        <f>K432-J432</f>
      </c>
      <c r="M432" s="4">
        <f>L432*16.67%</f>
      </c>
      <c r="N432" s="4">
        <f>K432/100*11</f>
      </c>
      <c r="O432" s="4">
        <v>8.99</v>
      </c>
      <c r="P432" s="4">
        <v>0</v>
      </c>
      <c r="Q432" s="4">
        <f>P432*20%</f>
      </c>
      <c r="R432" s="4">
        <v>0</v>
      </c>
      <c r="S432" s="4">
        <f>L432-M432-N432-O432-P432-Q432-R432</f>
      </c>
      <c r="T432" s="4">
        <f>(S432-V432)/J432*100</f>
      </c>
      <c r="U432" s="4">
        <f>M432-Q432</f>
      </c>
      <c r="W432" s="4">
        <f>S432-V432</f>
      </c>
      <c r="AB432" t="s">
        <v>1</v>
      </c>
    </row>
    <row r="433" spans="1:28" x14ac:dyDescent="0.25">
      <c r="A433" s="8">
        <v>46148.5</v>
      </c>
      <c r="B433" t="s">
        <v>1472</v>
      </c>
      <c r="C433" t="s">
        <v>185</v>
      </c>
      <c r="D433" s="9" t="s">
        <v>1</v>
      </c>
      <c r="E433" t="s">
        <v>185</v>
      </c>
      <c r="F433" t="s">
        <v>1</v>
      </c>
      <c r="G433" t="s">
        <v>1</v>
      </c>
      <c r="H433" t="s">
        <v>102</v>
      </c>
      <c r="I433">
        <v>1</v>
      </c>
      <c r="J433" s="4">
        <v>1.2</v>
      </c>
      <c r="K433" s="4">
        <v>1.48</v>
      </c>
      <c r="L433" s="4">
        <f>K433-J433</f>
      </c>
      <c r="M433" s="4">
        <f>L433*16.67%</f>
      </c>
      <c r="N433" s="4">
        <f>K433/100*11</f>
      </c>
      <c r="O433" s="4">
        <v>8.99</v>
      </c>
      <c r="P433" s="4">
        <v>0</v>
      </c>
      <c r="Q433" s="4">
        <f>P433*20%</f>
      </c>
      <c r="R433" s="4">
        <v>0</v>
      </c>
      <c r="S433" s="4">
        <f>L433-M433-N433-O433-P433-Q433-R433</f>
      </c>
      <c r="T433" s="4">
        <f>(S433-V433)/J433*100</f>
      </c>
      <c r="U433" s="4">
        <f>M433-Q433</f>
      </c>
      <c r="W433" s="4">
        <f>S433-V433</f>
      </c>
      <c r="AB433" t="s">
        <v>1</v>
      </c>
    </row>
    <row r="434" spans="1:28" x14ac:dyDescent="0.25">
      <c r="A434" s="8">
        <v>46147.5</v>
      </c>
      <c r="B434" t="s">
        <v>1473</v>
      </c>
      <c r="C434" t="s">
        <v>189</v>
      </c>
      <c r="D434" s="9" t="s">
        <v>1</v>
      </c>
      <c r="E434" t="s">
        <v>189</v>
      </c>
      <c r="F434" t="s">
        <v>1</v>
      </c>
      <c r="G434" t="s">
        <v>1</v>
      </c>
      <c r="H434" t="s">
        <v>66</v>
      </c>
      <c r="I434">
        <v>3</v>
      </c>
      <c r="J434" s="4">
        <v>10.5</v>
      </c>
      <c r="K434" s="4">
        <v>12.91</v>
      </c>
      <c r="L434" s="4">
        <f>K434-J434</f>
      </c>
      <c r="M434" s="4">
        <f>L434*16.67%</f>
      </c>
      <c r="N434" s="4">
        <f>K434/100*11</f>
      </c>
      <c r="O434" s="4">
        <v>8.99</v>
      </c>
      <c r="P434" s="4">
        <v>0</v>
      </c>
      <c r="Q434" s="4">
        <f>P434*20%</f>
      </c>
      <c r="R434" s="4">
        <v>0</v>
      </c>
      <c r="S434" s="4">
        <f>L434-M434-N434-O434-P434-Q434-R434</f>
      </c>
      <c r="T434" s="4">
        <f>(S434-V434)/J434*100</f>
      </c>
      <c r="U434" s="4">
        <f>M434-Q434</f>
      </c>
      <c r="W434" s="4">
        <f>S434-V434</f>
      </c>
      <c r="AB434" t="s">
        <v>1</v>
      </c>
    </row>
    <row r="435" spans="1:28" x14ac:dyDescent="0.25">
      <c r="A435" s="8">
        <v>46146.5</v>
      </c>
      <c r="B435" t="s">
        <v>1474</v>
      </c>
      <c r="C435" t="s">
        <v>1</v>
      </c>
      <c r="D435" s="9" t="s">
        <v>1475</v>
      </c>
      <c r="E435" t="s">
        <v>84</v>
      </c>
      <c r="F435" t="s">
        <v>105</v>
      </c>
      <c r="G435" t="s">
        <v>60</v>
      </c>
      <c r="H435" t="s">
        <v>75</v>
      </c>
      <c r="I435">
        <v>1</v>
      </c>
      <c r="J435" s="4">
        <v>769</v>
      </c>
      <c r="K435" s="4">
        <v>1030.46</v>
      </c>
      <c r="L435" s="4">
        <f>K435-J435</f>
      </c>
      <c r="M435" s="4">
        <f>L435*16.67%</f>
      </c>
      <c r="N435" s="4">
        <f>K435/100*11</f>
      </c>
      <c r="O435" s="4">
        <v>8.99</v>
      </c>
      <c r="P435" s="4">
        <v>0</v>
      </c>
      <c r="Q435" s="4">
        <f>P435*20%</f>
      </c>
      <c r="R435" s="4">
        <v>1</v>
      </c>
      <c r="S435" s="4">
        <f>L435-M435-N435-O435-P435-Q435-R435</f>
      </c>
      <c r="T435" s="4">
        <f>(S435-V435)/J435*100</f>
      </c>
      <c r="U435" s="4">
        <f>M435-Q435</f>
      </c>
      <c r="W435" s="4">
        <f>S435-V435</f>
      </c>
      <c r="AB435" t="s">
        <v>1</v>
      </c>
    </row>
    <row r="436" spans="1:28" x14ac:dyDescent="0.25">
      <c r="A436" s="8">
        <v>46146.5</v>
      </c>
      <c r="B436" t="s">
        <v>1476</v>
      </c>
      <c r="C436" t="s">
        <v>1</v>
      </c>
      <c r="D436" s="9" t="s">
        <v>1477</v>
      </c>
      <c r="E436" t="s">
        <v>58</v>
      </c>
      <c r="F436" t="s">
        <v>70</v>
      </c>
      <c r="G436" t="s">
        <v>60</v>
      </c>
      <c r="H436" t="s">
        <v>61</v>
      </c>
      <c r="I436">
        <v>1</v>
      </c>
      <c r="J436" s="4">
        <v>472</v>
      </c>
      <c r="K436" s="4">
        <v>594.72</v>
      </c>
      <c r="L436" s="4">
        <f>K436-J436</f>
      </c>
      <c r="M436" s="4">
        <f>L436*16.67%</f>
      </c>
      <c r="N436" s="4">
        <f>K436/100*11</f>
      </c>
      <c r="O436" s="4">
        <v>8.99</v>
      </c>
      <c r="P436" s="4">
        <v>0</v>
      </c>
      <c r="Q436" s="4">
        <f>P436*20%</f>
      </c>
      <c r="R436" s="4">
        <v>1</v>
      </c>
      <c r="S436" s="4">
        <f>L436-M436-N436-O436-P436-Q436-R436</f>
      </c>
      <c r="T436" s="4">
        <f>(S436-V436)/J436*100</f>
      </c>
      <c r="U436" s="4">
        <f>M436-Q436</f>
      </c>
      <c r="W436" s="4">
        <f>S436-V436</f>
      </c>
      <c r="AB436" t="s">
        <v>1</v>
      </c>
    </row>
    <row r="437" spans="1:28" x14ac:dyDescent="0.25">
      <c r="A437" s="8">
        <v>46145.5</v>
      </c>
      <c r="B437" t="s">
        <v>1478</v>
      </c>
      <c r="C437" t="s">
        <v>177</v>
      </c>
      <c r="D437" s="9" t="s">
        <v>1</v>
      </c>
      <c r="E437" t="s">
        <v>177</v>
      </c>
      <c r="F437" t="s">
        <v>1</v>
      </c>
      <c r="G437" t="s">
        <v>1</v>
      </c>
      <c r="H437" t="s">
        <v>78</v>
      </c>
      <c r="I437">
        <v>1</v>
      </c>
      <c r="J437" s="4">
        <v>0.15</v>
      </c>
      <c r="K437" s="4">
        <v>0.2</v>
      </c>
      <c r="L437" s="4">
        <f>K437-J437</f>
      </c>
      <c r="M437" s="4">
        <f>L437*16.67%</f>
      </c>
      <c r="N437" s="4">
        <f>K437/100*11</f>
      </c>
      <c r="O437" s="4">
        <v>8.99</v>
      </c>
      <c r="P437" s="4">
        <v>0</v>
      </c>
      <c r="Q437" s="4">
        <f>P437*20%</f>
      </c>
      <c r="R437" s="4">
        <v>0</v>
      </c>
      <c r="S437" s="4">
        <f>L437-M437-N437-O437-P437-Q437-R437</f>
      </c>
      <c r="T437" s="4">
        <f>(S437-V437)/J437*100</f>
      </c>
      <c r="U437" s="4">
        <f>M437-Q437</f>
      </c>
      <c r="W437" s="4">
        <f>S437-V437</f>
      </c>
      <c r="AB437" t="s">
        <v>1</v>
      </c>
    </row>
    <row r="438" spans="1:28" x14ac:dyDescent="0.25">
      <c r="A438" s="8">
        <v>46145.5</v>
      </c>
      <c r="B438" t="s">
        <v>1479</v>
      </c>
      <c r="C438" t="s">
        <v>177</v>
      </c>
      <c r="D438" s="9" t="s">
        <v>1</v>
      </c>
      <c r="E438" t="s">
        <v>177</v>
      </c>
      <c r="F438" t="s">
        <v>1</v>
      </c>
      <c r="G438" t="s">
        <v>1</v>
      </c>
      <c r="H438" t="s">
        <v>78</v>
      </c>
      <c r="I438">
        <v>4</v>
      </c>
      <c r="J438" s="4">
        <v>0.6</v>
      </c>
      <c r="K438" s="4">
        <v>0.76</v>
      </c>
      <c r="L438" s="4">
        <f>K438-J438</f>
      </c>
      <c r="M438" s="4">
        <f>L438*16.67%</f>
      </c>
      <c r="N438" s="4">
        <f>K438/100*11</f>
      </c>
      <c r="O438" s="4">
        <v>8.99</v>
      </c>
      <c r="P438" s="4">
        <v>0</v>
      </c>
      <c r="Q438" s="4">
        <f>P438*20%</f>
      </c>
      <c r="R438" s="4">
        <v>0</v>
      </c>
      <c r="S438" s="4">
        <f>L438-M438-N438-O438-P438-Q438-R438</f>
      </c>
      <c r="T438" s="4">
        <f>(S438-V438)/J438*100</f>
      </c>
      <c r="U438" s="4">
        <f>M438-Q438</f>
      </c>
      <c r="W438" s="4">
        <f>S438-V438</f>
      </c>
      <c r="AB438" t="s">
        <v>1</v>
      </c>
    </row>
    <row r="439" spans="1:28" x14ac:dyDescent="0.25">
      <c r="A439" s="8">
        <v>46144.5</v>
      </c>
      <c r="B439" t="s">
        <v>1480</v>
      </c>
      <c r="C439" t="s">
        <v>1</v>
      </c>
      <c r="D439" s="9" t="s">
        <v>1481</v>
      </c>
      <c r="E439" t="s">
        <v>139</v>
      </c>
      <c r="F439" t="s">
        <v>105</v>
      </c>
      <c r="G439" t="s">
        <v>65</v>
      </c>
      <c r="H439" t="s">
        <v>66</v>
      </c>
      <c r="I439">
        <v>1</v>
      </c>
      <c r="J439" s="4">
        <v>313</v>
      </c>
      <c r="K439" s="4">
        <v>363.08</v>
      </c>
      <c r="L439" s="4">
        <f>K439-J439</f>
      </c>
      <c r="M439" s="4">
        <f>L439*16.67%</f>
      </c>
      <c r="N439" s="4">
        <f>K439/100*11</f>
      </c>
      <c r="O439" s="4">
        <v>8.99</v>
      </c>
      <c r="P439" s="4">
        <v>0</v>
      </c>
      <c r="Q439" s="4">
        <f>P439*20%</f>
      </c>
      <c r="R439" s="4">
        <v>1</v>
      </c>
      <c r="S439" s="4">
        <f>L439-M439-N439-O439-P439-Q439-R439</f>
      </c>
      <c r="T439" s="4">
        <f>(S439-V439)/J439*100</f>
      </c>
      <c r="U439" s="4">
        <f>M439-Q439</f>
      </c>
      <c r="W439" s="4">
        <f>S439-V439</f>
      </c>
      <c r="AB439" t="s">
        <v>1</v>
      </c>
    </row>
    <row r="440" spans="1:28" x14ac:dyDescent="0.25">
      <c r="A440" s="8">
        <v>46144.5</v>
      </c>
      <c r="B440" t="s">
        <v>1482</v>
      </c>
      <c r="C440" t="s">
        <v>174</v>
      </c>
      <c r="D440" s="9" t="s">
        <v>1</v>
      </c>
      <c r="E440" t="s">
        <v>174</v>
      </c>
      <c r="F440" t="s">
        <v>1</v>
      </c>
      <c r="G440" t="s">
        <v>1</v>
      </c>
      <c r="H440" t="s">
        <v>66</v>
      </c>
      <c r="I440">
        <v>2</v>
      </c>
      <c r="J440" s="4">
        <v>8.5</v>
      </c>
      <c r="K440" s="4">
        <v>9.77</v>
      </c>
      <c r="L440" s="4">
        <f>K440-J440</f>
      </c>
      <c r="M440" s="4">
        <f>L440*16.67%</f>
      </c>
      <c r="N440" s="4">
        <f>K440/100*11</f>
      </c>
      <c r="O440" s="4">
        <v>8.99</v>
      </c>
      <c r="P440" s="4">
        <v>0</v>
      </c>
      <c r="Q440" s="4">
        <f>P440*20%</f>
      </c>
      <c r="R440" s="4">
        <v>0</v>
      </c>
      <c r="S440" s="4">
        <f>L440-M440-N440-O440-P440-Q440-R440</f>
      </c>
      <c r="T440" s="4">
        <f>(S440-V440)/J440*100</f>
      </c>
      <c r="U440" s="4">
        <f>M440-Q440</f>
      </c>
      <c r="W440" s="4">
        <f>S440-V440</f>
      </c>
      <c r="AB440" t="s">
        <v>1</v>
      </c>
    </row>
    <row r="441" spans="1:28" x14ac:dyDescent="0.25">
      <c r="A441" s="8">
        <v>46144.5</v>
      </c>
      <c r="B441" t="s">
        <v>1483</v>
      </c>
      <c r="C441" t="s">
        <v>182</v>
      </c>
      <c r="D441" s="9" t="s">
        <v>1</v>
      </c>
      <c r="E441" t="s">
        <v>182</v>
      </c>
      <c r="F441" t="s">
        <v>1</v>
      </c>
      <c r="G441" t="s">
        <v>1</v>
      </c>
      <c r="H441" t="s">
        <v>75</v>
      </c>
      <c r="I441">
        <v>2</v>
      </c>
      <c r="J441" s="4">
        <v>3.8</v>
      </c>
      <c r="K441" s="4">
        <v>4.98</v>
      </c>
      <c r="L441" s="4">
        <f>K441-J441</f>
      </c>
      <c r="M441" s="4">
        <f>L441*16.67%</f>
      </c>
      <c r="N441" s="4">
        <f>K441/100*11</f>
      </c>
      <c r="O441" s="4">
        <v>8.99</v>
      </c>
      <c r="P441" s="4">
        <v>0</v>
      </c>
      <c r="Q441" s="4">
        <f>P441*20%</f>
      </c>
      <c r="R441" s="4">
        <v>0</v>
      </c>
      <c r="S441" s="4">
        <f>L441-M441-N441-O441-P441-Q441-R441</f>
      </c>
      <c r="T441" s="4">
        <f>(S441-V441)/J441*100</f>
      </c>
      <c r="U441" s="4">
        <f>M441-Q441</f>
      </c>
      <c r="W441" s="4">
        <f>S441-V441</f>
      </c>
      <c r="AB441" t="s">
        <v>1</v>
      </c>
    </row>
    <row r="442" spans="1:28" x14ac:dyDescent="0.25">
      <c r="A442" s="8">
        <v>46143.5</v>
      </c>
      <c r="B442" t="s">
        <v>1484</v>
      </c>
      <c r="C442" t="s">
        <v>1</v>
      </c>
      <c r="D442" s="9" t="s">
        <v>1485</v>
      </c>
      <c r="E442" t="s">
        <v>114</v>
      </c>
      <c r="F442" t="s">
        <v>59</v>
      </c>
      <c r="G442" t="s">
        <v>60</v>
      </c>
      <c r="H442" t="s">
        <v>78</v>
      </c>
      <c r="I442">
        <v>1</v>
      </c>
      <c r="J442" s="4">
        <v>221</v>
      </c>
      <c r="K442" s="4">
        <v>274.04</v>
      </c>
      <c r="L442" s="4">
        <f>K442-J442</f>
      </c>
      <c r="M442" s="4">
        <f>L442*16.67%</f>
      </c>
      <c r="N442" s="4">
        <f>K442/100*11</f>
      </c>
      <c r="O442" s="4">
        <v>8.99</v>
      </c>
      <c r="P442" s="4">
        <v>0</v>
      </c>
      <c r="Q442" s="4">
        <f>P442*20%</f>
      </c>
      <c r="R442" s="4">
        <v>1</v>
      </c>
      <c r="S442" s="4">
        <f>L442-M442-N442-O442-P442-Q442-R442</f>
      </c>
      <c r="T442" s="4">
        <f>(S442-V442)/J442*100</f>
      </c>
      <c r="U442" s="4">
        <f>M442-Q442</f>
      </c>
      <c r="W442" s="4">
        <f>S442-V442</f>
      </c>
      <c r="AB442" t="s">
        <v>1</v>
      </c>
    </row>
    <row r="443" spans="1:28" x14ac:dyDescent="0.25">
      <c r="A443" s="8">
        <v>46143.5</v>
      </c>
      <c r="B443" t="s">
        <v>1486</v>
      </c>
      <c r="C443" t="s">
        <v>254</v>
      </c>
      <c r="D443" s="9" t="s">
        <v>1</v>
      </c>
      <c r="E443" t="s">
        <v>254</v>
      </c>
      <c r="F443" t="s">
        <v>1</v>
      </c>
      <c r="G443" t="s">
        <v>1</v>
      </c>
      <c r="H443" t="s">
        <v>61</v>
      </c>
      <c r="I443">
        <v>1</v>
      </c>
      <c r="J443" s="4">
        <v>0.8</v>
      </c>
      <c r="K443" s="4">
        <v>1.03</v>
      </c>
      <c r="L443" s="4">
        <f>K443-J443</f>
      </c>
      <c r="M443" s="4">
        <f>L443*16.67%</f>
      </c>
      <c r="N443" s="4">
        <f>K443/100*11</f>
      </c>
      <c r="O443" s="4">
        <v>8.99</v>
      </c>
      <c r="P443" s="4">
        <v>0</v>
      </c>
      <c r="Q443" s="4">
        <f>P443*20%</f>
      </c>
      <c r="R443" s="4">
        <v>0</v>
      </c>
      <c r="S443" s="4">
        <f>L443-M443-N443-O443-P443-Q443-R443</f>
      </c>
      <c r="T443" s="4">
        <f>(S443-V443)/J443*100</f>
      </c>
      <c r="U443" s="4">
        <f>M443-Q443</f>
      </c>
      <c r="W443" s="4">
        <f>S443-V443</f>
      </c>
      <c r="AB443" t="s">
        <v>1</v>
      </c>
    </row>
    <row r="444" spans="1:28" x14ac:dyDescent="0.25">
      <c r="A444" s="8">
        <v>46142.5</v>
      </c>
      <c r="B444" t="s">
        <v>1487</v>
      </c>
      <c r="C444" t="s">
        <v>254</v>
      </c>
      <c r="D444" s="9" t="s">
        <v>1</v>
      </c>
      <c r="E444" t="s">
        <v>254</v>
      </c>
      <c r="F444" t="s">
        <v>1</v>
      </c>
      <c r="G444" t="s">
        <v>1</v>
      </c>
      <c r="H444" t="s">
        <v>61</v>
      </c>
      <c r="I444">
        <v>4</v>
      </c>
      <c r="J444" s="4">
        <v>3.2</v>
      </c>
      <c r="K444" s="4">
        <v>3.97</v>
      </c>
      <c r="L444" s="4">
        <f>K444-J444</f>
      </c>
      <c r="M444" s="4">
        <f>L444*16.67%</f>
      </c>
      <c r="N444" s="4">
        <f>K444/100*11</f>
      </c>
      <c r="O444" s="4">
        <v>8.99</v>
      </c>
      <c r="P444" s="4">
        <v>0</v>
      </c>
      <c r="Q444" s="4">
        <f>P444*20%</f>
      </c>
      <c r="R444" s="4">
        <v>0</v>
      </c>
      <c r="S444" s="4">
        <f>L444-M444-N444-O444-P444-Q444-R444</f>
      </c>
      <c r="T444" s="4">
        <f>(S444-V444)/J444*100</f>
      </c>
      <c r="U444" s="4">
        <f>M444-Q444</f>
      </c>
      <c r="W444" s="4">
        <f>S444-V444</f>
      </c>
      <c r="AB444" t="s">
        <v>1</v>
      </c>
    </row>
    <row r="445" spans="1:28" x14ac:dyDescent="0.25">
      <c r="A445" s="8"/>
      <c r="D445" s="9"/>
      <c r="J445" s="4"/>
      <c r="K445" s="4"/>
      <c r="L445" s="4">
        <f>IF($K445="","",K445-J445)</f>
      </c>
      <c r="M445" s="4">
        <f>IF($K445="","",L445*16.67%)</f>
      </c>
      <c r="N445" s="4">
        <f>IF($K445="","",K445/100*11)</f>
      </c>
      <c r="O445" s="4">
        <v>8.99</v>
      </c>
      <c r="P445" s="4"/>
      <c r="Q445" s="4">
        <f>IF($K445="","",P445*20%)</f>
      </c>
      <c r="R445" s="4">
        <v>1</v>
      </c>
      <c r="S445" s="4">
        <f>IF($K445="","",L445-M445-N445-O445-P445-Q445-R445)</f>
      </c>
      <c r="T445" s="4">
        <f>IF($K445="","",(S445-V445)/J445*100)</f>
      </c>
      <c r="U445" s="4">
        <f>IF($K445="","",M445-Q445)</f>
      </c>
      <c r="W445" s="4">
        <f>IF($K445="","",S445-V445)</f>
      </c>
    </row>
    <row r="446" spans="1:28" x14ac:dyDescent="0.25">
      <c r="A446" s="8"/>
      <c r="D446" s="9"/>
      <c r="J446" s="4"/>
      <c r="K446" s="4"/>
      <c r="L446" s="4">
        <f>IF($K446="","",K446-J446)</f>
      </c>
      <c r="M446" s="4">
        <f>IF($K446="","",L446*16.67%)</f>
      </c>
      <c r="N446" s="4">
        <f>IF($K446="","",K446/100*11)</f>
      </c>
      <c r="O446" s="4">
        <v>8.99</v>
      </c>
      <c r="P446" s="4"/>
      <c r="Q446" s="4">
        <f>IF($K446="","",P446*20%)</f>
      </c>
      <c r="R446" s="4">
        <v>1</v>
      </c>
      <c r="S446" s="4">
        <f>IF($K446="","",L446-M446-N446-O446-P446-Q446-R446)</f>
      </c>
      <c r="T446" s="4">
        <f>IF($K446="","",(S446-V446)/J446*100)</f>
      </c>
      <c r="U446" s="4">
        <f>IF($K446="","",M446-Q446)</f>
      </c>
      <c r="W446" s="4">
        <f>IF($K446="","",S446-V446)</f>
      </c>
    </row>
    <row r="447" spans="1:28" x14ac:dyDescent="0.25">
      <c r="A447" s="8"/>
      <c r="D447" s="9"/>
      <c r="J447" s="4"/>
      <c r="K447" s="4"/>
      <c r="L447" s="4">
        <f>IF($K447="","",K447-J447)</f>
      </c>
      <c r="M447" s="4">
        <f>IF($K447="","",L447*16.67%)</f>
      </c>
      <c r="N447" s="4">
        <f>IF($K447="","",K447/100*11)</f>
      </c>
      <c r="O447" s="4">
        <v>8.99</v>
      </c>
      <c r="P447" s="4"/>
      <c r="Q447" s="4">
        <f>IF($K447="","",P447*20%)</f>
      </c>
      <c r="R447" s="4">
        <v>1</v>
      </c>
      <c r="S447" s="4">
        <f>IF($K447="","",L447-M447-N447-O447-P447-Q447-R447)</f>
      </c>
      <c r="T447" s="4">
        <f>IF($K447="","",(S447-V447)/J447*100)</f>
      </c>
      <c r="U447" s="4">
        <f>IF($K447="","",M447-Q447)</f>
      </c>
      <c r="W447" s="4">
        <f>IF($K447="","",S447-V447)</f>
      </c>
    </row>
    <row r="448" spans="1:28" x14ac:dyDescent="0.25">
      <c r="A448" s="8"/>
      <c r="D448" s="9"/>
      <c r="J448" s="4"/>
      <c r="K448" s="4"/>
      <c r="L448" s="4">
        <f>IF($K448="","",K448-J448)</f>
      </c>
      <c r="M448" s="4">
        <f>IF($K448="","",L448*16.67%)</f>
      </c>
      <c r="N448" s="4">
        <f>IF($K448="","",K448/100*11)</f>
      </c>
      <c r="O448" s="4">
        <v>8.99</v>
      </c>
      <c r="P448" s="4"/>
      <c r="Q448" s="4">
        <f>IF($K448="","",P448*20%)</f>
      </c>
      <c r="R448" s="4">
        <v>1</v>
      </c>
      <c r="S448" s="4">
        <f>IF($K448="","",L448-M448-N448-O448-P448-Q448-R448)</f>
      </c>
      <c r="T448" s="4">
        <f>IF($K448="","",(S448-V448)/J448*100)</f>
      </c>
      <c r="U448" s="4">
        <f>IF($K448="","",M448-Q448)</f>
      </c>
      <c r="W448" s="4">
        <f>IF($K448="","",S448-V448)</f>
      </c>
    </row>
    <row r="449" spans="1:28" x14ac:dyDescent="0.25">
      <c r="A449" s="8"/>
      <c r="D449" s="9"/>
      <c r="J449" s="4"/>
      <c r="K449" s="4"/>
      <c r="L449" s="4">
        <f>IF($K449="","",K449-J449)</f>
      </c>
      <c r="M449" s="4">
        <f>IF($K449="","",L449*16.67%)</f>
      </c>
      <c r="N449" s="4">
        <f>IF($K449="","",K449/100*11)</f>
      </c>
      <c r="O449" s="4">
        <v>8.99</v>
      </c>
      <c r="P449" s="4"/>
      <c r="Q449" s="4">
        <f>IF($K449="","",P449*20%)</f>
      </c>
      <c r="R449" s="4">
        <v>1</v>
      </c>
      <c r="S449" s="4">
        <f>IF($K449="","",L449-M449-N449-O449-P449-Q449-R449)</f>
      </c>
      <c r="T449" s="4">
        <f>IF($K449="","",(S449-V449)/J449*100)</f>
      </c>
      <c r="U449" s="4">
        <f>IF($K449="","",M449-Q449)</f>
      </c>
      <c r="W449" s="4">
        <f>IF($K449="","",S449-V449)</f>
      </c>
    </row>
    <row r="450" spans="1:28" x14ac:dyDescent="0.25">
      <c r="A450" s="8"/>
      <c r="D450" s="9"/>
      <c r="J450" s="4"/>
      <c r="K450" s="4"/>
      <c r="L450" s="4">
        <f>IF($K450="","",K450-J450)</f>
      </c>
      <c r="M450" s="4">
        <f>IF($K450="","",L450*16.67%)</f>
      </c>
      <c r="N450" s="4">
        <f>IF($K450="","",K450/100*11)</f>
      </c>
      <c r="O450" s="4">
        <v>8.99</v>
      </c>
      <c r="P450" s="4"/>
      <c r="Q450" s="4">
        <f>IF($K450="","",P450*20%)</f>
      </c>
      <c r="R450" s="4">
        <v>1</v>
      </c>
      <c r="S450" s="4">
        <f>IF($K450="","",L450-M450-N450-O450-P450-Q450-R450)</f>
      </c>
      <c r="T450" s="4">
        <f>IF($K450="","",(S450-V450)/J450*100)</f>
      </c>
      <c r="U450" s="4">
        <f>IF($K450="","",M450-Q450)</f>
      </c>
      <c r="W450" s="4">
        <f>IF($K450="","",S450-V450)</f>
      </c>
    </row>
    <row r="451" spans="1:28" x14ac:dyDescent="0.25">
      <c r="A451" s="8"/>
      <c r="D451" s="9"/>
      <c r="J451" s="4"/>
      <c r="K451" s="4"/>
      <c r="L451" s="4">
        <f>IF($K451="","",K451-J451)</f>
      </c>
      <c r="M451" s="4">
        <f>IF($K451="","",L451*16.67%)</f>
      </c>
      <c r="N451" s="4">
        <f>IF($K451="","",K451/100*11)</f>
      </c>
      <c r="O451" s="4">
        <v>8.99</v>
      </c>
      <c r="P451" s="4"/>
      <c r="Q451" s="4">
        <f>IF($K451="","",P451*20%)</f>
      </c>
      <c r="R451" s="4">
        <v>1</v>
      </c>
      <c r="S451" s="4">
        <f>IF($K451="","",L451-M451-N451-O451-P451-Q451-R451)</f>
      </c>
      <c r="T451" s="4">
        <f>IF($K451="","",(S451-V451)/J451*100)</f>
      </c>
      <c r="U451" s="4">
        <f>IF($K451="","",M451-Q451)</f>
      </c>
      <c r="W451" s="4">
        <f>IF($K451="","",S451-V451)</f>
      </c>
    </row>
    <row r="452" spans="1:28" x14ac:dyDescent="0.25">
      <c r="A452" s="8"/>
      <c r="D452" s="9"/>
      <c r="J452" s="4"/>
      <c r="K452" s="4"/>
      <c r="L452" s="4">
        <f>IF($K452="","",K452-J452)</f>
      </c>
      <c r="M452" s="4">
        <f>IF($K452="","",L452*16.67%)</f>
      </c>
      <c r="N452" s="4">
        <f>IF($K452="","",K452/100*11)</f>
      </c>
      <c r="O452" s="4">
        <v>8.99</v>
      </c>
      <c r="P452" s="4"/>
      <c r="Q452" s="4">
        <f>IF($K452="","",P452*20%)</f>
      </c>
      <c r="R452" s="4">
        <v>1</v>
      </c>
      <c r="S452" s="4">
        <f>IF($K452="","",L452-M452-N452-O452-P452-Q452-R452)</f>
      </c>
      <c r="T452" s="4">
        <f>IF($K452="","",(S452-V452)/J452*100)</f>
      </c>
      <c r="U452" s="4">
        <f>IF($K452="","",M452-Q452)</f>
      </c>
      <c r="W452" s="4">
        <f>IF($K452="","",S452-V452)</f>
      </c>
    </row>
    <row r="453" spans="1:28" x14ac:dyDescent="0.25">
      <c r="A453" s="8"/>
      <c r="D453" s="9"/>
      <c r="J453" s="4"/>
      <c r="K453" s="4"/>
      <c r="L453" s="4">
        <f>IF($K453="","",K453-J453)</f>
      </c>
      <c r="M453" s="4">
        <f>IF($K453="","",L453*16.67%)</f>
      </c>
      <c r="N453" s="4">
        <f>IF($K453="","",K453/100*11)</f>
      </c>
      <c r="O453" s="4">
        <v>8.99</v>
      </c>
      <c r="P453" s="4"/>
      <c r="Q453" s="4">
        <f>IF($K453="","",P453*20%)</f>
      </c>
      <c r="R453" s="4">
        <v>1</v>
      </c>
      <c r="S453" s="4">
        <f>IF($K453="","",L453-M453-N453-O453-P453-Q453-R453)</f>
      </c>
      <c r="T453" s="4">
        <f>IF($K453="","",(S453-V453)/J453*100)</f>
      </c>
      <c r="U453" s="4">
        <f>IF($K453="","",M453-Q453)</f>
      </c>
      <c r="W453" s="4">
        <f>IF($K453="","",S453-V453)</f>
      </c>
    </row>
    <row r="454" spans="1:28" x14ac:dyDescent="0.25">
      <c r="A454" s="8"/>
      <c r="D454" s="9"/>
      <c r="J454" s="4"/>
      <c r="K454" s="4"/>
      <c r="L454" s="4">
        <f>IF($K454="","",K454-J454)</f>
      </c>
      <c r="M454" s="4">
        <f>IF($K454="","",L454*16.67%)</f>
      </c>
      <c r="N454" s="4">
        <f>IF($K454="","",K454/100*11)</f>
      </c>
      <c r="O454" s="4">
        <v>8.99</v>
      </c>
      <c r="P454" s="4"/>
      <c r="Q454" s="4">
        <f>IF($K454="","",P454*20%)</f>
      </c>
      <c r="R454" s="4">
        <v>1</v>
      </c>
      <c r="S454" s="4">
        <f>IF($K454="","",L454-M454-N454-O454-P454-Q454-R454)</f>
      </c>
      <c r="T454" s="4">
        <f>IF($K454="","",(S454-V454)/J454*100)</f>
      </c>
      <c r="U454" s="4">
        <f>IF($K454="","",M454-Q454)</f>
      </c>
      <c r="W454" s="4">
        <f>IF($K454="","",S454-V454)</f>
      </c>
    </row>
    <row r="455" spans="1:28" x14ac:dyDescent="0.25">
      <c r="A455" s="8"/>
      <c r="D455" s="9"/>
      <c r="J455" s="4"/>
      <c r="K455" s="4"/>
      <c r="L455" s="4">
        <f>IF($K455="","",K455-J455)</f>
      </c>
      <c r="M455" s="4">
        <f>IF($K455="","",L455*16.67%)</f>
      </c>
      <c r="N455" s="4">
        <f>IF($K455="","",K455/100*11)</f>
      </c>
      <c r="O455" s="4">
        <v>8.99</v>
      </c>
      <c r="P455" s="4"/>
      <c r="Q455" s="4">
        <f>IF($K455="","",P455*20%)</f>
      </c>
      <c r="R455" s="4">
        <v>1</v>
      </c>
      <c r="S455" s="4">
        <f>IF($K455="","",L455-M455-N455-O455-P455-Q455-R455)</f>
      </c>
      <c r="T455" s="4">
        <f>IF($K455="","",(S455-V455)/J455*100)</f>
      </c>
      <c r="U455" s="4">
        <f>IF($K455="","",M455-Q455)</f>
      </c>
      <c r="W455" s="4">
        <f>IF($K455="","",S455-V455)</f>
      </c>
    </row>
    <row r="456" spans="1:28" x14ac:dyDescent="0.25">
      <c r="A456" s="8"/>
      <c r="D456" s="9"/>
      <c r="J456" s="4"/>
      <c r="K456" s="4"/>
      <c r="L456" s="4">
        <f>IF($K456="","",K456-J456)</f>
      </c>
      <c r="M456" s="4">
        <f>IF($K456="","",L456*16.67%)</f>
      </c>
      <c r="N456" s="4">
        <f>IF($K456="","",K456/100*11)</f>
      </c>
      <c r="O456" s="4">
        <v>8.99</v>
      </c>
      <c r="P456" s="4"/>
      <c r="Q456" s="4">
        <f>IF($K456="","",P456*20%)</f>
      </c>
      <c r="R456" s="4">
        <v>1</v>
      </c>
      <c r="S456" s="4">
        <f>IF($K456="","",L456-M456-N456-O456-P456-Q456-R456)</f>
      </c>
      <c r="T456" s="4">
        <f>IF($K456="","",(S456-V456)/J456*100)</f>
      </c>
      <c r="U456" s="4">
        <f>IF($K456="","",M456-Q456)</f>
      </c>
      <c r="W456" s="4">
        <f>IF($K456="","",S456-V456)</f>
      </c>
    </row>
    <row r="457" spans="1:28" x14ac:dyDescent="0.25">
      <c r="A457" s="8"/>
      <c r="D457" s="9"/>
      <c r="J457" s="4"/>
      <c r="K457" s="4"/>
      <c r="L457" s="4">
        <f>IF($K457="","",K457-J457)</f>
      </c>
      <c r="M457" s="4">
        <f>IF($K457="","",L457*16.67%)</f>
      </c>
      <c r="N457" s="4">
        <f>IF($K457="","",K457/100*11)</f>
      </c>
      <c r="O457" s="4">
        <v>8.99</v>
      </c>
      <c r="P457" s="4"/>
      <c r="Q457" s="4">
        <f>IF($K457="","",P457*20%)</f>
      </c>
      <c r="R457" s="4">
        <v>1</v>
      </c>
      <c r="S457" s="4">
        <f>IF($K457="","",L457-M457-N457-O457-P457-Q457-R457)</f>
      </c>
      <c r="T457" s="4">
        <f>IF($K457="","",(S457-V457)/J457*100)</f>
      </c>
      <c r="U457" s="4">
        <f>IF($K457="","",M457-Q457)</f>
      </c>
      <c r="W457" s="4">
        <f>IF($K457="","",S457-V457)</f>
      </c>
    </row>
    <row r="458" spans="1:28" x14ac:dyDescent="0.25">
      <c r="A458" s="8"/>
      <c r="D458" s="9"/>
      <c r="J458" s="4"/>
      <c r="K458" s="4"/>
      <c r="L458" s="4">
        <f>IF($K458="","",K458-J458)</f>
      </c>
      <c r="M458" s="4">
        <f>IF($K458="","",L458*16.67%)</f>
      </c>
      <c r="N458" s="4">
        <f>IF($K458="","",K458/100*11)</f>
      </c>
      <c r="O458" s="4">
        <v>8.99</v>
      </c>
      <c r="P458" s="4"/>
      <c r="Q458" s="4">
        <f>IF($K458="","",P458*20%)</f>
      </c>
      <c r="R458" s="4">
        <v>1</v>
      </c>
      <c r="S458" s="4">
        <f>IF($K458="","",L458-M458-N458-O458-P458-Q458-R458)</f>
      </c>
      <c r="T458" s="4">
        <f>IF($K458="","",(S458-V458)/J458*100)</f>
      </c>
      <c r="U458" s="4">
        <f>IF($K458="","",M458-Q458)</f>
      </c>
      <c r="W458" s="4">
        <f>IF($K458="","",S458-V458)</f>
      </c>
    </row>
    <row r="459" spans="1:28" x14ac:dyDescent="0.25">
      <c r="A459" s="8"/>
      <c r="D459" s="9"/>
      <c r="J459" s="4"/>
      <c r="K459" s="4"/>
      <c r="L459" s="4">
        <f>IF($K459="","",K459-J459)</f>
      </c>
      <c r="M459" s="4">
        <f>IF($K459="","",L459*16.67%)</f>
      </c>
      <c r="N459" s="4">
        <f>IF($K459="","",K459/100*11)</f>
      </c>
      <c r="O459" s="4">
        <v>8.99</v>
      </c>
      <c r="P459" s="4"/>
      <c r="Q459" s="4">
        <f>IF($K459="","",P459*20%)</f>
      </c>
      <c r="R459" s="4">
        <v>1</v>
      </c>
      <c r="S459" s="4">
        <f>IF($K459="","",L459-M459-N459-O459-P459-Q459-R459)</f>
      </c>
      <c r="T459" s="4">
        <f>IF($K459="","",(S459-V459)/J459*100)</f>
      </c>
      <c r="U459" s="4">
        <f>IF($K459="","",M459-Q459)</f>
      </c>
      <c r="W459" s="4">
        <f>IF($K459="","",S459-V459)</f>
      </c>
    </row>
    <row r="460" spans="1:28" x14ac:dyDescent="0.25">
      <c r="A460" s="8"/>
      <c r="D460" s="9"/>
      <c r="J460" s="4"/>
      <c r="K460" s="4"/>
      <c r="L460" s="4">
        <f>IF($K460="","",K460-J460)</f>
      </c>
      <c r="M460" s="4">
        <f>IF($K460="","",L460*16.67%)</f>
      </c>
      <c r="N460" s="4">
        <f>IF($K460="","",K460/100*11)</f>
      </c>
      <c r="O460" s="4">
        <v>8.99</v>
      </c>
      <c r="P460" s="4"/>
      <c r="Q460" s="4">
        <f>IF($K460="","",P460*20%)</f>
      </c>
      <c r="R460" s="4">
        <v>1</v>
      </c>
      <c r="S460" s="4">
        <f>IF($K460="","",L460-M460-N460-O460-P460-Q460-R460)</f>
      </c>
      <c r="T460" s="4">
        <f>IF($K460="","",(S460-V460)/J460*100)</f>
      </c>
      <c r="U460" s="4">
        <f>IF($K460="","",M460-Q460)</f>
      </c>
      <c r="W460" s="4">
        <f>IF($K460="","",S460-V460)</f>
      </c>
    </row>
    <row r="461" spans="1:28" x14ac:dyDescent="0.25">
      <c r="A461" s="8"/>
      <c r="D461" s="9"/>
      <c r="J461" s="4"/>
      <c r="K461" s="4"/>
      <c r="L461" s="4">
        <f>IF($K461="","",K461-J461)</f>
      </c>
      <c r="M461" s="4">
        <f>IF($K461="","",L461*16.67%)</f>
      </c>
      <c r="N461" s="4">
        <f>IF($K461="","",K461/100*11)</f>
      </c>
      <c r="O461" s="4">
        <v>8.99</v>
      </c>
      <c r="P461" s="4"/>
      <c r="Q461" s="4">
        <f>IF($K461="","",P461*20%)</f>
      </c>
      <c r="R461" s="4">
        <v>1</v>
      </c>
      <c r="S461" s="4">
        <f>IF($K461="","",L461-M461-N461-O461-P461-Q461-R461)</f>
      </c>
      <c r="T461" s="4">
        <f>IF($K461="","",(S461-V461)/J461*100)</f>
      </c>
      <c r="U461" s="4">
        <f>IF($K461="","",M461-Q461)</f>
      </c>
      <c r="W461" s="4">
        <f>IF($K461="","",S461-V461)</f>
      </c>
    </row>
    <row r="462" spans="1:28" x14ac:dyDescent="0.25">
      <c r="A462" s="8"/>
      <c r="D462" s="9"/>
      <c r="J462" s="4"/>
      <c r="K462" s="4"/>
      <c r="L462" s="4">
        <f>IF($K462="","",K462-J462)</f>
      </c>
      <c r="M462" s="4">
        <f>IF($K462="","",L462*16.67%)</f>
      </c>
      <c r="N462" s="4">
        <f>IF($K462="","",K462/100*11)</f>
      </c>
      <c r="O462" s="4">
        <v>8.99</v>
      </c>
      <c r="P462" s="4"/>
      <c r="Q462" s="4">
        <f>IF($K462="","",P462*20%)</f>
      </c>
      <c r="R462" s="4">
        <v>1</v>
      </c>
      <c r="S462" s="4">
        <f>IF($K462="","",L462-M462-N462-O462-P462-Q462-R462)</f>
      </c>
      <c r="T462" s="4">
        <f>IF($K462="","",(S462-V462)/J462*100)</f>
      </c>
      <c r="U462" s="4">
        <f>IF($K462="","",M462-Q462)</f>
      </c>
      <c r="W462" s="4">
        <f>IF($K462="","",S462-V462)</f>
      </c>
    </row>
    <row r="463" spans="1:28" x14ac:dyDescent="0.25">
      <c r="A463" s="8"/>
      <c r="D463" s="9"/>
      <c r="J463" s="4"/>
      <c r="K463" s="4"/>
      <c r="L463" s="4">
        <f>IF($K463="","",K463-J463)</f>
      </c>
      <c r="M463" s="4">
        <f>IF($K463="","",L463*16.67%)</f>
      </c>
      <c r="N463" s="4">
        <f>IF($K463="","",K463/100*11)</f>
      </c>
      <c r="O463" s="4">
        <v>8.99</v>
      </c>
      <c r="P463" s="4"/>
      <c r="Q463" s="4">
        <f>IF($K463="","",P463*20%)</f>
      </c>
      <c r="R463" s="4">
        <v>1</v>
      </c>
      <c r="S463" s="4">
        <f>IF($K463="","",L463-M463-N463-O463-P463-Q463-R463)</f>
      </c>
      <c r="T463" s="4">
        <f>IF($K463="","",(S463-V463)/J463*100)</f>
      </c>
      <c r="U463" s="4">
        <f>IF($K463="","",M463-Q463)</f>
      </c>
      <c r="W463" s="4">
        <f>IF($K463="","",S463-V463)</f>
      </c>
    </row>
    <row r="464" spans="1:28" x14ac:dyDescent="0.25">
      <c r="A464" s="8"/>
      <c r="D464" s="9"/>
      <c r="J464" s="4"/>
      <c r="K464" s="4"/>
      <c r="L464" s="4">
        <f>IF($K464="","",K464-J464)</f>
      </c>
      <c r="M464" s="4">
        <f>IF($K464="","",L464*16.67%)</f>
      </c>
      <c r="N464" s="4">
        <f>IF($K464="","",K464/100*11)</f>
      </c>
      <c r="O464" s="4">
        <v>8.99</v>
      </c>
      <c r="P464" s="4"/>
      <c r="Q464" s="4">
        <f>IF($K464="","",P464*20%)</f>
      </c>
      <c r="R464" s="4">
        <v>1</v>
      </c>
      <c r="S464" s="4">
        <f>IF($K464="","",L464-M464-N464-O464-P464-Q464-R464)</f>
      </c>
      <c r="T464" s="4">
        <f>IF($K464="","",(S464-V464)/J464*100)</f>
      </c>
      <c r="U464" s="4">
        <f>IF($K464="","",M464-Q464)</f>
      </c>
      <c r="W464" s="4">
        <f>IF($K464="","",S464-V464)</f>
      </c>
    </row>
    <row r="465" spans="1:28" x14ac:dyDescent="0.25">
      <c r="A465" s="8"/>
      <c r="D465" s="9"/>
      <c r="J465" s="4"/>
      <c r="K465" s="4"/>
      <c r="L465" s="4">
        <f>IF($K465="","",K465-J465)</f>
      </c>
      <c r="M465" s="4">
        <f>IF($K465="","",L465*16.67%)</f>
      </c>
      <c r="N465" s="4">
        <f>IF($K465="","",K465/100*11)</f>
      </c>
      <c r="O465" s="4">
        <v>8.99</v>
      </c>
      <c r="P465" s="4"/>
      <c r="Q465" s="4">
        <f>IF($K465="","",P465*20%)</f>
      </c>
      <c r="R465" s="4">
        <v>1</v>
      </c>
      <c r="S465" s="4">
        <f>IF($K465="","",L465-M465-N465-O465-P465-Q465-R465)</f>
      </c>
      <c r="T465" s="4">
        <f>IF($K465="","",(S465-V465)/J465*100)</f>
      </c>
      <c r="U465" s="4">
        <f>IF($K465="","",M465-Q465)</f>
      </c>
      <c r="W465" s="4">
        <f>IF($K465="","",S465-V465)</f>
      </c>
    </row>
    <row r="466" spans="1:28" x14ac:dyDescent="0.25">
      <c r="A466" s="8"/>
      <c r="D466" s="9"/>
      <c r="J466" s="4"/>
      <c r="K466" s="4"/>
      <c r="L466" s="4">
        <f>IF($K466="","",K466-J466)</f>
      </c>
      <c r="M466" s="4">
        <f>IF($K466="","",L466*16.67%)</f>
      </c>
      <c r="N466" s="4">
        <f>IF($K466="","",K466/100*11)</f>
      </c>
      <c r="O466" s="4">
        <v>8.99</v>
      </c>
      <c r="P466" s="4"/>
      <c r="Q466" s="4">
        <f>IF($K466="","",P466*20%)</f>
      </c>
      <c r="R466" s="4">
        <v>1</v>
      </c>
      <c r="S466" s="4">
        <f>IF($K466="","",L466-M466-N466-O466-P466-Q466-R466)</f>
      </c>
      <c r="T466" s="4">
        <f>IF($K466="","",(S466-V466)/J466*100)</f>
      </c>
      <c r="U466" s="4">
        <f>IF($K466="","",M466-Q466)</f>
      </c>
      <c r="W466" s="4">
        <f>IF($K466="","",S466-V466)</f>
      </c>
    </row>
    <row r="467" spans="1:28" x14ac:dyDescent="0.25">
      <c r="A467" s="8"/>
      <c r="D467" s="9"/>
      <c r="J467" s="4"/>
      <c r="K467" s="4"/>
      <c r="L467" s="4">
        <f>IF($K467="","",K467-J467)</f>
      </c>
      <c r="M467" s="4">
        <f>IF($K467="","",L467*16.67%)</f>
      </c>
      <c r="N467" s="4">
        <f>IF($K467="","",K467/100*11)</f>
      </c>
      <c r="O467" s="4">
        <v>8.99</v>
      </c>
      <c r="P467" s="4"/>
      <c r="Q467" s="4">
        <f>IF($K467="","",P467*20%)</f>
      </c>
      <c r="R467" s="4">
        <v>1</v>
      </c>
      <c r="S467" s="4">
        <f>IF($K467="","",L467-M467-N467-O467-P467-Q467-R467)</f>
      </c>
      <c r="T467" s="4">
        <f>IF($K467="","",(S467-V467)/J467*100)</f>
      </c>
      <c r="U467" s="4">
        <f>IF($K467="","",M467-Q467)</f>
      </c>
      <c r="W467" s="4">
        <f>IF($K467="","",S467-V467)</f>
      </c>
    </row>
    <row r="468" spans="1:28" x14ac:dyDescent="0.25">
      <c r="A468" s="8"/>
      <c r="D468" s="9"/>
      <c r="J468" s="4"/>
      <c r="K468" s="4"/>
      <c r="L468" s="4">
        <f>IF($K468="","",K468-J468)</f>
      </c>
      <c r="M468" s="4">
        <f>IF($K468="","",L468*16.67%)</f>
      </c>
      <c r="N468" s="4">
        <f>IF($K468="","",K468/100*11)</f>
      </c>
      <c r="O468" s="4">
        <v>8.99</v>
      </c>
      <c r="P468" s="4"/>
      <c r="Q468" s="4">
        <f>IF($K468="","",P468*20%)</f>
      </c>
      <c r="R468" s="4">
        <v>1</v>
      </c>
      <c r="S468" s="4">
        <f>IF($K468="","",L468-M468-N468-O468-P468-Q468-R468)</f>
      </c>
      <c r="T468" s="4">
        <f>IF($K468="","",(S468-V468)/J468*100)</f>
      </c>
      <c r="U468" s="4">
        <f>IF($K468="","",M468-Q468)</f>
      </c>
      <c r="W468" s="4">
        <f>IF($K468="","",S468-V468)</f>
      </c>
    </row>
    <row r="469" spans="1:28" x14ac:dyDescent="0.25">
      <c r="A469" s="8"/>
      <c r="D469" s="9"/>
      <c r="J469" s="4"/>
      <c r="K469" s="4"/>
      <c r="L469" s="4">
        <f>IF($K469="","",K469-J469)</f>
      </c>
      <c r="M469" s="4">
        <f>IF($K469="","",L469*16.67%)</f>
      </c>
      <c r="N469" s="4">
        <f>IF($K469="","",K469/100*11)</f>
      </c>
      <c r="O469" s="4">
        <v>8.99</v>
      </c>
      <c r="P469" s="4"/>
      <c r="Q469" s="4">
        <f>IF($K469="","",P469*20%)</f>
      </c>
      <c r="R469" s="4">
        <v>1</v>
      </c>
      <c r="S469" s="4">
        <f>IF($K469="","",L469-M469-N469-O469-P469-Q469-R469)</f>
      </c>
      <c r="T469" s="4">
        <f>IF($K469="","",(S469-V469)/J469*100)</f>
      </c>
      <c r="U469" s="4">
        <f>IF($K469="","",M469-Q469)</f>
      </c>
      <c r="W469" s="4">
        <f>IF($K469="","",S469-V469)</f>
      </c>
    </row>
    <row r="470" spans="1:28" x14ac:dyDescent="0.25">
      <c r="A470" s="8"/>
      <c r="D470" s="9"/>
      <c r="J470" s="4"/>
      <c r="K470" s="4"/>
      <c r="L470" s="4">
        <f>IF($K470="","",K470-J470)</f>
      </c>
      <c r="M470" s="4">
        <f>IF($K470="","",L470*16.67%)</f>
      </c>
      <c r="N470" s="4">
        <f>IF($K470="","",K470/100*11)</f>
      </c>
      <c r="O470" s="4">
        <v>8.99</v>
      </c>
      <c r="P470" s="4"/>
      <c r="Q470" s="4">
        <f>IF($K470="","",P470*20%)</f>
      </c>
      <c r="R470" s="4">
        <v>1</v>
      </c>
      <c r="S470" s="4">
        <f>IF($K470="","",L470-M470-N470-O470-P470-Q470-R470)</f>
      </c>
      <c r="T470" s="4">
        <f>IF($K470="","",(S470-V470)/J470*100)</f>
      </c>
      <c r="U470" s="4">
        <f>IF($K470="","",M470-Q470)</f>
      </c>
      <c r="W470" s="4">
        <f>IF($K470="","",S470-V470)</f>
      </c>
    </row>
    <row r="471" spans="1:28" x14ac:dyDescent="0.25">
      <c r="A471" s="8"/>
      <c r="D471" s="9"/>
      <c r="J471" s="4"/>
      <c r="K471" s="4"/>
      <c r="L471" s="4">
        <f>IF($K471="","",K471-J471)</f>
      </c>
      <c r="M471" s="4">
        <f>IF($K471="","",L471*16.67%)</f>
      </c>
      <c r="N471" s="4">
        <f>IF($K471="","",K471/100*11)</f>
      </c>
      <c r="O471" s="4">
        <v>8.99</v>
      </c>
      <c r="P471" s="4"/>
      <c r="Q471" s="4">
        <f>IF($K471="","",P471*20%)</f>
      </c>
      <c r="R471" s="4">
        <v>1</v>
      </c>
      <c r="S471" s="4">
        <f>IF($K471="","",L471-M471-N471-O471-P471-Q471-R471)</f>
      </c>
      <c r="T471" s="4">
        <f>IF($K471="","",(S471-V471)/J471*100)</f>
      </c>
      <c r="U471" s="4">
        <f>IF($K471="","",M471-Q471)</f>
      </c>
      <c r="W471" s="4">
        <f>IF($K471="","",S471-V471)</f>
      </c>
    </row>
    <row r="472" spans="1:28" x14ac:dyDescent="0.25">
      <c r="A472" s="8"/>
      <c r="D472" s="9"/>
      <c r="J472" s="4"/>
      <c r="K472" s="4"/>
      <c r="L472" s="4">
        <f>IF($K472="","",K472-J472)</f>
      </c>
      <c r="M472" s="4">
        <f>IF($K472="","",L472*16.67%)</f>
      </c>
      <c r="N472" s="4">
        <f>IF($K472="","",K472/100*11)</f>
      </c>
      <c r="O472" s="4">
        <v>8.99</v>
      </c>
      <c r="P472" s="4"/>
      <c r="Q472" s="4">
        <f>IF($K472="","",P472*20%)</f>
      </c>
      <c r="R472" s="4">
        <v>1</v>
      </c>
      <c r="S472" s="4">
        <f>IF($K472="","",L472-M472-N472-O472-P472-Q472-R472)</f>
      </c>
      <c r="T472" s="4">
        <f>IF($K472="","",(S472-V472)/J472*100)</f>
      </c>
      <c r="U472" s="4">
        <f>IF($K472="","",M472-Q472)</f>
      </c>
      <c r="W472" s="4">
        <f>IF($K472="","",S472-V472)</f>
      </c>
    </row>
    <row r="473" spans="1:28" x14ac:dyDescent="0.25">
      <c r="A473" s="8"/>
      <c r="D473" s="9"/>
      <c r="J473" s="4"/>
      <c r="K473" s="4"/>
      <c r="L473" s="4">
        <f>IF($K473="","",K473-J473)</f>
      </c>
      <c r="M473" s="4">
        <f>IF($K473="","",L473*16.67%)</f>
      </c>
      <c r="N473" s="4">
        <f>IF($K473="","",K473/100*11)</f>
      </c>
      <c r="O473" s="4">
        <v>8.99</v>
      </c>
      <c r="P473" s="4"/>
      <c r="Q473" s="4">
        <f>IF($K473="","",P473*20%)</f>
      </c>
      <c r="R473" s="4">
        <v>1</v>
      </c>
      <c r="S473" s="4">
        <f>IF($K473="","",L473-M473-N473-O473-P473-Q473-R473)</f>
      </c>
      <c r="T473" s="4">
        <f>IF($K473="","",(S473-V473)/J473*100)</f>
      </c>
      <c r="U473" s="4">
        <f>IF($K473="","",M473-Q473)</f>
      </c>
      <c r="W473" s="4">
        <f>IF($K473="","",S473-V473)</f>
      </c>
    </row>
    <row r="474" spans="1:28" x14ac:dyDescent="0.25">
      <c r="A474" s="8"/>
      <c r="D474" s="9"/>
      <c r="J474" s="4"/>
      <c r="K474" s="4"/>
      <c r="L474" s="4">
        <f>IF($K474="","",K474-J474)</f>
      </c>
      <c r="M474" s="4">
        <f>IF($K474="","",L474*16.67%)</f>
      </c>
      <c r="N474" s="4">
        <f>IF($K474="","",K474/100*11)</f>
      </c>
      <c r="O474" s="4">
        <v>8.99</v>
      </c>
      <c r="P474" s="4"/>
      <c r="Q474" s="4">
        <f>IF($K474="","",P474*20%)</f>
      </c>
      <c r="R474" s="4">
        <v>1</v>
      </c>
      <c r="S474" s="4">
        <f>IF($K474="","",L474-M474-N474-O474-P474-Q474-R474)</f>
      </c>
      <c r="T474" s="4">
        <f>IF($K474="","",(S474-V474)/J474*100)</f>
      </c>
      <c r="U474" s="4">
        <f>IF($K474="","",M474-Q474)</f>
      </c>
      <c r="W474" s="4">
        <f>IF($K474="","",S474-V474)</f>
      </c>
    </row>
    <row r="475" spans="1:28" x14ac:dyDescent="0.25">
      <c r="A475" s="8"/>
      <c r="D475" s="9"/>
      <c r="J475" s="4"/>
      <c r="K475" s="4"/>
      <c r="L475" s="4">
        <f>IF($K475="","",K475-J475)</f>
      </c>
      <c r="M475" s="4">
        <f>IF($K475="","",L475*16.67%)</f>
      </c>
      <c r="N475" s="4">
        <f>IF($K475="","",K475/100*11)</f>
      </c>
      <c r="O475" s="4">
        <v>8.99</v>
      </c>
      <c r="P475" s="4"/>
      <c r="Q475" s="4">
        <f>IF($K475="","",P475*20%)</f>
      </c>
      <c r="R475" s="4">
        <v>1</v>
      </c>
      <c r="S475" s="4">
        <f>IF($K475="","",L475-M475-N475-O475-P475-Q475-R475)</f>
      </c>
      <c r="T475" s="4">
        <f>IF($K475="","",(S475-V475)/J475*100)</f>
      </c>
      <c r="U475" s="4">
        <f>IF($K475="","",M475-Q475)</f>
      </c>
      <c r="W475" s="4">
        <f>IF($K475="","",S475-V475)</f>
      </c>
    </row>
    <row r="476" spans="1:28" x14ac:dyDescent="0.25">
      <c r="A476" s="8"/>
      <c r="D476" s="9"/>
      <c r="J476" s="4"/>
      <c r="K476" s="4"/>
      <c r="L476" s="4">
        <f>IF($K476="","",K476-J476)</f>
      </c>
      <c r="M476" s="4">
        <f>IF($K476="","",L476*16.67%)</f>
      </c>
      <c r="N476" s="4">
        <f>IF($K476="","",K476/100*11)</f>
      </c>
      <c r="O476" s="4">
        <v>8.99</v>
      </c>
      <c r="P476" s="4"/>
      <c r="Q476" s="4">
        <f>IF($K476="","",P476*20%)</f>
      </c>
      <c r="R476" s="4">
        <v>1</v>
      </c>
      <c r="S476" s="4">
        <f>IF($K476="","",L476-M476-N476-O476-P476-Q476-R476)</f>
      </c>
      <c r="T476" s="4">
        <f>IF($K476="","",(S476-V476)/J476*100)</f>
      </c>
      <c r="U476" s="4">
        <f>IF($K476="","",M476-Q476)</f>
      </c>
      <c r="W476" s="4">
        <f>IF($K476="","",S476-V476)</f>
      </c>
    </row>
    <row r="477" spans="1:28" x14ac:dyDescent="0.25">
      <c r="A477" s="8"/>
      <c r="D477" s="9"/>
      <c r="J477" s="4"/>
      <c r="K477" s="4"/>
      <c r="L477" s="4">
        <f>IF($K477="","",K477-J477)</f>
      </c>
      <c r="M477" s="4">
        <f>IF($K477="","",L477*16.67%)</f>
      </c>
      <c r="N477" s="4">
        <f>IF($K477="","",K477/100*11)</f>
      </c>
      <c r="O477" s="4">
        <v>8.99</v>
      </c>
      <c r="P477" s="4"/>
      <c r="Q477" s="4">
        <f>IF($K477="","",P477*20%)</f>
      </c>
      <c r="R477" s="4">
        <v>1</v>
      </c>
      <c r="S477" s="4">
        <f>IF($K477="","",L477-M477-N477-O477-P477-Q477-R477)</f>
      </c>
      <c r="T477" s="4">
        <f>IF($K477="","",(S477-V477)/J477*100)</f>
      </c>
      <c r="U477" s="4">
        <f>IF($K477="","",M477-Q477)</f>
      </c>
      <c r="W477" s="4">
        <f>IF($K477="","",S477-V477)</f>
      </c>
    </row>
    <row r="478" spans="1:28" x14ac:dyDescent="0.25">
      <c r="A478" s="8"/>
      <c r="D478" s="9"/>
      <c r="J478" s="4"/>
      <c r="K478" s="4"/>
      <c r="L478" s="4">
        <f>IF($K478="","",K478-J478)</f>
      </c>
      <c r="M478" s="4">
        <f>IF($K478="","",L478*16.67%)</f>
      </c>
      <c r="N478" s="4">
        <f>IF($K478="","",K478/100*11)</f>
      </c>
      <c r="O478" s="4">
        <v>8.99</v>
      </c>
      <c r="P478" s="4"/>
      <c r="Q478" s="4">
        <f>IF($K478="","",P478*20%)</f>
      </c>
      <c r="R478" s="4">
        <v>1</v>
      </c>
      <c r="S478" s="4">
        <f>IF($K478="","",L478-M478-N478-O478-P478-Q478-R478)</f>
      </c>
      <c r="T478" s="4">
        <f>IF($K478="","",(S478-V478)/J478*100)</f>
      </c>
      <c r="U478" s="4">
        <f>IF($K478="","",M478-Q478)</f>
      </c>
      <c r="W478" s="4">
        <f>IF($K478="","",S478-V478)</f>
      </c>
    </row>
    <row r="479" spans="1:28" x14ac:dyDescent="0.25">
      <c r="A479" s="8"/>
      <c r="D479" s="9"/>
      <c r="J479" s="4"/>
      <c r="K479" s="4"/>
      <c r="L479" s="4">
        <f>IF($K479="","",K479-J479)</f>
      </c>
      <c r="M479" s="4">
        <f>IF($K479="","",L479*16.67%)</f>
      </c>
      <c r="N479" s="4">
        <f>IF($K479="","",K479/100*11)</f>
      </c>
      <c r="O479" s="4">
        <v>8.99</v>
      </c>
      <c r="P479" s="4"/>
      <c r="Q479" s="4">
        <f>IF($K479="","",P479*20%)</f>
      </c>
      <c r="R479" s="4">
        <v>1</v>
      </c>
      <c r="S479" s="4">
        <f>IF($K479="","",L479-M479-N479-O479-P479-Q479-R479)</f>
      </c>
      <c r="T479" s="4">
        <f>IF($K479="","",(S479-V479)/J479*100)</f>
      </c>
      <c r="U479" s="4">
        <f>IF($K479="","",M479-Q479)</f>
      </c>
      <c r="W479" s="4">
        <f>IF($K479="","",S479-V479)</f>
      </c>
    </row>
    <row r="480" spans="1:28" x14ac:dyDescent="0.25">
      <c r="A480" s="8"/>
      <c r="D480" s="9"/>
      <c r="J480" s="4"/>
      <c r="K480" s="4"/>
      <c r="L480" s="4">
        <f>IF($K480="","",K480-J480)</f>
      </c>
      <c r="M480" s="4">
        <f>IF($K480="","",L480*16.67%)</f>
      </c>
      <c r="N480" s="4">
        <f>IF($K480="","",K480/100*11)</f>
      </c>
      <c r="O480" s="4">
        <v>8.99</v>
      </c>
      <c r="P480" s="4"/>
      <c r="Q480" s="4">
        <f>IF($K480="","",P480*20%)</f>
      </c>
      <c r="R480" s="4">
        <v>1</v>
      </c>
      <c r="S480" s="4">
        <f>IF($K480="","",L480-M480-N480-O480-P480-Q480-R480)</f>
      </c>
      <c r="T480" s="4">
        <f>IF($K480="","",(S480-V480)/J480*100)</f>
      </c>
      <c r="U480" s="4">
        <f>IF($K480="","",M480-Q480)</f>
      </c>
      <c r="W480" s="4">
        <f>IF($K480="","",S480-V480)</f>
      </c>
    </row>
    <row r="481" spans="1:28" x14ac:dyDescent="0.25">
      <c r="A481" s="8"/>
      <c r="D481" s="9"/>
      <c r="J481" s="4"/>
      <c r="K481" s="4"/>
      <c r="L481" s="4">
        <f>IF($K481="","",K481-J481)</f>
      </c>
      <c r="M481" s="4">
        <f>IF($K481="","",L481*16.67%)</f>
      </c>
      <c r="N481" s="4">
        <f>IF($K481="","",K481/100*11)</f>
      </c>
      <c r="O481" s="4">
        <v>8.99</v>
      </c>
      <c r="P481" s="4"/>
      <c r="Q481" s="4">
        <f>IF($K481="","",P481*20%)</f>
      </c>
      <c r="R481" s="4">
        <v>1</v>
      </c>
      <c r="S481" s="4">
        <f>IF($K481="","",L481-M481-N481-O481-P481-Q481-R481)</f>
      </c>
      <c r="T481" s="4">
        <f>IF($K481="","",(S481-V481)/J481*100)</f>
      </c>
      <c r="U481" s="4">
        <f>IF($K481="","",M481-Q481)</f>
      </c>
      <c r="W481" s="4">
        <f>IF($K481="","",S481-V481)</f>
      </c>
    </row>
    <row r="482" spans="1:28" x14ac:dyDescent="0.25">
      <c r="A482" s="8"/>
      <c r="D482" s="9"/>
      <c r="J482" s="4"/>
      <c r="K482" s="4"/>
      <c r="L482" s="4">
        <f>IF($K482="","",K482-J482)</f>
      </c>
      <c r="M482" s="4">
        <f>IF($K482="","",L482*16.67%)</f>
      </c>
      <c r="N482" s="4">
        <f>IF($K482="","",K482/100*11)</f>
      </c>
      <c r="O482" s="4">
        <v>8.99</v>
      </c>
      <c r="P482" s="4"/>
      <c r="Q482" s="4">
        <f>IF($K482="","",P482*20%)</f>
      </c>
      <c r="R482" s="4">
        <v>1</v>
      </c>
      <c r="S482" s="4">
        <f>IF($K482="","",L482-M482-N482-O482-P482-Q482-R482)</f>
      </c>
      <c r="T482" s="4">
        <f>IF($K482="","",(S482-V482)/J482*100)</f>
      </c>
      <c r="U482" s="4">
        <f>IF($K482="","",M482-Q482)</f>
      </c>
      <c r="W482" s="4">
        <f>IF($K482="","",S482-V482)</f>
      </c>
    </row>
    <row r="483" spans="1:28" x14ac:dyDescent="0.25">
      <c r="A483" s="8"/>
      <c r="D483" s="9"/>
      <c r="J483" s="4"/>
      <c r="K483" s="4"/>
      <c r="L483" s="4">
        <f>IF($K483="","",K483-J483)</f>
      </c>
      <c r="M483" s="4">
        <f>IF($K483="","",L483*16.67%)</f>
      </c>
      <c r="N483" s="4">
        <f>IF($K483="","",K483/100*11)</f>
      </c>
      <c r="O483" s="4">
        <v>8.99</v>
      </c>
      <c r="P483" s="4"/>
      <c r="Q483" s="4">
        <f>IF($K483="","",P483*20%)</f>
      </c>
      <c r="R483" s="4">
        <v>1</v>
      </c>
      <c r="S483" s="4">
        <f>IF($K483="","",L483-M483-N483-O483-P483-Q483-R483)</f>
      </c>
      <c r="T483" s="4">
        <f>IF($K483="","",(S483-V483)/J483*100)</f>
      </c>
      <c r="U483" s="4">
        <f>IF($K483="","",M483-Q483)</f>
      </c>
      <c r="W483" s="4">
        <f>IF($K483="","",S483-V483)</f>
      </c>
    </row>
    <row r="484" spans="1:28" x14ac:dyDescent="0.25">
      <c r="A484" s="8"/>
      <c r="D484" s="9"/>
      <c r="J484" s="4"/>
      <c r="K484" s="4"/>
      <c r="L484" s="4">
        <f>IF($K484="","",K484-J484)</f>
      </c>
      <c r="M484" s="4">
        <f>IF($K484="","",L484*16.67%)</f>
      </c>
      <c r="N484" s="4">
        <f>IF($K484="","",K484/100*11)</f>
      </c>
      <c r="O484" s="4">
        <v>8.99</v>
      </c>
      <c r="P484" s="4"/>
      <c r="Q484" s="4">
        <f>IF($K484="","",P484*20%)</f>
      </c>
      <c r="R484" s="4">
        <v>1</v>
      </c>
      <c r="S484" s="4">
        <f>IF($K484="","",L484-M484-N484-O484-P484-Q484-R484)</f>
      </c>
      <c r="T484" s="4">
        <f>IF($K484="","",(S484-V484)/J484*100)</f>
      </c>
      <c r="U484" s="4">
        <f>IF($K484="","",M484-Q484)</f>
      </c>
      <c r="W484" s="4">
        <f>IF($K484="","",S484-V484)</f>
      </c>
    </row>
    <row r="485" spans="1:28" x14ac:dyDescent="0.25">
      <c r="A485" s="8"/>
      <c r="D485" s="9"/>
      <c r="J485" s="4"/>
      <c r="K485" s="4"/>
      <c r="L485" s="4">
        <f>IF($K485="","",K485-J485)</f>
      </c>
      <c r="M485" s="4">
        <f>IF($K485="","",L485*16.67%)</f>
      </c>
      <c r="N485" s="4">
        <f>IF($K485="","",K485/100*11)</f>
      </c>
      <c r="O485" s="4">
        <v>8.99</v>
      </c>
      <c r="P485" s="4"/>
      <c r="Q485" s="4">
        <f>IF($K485="","",P485*20%)</f>
      </c>
      <c r="R485" s="4">
        <v>1</v>
      </c>
      <c r="S485" s="4">
        <f>IF($K485="","",L485-M485-N485-O485-P485-Q485-R485)</f>
      </c>
      <c r="T485" s="4">
        <f>IF($K485="","",(S485-V485)/J485*100)</f>
      </c>
      <c r="U485" s="4">
        <f>IF($K485="","",M485-Q485)</f>
      </c>
      <c r="W485" s="4">
        <f>IF($K485="","",S485-V485)</f>
      </c>
    </row>
    <row r="486" spans="1:28" x14ac:dyDescent="0.25">
      <c r="A486" s="8"/>
      <c r="D486" s="9"/>
      <c r="J486" s="4"/>
      <c r="K486" s="4"/>
      <c r="L486" s="4">
        <f>IF($K486="","",K486-J486)</f>
      </c>
      <c r="M486" s="4">
        <f>IF($K486="","",L486*16.67%)</f>
      </c>
      <c r="N486" s="4">
        <f>IF($K486="","",K486/100*11)</f>
      </c>
      <c r="O486" s="4">
        <v>8.99</v>
      </c>
      <c r="P486" s="4"/>
      <c r="Q486" s="4">
        <f>IF($K486="","",P486*20%)</f>
      </c>
      <c r="R486" s="4">
        <v>1</v>
      </c>
      <c r="S486" s="4">
        <f>IF($K486="","",L486-M486-N486-O486-P486-Q486-R486)</f>
      </c>
      <c r="T486" s="4">
        <f>IF($K486="","",(S486-V486)/J486*100)</f>
      </c>
      <c r="U486" s="4">
        <f>IF($K486="","",M486-Q486)</f>
      </c>
      <c r="W486" s="4">
        <f>IF($K486="","",S486-V486)</f>
      </c>
    </row>
    <row r="487" spans="1:28" x14ac:dyDescent="0.25">
      <c r="A487" s="8"/>
      <c r="D487" s="9"/>
      <c r="J487" s="4"/>
      <c r="K487" s="4"/>
      <c r="L487" s="4">
        <f>IF($K487="","",K487-J487)</f>
      </c>
      <c r="M487" s="4">
        <f>IF($K487="","",L487*16.67%)</f>
      </c>
      <c r="N487" s="4">
        <f>IF($K487="","",K487/100*11)</f>
      </c>
      <c r="O487" s="4">
        <v>8.99</v>
      </c>
      <c r="P487" s="4"/>
      <c r="Q487" s="4">
        <f>IF($K487="","",P487*20%)</f>
      </c>
      <c r="R487" s="4">
        <v>1</v>
      </c>
      <c r="S487" s="4">
        <f>IF($K487="","",L487-M487-N487-O487-P487-Q487-R487)</f>
      </c>
      <c r="T487" s="4">
        <f>IF($K487="","",(S487-V487)/J487*100)</f>
      </c>
      <c r="U487" s="4">
        <f>IF($K487="","",M487-Q487)</f>
      </c>
      <c r="W487" s="4">
        <f>IF($K487="","",S487-V487)</f>
      </c>
    </row>
    <row r="488" spans="1:28" x14ac:dyDescent="0.25">
      <c r="A488" s="8"/>
      <c r="D488" s="9"/>
      <c r="J488" s="4"/>
      <c r="K488" s="4"/>
      <c r="L488" s="4">
        <f>IF($K488="","",K488-J488)</f>
      </c>
      <c r="M488" s="4">
        <f>IF($K488="","",L488*16.67%)</f>
      </c>
      <c r="N488" s="4">
        <f>IF($K488="","",K488/100*11)</f>
      </c>
      <c r="O488" s="4">
        <v>8.99</v>
      </c>
      <c r="P488" s="4"/>
      <c r="Q488" s="4">
        <f>IF($K488="","",P488*20%)</f>
      </c>
      <c r="R488" s="4">
        <v>1</v>
      </c>
      <c r="S488" s="4">
        <f>IF($K488="","",L488-M488-N488-O488-P488-Q488-R488)</f>
      </c>
      <c r="T488" s="4">
        <f>IF($K488="","",(S488-V488)/J488*100)</f>
      </c>
      <c r="U488" s="4">
        <f>IF($K488="","",M488-Q488)</f>
      </c>
      <c r="W488" s="4">
        <f>IF($K488="","",S488-V488)</f>
      </c>
    </row>
    <row r="489" spans="1:28" x14ac:dyDescent="0.25">
      <c r="A489" s="8"/>
      <c r="D489" s="9"/>
      <c r="J489" s="4"/>
      <c r="K489" s="4"/>
      <c r="L489" s="4">
        <f>IF($K489="","",K489-J489)</f>
      </c>
      <c r="M489" s="4">
        <f>IF($K489="","",L489*16.67%)</f>
      </c>
      <c r="N489" s="4">
        <f>IF($K489="","",K489/100*11)</f>
      </c>
      <c r="O489" s="4">
        <v>8.99</v>
      </c>
      <c r="P489" s="4"/>
      <c r="Q489" s="4">
        <f>IF($K489="","",P489*20%)</f>
      </c>
      <c r="R489" s="4">
        <v>1</v>
      </c>
      <c r="S489" s="4">
        <f>IF($K489="","",L489-M489-N489-O489-P489-Q489-R489)</f>
      </c>
      <c r="T489" s="4">
        <f>IF($K489="","",(S489-V489)/J489*100)</f>
      </c>
      <c r="U489" s="4">
        <f>IF($K489="","",M489-Q489)</f>
      </c>
      <c r="W489" s="4">
        <f>IF($K489="","",S489-V489)</f>
      </c>
    </row>
    <row r="490" spans="1:28" x14ac:dyDescent="0.25">
      <c r="A490" s="8"/>
      <c r="D490" s="9"/>
      <c r="J490" s="4"/>
      <c r="K490" s="4"/>
      <c r="L490" s="4">
        <f>IF($K490="","",K490-J490)</f>
      </c>
      <c r="M490" s="4">
        <f>IF($K490="","",L490*16.67%)</f>
      </c>
      <c r="N490" s="4">
        <f>IF($K490="","",K490/100*11)</f>
      </c>
      <c r="O490" s="4">
        <v>8.99</v>
      </c>
      <c r="P490" s="4"/>
      <c r="Q490" s="4">
        <f>IF($K490="","",P490*20%)</f>
      </c>
      <c r="R490" s="4">
        <v>1</v>
      </c>
      <c r="S490" s="4">
        <f>IF($K490="","",L490-M490-N490-O490-P490-Q490-R490)</f>
      </c>
      <c r="T490" s="4">
        <f>IF($K490="","",(S490-V490)/J490*100)</f>
      </c>
      <c r="U490" s="4">
        <f>IF($K490="","",M490-Q490)</f>
      </c>
      <c r="W490" s="4">
        <f>IF($K490="","",S490-V490)</f>
      </c>
    </row>
    <row r="491" spans="1:28" x14ac:dyDescent="0.25">
      <c r="A491" s="8"/>
      <c r="D491" s="9"/>
      <c r="J491" s="4"/>
      <c r="K491" s="4"/>
      <c r="L491" s="4">
        <f>IF($K491="","",K491-J491)</f>
      </c>
      <c r="M491" s="4">
        <f>IF($K491="","",L491*16.67%)</f>
      </c>
      <c r="N491" s="4">
        <f>IF($K491="","",K491/100*11)</f>
      </c>
      <c r="O491" s="4">
        <v>8.99</v>
      </c>
      <c r="P491" s="4"/>
      <c r="Q491" s="4">
        <f>IF($K491="","",P491*20%)</f>
      </c>
      <c r="R491" s="4">
        <v>1</v>
      </c>
      <c r="S491" s="4">
        <f>IF($K491="","",L491-M491-N491-O491-P491-Q491-R491)</f>
      </c>
      <c r="T491" s="4">
        <f>IF($K491="","",(S491-V491)/J491*100)</f>
      </c>
      <c r="U491" s="4">
        <f>IF($K491="","",M491-Q491)</f>
      </c>
      <c r="W491" s="4">
        <f>IF($K491="","",S491-V491)</f>
      </c>
    </row>
    <row r="492" spans="1:28" x14ac:dyDescent="0.25">
      <c r="A492" s="8"/>
      <c r="D492" s="9"/>
      <c r="J492" s="4"/>
      <c r="K492" s="4"/>
      <c r="L492" s="4">
        <f>IF($K492="","",K492-J492)</f>
      </c>
      <c r="M492" s="4">
        <f>IF($K492="","",L492*16.67%)</f>
      </c>
      <c r="N492" s="4">
        <f>IF($K492="","",K492/100*11)</f>
      </c>
      <c r="O492" s="4">
        <v>8.99</v>
      </c>
      <c r="P492" s="4"/>
      <c r="Q492" s="4">
        <f>IF($K492="","",P492*20%)</f>
      </c>
      <c r="R492" s="4">
        <v>1</v>
      </c>
      <c r="S492" s="4">
        <f>IF($K492="","",L492-M492-N492-O492-P492-Q492-R492)</f>
      </c>
      <c r="T492" s="4">
        <f>IF($K492="","",(S492-V492)/J492*100)</f>
      </c>
      <c r="U492" s="4">
        <f>IF($K492="","",M492-Q492)</f>
      </c>
      <c r="W492" s="4">
        <f>IF($K492="","",S492-V492)</f>
      </c>
    </row>
    <row r="493" spans="1:28" x14ac:dyDescent="0.25">
      <c r="A493" s="8"/>
      <c r="D493" s="9"/>
      <c r="J493" s="4"/>
      <c r="K493" s="4"/>
      <c r="L493" s="4">
        <f>IF($K493="","",K493-J493)</f>
      </c>
      <c r="M493" s="4">
        <f>IF($K493="","",L493*16.67%)</f>
      </c>
      <c r="N493" s="4">
        <f>IF($K493="","",K493/100*11)</f>
      </c>
      <c r="O493" s="4">
        <v>8.99</v>
      </c>
      <c r="P493" s="4"/>
      <c r="Q493" s="4">
        <f>IF($K493="","",P493*20%)</f>
      </c>
      <c r="R493" s="4">
        <v>1</v>
      </c>
      <c r="S493" s="4">
        <f>IF($K493="","",L493-M493-N493-O493-P493-Q493-R493)</f>
      </c>
      <c r="T493" s="4">
        <f>IF($K493="","",(S493-V493)/J493*100)</f>
      </c>
      <c r="U493" s="4">
        <f>IF($K493="","",M493-Q493)</f>
      </c>
      <c r="W493" s="4">
        <f>IF($K493="","",S493-V493)</f>
      </c>
    </row>
    <row r="494" spans="1:28" x14ac:dyDescent="0.25">
      <c r="A494" s="8"/>
      <c r="D494" s="9"/>
      <c r="J494" s="4"/>
      <c r="K494" s="4"/>
      <c r="L494" s="4">
        <f>IF($K494="","",K494-J494)</f>
      </c>
      <c r="M494" s="4">
        <f>IF($K494="","",L494*16.67%)</f>
      </c>
      <c r="N494" s="4">
        <f>IF($K494="","",K494/100*11)</f>
      </c>
      <c r="O494" s="4">
        <v>8.99</v>
      </c>
      <c r="P494" s="4"/>
      <c r="Q494" s="4">
        <f>IF($K494="","",P494*20%)</f>
      </c>
      <c r="R494" s="4">
        <v>1</v>
      </c>
      <c r="S494" s="4">
        <f>IF($K494="","",L494-M494-N494-O494-P494-Q494-R494)</f>
      </c>
      <c r="T494" s="4">
        <f>IF($K494="","",(S494-V494)/J494*100)</f>
      </c>
      <c r="U494" s="4">
        <f>IF($K494="","",M494-Q494)</f>
      </c>
      <c r="W494" s="4">
        <f>IF($K494="","",S494-V494)</f>
      </c>
    </row>
    <row r="495" spans="1:28" x14ac:dyDescent="0.25">
      <c r="A495" s="8"/>
      <c r="D495" s="9"/>
      <c r="J495" s="4"/>
      <c r="K495" s="4"/>
      <c r="L495" s="4">
        <f>IF($K495="","",K495-J495)</f>
      </c>
      <c r="M495" s="4">
        <f>IF($K495="","",L495*16.67%)</f>
      </c>
      <c r="N495" s="4">
        <f>IF($K495="","",K495/100*11)</f>
      </c>
      <c r="O495" s="4">
        <v>8.99</v>
      </c>
      <c r="P495" s="4"/>
      <c r="Q495" s="4">
        <f>IF($K495="","",P495*20%)</f>
      </c>
      <c r="R495" s="4">
        <v>1</v>
      </c>
      <c r="S495" s="4">
        <f>IF($K495="","",L495-M495-N495-O495-P495-Q495-R495)</f>
      </c>
      <c r="T495" s="4">
        <f>IF($K495="","",(S495-V495)/J495*100)</f>
      </c>
      <c r="U495" s="4">
        <f>IF($K495="","",M495-Q495)</f>
      </c>
      <c r="W495" s="4">
        <f>IF($K495="","",S495-V495)</f>
      </c>
    </row>
    <row r="496" spans="1:28" x14ac:dyDescent="0.25">
      <c r="A496" s="8"/>
      <c r="D496" s="9"/>
      <c r="J496" s="4"/>
      <c r="K496" s="4"/>
      <c r="L496" s="4">
        <f>IF($K496="","",K496-J496)</f>
      </c>
      <c r="M496" s="4">
        <f>IF($K496="","",L496*16.67%)</f>
      </c>
      <c r="N496" s="4">
        <f>IF($K496="","",K496/100*11)</f>
      </c>
      <c r="O496" s="4">
        <v>8.99</v>
      </c>
      <c r="P496" s="4"/>
      <c r="Q496" s="4">
        <f>IF($K496="","",P496*20%)</f>
      </c>
      <c r="R496" s="4">
        <v>1</v>
      </c>
      <c r="S496" s="4">
        <f>IF($K496="","",L496-M496-N496-O496-P496-Q496-R496)</f>
      </c>
      <c r="T496" s="4">
        <f>IF($K496="","",(S496-V496)/J496*100)</f>
      </c>
      <c r="U496" s="4">
        <f>IF($K496="","",M496-Q496)</f>
      </c>
      <c r="W496" s="4">
        <f>IF($K496="","",S496-V496)</f>
      </c>
    </row>
    <row r="497" spans="1:28" x14ac:dyDescent="0.25">
      <c r="A497" s="8"/>
      <c r="D497" s="9"/>
      <c r="J497" s="4"/>
      <c r="K497" s="4"/>
      <c r="L497" s="4">
        <f>IF($K497="","",K497-J497)</f>
      </c>
      <c r="M497" s="4">
        <f>IF($K497="","",L497*16.67%)</f>
      </c>
      <c r="N497" s="4">
        <f>IF($K497="","",K497/100*11)</f>
      </c>
      <c r="O497" s="4">
        <v>8.99</v>
      </c>
      <c r="P497" s="4"/>
      <c r="Q497" s="4">
        <f>IF($K497="","",P497*20%)</f>
      </c>
      <c r="R497" s="4">
        <v>1</v>
      </c>
      <c r="S497" s="4">
        <f>IF($K497="","",L497-M497-N497-O497-P497-Q497-R497)</f>
      </c>
      <c r="T497" s="4">
        <f>IF($K497="","",(S497-V497)/J497*100)</f>
      </c>
      <c r="U497" s="4">
        <f>IF($K497="","",M497-Q497)</f>
      </c>
      <c r="W497" s="4">
        <f>IF($K497="","",S497-V497)</f>
      </c>
    </row>
    <row r="498" spans="1:28" x14ac:dyDescent="0.25">
      <c r="A498" s="8"/>
      <c r="D498" s="9"/>
      <c r="J498" s="4"/>
      <c r="K498" s="4"/>
      <c r="L498" s="4">
        <f>IF($K498="","",K498-J498)</f>
      </c>
      <c r="M498" s="4">
        <f>IF($K498="","",L498*16.67%)</f>
      </c>
      <c r="N498" s="4">
        <f>IF($K498="","",K498/100*11)</f>
      </c>
      <c r="O498" s="4">
        <v>8.99</v>
      </c>
      <c r="P498" s="4"/>
      <c r="Q498" s="4">
        <f>IF($K498="","",P498*20%)</f>
      </c>
      <c r="R498" s="4">
        <v>1</v>
      </c>
      <c r="S498" s="4">
        <f>IF($K498="","",L498-M498-N498-O498-P498-Q498-R498)</f>
      </c>
      <c r="T498" s="4">
        <f>IF($K498="","",(S498-V498)/J498*100)</f>
      </c>
      <c r="U498" s="4">
        <f>IF($K498="","",M498-Q498)</f>
      </c>
      <c r="W498" s="4">
        <f>IF($K498="","",S498-V498)</f>
      </c>
    </row>
    <row r="499" spans="1:28" x14ac:dyDescent="0.25">
      <c r="A499" s="8"/>
      <c r="D499" s="9"/>
      <c r="J499" s="4"/>
      <c r="K499" s="4"/>
      <c r="L499" s="4">
        <f>IF($K499="","",K499-J499)</f>
      </c>
      <c r="M499" s="4">
        <f>IF($K499="","",L499*16.67%)</f>
      </c>
      <c r="N499" s="4">
        <f>IF($K499="","",K499/100*11)</f>
      </c>
      <c r="O499" s="4">
        <v>8.99</v>
      </c>
      <c r="P499" s="4"/>
      <c r="Q499" s="4">
        <f>IF($K499="","",P499*20%)</f>
      </c>
      <c r="R499" s="4">
        <v>1</v>
      </c>
      <c r="S499" s="4">
        <f>IF($K499="","",L499-M499-N499-O499-P499-Q499-R499)</f>
      </c>
      <c r="T499" s="4">
        <f>IF($K499="","",(S499-V499)/J499*100)</f>
      </c>
      <c r="U499" s="4">
        <f>IF($K499="","",M499-Q499)</f>
      </c>
      <c r="W499" s="4">
        <f>IF($K499="","",S499-V499)</f>
      </c>
    </row>
    <row r="500" spans="1:28" x14ac:dyDescent="0.25">
      <c r="A500" s="8"/>
      <c r="D500" s="9"/>
      <c r="J500" s="4"/>
      <c r="K500" s="4"/>
      <c r="L500" s="4">
        <f>IF($K500="","",K500-J500)</f>
      </c>
      <c r="M500" s="4">
        <f>IF($K500="","",L500*16.67%)</f>
      </c>
      <c r="N500" s="4">
        <f>IF($K500="","",K500/100*11)</f>
      </c>
      <c r="O500" s="4">
        <v>8.99</v>
      </c>
      <c r="P500" s="4"/>
      <c r="Q500" s="4">
        <f>IF($K500="","",P500*20%)</f>
      </c>
      <c r="R500" s="4">
        <v>1</v>
      </c>
      <c r="S500" s="4">
        <f>IF($K500="","",L500-M500-N500-O500-P500-Q500-R500)</f>
      </c>
      <c r="T500" s="4">
        <f>IF($K500="","",(S500-V500)/J500*100)</f>
      </c>
      <c r="U500" s="4">
        <f>IF($K500="","",M500-Q500)</f>
      </c>
      <c r="W500" s="4">
        <f>IF($K500="","",S500-V500)</f>
      </c>
    </row>
    <row r="501" spans="1:28" x14ac:dyDescent="0.25">
      <c r="A501" s="8"/>
      <c r="D501" s="9"/>
      <c r="J501" s="4"/>
      <c r="K501" s="4"/>
      <c r="L501" s="4">
        <f>IF($K501="","",K501-J501)</f>
      </c>
      <c r="M501" s="4">
        <f>IF($K501="","",L501*16.67%)</f>
      </c>
      <c r="N501" s="4">
        <f>IF($K501="","",K501/100*11)</f>
      </c>
      <c r="O501" s="4">
        <v>8.99</v>
      </c>
      <c r="P501" s="4"/>
      <c r="Q501" s="4">
        <f>IF($K501="","",P501*20%)</f>
      </c>
      <c r="R501" s="4">
        <v>1</v>
      </c>
      <c r="S501" s="4">
        <f>IF($K501="","",L501-M501-N501-O501-P501-Q501-R501)</f>
      </c>
      <c r="T501" s="4">
        <f>IF($K501="","",(S501-V501)/J501*100)</f>
      </c>
      <c r="U501" s="4">
        <f>IF($K501="","",M501-Q501)</f>
      </c>
      <c r="W501" s="4">
        <f>IF($K501="","",S501-V501)</f>
      </c>
    </row>
    <row r="502" spans="1:28" x14ac:dyDescent="0.25">
      <c r="A502" s="8"/>
      <c r="D502" s="9"/>
      <c r="J502" s="4"/>
      <c r="K502" s="4"/>
      <c r="L502" s="4">
        <f>IF($K502="","",K502-J502)</f>
      </c>
      <c r="M502" s="4">
        <f>IF($K502="","",L502*16.67%)</f>
      </c>
      <c r="N502" s="4">
        <f>IF($K502="","",K502/100*11)</f>
      </c>
      <c r="O502" s="4">
        <v>8.99</v>
      </c>
      <c r="P502" s="4"/>
      <c r="Q502" s="4">
        <f>IF($K502="","",P502*20%)</f>
      </c>
      <c r="R502" s="4">
        <v>1</v>
      </c>
      <c r="S502" s="4">
        <f>IF($K502="","",L502-M502-N502-O502-P502-Q502-R502)</f>
      </c>
      <c r="T502" s="4">
        <f>IF($K502="","",(S502-V502)/J502*100)</f>
      </c>
      <c r="U502" s="4">
        <f>IF($K502="","",M502-Q502)</f>
      </c>
      <c r="W502" s="4">
        <f>IF($K502="","",S502-V502)</f>
      </c>
    </row>
    <row r="503" spans="1:28" x14ac:dyDescent="0.25">
      <c r="A503" s="8"/>
      <c r="D503" s="9"/>
      <c r="J503" s="4"/>
      <c r="K503" s="4"/>
      <c r="L503" s="4">
        <f>IF($K503="","",K503-J503)</f>
      </c>
      <c r="M503" s="4">
        <f>IF($K503="","",L503*16.67%)</f>
      </c>
      <c r="N503" s="4">
        <f>IF($K503="","",K503/100*11)</f>
      </c>
      <c r="O503" s="4">
        <v>8.99</v>
      </c>
      <c r="P503" s="4"/>
      <c r="Q503" s="4">
        <f>IF($K503="","",P503*20%)</f>
      </c>
      <c r="R503" s="4">
        <v>1</v>
      </c>
      <c r="S503" s="4">
        <f>IF($K503="","",L503-M503-N503-O503-P503-Q503-R503)</f>
      </c>
      <c r="T503" s="4">
        <f>IF($K503="","",(S503-V503)/J503*100)</f>
      </c>
      <c r="U503" s="4">
        <f>IF($K503="","",M503-Q503)</f>
      </c>
      <c r="W503" s="4">
        <f>IF($K503="","",S503-V503)</f>
      </c>
    </row>
    <row r="504" spans="1:28" x14ac:dyDescent="0.25">
      <c r="A504" s="8"/>
      <c r="D504" s="9"/>
      <c r="J504" s="4"/>
      <c r="K504" s="4"/>
      <c r="L504" s="4">
        <f>IF($K504="","",K504-J504)</f>
      </c>
      <c r="M504" s="4">
        <f>IF($K504="","",L504*16.67%)</f>
      </c>
      <c r="N504" s="4">
        <f>IF($K504="","",K504/100*11)</f>
      </c>
      <c r="O504" s="4">
        <v>8.99</v>
      </c>
      <c r="P504" s="4"/>
      <c r="Q504" s="4">
        <f>IF($K504="","",P504*20%)</f>
      </c>
      <c r="R504" s="4">
        <v>1</v>
      </c>
      <c r="S504" s="4">
        <f>IF($K504="","",L504-M504-N504-O504-P504-Q504-R504)</f>
      </c>
      <c r="T504" s="4">
        <f>IF($K504="","",(S504-V504)/J504*100)</f>
      </c>
      <c r="U504" s="4">
        <f>IF($K504="","",M504-Q504)</f>
      </c>
      <c r="W504" s="4">
        <f>IF($K504="","",S504-V504)</f>
      </c>
    </row>
    <row r="505" spans="1:28" x14ac:dyDescent="0.25">
      <c r="A505" s="8"/>
      <c r="D505" s="9"/>
      <c r="J505" s="4"/>
      <c r="K505" s="4"/>
      <c r="L505" s="4">
        <f>IF($K505="","",K505-J505)</f>
      </c>
      <c r="M505" s="4">
        <f>IF($K505="","",L505*16.67%)</f>
      </c>
      <c r="N505" s="4">
        <f>IF($K505="","",K505/100*11)</f>
      </c>
      <c r="O505" s="4">
        <v>8.99</v>
      </c>
      <c r="P505" s="4"/>
      <c r="Q505" s="4">
        <f>IF($K505="","",P505*20%)</f>
      </c>
      <c r="R505" s="4">
        <v>1</v>
      </c>
      <c r="S505" s="4">
        <f>IF($K505="","",L505-M505-N505-O505-P505-Q505-R505)</f>
      </c>
      <c r="T505" s="4">
        <f>IF($K505="","",(S505-V505)/J505*100)</f>
      </c>
      <c r="U505" s="4">
        <f>IF($K505="","",M505-Q505)</f>
      </c>
      <c r="W505" s="4">
        <f>IF($K505="","",S505-V505)</f>
      </c>
    </row>
    <row r="506" spans="1:28" x14ac:dyDescent="0.25">
      <c r="A506" s="8"/>
      <c r="D506" s="9"/>
      <c r="J506" s="4"/>
      <c r="K506" s="4"/>
      <c r="L506" s="4">
        <f>IF($K506="","",K506-J506)</f>
      </c>
      <c r="M506" s="4">
        <f>IF($K506="","",L506*16.67%)</f>
      </c>
      <c r="N506" s="4">
        <f>IF($K506="","",K506/100*11)</f>
      </c>
      <c r="O506" s="4">
        <v>8.99</v>
      </c>
      <c r="P506" s="4"/>
      <c r="Q506" s="4">
        <f>IF($K506="","",P506*20%)</f>
      </c>
      <c r="R506" s="4">
        <v>1</v>
      </c>
      <c r="S506" s="4">
        <f>IF($K506="","",L506-M506-N506-O506-P506-Q506-R506)</f>
      </c>
      <c r="T506" s="4">
        <f>IF($K506="","",(S506-V506)/J506*100)</f>
      </c>
      <c r="U506" s="4">
        <f>IF($K506="","",M506-Q506)</f>
      </c>
      <c r="W506" s="4">
        <f>IF($K506="","",S506-V506)</f>
      </c>
    </row>
    <row r="507" spans="1:28" x14ac:dyDescent="0.25">
      <c r="A507" s="8"/>
      <c r="D507" s="9"/>
      <c r="J507" s="4"/>
      <c r="K507" s="4"/>
      <c r="L507" s="4">
        <f>IF($K507="","",K507-J507)</f>
      </c>
      <c r="M507" s="4">
        <f>IF($K507="","",L507*16.67%)</f>
      </c>
      <c r="N507" s="4">
        <f>IF($K507="","",K507/100*11)</f>
      </c>
      <c r="O507" s="4">
        <v>8.99</v>
      </c>
      <c r="P507" s="4"/>
      <c r="Q507" s="4">
        <f>IF($K507="","",P507*20%)</f>
      </c>
      <c r="R507" s="4">
        <v>1</v>
      </c>
      <c r="S507" s="4">
        <f>IF($K507="","",L507-M507-N507-O507-P507-Q507-R507)</f>
      </c>
      <c r="T507" s="4">
        <f>IF($K507="","",(S507-V507)/J507*100)</f>
      </c>
      <c r="U507" s="4">
        <f>IF($K507="","",M507-Q507)</f>
      </c>
      <c r="W507" s="4">
        <f>IF($K507="","",S507-V507)</f>
      </c>
    </row>
    <row r="508" spans="1:28" x14ac:dyDescent="0.25">
      <c r="A508" s="8"/>
      <c r="D508" s="9"/>
      <c r="J508" s="4"/>
      <c r="K508" s="4"/>
      <c r="L508" s="4">
        <f>IF($K508="","",K508-J508)</f>
      </c>
      <c r="M508" s="4">
        <f>IF($K508="","",L508*16.67%)</f>
      </c>
      <c r="N508" s="4">
        <f>IF($K508="","",K508/100*11)</f>
      </c>
      <c r="O508" s="4">
        <v>8.99</v>
      </c>
      <c r="P508" s="4"/>
      <c r="Q508" s="4">
        <f>IF($K508="","",P508*20%)</f>
      </c>
      <c r="R508" s="4">
        <v>1</v>
      </c>
      <c r="S508" s="4">
        <f>IF($K508="","",L508-M508-N508-O508-P508-Q508-R508)</f>
      </c>
      <c r="T508" s="4">
        <f>IF($K508="","",(S508-V508)/J508*100)</f>
      </c>
      <c r="U508" s="4">
        <f>IF($K508="","",M508-Q508)</f>
      </c>
      <c r="W508" s="4">
        <f>IF($K508="","",S508-V508)</f>
      </c>
    </row>
    <row r="509" spans="1:28" x14ac:dyDescent="0.25">
      <c r="A509" s="8"/>
      <c r="D509" s="9"/>
      <c r="J509" s="4"/>
      <c r="K509" s="4"/>
      <c r="L509" s="4">
        <f>IF($K509="","",K509-J509)</f>
      </c>
      <c r="M509" s="4">
        <f>IF($K509="","",L509*16.67%)</f>
      </c>
      <c r="N509" s="4">
        <f>IF($K509="","",K509/100*11)</f>
      </c>
      <c r="O509" s="4">
        <v>8.99</v>
      </c>
      <c r="P509" s="4"/>
      <c r="Q509" s="4">
        <f>IF($K509="","",P509*20%)</f>
      </c>
      <c r="R509" s="4">
        <v>1</v>
      </c>
      <c r="S509" s="4">
        <f>IF($K509="","",L509-M509-N509-O509-P509-Q509-R509)</f>
      </c>
      <c r="T509" s="4">
        <f>IF($K509="","",(S509-V509)/J509*100)</f>
      </c>
      <c r="U509" s="4">
        <f>IF($K509="","",M509-Q509)</f>
      </c>
      <c r="W509" s="4">
        <f>IF($K509="","",S509-V509)</f>
      </c>
    </row>
    <row r="510" spans="1:28" x14ac:dyDescent="0.25">
      <c r="A510" s="8"/>
      <c r="D510" s="9"/>
      <c r="J510" s="4"/>
      <c r="K510" s="4"/>
      <c r="L510" s="4">
        <f>IF($K510="","",K510-J510)</f>
      </c>
      <c r="M510" s="4">
        <f>IF($K510="","",L510*16.67%)</f>
      </c>
      <c r="N510" s="4">
        <f>IF($K510="","",K510/100*11)</f>
      </c>
      <c r="O510" s="4">
        <v>8.99</v>
      </c>
      <c r="P510" s="4"/>
      <c r="Q510" s="4">
        <f>IF($K510="","",P510*20%)</f>
      </c>
      <c r="R510" s="4">
        <v>1</v>
      </c>
      <c r="S510" s="4">
        <f>IF($K510="","",L510-M510-N510-O510-P510-Q510-R510)</f>
      </c>
      <c r="T510" s="4">
        <f>IF($K510="","",(S510-V510)/J510*100)</f>
      </c>
      <c r="U510" s="4">
        <f>IF($K510="","",M510-Q510)</f>
      </c>
      <c r="W510" s="4">
        <f>IF($K510="","",S510-V510)</f>
      </c>
    </row>
    <row r="511" spans="1:28" x14ac:dyDescent="0.25">
      <c r="A511" s="8"/>
      <c r="D511" s="9"/>
      <c r="J511" s="4"/>
      <c r="K511" s="4"/>
      <c r="L511" s="4">
        <f>IF($K511="","",K511-J511)</f>
      </c>
      <c r="M511" s="4">
        <f>IF($K511="","",L511*16.67%)</f>
      </c>
      <c r="N511" s="4">
        <f>IF($K511="","",K511/100*11)</f>
      </c>
      <c r="O511" s="4">
        <v>8.99</v>
      </c>
      <c r="P511" s="4"/>
      <c r="Q511" s="4">
        <f>IF($K511="","",P511*20%)</f>
      </c>
      <c r="R511" s="4">
        <v>1</v>
      </c>
      <c r="S511" s="4">
        <f>IF($K511="","",L511-M511-N511-O511-P511-Q511-R511)</f>
      </c>
      <c r="T511" s="4">
        <f>IF($K511="","",(S511-V511)/J511*100)</f>
      </c>
      <c r="U511" s="4">
        <f>IF($K511="","",M511-Q511)</f>
      </c>
      <c r="W511" s="4">
        <f>IF($K511="","",S511-V511)</f>
      </c>
    </row>
    <row r="512" spans="1:28" x14ac:dyDescent="0.25">
      <c r="A512" s="8"/>
      <c r="D512" s="9"/>
      <c r="J512" s="4"/>
      <c r="K512" s="4"/>
      <c r="L512" s="4">
        <f>IF($K512="","",K512-J512)</f>
      </c>
      <c r="M512" s="4">
        <f>IF($K512="","",L512*16.67%)</f>
      </c>
      <c r="N512" s="4">
        <f>IF($K512="","",K512/100*11)</f>
      </c>
      <c r="O512" s="4">
        <v>8.99</v>
      </c>
      <c r="P512" s="4"/>
      <c r="Q512" s="4">
        <f>IF($K512="","",P512*20%)</f>
      </c>
      <c r="R512" s="4">
        <v>1</v>
      </c>
      <c r="S512" s="4">
        <f>IF($K512="","",L512-M512-N512-O512-P512-Q512-R512)</f>
      </c>
      <c r="T512" s="4">
        <f>IF($K512="","",(S512-V512)/J512*100)</f>
      </c>
      <c r="U512" s="4">
        <f>IF($K512="","",M512-Q512)</f>
      </c>
      <c r="W512" s="4">
        <f>IF($K512="","",S512-V512)</f>
      </c>
    </row>
    <row r="513" spans="1:28" x14ac:dyDescent="0.25">
      <c r="A513" s="8"/>
      <c r="D513" s="9"/>
      <c r="J513" s="4"/>
      <c r="K513" s="4"/>
      <c r="L513" s="4">
        <f>IF($K513="","",K513-J513)</f>
      </c>
      <c r="M513" s="4">
        <f>IF($K513="","",L513*16.67%)</f>
      </c>
      <c r="N513" s="4">
        <f>IF($K513="","",K513/100*11)</f>
      </c>
      <c r="O513" s="4">
        <v>8.99</v>
      </c>
      <c r="P513" s="4"/>
      <c r="Q513" s="4">
        <f>IF($K513="","",P513*20%)</f>
      </c>
      <c r="R513" s="4">
        <v>1</v>
      </c>
      <c r="S513" s="4">
        <f>IF($K513="","",L513-M513-N513-O513-P513-Q513-R513)</f>
      </c>
      <c r="T513" s="4">
        <f>IF($K513="","",(S513-V513)/J513*100)</f>
      </c>
      <c r="U513" s="4">
        <f>IF($K513="","",M513-Q513)</f>
      </c>
      <c r="W513" s="4">
        <f>IF($K513="","",S513-V513)</f>
      </c>
    </row>
    <row r="514" spans="1:28" x14ac:dyDescent="0.25">
      <c r="A514" s="8"/>
      <c r="D514" s="9"/>
      <c r="J514" s="4"/>
      <c r="K514" s="4"/>
      <c r="L514" s="4">
        <f>IF($K514="","",K514-J514)</f>
      </c>
      <c r="M514" s="4">
        <f>IF($K514="","",L514*16.67%)</f>
      </c>
      <c r="N514" s="4">
        <f>IF($K514="","",K514/100*11)</f>
      </c>
      <c r="O514" s="4">
        <v>8.99</v>
      </c>
      <c r="P514" s="4"/>
      <c r="Q514" s="4">
        <f>IF($K514="","",P514*20%)</f>
      </c>
      <c r="R514" s="4">
        <v>1</v>
      </c>
      <c r="S514" s="4">
        <f>IF($K514="","",L514-M514-N514-O514-P514-Q514-R514)</f>
      </c>
      <c r="T514" s="4">
        <f>IF($K514="","",(S514-V514)/J514*100)</f>
      </c>
      <c r="U514" s="4">
        <f>IF($K514="","",M514-Q514)</f>
      </c>
      <c r="W514" s="4">
        <f>IF($K514="","",S514-V514)</f>
      </c>
    </row>
    <row r="515" spans="1:28" x14ac:dyDescent="0.25">
      <c r="A515" s="8"/>
      <c r="D515" s="9"/>
      <c r="J515" s="4"/>
      <c r="K515" s="4"/>
      <c r="L515" s="4">
        <f>IF($K515="","",K515-J515)</f>
      </c>
      <c r="M515" s="4">
        <f>IF($K515="","",L515*16.67%)</f>
      </c>
      <c r="N515" s="4">
        <f>IF($K515="","",K515/100*11)</f>
      </c>
      <c r="O515" s="4">
        <v>8.99</v>
      </c>
      <c r="P515" s="4"/>
      <c r="Q515" s="4">
        <f>IF($K515="","",P515*20%)</f>
      </c>
      <c r="R515" s="4">
        <v>1</v>
      </c>
      <c r="S515" s="4">
        <f>IF($K515="","",L515-M515-N515-O515-P515-Q515-R515)</f>
      </c>
      <c r="T515" s="4">
        <f>IF($K515="","",(S515-V515)/J515*100)</f>
      </c>
      <c r="U515" s="4">
        <f>IF($K515="","",M515-Q515)</f>
      </c>
      <c r="W515" s="4">
        <f>IF($K515="","",S515-V515)</f>
      </c>
    </row>
    <row r="516" spans="1:28" x14ac:dyDescent="0.25">
      <c r="A516" s="8"/>
      <c r="D516" s="9"/>
      <c r="J516" s="4"/>
      <c r="K516" s="4"/>
      <c r="L516" s="4">
        <f>IF($K516="","",K516-J516)</f>
      </c>
      <c r="M516" s="4">
        <f>IF($K516="","",L516*16.67%)</f>
      </c>
      <c r="N516" s="4">
        <f>IF($K516="","",K516/100*11)</f>
      </c>
      <c r="O516" s="4">
        <v>8.99</v>
      </c>
      <c r="P516" s="4"/>
      <c r="Q516" s="4">
        <f>IF($K516="","",P516*20%)</f>
      </c>
      <c r="R516" s="4">
        <v>1</v>
      </c>
      <c r="S516" s="4">
        <f>IF($K516="","",L516-M516-N516-O516-P516-Q516-R516)</f>
      </c>
      <c r="T516" s="4">
        <f>IF($K516="","",(S516-V516)/J516*100)</f>
      </c>
      <c r="U516" s="4">
        <f>IF($K516="","",M516-Q516)</f>
      </c>
      <c r="W516" s="4">
        <f>IF($K516="","",S516-V516)</f>
      </c>
    </row>
    <row r="517" spans="1:28" x14ac:dyDescent="0.25">
      <c r="A517" s="8"/>
      <c r="D517" s="9"/>
      <c r="J517" s="4"/>
      <c r="K517" s="4"/>
      <c r="L517" s="4">
        <f>IF($K517="","",K517-J517)</f>
      </c>
      <c r="M517" s="4">
        <f>IF($K517="","",L517*16.67%)</f>
      </c>
      <c r="N517" s="4">
        <f>IF($K517="","",K517/100*11)</f>
      </c>
      <c r="O517" s="4">
        <v>8.99</v>
      </c>
      <c r="P517" s="4"/>
      <c r="Q517" s="4">
        <f>IF($K517="","",P517*20%)</f>
      </c>
      <c r="R517" s="4">
        <v>1</v>
      </c>
      <c r="S517" s="4">
        <f>IF($K517="","",L517-M517-N517-O517-P517-Q517-R517)</f>
      </c>
      <c r="T517" s="4">
        <f>IF($K517="","",(S517-V517)/J517*100)</f>
      </c>
      <c r="U517" s="4">
        <f>IF($K517="","",M517-Q517)</f>
      </c>
      <c r="W517" s="4">
        <f>IF($K517="","",S517-V517)</f>
      </c>
    </row>
    <row r="518" spans="1:28" x14ac:dyDescent="0.25">
      <c r="A518" s="8"/>
      <c r="D518" s="9"/>
      <c r="J518" s="4"/>
      <c r="K518" s="4"/>
      <c r="L518" s="4">
        <f>IF($K518="","",K518-J518)</f>
      </c>
      <c r="M518" s="4">
        <f>IF($K518="","",L518*16.67%)</f>
      </c>
      <c r="N518" s="4">
        <f>IF($K518="","",K518/100*11)</f>
      </c>
      <c r="O518" s="4">
        <v>8.99</v>
      </c>
      <c r="P518" s="4"/>
      <c r="Q518" s="4">
        <f>IF($K518="","",P518*20%)</f>
      </c>
      <c r="R518" s="4">
        <v>1</v>
      </c>
      <c r="S518" s="4">
        <f>IF($K518="","",L518-M518-N518-O518-P518-Q518-R518)</f>
      </c>
      <c r="T518" s="4">
        <f>IF($K518="","",(S518-V518)/J518*100)</f>
      </c>
      <c r="U518" s="4">
        <f>IF($K518="","",M518-Q518)</f>
      </c>
      <c r="W518" s="4">
        <f>IF($K518="","",S518-V518)</f>
      </c>
    </row>
    <row r="519" spans="1:28" x14ac:dyDescent="0.25">
      <c r="A519" s="8"/>
      <c r="D519" s="9"/>
      <c r="J519" s="4"/>
      <c r="K519" s="4"/>
      <c r="L519" s="4">
        <f>IF($K519="","",K519-J519)</f>
      </c>
      <c r="M519" s="4">
        <f>IF($K519="","",L519*16.67%)</f>
      </c>
      <c r="N519" s="4">
        <f>IF($K519="","",K519/100*11)</f>
      </c>
      <c r="O519" s="4">
        <v>8.99</v>
      </c>
      <c r="P519" s="4"/>
      <c r="Q519" s="4">
        <f>IF($K519="","",P519*20%)</f>
      </c>
      <c r="R519" s="4">
        <v>1</v>
      </c>
      <c r="S519" s="4">
        <f>IF($K519="","",L519-M519-N519-O519-P519-Q519-R519)</f>
      </c>
      <c r="T519" s="4">
        <f>IF($K519="","",(S519-V519)/J519*100)</f>
      </c>
      <c r="U519" s="4">
        <f>IF($K519="","",M519-Q519)</f>
      </c>
      <c r="W519" s="4">
        <f>IF($K519="","",S519-V519)</f>
      </c>
    </row>
    <row r="520" spans="1:28" x14ac:dyDescent="0.25">
      <c r="A520" s="8"/>
      <c r="D520" s="9"/>
      <c r="J520" s="4"/>
      <c r="K520" s="4"/>
      <c r="L520" s="4">
        <f>IF($K520="","",K520-J520)</f>
      </c>
      <c r="M520" s="4">
        <f>IF($K520="","",L520*16.67%)</f>
      </c>
      <c r="N520" s="4">
        <f>IF($K520="","",K520/100*11)</f>
      </c>
      <c r="O520" s="4">
        <v>8.99</v>
      </c>
      <c r="P520" s="4"/>
      <c r="Q520" s="4">
        <f>IF($K520="","",P520*20%)</f>
      </c>
      <c r="R520" s="4">
        <v>1</v>
      </c>
      <c r="S520" s="4">
        <f>IF($K520="","",L520-M520-N520-O520-P520-Q520-R520)</f>
      </c>
      <c r="T520" s="4">
        <f>IF($K520="","",(S520-V520)/J520*100)</f>
      </c>
      <c r="U520" s="4">
        <f>IF($K520="","",M520-Q520)</f>
      </c>
      <c r="W520" s="4">
        <f>IF($K520="","",S520-V520)</f>
      </c>
    </row>
    <row r="521" spans="1:28" x14ac:dyDescent="0.25">
      <c r="A521" s="8"/>
      <c r="D521" s="9"/>
      <c r="J521" s="4"/>
      <c r="K521" s="4"/>
      <c r="L521" s="4">
        <f>IF($K521="","",K521-J521)</f>
      </c>
      <c r="M521" s="4">
        <f>IF($K521="","",L521*16.67%)</f>
      </c>
      <c r="N521" s="4">
        <f>IF($K521="","",K521/100*11)</f>
      </c>
      <c r="O521" s="4">
        <v>8.99</v>
      </c>
      <c r="P521" s="4"/>
      <c r="Q521" s="4">
        <f>IF($K521="","",P521*20%)</f>
      </c>
      <c r="R521" s="4">
        <v>1</v>
      </c>
      <c r="S521" s="4">
        <f>IF($K521="","",L521-M521-N521-O521-P521-Q521-R521)</f>
      </c>
      <c r="T521" s="4">
        <f>IF($K521="","",(S521-V521)/J521*100)</f>
      </c>
      <c r="U521" s="4">
        <f>IF($K521="","",M521-Q521)</f>
      </c>
      <c r="W521" s="4">
        <f>IF($K521="","",S521-V521)</f>
      </c>
    </row>
    <row r="522" spans="1:28" x14ac:dyDescent="0.25">
      <c r="A522" s="8"/>
      <c r="D522" s="9"/>
      <c r="J522" s="4"/>
      <c r="K522" s="4"/>
      <c r="L522" s="4">
        <f>IF($K522="","",K522-J522)</f>
      </c>
      <c r="M522" s="4">
        <f>IF($K522="","",L522*16.67%)</f>
      </c>
      <c r="N522" s="4">
        <f>IF($K522="","",K522/100*11)</f>
      </c>
      <c r="O522" s="4">
        <v>8.99</v>
      </c>
      <c r="P522" s="4"/>
      <c r="Q522" s="4">
        <f>IF($K522="","",P522*20%)</f>
      </c>
      <c r="R522" s="4">
        <v>1</v>
      </c>
      <c r="S522" s="4">
        <f>IF($K522="","",L522-M522-N522-O522-P522-Q522-R522)</f>
      </c>
      <c r="T522" s="4">
        <f>IF($K522="","",(S522-V522)/J522*100)</f>
      </c>
      <c r="U522" s="4">
        <f>IF($K522="","",M522-Q522)</f>
      </c>
      <c r="W522" s="4">
        <f>IF($K522="","",S522-V522)</f>
      </c>
    </row>
    <row r="523" spans="1:28" x14ac:dyDescent="0.25">
      <c r="A523" s="8"/>
      <c r="D523" s="9"/>
      <c r="J523" s="4"/>
      <c r="K523" s="4"/>
      <c r="L523" s="4">
        <f>IF($K523="","",K523-J523)</f>
      </c>
      <c r="M523" s="4">
        <f>IF($K523="","",L523*16.67%)</f>
      </c>
      <c r="N523" s="4">
        <f>IF($K523="","",K523/100*11)</f>
      </c>
      <c r="O523" s="4">
        <v>8.99</v>
      </c>
      <c r="P523" s="4"/>
      <c r="Q523" s="4">
        <f>IF($K523="","",P523*20%)</f>
      </c>
      <c r="R523" s="4">
        <v>1</v>
      </c>
      <c r="S523" s="4">
        <f>IF($K523="","",L523-M523-N523-O523-P523-Q523-R523)</f>
      </c>
      <c r="T523" s="4">
        <f>IF($K523="","",(S523-V523)/J523*100)</f>
      </c>
      <c r="U523" s="4">
        <f>IF($K523="","",M523-Q523)</f>
      </c>
      <c r="W523" s="4">
        <f>IF($K523="","",S523-V523)</f>
      </c>
    </row>
    <row r="524" spans="1:28" x14ac:dyDescent="0.25">
      <c r="A524" s="8"/>
      <c r="D524" s="9"/>
      <c r="J524" s="4"/>
      <c r="K524" s="4"/>
      <c r="L524" s="4">
        <f>IF($K524="","",K524-J524)</f>
      </c>
      <c r="M524" s="4">
        <f>IF($K524="","",L524*16.67%)</f>
      </c>
      <c r="N524" s="4">
        <f>IF($K524="","",K524/100*11)</f>
      </c>
      <c r="O524" s="4">
        <v>8.99</v>
      </c>
      <c r="P524" s="4"/>
      <c r="Q524" s="4">
        <f>IF($K524="","",P524*20%)</f>
      </c>
      <c r="R524" s="4">
        <v>1</v>
      </c>
      <c r="S524" s="4">
        <f>IF($K524="","",L524-M524-N524-O524-P524-Q524-R524)</f>
      </c>
      <c r="T524" s="4">
        <f>IF($K524="","",(S524-V524)/J524*100)</f>
      </c>
      <c r="U524" s="4">
        <f>IF($K524="","",M524-Q524)</f>
      </c>
      <c r="W524" s="4">
        <f>IF($K524="","",S524-V524)</f>
      </c>
    </row>
    <row r="525" spans="1:28" x14ac:dyDescent="0.25">
      <c r="A525" s="8"/>
      <c r="D525" s="9"/>
      <c r="J525" s="4"/>
      <c r="K525" s="4"/>
      <c r="L525" s="4">
        <f>IF($K525="","",K525-J525)</f>
      </c>
      <c r="M525" s="4">
        <f>IF($K525="","",L525*16.67%)</f>
      </c>
      <c r="N525" s="4">
        <f>IF($K525="","",K525/100*11)</f>
      </c>
      <c r="O525" s="4">
        <v>8.99</v>
      </c>
      <c r="P525" s="4"/>
      <c r="Q525" s="4">
        <f>IF($K525="","",P525*20%)</f>
      </c>
      <c r="R525" s="4">
        <v>1</v>
      </c>
      <c r="S525" s="4">
        <f>IF($K525="","",L525-M525-N525-O525-P525-Q525-R525)</f>
      </c>
      <c r="T525" s="4">
        <f>IF($K525="","",(S525-V525)/J525*100)</f>
      </c>
      <c r="U525" s="4">
        <f>IF($K525="","",M525-Q525)</f>
      </c>
      <c r="W525" s="4">
        <f>IF($K525="","",S525-V525)</f>
      </c>
    </row>
    <row r="526" spans="1:28" x14ac:dyDescent="0.25">
      <c r="A526" s="8"/>
      <c r="D526" s="9"/>
      <c r="J526" s="4"/>
      <c r="K526" s="4"/>
      <c r="L526" s="4">
        <f>IF($K526="","",K526-J526)</f>
      </c>
      <c r="M526" s="4">
        <f>IF($K526="","",L526*16.67%)</f>
      </c>
      <c r="N526" s="4">
        <f>IF($K526="","",K526/100*11)</f>
      </c>
      <c r="O526" s="4">
        <v>8.99</v>
      </c>
      <c r="P526" s="4"/>
      <c r="Q526" s="4">
        <f>IF($K526="","",P526*20%)</f>
      </c>
      <c r="R526" s="4">
        <v>1</v>
      </c>
      <c r="S526" s="4">
        <f>IF($K526="","",L526-M526-N526-O526-P526-Q526-R526)</f>
      </c>
      <c r="T526" s="4">
        <f>IF($K526="","",(S526-V526)/J526*100)</f>
      </c>
      <c r="U526" s="4">
        <f>IF($K526="","",M526-Q526)</f>
      </c>
      <c r="W526" s="4">
        <f>IF($K526="","",S526-V526)</f>
      </c>
    </row>
    <row r="527" spans="1:28" x14ac:dyDescent="0.25">
      <c r="A527" s="8"/>
      <c r="D527" s="9"/>
      <c r="J527" s="4"/>
      <c r="K527" s="4"/>
      <c r="L527" s="4">
        <f>IF($K527="","",K527-J527)</f>
      </c>
      <c r="M527" s="4">
        <f>IF($K527="","",L527*16.67%)</f>
      </c>
      <c r="N527" s="4">
        <f>IF($K527="","",K527/100*11)</f>
      </c>
      <c r="O527" s="4">
        <v>8.99</v>
      </c>
      <c r="P527" s="4"/>
      <c r="Q527" s="4">
        <f>IF($K527="","",P527*20%)</f>
      </c>
      <c r="R527" s="4">
        <v>1</v>
      </c>
      <c r="S527" s="4">
        <f>IF($K527="","",L527-M527-N527-O527-P527-Q527-R527)</f>
      </c>
      <c r="T527" s="4">
        <f>IF($K527="","",(S527-V527)/J527*100)</f>
      </c>
      <c r="U527" s="4">
        <f>IF($K527="","",M527-Q527)</f>
      </c>
      <c r="W527" s="4">
        <f>IF($K527="","",S527-V527)</f>
      </c>
    </row>
    <row r="528" spans="1:28" x14ac:dyDescent="0.25">
      <c r="A528" s="8"/>
      <c r="D528" s="9"/>
      <c r="J528" s="4"/>
      <c r="K528" s="4"/>
      <c r="L528" s="4">
        <f>IF($K528="","",K528-J528)</f>
      </c>
      <c r="M528" s="4">
        <f>IF($K528="","",L528*16.67%)</f>
      </c>
      <c r="N528" s="4">
        <f>IF($K528="","",K528/100*11)</f>
      </c>
      <c r="O528" s="4">
        <v>8.99</v>
      </c>
      <c r="P528" s="4"/>
      <c r="Q528" s="4">
        <f>IF($K528="","",P528*20%)</f>
      </c>
      <c r="R528" s="4">
        <v>1</v>
      </c>
      <c r="S528" s="4">
        <f>IF($K528="","",L528-M528-N528-O528-P528-Q528-R528)</f>
      </c>
      <c r="T528" s="4">
        <f>IF($K528="","",(S528-V528)/J528*100)</f>
      </c>
      <c r="U528" s="4">
        <f>IF($K528="","",M528-Q528)</f>
      </c>
      <c r="W528" s="4">
        <f>IF($K528="","",S528-V528)</f>
      </c>
    </row>
    <row r="529" spans="1:28" x14ac:dyDescent="0.25">
      <c r="A529" s="8"/>
      <c r="D529" s="9"/>
      <c r="J529" s="4"/>
      <c r="K529" s="4"/>
      <c r="L529" s="4">
        <f>IF($K529="","",K529-J529)</f>
      </c>
      <c r="M529" s="4">
        <f>IF($K529="","",L529*16.67%)</f>
      </c>
      <c r="N529" s="4">
        <f>IF($K529="","",K529/100*11)</f>
      </c>
      <c r="O529" s="4">
        <v>8.99</v>
      </c>
      <c r="P529" s="4"/>
      <c r="Q529" s="4">
        <f>IF($K529="","",P529*20%)</f>
      </c>
      <c r="R529" s="4">
        <v>1</v>
      </c>
      <c r="S529" s="4">
        <f>IF($K529="","",L529-M529-N529-O529-P529-Q529-R529)</f>
      </c>
      <c r="T529" s="4">
        <f>IF($K529="","",(S529-V529)/J529*100)</f>
      </c>
      <c r="U529" s="4">
        <f>IF($K529="","",M529-Q529)</f>
      </c>
      <c r="W529" s="4">
        <f>IF($K529="","",S529-V529)</f>
      </c>
    </row>
    <row r="530" spans="1:28" x14ac:dyDescent="0.25">
      <c r="A530" s="8"/>
      <c r="D530" s="9"/>
      <c r="J530" s="4"/>
      <c r="K530" s="4"/>
      <c r="L530" s="4">
        <f>IF($K530="","",K530-J530)</f>
      </c>
      <c r="M530" s="4">
        <f>IF($K530="","",L530*16.67%)</f>
      </c>
      <c r="N530" s="4">
        <f>IF($K530="","",K530/100*11)</f>
      </c>
      <c r="O530" s="4">
        <v>8.99</v>
      </c>
      <c r="P530" s="4"/>
      <c r="Q530" s="4">
        <f>IF($K530="","",P530*20%)</f>
      </c>
      <c r="R530" s="4">
        <v>1</v>
      </c>
      <c r="S530" s="4">
        <f>IF($K530="","",L530-M530-N530-O530-P530-Q530-R530)</f>
      </c>
      <c r="T530" s="4">
        <f>IF($K530="","",(S530-V530)/J530*100)</f>
      </c>
      <c r="U530" s="4">
        <f>IF($K530="","",M530-Q530)</f>
      </c>
      <c r="W530" s="4">
        <f>IF($K530="","",S530-V530)</f>
      </c>
    </row>
    <row r="531" spans="1:28" x14ac:dyDescent="0.25">
      <c r="A531" s="8"/>
      <c r="D531" s="9"/>
      <c r="J531" s="4"/>
      <c r="K531" s="4"/>
      <c r="L531" s="4">
        <f>IF($K531="","",K531-J531)</f>
      </c>
      <c r="M531" s="4">
        <f>IF($K531="","",L531*16.67%)</f>
      </c>
      <c r="N531" s="4">
        <f>IF($K531="","",K531/100*11)</f>
      </c>
      <c r="O531" s="4">
        <v>8.99</v>
      </c>
      <c r="P531" s="4"/>
      <c r="Q531" s="4">
        <f>IF($K531="","",P531*20%)</f>
      </c>
      <c r="R531" s="4">
        <v>1</v>
      </c>
      <c r="S531" s="4">
        <f>IF($K531="","",L531-M531-N531-O531-P531-Q531-R531)</f>
      </c>
      <c r="T531" s="4">
        <f>IF($K531="","",(S531-V531)/J531*100)</f>
      </c>
      <c r="U531" s="4">
        <f>IF($K531="","",M531-Q531)</f>
      </c>
      <c r="W531" s="4">
        <f>IF($K531="","",S531-V531)</f>
      </c>
    </row>
    <row r="532" spans="1:28" x14ac:dyDescent="0.25">
      <c r="A532" s="8"/>
      <c r="D532" s="9"/>
      <c r="J532" s="4"/>
      <c r="K532" s="4"/>
      <c r="L532" s="4">
        <f>IF($K532="","",K532-J532)</f>
      </c>
      <c r="M532" s="4">
        <f>IF($K532="","",L532*16.67%)</f>
      </c>
      <c r="N532" s="4">
        <f>IF($K532="","",K532/100*11)</f>
      </c>
      <c r="O532" s="4">
        <v>8.99</v>
      </c>
      <c r="P532" s="4"/>
      <c r="Q532" s="4">
        <f>IF($K532="","",P532*20%)</f>
      </c>
      <c r="R532" s="4">
        <v>1</v>
      </c>
      <c r="S532" s="4">
        <f>IF($K532="","",L532-M532-N532-O532-P532-Q532-R532)</f>
      </c>
      <c r="T532" s="4">
        <f>IF($K532="","",(S532-V532)/J532*100)</f>
      </c>
      <c r="U532" s="4">
        <f>IF($K532="","",M532-Q532)</f>
      </c>
      <c r="W532" s="4">
        <f>IF($K532="","",S532-V532)</f>
      </c>
    </row>
    <row r="533" spans="1:28" x14ac:dyDescent="0.25">
      <c r="A533" s="8"/>
      <c r="D533" s="9"/>
      <c r="J533" s="4"/>
      <c r="K533" s="4"/>
      <c r="L533" s="4">
        <f>IF($K533="","",K533-J533)</f>
      </c>
      <c r="M533" s="4">
        <f>IF($K533="","",L533*16.67%)</f>
      </c>
      <c r="N533" s="4">
        <f>IF($K533="","",K533/100*11)</f>
      </c>
      <c r="O533" s="4">
        <v>8.99</v>
      </c>
      <c r="P533" s="4"/>
      <c r="Q533" s="4">
        <f>IF($K533="","",P533*20%)</f>
      </c>
      <c r="R533" s="4">
        <v>1</v>
      </c>
      <c r="S533" s="4">
        <f>IF($K533="","",L533-M533-N533-O533-P533-Q533-R533)</f>
      </c>
      <c r="T533" s="4">
        <f>IF($K533="","",(S533-V533)/J533*100)</f>
      </c>
      <c r="U533" s="4">
        <f>IF($K533="","",M533-Q533)</f>
      </c>
      <c r="W533" s="4">
        <f>IF($K533="","",S533-V533)</f>
      </c>
    </row>
    <row r="534" spans="1:28" x14ac:dyDescent="0.25">
      <c r="A534" s="8"/>
      <c r="D534" s="9"/>
      <c r="J534" s="4"/>
      <c r="K534" s="4"/>
      <c r="L534" s="4">
        <f>IF($K534="","",K534-J534)</f>
      </c>
      <c r="M534" s="4">
        <f>IF($K534="","",L534*16.67%)</f>
      </c>
      <c r="N534" s="4">
        <f>IF($K534="","",K534/100*11)</f>
      </c>
      <c r="O534" s="4">
        <v>8.99</v>
      </c>
      <c r="P534" s="4"/>
      <c r="Q534" s="4">
        <f>IF($K534="","",P534*20%)</f>
      </c>
      <c r="R534" s="4">
        <v>1</v>
      </c>
      <c r="S534" s="4">
        <f>IF($K534="","",L534-M534-N534-O534-P534-Q534-R534)</f>
      </c>
      <c r="T534" s="4">
        <f>IF($K534="","",(S534-V534)/J534*100)</f>
      </c>
      <c r="U534" s="4">
        <f>IF($K534="","",M534-Q534)</f>
      </c>
      <c r="W534" s="4">
        <f>IF($K534="","",S534-V534)</f>
      </c>
    </row>
    <row r="535" spans="1:28" x14ac:dyDescent="0.25">
      <c r="A535" s="8"/>
      <c r="D535" s="9"/>
      <c r="J535" s="4"/>
      <c r="K535" s="4"/>
      <c r="L535" s="4">
        <f>IF($K535="","",K535-J535)</f>
      </c>
      <c r="M535" s="4">
        <f>IF($K535="","",L535*16.67%)</f>
      </c>
      <c r="N535" s="4">
        <f>IF($K535="","",K535/100*11)</f>
      </c>
      <c r="O535" s="4">
        <v>8.99</v>
      </c>
      <c r="P535" s="4"/>
      <c r="Q535" s="4">
        <f>IF($K535="","",P535*20%)</f>
      </c>
      <c r="R535" s="4">
        <v>1</v>
      </c>
      <c r="S535" s="4">
        <f>IF($K535="","",L535-M535-N535-O535-P535-Q535-R535)</f>
      </c>
      <c r="T535" s="4">
        <f>IF($K535="","",(S535-V535)/J535*100)</f>
      </c>
      <c r="U535" s="4">
        <f>IF($K535="","",M535-Q535)</f>
      </c>
      <c r="W535" s="4">
        <f>IF($K535="","",S535-V535)</f>
      </c>
    </row>
    <row r="536" spans="1:28" x14ac:dyDescent="0.25">
      <c r="A536" s="8"/>
      <c r="D536" s="9"/>
      <c r="J536" s="4"/>
      <c r="K536" s="4"/>
      <c r="L536" s="4">
        <f>IF($K536="","",K536-J536)</f>
      </c>
      <c r="M536" s="4">
        <f>IF($K536="","",L536*16.67%)</f>
      </c>
      <c r="N536" s="4">
        <f>IF($K536="","",K536/100*11)</f>
      </c>
      <c r="O536" s="4">
        <v>8.99</v>
      </c>
      <c r="P536" s="4"/>
      <c r="Q536" s="4">
        <f>IF($K536="","",P536*20%)</f>
      </c>
      <c r="R536" s="4">
        <v>1</v>
      </c>
      <c r="S536" s="4">
        <f>IF($K536="","",L536-M536-N536-O536-P536-Q536-R536)</f>
      </c>
      <c r="T536" s="4">
        <f>IF($K536="","",(S536-V536)/J536*100)</f>
      </c>
      <c r="U536" s="4">
        <f>IF($K536="","",M536-Q536)</f>
      </c>
      <c r="W536" s="4">
        <f>IF($K536="","",S536-V536)</f>
      </c>
    </row>
    <row r="537" spans="1:28" x14ac:dyDescent="0.25">
      <c r="A537" s="8"/>
      <c r="D537" s="9"/>
      <c r="J537" s="4"/>
      <c r="K537" s="4"/>
      <c r="L537" s="4">
        <f>IF($K537="","",K537-J537)</f>
      </c>
      <c r="M537" s="4">
        <f>IF($K537="","",L537*16.67%)</f>
      </c>
      <c r="N537" s="4">
        <f>IF($K537="","",K537/100*11)</f>
      </c>
      <c r="O537" s="4">
        <v>8.99</v>
      </c>
      <c r="P537" s="4"/>
      <c r="Q537" s="4">
        <f>IF($K537="","",P537*20%)</f>
      </c>
      <c r="R537" s="4">
        <v>1</v>
      </c>
      <c r="S537" s="4">
        <f>IF($K537="","",L537-M537-N537-O537-P537-Q537-R537)</f>
      </c>
      <c r="T537" s="4">
        <f>IF($K537="","",(S537-V537)/J537*100)</f>
      </c>
      <c r="U537" s="4">
        <f>IF($K537="","",M537-Q537)</f>
      </c>
      <c r="W537" s="4">
        <f>IF($K537="","",S537-V537)</f>
      </c>
    </row>
    <row r="538" spans="1:28" x14ac:dyDescent="0.25">
      <c r="A538" s="8"/>
      <c r="D538" s="9"/>
      <c r="J538" s="4"/>
      <c r="K538" s="4"/>
      <c r="L538" s="4">
        <f>IF($K538="","",K538-J538)</f>
      </c>
      <c r="M538" s="4">
        <f>IF($K538="","",L538*16.67%)</f>
      </c>
      <c r="N538" s="4">
        <f>IF($K538="","",K538/100*11)</f>
      </c>
      <c r="O538" s="4">
        <v>8.99</v>
      </c>
      <c r="P538" s="4"/>
      <c r="Q538" s="4">
        <f>IF($K538="","",P538*20%)</f>
      </c>
      <c r="R538" s="4">
        <v>1</v>
      </c>
      <c r="S538" s="4">
        <f>IF($K538="","",L538-M538-N538-O538-P538-Q538-R538)</f>
      </c>
      <c r="T538" s="4">
        <f>IF($K538="","",(S538-V538)/J538*100)</f>
      </c>
      <c r="U538" s="4">
        <f>IF($K538="","",M538-Q538)</f>
      </c>
      <c r="W538" s="4">
        <f>IF($K538="","",S538-V538)</f>
      </c>
    </row>
    <row r="539" spans="1:28" x14ac:dyDescent="0.25">
      <c r="A539" s="8"/>
      <c r="D539" s="9"/>
      <c r="J539" s="4"/>
      <c r="K539" s="4"/>
      <c r="L539" s="4">
        <f>IF($K539="","",K539-J539)</f>
      </c>
      <c r="M539" s="4">
        <f>IF($K539="","",L539*16.67%)</f>
      </c>
      <c r="N539" s="4">
        <f>IF($K539="","",K539/100*11)</f>
      </c>
      <c r="O539" s="4">
        <v>8.99</v>
      </c>
      <c r="P539" s="4"/>
      <c r="Q539" s="4">
        <f>IF($K539="","",P539*20%)</f>
      </c>
      <c r="R539" s="4">
        <v>1</v>
      </c>
      <c r="S539" s="4">
        <f>IF($K539="","",L539-M539-N539-O539-P539-Q539-R539)</f>
      </c>
      <c r="T539" s="4">
        <f>IF($K539="","",(S539-V539)/J539*100)</f>
      </c>
      <c r="U539" s="4">
        <f>IF($K539="","",M539-Q539)</f>
      </c>
      <c r="W539" s="4">
        <f>IF($K539="","",S539-V539)</f>
      </c>
    </row>
    <row r="540" spans="1:28" x14ac:dyDescent="0.25">
      <c r="A540" s="8"/>
      <c r="D540" s="9"/>
      <c r="J540" s="4"/>
      <c r="K540" s="4"/>
      <c r="L540" s="4">
        <f>IF($K540="","",K540-J540)</f>
      </c>
      <c r="M540" s="4">
        <f>IF($K540="","",L540*16.67%)</f>
      </c>
      <c r="N540" s="4">
        <f>IF($K540="","",K540/100*11)</f>
      </c>
      <c r="O540" s="4">
        <v>8.99</v>
      </c>
      <c r="P540" s="4"/>
      <c r="Q540" s="4">
        <f>IF($K540="","",P540*20%)</f>
      </c>
      <c r="R540" s="4">
        <v>1</v>
      </c>
      <c r="S540" s="4">
        <f>IF($K540="","",L540-M540-N540-O540-P540-Q540-R540)</f>
      </c>
      <c r="T540" s="4">
        <f>IF($K540="","",(S540-V540)/J540*100)</f>
      </c>
      <c r="U540" s="4">
        <f>IF($K540="","",M540-Q540)</f>
      </c>
      <c r="W540" s="4">
        <f>IF($K540="","",S540-V540)</f>
      </c>
    </row>
    <row r="541" spans="1:28" x14ac:dyDescent="0.25">
      <c r="A541" s="8"/>
      <c r="D541" s="9"/>
      <c r="J541" s="4"/>
      <c r="K541" s="4"/>
      <c r="L541" s="4">
        <f>IF($K541="","",K541-J541)</f>
      </c>
      <c r="M541" s="4">
        <f>IF($K541="","",L541*16.67%)</f>
      </c>
      <c r="N541" s="4">
        <f>IF($K541="","",K541/100*11)</f>
      </c>
      <c r="O541" s="4">
        <v>8.99</v>
      </c>
      <c r="P541" s="4"/>
      <c r="Q541" s="4">
        <f>IF($K541="","",P541*20%)</f>
      </c>
      <c r="R541" s="4">
        <v>1</v>
      </c>
      <c r="S541" s="4">
        <f>IF($K541="","",L541-M541-N541-O541-P541-Q541-R541)</f>
      </c>
      <c r="T541" s="4">
        <f>IF($K541="","",(S541-V541)/J541*100)</f>
      </c>
      <c r="U541" s="4">
        <f>IF($K541="","",M541-Q541)</f>
      </c>
      <c r="W541" s="4">
        <f>IF($K541="","",S541-V541)</f>
      </c>
    </row>
    <row r="542" spans="1:28" x14ac:dyDescent="0.25">
      <c r="A542" s="8"/>
      <c r="D542" s="9"/>
      <c r="J542" s="4"/>
      <c r="K542" s="4"/>
      <c r="L542" s="4">
        <f>IF($K542="","",K542-J542)</f>
      </c>
      <c r="M542" s="4">
        <f>IF($K542="","",L542*16.67%)</f>
      </c>
      <c r="N542" s="4">
        <f>IF($K542="","",K542/100*11)</f>
      </c>
      <c r="O542" s="4">
        <v>8.99</v>
      </c>
      <c r="P542" s="4"/>
      <c r="Q542" s="4">
        <f>IF($K542="","",P542*20%)</f>
      </c>
      <c r="R542" s="4">
        <v>1</v>
      </c>
      <c r="S542" s="4">
        <f>IF($K542="","",L542-M542-N542-O542-P542-Q542-R542)</f>
      </c>
      <c r="T542" s="4">
        <f>IF($K542="","",(S542-V542)/J542*100)</f>
      </c>
      <c r="U542" s="4">
        <f>IF($K542="","",M542-Q542)</f>
      </c>
      <c r="W542" s="4">
        <f>IF($K542="","",S542-V542)</f>
      </c>
    </row>
    <row r="543" spans="1:28" x14ac:dyDescent="0.25">
      <c r="A543" s="8"/>
      <c r="D543" s="9"/>
      <c r="J543" s="4"/>
      <c r="K543" s="4"/>
      <c r="L543" s="4">
        <f>IF($K543="","",K543-J543)</f>
      </c>
      <c r="M543" s="4">
        <f>IF($K543="","",L543*16.67%)</f>
      </c>
      <c r="N543" s="4">
        <f>IF($K543="","",K543/100*11)</f>
      </c>
      <c r="O543" s="4">
        <v>8.99</v>
      </c>
      <c r="P543" s="4"/>
      <c r="Q543" s="4">
        <f>IF($K543="","",P543*20%)</f>
      </c>
      <c r="R543" s="4">
        <v>1</v>
      </c>
      <c r="S543" s="4">
        <f>IF($K543="","",L543-M543-N543-O543-P543-Q543-R543)</f>
      </c>
      <c r="T543" s="4">
        <f>IF($K543="","",(S543-V543)/J543*100)</f>
      </c>
      <c r="U543" s="4">
        <f>IF($K543="","",M543-Q543)</f>
      </c>
      <c r="W543" s="4">
        <f>IF($K543="","",S543-V543)</f>
      </c>
    </row>
    <row r="544" spans="1:28" x14ac:dyDescent="0.25">
      <c r="A544" s="8"/>
      <c r="D544" s="9"/>
      <c r="J544" s="4"/>
      <c r="K544" s="4"/>
      <c r="L544" s="4">
        <f>IF($K544="","",K544-J544)</f>
      </c>
      <c r="M544" s="4">
        <f>IF($K544="","",L544*16.67%)</f>
      </c>
      <c r="N544" s="4">
        <f>IF($K544="","",K544/100*11)</f>
      </c>
      <c r="O544" s="4">
        <v>8.99</v>
      </c>
      <c r="P544" s="4"/>
      <c r="Q544" s="4">
        <f>IF($K544="","",P544*20%)</f>
      </c>
      <c r="R544" s="4">
        <v>1</v>
      </c>
      <c r="S544" s="4">
        <f>IF($K544="","",L544-M544-N544-O544-P544-Q544-R544)</f>
      </c>
      <c r="T544" s="4">
        <f>IF($K544="","",(S544-V544)/J544*100)</f>
      </c>
      <c r="U544" s="4">
        <f>IF($K544="","",M544-Q544)</f>
      </c>
      <c r="W544" s="4">
        <f>IF($K544="","",S544-V544)</f>
      </c>
    </row>
    <row r="545" spans="1:28" x14ac:dyDescent="0.25">
      <c r="A545" s="8"/>
      <c r="D545" s="9"/>
      <c r="J545" s="4"/>
      <c r="K545" s="4"/>
      <c r="L545" s="4">
        <f>IF($K545="","",K545-J545)</f>
      </c>
      <c r="M545" s="4">
        <f>IF($K545="","",L545*16.67%)</f>
      </c>
      <c r="N545" s="4">
        <f>IF($K545="","",K545/100*11)</f>
      </c>
      <c r="O545" s="4">
        <v>8.99</v>
      </c>
      <c r="P545" s="4"/>
      <c r="Q545" s="4">
        <f>IF($K545="","",P545*20%)</f>
      </c>
      <c r="R545" s="4">
        <v>1</v>
      </c>
      <c r="S545" s="4">
        <f>IF($K545="","",L545-M545-N545-O545-P545-Q545-R545)</f>
      </c>
      <c r="T545" s="4">
        <f>IF($K545="","",(S545-V545)/J545*100)</f>
      </c>
      <c r="U545" s="4">
        <f>IF($K545="","",M545-Q545)</f>
      </c>
      <c r="W545" s="4">
        <f>IF($K545="","",S545-V545)</f>
      </c>
    </row>
    <row r="546" spans="1:28" x14ac:dyDescent="0.25">
      <c r="A546" s="8"/>
      <c r="D546" s="9"/>
      <c r="J546" s="4"/>
      <c r="K546" s="4"/>
      <c r="L546" s="4">
        <f>IF($K546="","",K546-J546)</f>
      </c>
      <c r="M546" s="4">
        <f>IF($K546="","",L546*16.67%)</f>
      </c>
      <c r="N546" s="4">
        <f>IF($K546="","",K546/100*11)</f>
      </c>
      <c r="O546" s="4">
        <v>8.99</v>
      </c>
      <c r="P546" s="4"/>
      <c r="Q546" s="4">
        <f>IF($K546="","",P546*20%)</f>
      </c>
      <c r="R546" s="4">
        <v>1</v>
      </c>
      <c r="S546" s="4">
        <f>IF($K546="","",L546-M546-N546-O546-P546-Q546-R546)</f>
      </c>
      <c r="T546" s="4">
        <f>IF($K546="","",(S546-V546)/J546*100)</f>
      </c>
      <c r="U546" s="4">
        <f>IF($K546="","",M546-Q546)</f>
      </c>
      <c r="W546" s="4">
        <f>IF($K546="","",S546-V546)</f>
      </c>
    </row>
    <row r="547" spans="1:28" x14ac:dyDescent="0.25">
      <c r="A547" s="8"/>
      <c r="D547" s="9"/>
      <c r="J547" s="4"/>
      <c r="K547" s="4"/>
      <c r="L547" s="4">
        <f>IF($K547="","",K547-J547)</f>
      </c>
      <c r="M547" s="4">
        <f>IF($K547="","",L547*16.67%)</f>
      </c>
      <c r="N547" s="4">
        <f>IF($K547="","",K547/100*11)</f>
      </c>
      <c r="O547" s="4">
        <v>8.99</v>
      </c>
      <c r="P547" s="4"/>
      <c r="Q547" s="4">
        <f>IF($K547="","",P547*20%)</f>
      </c>
      <c r="R547" s="4">
        <v>1</v>
      </c>
      <c r="S547" s="4">
        <f>IF($K547="","",L547-M547-N547-O547-P547-Q547-R547)</f>
      </c>
      <c r="T547" s="4">
        <f>IF($K547="","",(S547-V547)/J547*100)</f>
      </c>
      <c r="U547" s="4">
        <f>IF($K547="","",M547-Q547)</f>
      </c>
      <c r="W547" s="4">
        <f>IF($K547="","",S547-V547)</f>
      </c>
    </row>
    <row r="548" spans="1:28" x14ac:dyDescent="0.25">
      <c r="A548" s="8"/>
      <c r="D548" s="9"/>
      <c r="J548" s="4"/>
      <c r="K548" s="4"/>
      <c r="L548" s="4">
        <f>IF($K548="","",K548-J548)</f>
      </c>
      <c r="M548" s="4">
        <f>IF($K548="","",L548*16.67%)</f>
      </c>
      <c r="N548" s="4">
        <f>IF($K548="","",K548/100*11)</f>
      </c>
      <c r="O548" s="4">
        <v>8.99</v>
      </c>
      <c r="P548" s="4"/>
      <c r="Q548" s="4">
        <f>IF($K548="","",P548*20%)</f>
      </c>
      <c r="R548" s="4">
        <v>1</v>
      </c>
      <c r="S548" s="4">
        <f>IF($K548="","",L548-M548-N548-O548-P548-Q548-R548)</f>
      </c>
      <c r="T548" s="4">
        <f>IF($K548="","",(S548-V548)/J548*100)</f>
      </c>
      <c r="U548" s="4">
        <f>IF($K548="","",M548-Q548)</f>
      </c>
      <c r="W548" s="4">
        <f>IF($K548="","",S548-V548)</f>
      </c>
    </row>
    <row r="549" spans="1:28" x14ac:dyDescent="0.25">
      <c r="A549" s="8"/>
      <c r="D549" s="9"/>
      <c r="J549" s="4"/>
      <c r="K549" s="4"/>
      <c r="L549" s="4">
        <f>IF($K549="","",K549-J549)</f>
      </c>
      <c r="M549" s="4">
        <f>IF($K549="","",L549*16.67%)</f>
      </c>
      <c r="N549" s="4">
        <f>IF($K549="","",K549/100*11)</f>
      </c>
      <c r="O549" s="4">
        <v>8.99</v>
      </c>
      <c r="P549" s="4"/>
      <c r="Q549" s="4">
        <f>IF($K549="","",P549*20%)</f>
      </c>
      <c r="R549" s="4">
        <v>1</v>
      </c>
      <c r="S549" s="4">
        <f>IF($K549="","",L549-M549-N549-O549-P549-Q549-R549)</f>
      </c>
      <c r="T549" s="4">
        <f>IF($K549="","",(S549-V549)/J549*100)</f>
      </c>
      <c r="U549" s="4">
        <f>IF($K549="","",M549-Q549)</f>
      </c>
      <c r="W549" s="4">
        <f>IF($K549="","",S549-V549)</f>
      </c>
    </row>
    <row r="550" spans="1:28" x14ac:dyDescent="0.25">
      <c r="A550" s="8"/>
      <c r="D550" s="9"/>
      <c r="J550" s="4"/>
      <c r="K550" s="4"/>
      <c r="L550" s="4">
        <f>IF($K550="","",K550-J550)</f>
      </c>
      <c r="M550" s="4">
        <f>IF($K550="","",L550*16.67%)</f>
      </c>
      <c r="N550" s="4">
        <f>IF($K550="","",K550/100*11)</f>
      </c>
      <c r="O550" s="4">
        <v>8.99</v>
      </c>
      <c r="P550" s="4"/>
      <c r="Q550" s="4">
        <f>IF($K550="","",P550*20%)</f>
      </c>
      <c r="R550" s="4">
        <v>1</v>
      </c>
      <c r="S550" s="4">
        <f>IF($K550="","",L550-M550-N550-O550-P550-Q550-R550)</f>
      </c>
      <c r="T550" s="4">
        <f>IF($K550="","",(S550-V550)/J550*100)</f>
      </c>
      <c r="U550" s="4">
        <f>IF($K550="","",M550-Q550)</f>
      </c>
      <c r="W550" s="4">
        <f>IF($K550="","",S550-V550)</f>
      </c>
    </row>
    <row r="551" spans="1:28" x14ac:dyDescent="0.25">
      <c r="A551" s="8"/>
      <c r="D551" s="9"/>
      <c r="J551" s="4"/>
      <c r="K551" s="4"/>
      <c r="L551" s="4">
        <f>IF($K551="","",K551-J551)</f>
      </c>
      <c r="M551" s="4">
        <f>IF($K551="","",L551*16.67%)</f>
      </c>
      <c r="N551" s="4">
        <f>IF($K551="","",K551/100*11)</f>
      </c>
      <c r="O551" s="4">
        <v>8.99</v>
      </c>
      <c r="P551" s="4"/>
      <c r="Q551" s="4">
        <f>IF($K551="","",P551*20%)</f>
      </c>
      <c r="R551" s="4">
        <v>1</v>
      </c>
      <c r="S551" s="4">
        <f>IF($K551="","",L551-M551-N551-O551-P551-Q551-R551)</f>
      </c>
      <c r="T551" s="4">
        <f>IF($K551="","",(S551-V551)/J551*100)</f>
      </c>
      <c r="U551" s="4">
        <f>IF($K551="","",M551-Q551)</f>
      </c>
      <c r="W551" s="4">
        <f>IF($K551="","",S551-V551)</f>
      </c>
    </row>
    <row r="552" spans="1:28" x14ac:dyDescent="0.25">
      <c r="A552" s="8"/>
      <c r="D552" s="9"/>
      <c r="J552" s="4"/>
      <c r="K552" s="4"/>
      <c r="L552" s="4">
        <f>IF($K552="","",K552-J552)</f>
      </c>
      <c r="M552" s="4">
        <f>IF($K552="","",L552*16.67%)</f>
      </c>
      <c r="N552" s="4">
        <f>IF($K552="","",K552/100*11)</f>
      </c>
      <c r="O552" s="4">
        <v>8.99</v>
      </c>
      <c r="P552" s="4"/>
      <c r="Q552" s="4">
        <f>IF($K552="","",P552*20%)</f>
      </c>
      <c r="R552" s="4">
        <v>1</v>
      </c>
      <c r="S552" s="4">
        <f>IF($K552="","",L552-M552-N552-O552-P552-Q552-R552)</f>
      </c>
      <c r="T552" s="4">
        <f>IF($K552="","",(S552-V552)/J552*100)</f>
      </c>
      <c r="U552" s="4">
        <f>IF($K552="","",M552-Q552)</f>
      </c>
      <c r="W552" s="4">
        <f>IF($K552="","",S552-V552)</f>
      </c>
    </row>
    <row r="553" spans="1:28" x14ac:dyDescent="0.25">
      <c r="A553" s="8"/>
      <c r="D553" s="9"/>
      <c r="J553" s="4"/>
      <c r="K553" s="4"/>
      <c r="L553" s="4">
        <f>IF($K553="","",K553-J553)</f>
      </c>
      <c r="M553" s="4">
        <f>IF($K553="","",L553*16.67%)</f>
      </c>
      <c r="N553" s="4">
        <f>IF($K553="","",K553/100*11)</f>
      </c>
      <c r="O553" s="4">
        <v>8.99</v>
      </c>
      <c r="P553" s="4"/>
      <c r="Q553" s="4">
        <f>IF($K553="","",P553*20%)</f>
      </c>
      <c r="R553" s="4">
        <v>1</v>
      </c>
      <c r="S553" s="4">
        <f>IF($K553="","",L553-M553-N553-O553-P553-Q553-R553)</f>
      </c>
      <c r="T553" s="4">
        <f>IF($K553="","",(S553-V553)/J553*100)</f>
      </c>
      <c r="U553" s="4">
        <f>IF($K553="","",M553-Q553)</f>
      </c>
      <c r="W553" s="4">
        <f>IF($K553="","",S553-V553)</f>
      </c>
    </row>
    <row r="554" spans="1:28" x14ac:dyDescent="0.25">
      <c r="A554" s="8"/>
      <c r="D554" s="9"/>
      <c r="J554" s="4"/>
      <c r="K554" s="4"/>
      <c r="L554" s="4">
        <f>IF($K554="","",K554-J554)</f>
      </c>
      <c r="M554" s="4">
        <f>IF($K554="","",L554*16.67%)</f>
      </c>
      <c r="N554" s="4">
        <f>IF($K554="","",K554/100*11)</f>
      </c>
      <c r="O554" s="4">
        <v>8.99</v>
      </c>
      <c r="P554" s="4"/>
      <c r="Q554" s="4">
        <f>IF($K554="","",P554*20%)</f>
      </c>
      <c r="R554" s="4">
        <v>1</v>
      </c>
      <c r="S554" s="4">
        <f>IF($K554="","",L554-M554-N554-O554-P554-Q554-R554)</f>
      </c>
      <c r="T554" s="4">
        <f>IF($K554="","",(S554-V554)/J554*100)</f>
      </c>
      <c r="U554" s="4">
        <f>IF($K554="","",M554-Q554)</f>
      </c>
      <c r="W554" s="4">
        <f>IF($K554="","",S554-V554)</f>
      </c>
    </row>
    <row r="555" spans="1:28" x14ac:dyDescent="0.25">
      <c r="A555" s="8"/>
      <c r="D555" s="9"/>
      <c r="J555" s="4"/>
      <c r="K555" s="4"/>
      <c r="L555" s="4">
        <f>IF($K555="","",K555-J555)</f>
      </c>
      <c r="M555" s="4">
        <f>IF($K555="","",L555*16.67%)</f>
      </c>
      <c r="N555" s="4">
        <f>IF($K555="","",K555/100*11)</f>
      </c>
      <c r="O555" s="4">
        <v>8.99</v>
      </c>
      <c r="P555" s="4"/>
      <c r="Q555" s="4">
        <f>IF($K555="","",P555*20%)</f>
      </c>
      <c r="R555" s="4">
        <v>1</v>
      </c>
      <c r="S555" s="4">
        <f>IF($K555="","",L555-M555-N555-O555-P555-Q555-R555)</f>
      </c>
      <c r="T555" s="4">
        <f>IF($K555="","",(S555-V555)/J555*100)</f>
      </c>
      <c r="U555" s="4">
        <f>IF($K555="","",M555-Q555)</f>
      </c>
      <c r="W555" s="4">
        <f>IF($K555="","",S555-V555)</f>
      </c>
    </row>
    <row r="556" spans="1:28" x14ac:dyDescent="0.25">
      <c r="A556" s="8"/>
      <c r="D556" s="9"/>
      <c r="J556" s="4"/>
      <c r="K556" s="4"/>
      <c r="L556" s="4">
        <f>IF($K556="","",K556-J556)</f>
      </c>
      <c r="M556" s="4">
        <f>IF($K556="","",L556*16.67%)</f>
      </c>
      <c r="N556" s="4">
        <f>IF($K556="","",K556/100*11)</f>
      </c>
      <c r="O556" s="4">
        <v>8.99</v>
      </c>
      <c r="P556" s="4"/>
      <c r="Q556" s="4">
        <f>IF($K556="","",P556*20%)</f>
      </c>
      <c r="R556" s="4">
        <v>1</v>
      </c>
      <c r="S556" s="4">
        <f>IF($K556="","",L556-M556-N556-O556-P556-Q556-R556)</f>
      </c>
      <c r="T556" s="4">
        <f>IF($K556="","",(S556-V556)/J556*100)</f>
      </c>
      <c r="U556" s="4">
        <f>IF($K556="","",M556-Q556)</f>
      </c>
      <c r="W556" s="4">
        <f>IF($K556="","",S556-V556)</f>
      </c>
    </row>
    <row r="557" spans="1:28" x14ac:dyDescent="0.25">
      <c r="A557" s="8"/>
      <c r="D557" s="9"/>
      <c r="J557" s="4"/>
      <c r="K557" s="4"/>
      <c r="L557" s="4">
        <f>IF($K557="","",K557-J557)</f>
      </c>
      <c r="M557" s="4">
        <f>IF($K557="","",L557*16.67%)</f>
      </c>
      <c r="N557" s="4">
        <f>IF($K557="","",K557/100*11)</f>
      </c>
      <c r="O557" s="4">
        <v>8.99</v>
      </c>
      <c r="P557" s="4"/>
      <c r="Q557" s="4">
        <f>IF($K557="","",P557*20%)</f>
      </c>
      <c r="R557" s="4">
        <v>1</v>
      </c>
      <c r="S557" s="4">
        <f>IF($K557="","",L557-M557-N557-O557-P557-Q557-R557)</f>
      </c>
      <c r="T557" s="4">
        <f>IF($K557="","",(S557-V557)/J557*100)</f>
      </c>
      <c r="U557" s="4">
        <f>IF($K557="","",M557-Q557)</f>
      </c>
      <c r="W557" s="4">
        <f>IF($K557="","",S557-V557)</f>
      </c>
    </row>
    <row r="558" spans="1:28" x14ac:dyDescent="0.25">
      <c r="A558" s="8"/>
      <c r="D558" s="9"/>
      <c r="J558" s="4"/>
      <c r="K558" s="4"/>
      <c r="L558" s="4">
        <f>IF($K558="","",K558-J558)</f>
      </c>
      <c r="M558" s="4">
        <f>IF($K558="","",L558*16.67%)</f>
      </c>
      <c r="N558" s="4">
        <f>IF($K558="","",K558/100*11)</f>
      </c>
      <c r="O558" s="4">
        <v>8.99</v>
      </c>
      <c r="P558" s="4"/>
      <c r="Q558" s="4">
        <f>IF($K558="","",P558*20%)</f>
      </c>
      <c r="R558" s="4">
        <v>1</v>
      </c>
      <c r="S558" s="4">
        <f>IF($K558="","",L558-M558-N558-O558-P558-Q558-R558)</f>
      </c>
      <c r="T558" s="4">
        <f>IF($K558="","",(S558-V558)/J558*100)</f>
      </c>
      <c r="U558" s="4">
        <f>IF($K558="","",M558-Q558)</f>
      </c>
      <c r="W558" s="4">
        <f>IF($K558="","",S558-V558)</f>
      </c>
    </row>
    <row r="559" spans="1:28" x14ac:dyDescent="0.25">
      <c r="A559" s="8"/>
      <c r="D559" s="9"/>
      <c r="J559" s="4"/>
      <c r="K559" s="4"/>
      <c r="L559" s="4">
        <f>IF($K559="","",K559-J559)</f>
      </c>
      <c r="M559" s="4">
        <f>IF($K559="","",L559*16.67%)</f>
      </c>
      <c r="N559" s="4">
        <f>IF($K559="","",K559/100*11)</f>
      </c>
      <c r="O559" s="4">
        <v>8.99</v>
      </c>
      <c r="P559" s="4"/>
      <c r="Q559" s="4">
        <f>IF($K559="","",P559*20%)</f>
      </c>
      <c r="R559" s="4">
        <v>1</v>
      </c>
      <c r="S559" s="4">
        <f>IF($K559="","",L559-M559-N559-O559-P559-Q559-R559)</f>
      </c>
      <c r="T559" s="4">
        <f>IF($K559="","",(S559-V559)/J559*100)</f>
      </c>
      <c r="U559" s="4">
        <f>IF($K559="","",M559-Q559)</f>
      </c>
      <c r="W559" s="4">
        <f>IF($K559="","",S559-V559)</f>
      </c>
    </row>
    <row r="560" spans="1:28" x14ac:dyDescent="0.25">
      <c r="A560" s="8"/>
      <c r="D560" s="9"/>
      <c r="J560" s="4"/>
      <c r="K560" s="4"/>
      <c r="L560" s="4">
        <f>IF($K560="","",K560-J560)</f>
      </c>
      <c r="M560" s="4">
        <f>IF($K560="","",L560*16.67%)</f>
      </c>
      <c r="N560" s="4">
        <f>IF($K560="","",K560/100*11)</f>
      </c>
      <c r="O560" s="4">
        <v>8.99</v>
      </c>
      <c r="P560" s="4"/>
      <c r="Q560" s="4">
        <f>IF($K560="","",P560*20%)</f>
      </c>
      <c r="R560" s="4">
        <v>1</v>
      </c>
      <c r="S560" s="4">
        <f>IF($K560="","",L560-M560-N560-O560-P560-Q560-R560)</f>
      </c>
      <c r="T560" s="4">
        <f>IF($K560="","",(S560-V560)/J560*100)</f>
      </c>
      <c r="U560" s="4">
        <f>IF($K560="","",M560-Q560)</f>
      </c>
      <c r="W560" s="4">
        <f>IF($K560="","",S560-V560)</f>
      </c>
    </row>
    <row r="561" spans="1:28" x14ac:dyDescent="0.25">
      <c r="A561" s="8"/>
      <c r="D561" s="9"/>
      <c r="J561" s="4"/>
      <c r="K561" s="4"/>
      <c r="L561" s="4">
        <f>IF($K561="","",K561-J561)</f>
      </c>
      <c r="M561" s="4">
        <f>IF($K561="","",L561*16.67%)</f>
      </c>
      <c r="N561" s="4">
        <f>IF($K561="","",K561/100*11)</f>
      </c>
      <c r="O561" s="4">
        <v>8.99</v>
      </c>
      <c r="P561" s="4"/>
      <c r="Q561" s="4">
        <f>IF($K561="","",P561*20%)</f>
      </c>
      <c r="R561" s="4">
        <v>1</v>
      </c>
      <c r="S561" s="4">
        <f>IF($K561="","",L561-M561-N561-O561-P561-Q561-R561)</f>
      </c>
      <c r="T561" s="4">
        <f>IF($K561="","",(S561-V561)/J561*100)</f>
      </c>
      <c r="U561" s="4">
        <f>IF($K561="","",M561-Q561)</f>
      </c>
      <c r="W561" s="4">
        <f>IF($K561="","",S561-V561)</f>
      </c>
    </row>
    <row r="562" spans="1:28" x14ac:dyDescent="0.25">
      <c r="A562" s="8"/>
      <c r="D562" s="9"/>
      <c r="J562" s="4"/>
      <c r="K562" s="4"/>
      <c r="L562" s="4">
        <f>IF($K562="","",K562-J562)</f>
      </c>
      <c r="M562" s="4">
        <f>IF($K562="","",L562*16.67%)</f>
      </c>
      <c r="N562" s="4">
        <f>IF($K562="","",K562/100*11)</f>
      </c>
      <c r="O562" s="4">
        <v>8.99</v>
      </c>
      <c r="P562" s="4"/>
      <c r="Q562" s="4">
        <f>IF($K562="","",P562*20%)</f>
      </c>
      <c r="R562" s="4">
        <v>1</v>
      </c>
      <c r="S562" s="4">
        <f>IF($K562="","",L562-M562-N562-O562-P562-Q562-R562)</f>
      </c>
      <c r="T562" s="4">
        <f>IF($K562="","",(S562-V562)/J562*100)</f>
      </c>
      <c r="U562" s="4">
        <f>IF($K562="","",M562-Q562)</f>
      </c>
      <c r="W562" s="4">
        <f>IF($K562="","",S562-V562)</f>
      </c>
    </row>
    <row r="563" spans="1:28" x14ac:dyDescent="0.25">
      <c r="A563" s="8"/>
      <c r="D563" s="9"/>
      <c r="J563" s="4"/>
      <c r="K563" s="4"/>
      <c r="L563" s="4">
        <f>IF($K563="","",K563-J563)</f>
      </c>
      <c r="M563" s="4">
        <f>IF($K563="","",L563*16.67%)</f>
      </c>
      <c r="N563" s="4">
        <f>IF($K563="","",K563/100*11)</f>
      </c>
      <c r="O563" s="4">
        <v>8.99</v>
      </c>
      <c r="P563" s="4"/>
      <c r="Q563" s="4">
        <f>IF($K563="","",P563*20%)</f>
      </c>
      <c r="R563" s="4">
        <v>1</v>
      </c>
      <c r="S563" s="4">
        <f>IF($K563="","",L563-M563-N563-O563-P563-Q563-R563)</f>
      </c>
      <c r="T563" s="4">
        <f>IF($K563="","",(S563-V563)/J563*100)</f>
      </c>
      <c r="U563" s="4">
        <f>IF($K563="","",M563-Q563)</f>
      </c>
      <c r="W563" s="4">
        <f>IF($K563="","",S563-V563)</f>
      </c>
    </row>
    <row r="564" spans="1:28" x14ac:dyDescent="0.25">
      <c r="A564" s="8"/>
      <c r="D564" s="9"/>
      <c r="J564" s="4"/>
      <c r="K564" s="4"/>
      <c r="L564" s="4">
        <f>IF($K564="","",K564-J564)</f>
      </c>
      <c r="M564" s="4">
        <f>IF($K564="","",L564*16.67%)</f>
      </c>
      <c r="N564" s="4">
        <f>IF($K564="","",K564/100*11)</f>
      </c>
      <c r="O564" s="4">
        <v>8.99</v>
      </c>
      <c r="P564" s="4"/>
      <c r="Q564" s="4">
        <f>IF($K564="","",P564*20%)</f>
      </c>
      <c r="R564" s="4">
        <v>1</v>
      </c>
      <c r="S564" s="4">
        <f>IF($K564="","",L564-M564-N564-O564-P564-Q564-R564)</f>
      </c>
      <c r="T564" s="4">
        <f>IF($K564="","",(S564-V564)/J564*100)</f>
      </c>
      <c r="U564" s="4">
        <f>IF($K564="","",M564-Q564)</f>
      </c>
      <c r="W564" s="4">
        <f>IF($K564="","",S564-V564)</f>
      </c>
    </row>
    <row r="565" spans="1:28" x14ac:dyDescent="0.25">
      <c r="A565" s="8"/>
      <c r="D565" s="9"/>
      <c r="J565" s="4"/>
      <c r="K565" s="4"/>
      <c r="L565" s="4">
        <f>IF($K565="","",K565-J565)</f>
      </c>
      <c r="M565" s="4">
        <f>IF($K565="","",L565*16.67%)</f>
      </c>
      <c r="N565" s="4">
        <f>IF($K565="","",K565/100*11)</f>
      </c>
      <c r="O565" s="4">
        <v>8.99</v>
      </c>
      <c r="P565" s="4"/>
      <c r="Q565" s="4">
        <f>IF($K565="","",P565*20%)</f>
      </c>
      <c r="R565" s="4">
        <v>1</v>
      </c>
      <c r="S565" s="4">
        <f>IF($K565="","",L565-M565-N565-O565-P565-Q565-R565)</f>
      </c>
      <c r="T565" s="4">
        <f>IF($K565="","",(S565-V565)/J565*100)</f>
      </c>
      <c r="U565" s="4">
        <f>IF($K565="","",M565-Q565)</f>
      </c>
      <c r="W565" s="4">
        <f>IF($K565="","",S565-V565)</f>
      </c>
    </row>
    <row r="566" spans="1:28" x14ac:dyDescent="0.25">
      <c r="A566" s="8"/>
      <c r="D566" s="9"/>
      <c r="J566" s="4"/>
      <c r="K566" s="4"/>
      <c r="L566" s="4">
        <f>IF($K566="","",K566-J566)</f>
      </c>
      <c r="M566" s="4">
        <f>IF($K566="","",L566*16.67%)</f>
      </c>
      <c r="N566" s="4">
        <f>IF($K566="","",K566/100*11)</f>
      </c>
      <c r="O566" s="4">
        <v>8.99</v>
      </c>
      <c r="P566" s="4"/>
      <c r="Q566" s="4">
        <f>IF($K566="","",P566*20%)</f>
      </c>
      <c r="R566" s="4">
        <v>1</v>
      </c>
      <c r="S566" s="4">
        <f>IF($K566="","",L566-M566-N566-O566-P566-Q566-R566)</f>
      </c>
      <c r="T566" s="4">
        <f>IF($K566="","",(S566-V566)/J566*100)</f>
      </c>
      <c r="U566" s="4">
        <f>IF($K566="","",M566-Q566)</f>
      </c>
      <c r="W566" s="4">
        <f>IF($K566="","",S566-V566)</f>
      </c>
    </row>
    <row r="567" spans="1:28" x14ac:dyDescent="0.25">
      <c r="A567" s="8"/>
      <c r="D567" s="9"/>
      <c r="J567" s="4"/>
      <c r="K567" s="4"/>
      <c r="L567" s="4">
        <f>IF($K567="","",K567-J567)</f>
      </c>
      <c r="M567" s="4">
        <f>IF($K567="","",L567*16.67%)</f>
      </c>
      <c r="N567" s="4">
        <f>IF($K567="","",K567/100*11)</f>
      </c>
      <c r="O567" s="4">
        <v>8.99</v>
      </c>
      <c r="P567" s="4"/>
      <c r="Q567" s="4">
        <f>IF($K567="","",P567*20%)</f>
      </c>
      <c r="R567" s="4">
        <v>1</v>
      </c>
      <c r="S567" s="4">
        <f>IF($K567="","",L567-M567-N567-O567-P567-Q567-R567)</f>
      </c>
      <c r="T567" s="4">
        <f>IF($K567="","",(S567-V567)/J567*100)</f>
      </c>
      <c r="U567" s="4">
        <f>IF($K567="","",M567-Q567)</f>
      </c>
      <c r="W567" s="4">
        <f>IF($K567="","",S567-V567)</f>
      </c>
    </row>
    <row r="568" spans="1:28" x14ac:dyDescent="0.25">
      <c r="A568" s="8"/>
      <c r="D568" s="9"/>
      <c r="J568" s="4"/>
      <c r="K568" s="4"/>
      <c r="L568" s="4">
        <f>IF($K568="","",K568-J568)</f>
      </c>
      <c r="M568" s="4">
        <f>IF($K568="","",L568*16.67%)</f>
      </c>
      <c r="N568" s="4">
        <f>IF($K568="","",K568/100*11)</f>
      </c>
      <c r="O568" s="4">
        <v>8.99</v>
      </c>
      <c r="P568" s="4"/>
      <c r="Q568" s="4">
        <f>IF($K568="","",P568*20%)</f>
      </c>
      <c r="R568" s="4">
        <v>1</v>
      </c>
      <c r="S568" s="4">
        <f>IF($K568="","",L568-M568-N568-O568-P568-Q568-R568)</f>
      </c>
      <c r="T568" s="4">
        <f>IF($K568="","",(S568-V568)/J568*100)</f>
      </c>
      <c r="U568" s="4">
        <f>IF($K568="","",M568-Q568)</f>
      </c>
      <c r="W568" s="4">
        <f>IF($K568="","",S568-V568)</f>
      </c>
    </row>
    <row r="569" spans="1:28" x14ac:dyDescent="0.25">
      <c r="A569" s="8"/>
      <c r="D569" s="9"/>
      <c r="J569" s="4"/>
      <c r="K569" s="4"/>
      <c r="L569" s="4">
        <f>IF($K569="","",K569-J569)</f>
      </c>
      <c r="M569" s="4">
        <f>IF($K569="","",L569*16.67%)</f>
      </c>
      <c r="N569" s="4">
        <f>IF($K569="","",K569/100*11)</f>
      </c>
      <c r="O569" s="4">
        <v>8.99</v>
      </c>
      <c r="P569" s="4"/>
      <c r="Q569" s="4">
        <f>IF($K569="","",P569*20%)</f>
      </c>
      <c r="R569" s="4">
        <v>1</v>
      </c>
      <c r="S569" s="4">
        <f>IF($K569="","",L569-M569-N569-O569-P569-Q569-R569)</f>
      </c>
      <c r="T569" s="4">
        <f>IF($K569="","",(S569-V569)/J569*100)</f>
      </c>
      <c r="U569" s="4">
        <f>IF($K569="","",M569-Q569)</f>
      </c>
      <c r="W569" s="4">
        <f>IF($K569="","",S569-V569)</f>
      </c>
    </row>
    <row r="570" spans="1:28" x14ac:dyDescent="0.25">
      <c r="A570" s="8"/>
      <c r="D570" s="9"/>
      <c r="J570" s="4"/>
      <c r="K570" s="4"/>
      <c r="L570" s="4">
        <f>IF($K570="","",K570-J570)</f>
      </c>
      <c r="M570" s="4">
        <f>IF($K570="","",L570*16.67%)</f>
      </c>
      <c r="N570" s="4">
        <f>IF($K570="","",K570/100*11)</f>
      </c>
      <c r="O570" s="4">
        <v>8.99</v>
      </c>
      <c r="P570" s="4"/>
      <c r="Q570" s="4">
        <f>IF($K570="","",P570*20%)</f>
      </c>
      <c r="R570" s="4">
        <v>1</v>
      </c>
      <c r="S570" s="4">
        <f>IF($K570="","",L570-M570-N570-O570-P570-Q570-R570)</f>
      </c>
      <c r="T570" s="4">
        <f>IF($K570="","",(S570-V570)/J570*100)</f>
      </c>
      <c r="U570" s="4">
        <f>IF($K570="","",M570-Q570)</f>
      </c>
      <c r="W570" s="4">
        <f>IF($K570="","",S570-V570)</f>
      </c>
    </row>
    <row r="571" spans="1:28" x14ac:dyDescent="0.25">
      <c r="A571" s="8"/>
      <c r="D571" s="9"/>
      <c r="J571" s="4"/>
      <c r="K571" s="4"/>
      <c r="L571" s="4">
        <f>IF($K571="","",K571-J571)</f>
      </c>
      <c r="M571" s="4">
        <f>IF($K571="","",L571*16.67%)</f>
      </c>
      <c r="N571" s="4">
        <f>IF($K571="","",K571/100*11)</f>
      </c>
      <c r="O571" s="4">
        <v>8.99</v>
      </c>
      <c r="P571" s="4"/>
      <c r="Q571" s="4">
        <f>IF($K571="","",P571*20%)</f>
      </c>
      <c r="R571" s="4">
        <v>1</v>
      </c>
      <c r="S571" s="4">
        <f>IF($K571="","",L571-M571-N571-O571-P571-Q571-R571)</f>
      </c>
      <c r="T571" s="4">
        <f>IF($K571="","",(S571-V571)/J571*100)</f>
      </c>
      <c r="U571" s="4">
        <f>IF($K571="","",M571-Q571)</f>
      </c>
      <c r="W571" s="4">
        <f>IF($K571="","",S571-V571)</f>
      </c>
    </row>
    <row r="572" spans="1:28" x14ac:dyDescent="0.25">
      <c r="A572" s="8"/>
      <c r="D572" s="9"/>
      <c r="J572" s="4"/>
      <c r="K572" s="4"/>
      <c r="L572" s="4">
        <f>IF($K572="","",K572-J572)</f>
      </c>
      <c r="M572" s="4">
        <f>IF($K572="","",L572*16.67%)</f>
      </c>
      <c r="N572" s="4">
        <f>IF($K572="","",K572/100*11)</f>
      </c>
      <c r="O572" s="4">
        <v>8.99</v>
      </c>
      <c r="P572" s="4"/>
      <c r="Q572" s="4">
        <f>IF($K572="","",P572*20%)</f>
      </c>
      <c r="R572" s="4">
        <v>1</v>
      </c>
      <c r="S572" s="4">
        <f>IF($K572="","",L572-M572-N572-O572-P572-Q572-R572)</f>
      </c>
      <c r="T572" s="4">
        <f>IF($K572="","",(S572-V572)/J572*100)</f>
      </c>
      <c r="U572" s="4">
        <f>IF($K572="","",M572-Q572)</f>
      </c>
      <c r="W572" s="4">
        <f>IF($K572="","",S572-V572)</f>
      </c>
    </row>
    <row r="573" spans="1:28" x14ac:dyDescent="0.25">
      <c r="A573" s="8"/>
      <c r="D573" s="9"/>
      <c r="J573" s="4"/>
      <c r="K573" s="4"/>
      <c r="L573" s="4">
        <f>IF($K573="","",K573-J573)</f>
      </c>
      <c r="M573" s="4">
        <f>IF($K573="","",L573*16.67%)</f>
      </c>
      <c r="N573" s="4">
        <f>IF($K573="","",K573/100*11)</f>
      </c>
      <c r="O573" s="4">
        <v>8.99</v>
      </c>
      <c r="P573" s="4"/>
      <c r="Q573" s="4">
        <f>IF($K573="","",P573*20%)</f>
      </c>
      <c r="R573" s="4">
        <v>1</v>
      </c>
      <c r="S573" s="4">
        <f>IF($K573="","",L573-M573-N573-O573-P573-Q573-R573)</f>
      </c>
      <c r="T573" s="4">
        <f>IF($K573="","",(S573-V573)/J573*100)</f>
      </c>
      <c r="U573" s="4">
        <f>IF($K573="","",M573-Q573)</f>
      </c>
      <c r="W573" s="4">
        <f>IF($K573="","",S573-V573)</f>
      </c>
    </row>
    <row r="574" spans="1:28" x14ac:dyDescent="0.25">
      <c r="A574" s="8"/>
      <c r="D574" s="9"/>
      <c r="J574" s="4"/>
      <c r="K574" s="4"/>
      <c r="L574" s="4">
        <f>IF($K574="","",K574-J574)</f>
      </c>
      <c r="M574" s="4">
        <f>IF($K574="","",L574*16.67%)</f>
      </c>
      <c r="N574" s="4">
        <f>IF($K574="","",K574/100*11)</f>
      </c>
      <c r="O574" s="4">
        <v>8.99</v>
      </c>
      <c r="P574" s="4"/>
      <c r="Q574" s="4">
        <f>IF($K574="","",P574*20%)</f>
      </c>
      <c r="R574" s="4">
        <v>1</v>
      </c>
      <c r="S574" s="4">
        <f>IF($K574="","",L574-M574-N574-O574-P574-Q574-R574)</f>
      </c>
      <c r="T574" s="4">
        <f>IF($K574="","",(S574-V574)/J574*100)</f>
      </c>
      <c r="U574" s="4">
        <f>IF($K574="","",M574-Q574)</f>
      </c>
      <c r="W574" s="4">
        <f>IF($K574="","",S574-V574)</f>
      </c>
    </row>
    <row r="575" spans="1:28" x14ac:dyDescent="0.25">
      <c r="A575" s="8"/>
      <c r="D575" s="9"/>
      <c r="J575" s="4"/>
      <c r="K575" s="4"/>
      <c r="L575" s="4">
        <f>IF($K575="","",K575-J575)</f>
      </c>
      <c r="M575" s="4">
        <f>IF($K575="","",L575*16.67%)</f>
      </c>
      <c r="N575" s="4">
        <f>IF($K575="","",K575/100*11)</f>
      </c>
      <c r="O575" s="4">
        <v>8.99</v>
      </c>
      <c r="P575" s="4"/>
      <c r="Q575" s="4">
        <f>IF($K575="","",P575*20%)</f>
      </c>
      <c r="R575" s="4">
        <v>1</v>
      </c>
      <c r="S575" s="4">
        <f>IF($K575="","",L575-M575-N575-O575-P575-Q575-R575)</f>
      </c>
      <c r="T575" s="4">
        <f>IF($K575="","",(S575-V575)/J575*100)</f>
      </c>
      <c r="U575" s="4">
        <f>IF($K575="","",M575-Q575)</f>
      </c>
      <c r="W575" s="4">
        <f>IF($K575="","",S575-V575)</f>
      </c>
    </row>
    <row r="576" spans="1:28" x14ac:dyDescent="0.25">
      <c r="A576" s="8"/>
      <c r="D576" s="9"/>
      <c r="J576" s="4"/>
      <c r="K576" s="4"/>
      <c r="L576" s="4">
        <f>IF($K576="","",K576-J576)</f>
      </c>
      <c r="M576" s="4">
        <f>IF($K576="","",L576*16.67%)</f>
      </c>
      <c r="N576" s="4">
        <f>IF($K576="","",K576/100*11)</f>
      </c>
      <c r="O576" s="4">
        <v>8.99</v>
      </c>
      <c r="P576" s="4"/>
      <c r="Q576" s="4">
        <f>IF($K576="","",P576*20%)</f>
      </c>
      <c r="R576" s="4">
        <v>1</v>
      </c>
      <c r="S576" s="4">
        <f>IF($K576="","",L576-M576-N576-O576-P576-Q576-R576)</f>
      </c>
      <c r="T576" s="4">
        <f>IF($K576="","",(S576-V576)/J576*100)</f>
      </c>
      <c r="U576" s="4">
        <f>IF($K576="","",M576-Q576)</f>
      </c>
      <c r="W576" s="4">
        <f>IF($K576="","",S576-V576)</f>
      </c>
    </row>
    <row r="577" spans="1:28" x14ac:dyDescent="0.25">
      <c r="A577" s="8"/>
      <c r="D577" s="9"/>
      <c r="J577" s="4"/>
      <c r="K577" s="4"/>
      <c r="L577" s="4">
        <f>IF($K577="","",K577-J577)</f>
      </c>
      <c r="M577" s="4">
        <f>IF($K577="","",L577*16.67%)</f>
      </c>
      <c r="N577" s="4">
        <f>IF($K577="","",K577/100*11)</f>
      </c>
      <c r="O577" s="4">
        <v>8.99</v>
      </c>
      <c r="P577" s="4"/>
      <c r="Q577" s="4">
        <f>IF($K577="","",P577*20%)</f>
      </c>
      <c r="R577" s="4">
        <v>1</v>
      </c>
      <c r="S577" s="4">
        <f>IF($K577="","",L577-M577-N577-O577-P577-Q577-R577)</f>
      </c>
      <c r="T577" s="4">
        <f>IF($K577="","",(S577-V577)/J577*100)</f>
      </c>
      <c r="U577" s="4">
        <f>IF($K577="","",M577-Q577)</f>
      </c>
      <c r="W577" s="4">
        <f>IF($K577="","",S577-V577)</f>
      </c>
    </row>
    <row r="578" spans="1:28" x14ac:dyDescent="0.25">
      <c r="A578" s="8"/>
      <c r="D578" s="9"/>
      <c r="J578" s="4"/>
      <c r="K578" s="4"/>
      <c r="L578" s="4">
        <f>IF($K578="","",K578-J578)</f>
      </c>
      <c r="M578" s="4">
        <f>IF($K578="","",L578*16.67%)</f>
      </c>
      <c r="N578" s="4">
        <f>IF($K578="","",K578/100*11)</f>
      </c>
      <c r="O578" s="4">
        <v>8.99</v>
      </c>
      <c r="P578" s="4"/>
      <c r="Q578" s="4">
        <f>IF($K578="","",P578*20%)</f>
      </c>
      <c r="R578" s="4">
        <v>1</v>
      </c>
      <c r="S578" s="4">
        <f>IF($K578="","",L578-M578-N578-O578-P578-Q578-R578)</f>
      </c>
      <c r="T578" s="4">
        <f>IF($K578="","",(S578-V578)/J578*100)</f>
      </c>
      <c r="U578" s="4">
        <f>IF($K578="","",M578-Q578)</f>
      </c>
      <c r="W578" s="4">
        <f>IF($K578="","",S578-V578)</f>
      </c>
    </row>
    <row r="579" spans="1:28" x14ac:dyDescent="0.25">
      <c r="A579" s="8"/>
      <c r="D579" s="9"/>
      <c r="J579" s="4"/>
      <c r="K579" s="4"/>
      <c r="L579" s="4">
        <f>IF($K579="","",K579-J579)</f>
      </c>
      <c r="M579" s="4">
        <f>IF($K579="","",L579*16.67%)</f>
      </c>
      <c r="N579" s="4">
        <f>IF($K579="","",K579/100*11)</f>
      </c>
      <c r="O579" s="4">
        <v>8.99</v>
      </c>
      <c r="P579" s="4"/>
      <c r="Q579" s="4">
        <f>IF($K579="","",P579*20%)</f>
      </c>
      <c r="R579" s="4">
        <v>1</v>
      </c>
      <c r="S579" s="4">
        <f>IF($K579="","",L579-M579-N579-O579-P579-Q579-R579)</f>
      </c>
      <c r="T579" s="4">
        <f>IF($K579="","",(S579-V579)/J579*100)</f>
      </c>
      <c r="U579" s="4">
        <f>IF($K579="","",M579-Q579)</f>
      </c>
      <c r="W579" s="4">
        <f>IF($K579="","",S579-V579)</f>
      </c>
    </row>
    <row r="580" spans="1:28" x14ac:dyDescent="0.25">
      <c r="A580" s="8"/>
      <c r="D580" s="9"/>
      <c r="J580" s="4"/>
      <c r="K580" s="4"/>
      <c r="L580" s="4">
        <f>IF($K580="","",K580-J580)</f>
      </c>
      <c r="M580" s="4">
        <f>IF($K580="","",L580*16.67%)</f>
      </c>
      <c r="N580" s="4">
        <f>IF($K580="","",K580/100*11)</f>
      </c>
      <c r="O580" s="4">
        <v>8.99</v>
      </c>
      <c r="P580" s="4"/>
      <c r="Q580" s="4">
        <f>IF($K580="","",P580*20%)</f>
      </c>
      <c r="R580" s="4">
        <v>1</v>
      </c>
      <c r="S580" s="4">
        <f>IF($K580="","",L580-M580-N580-O580-P580-Q580-R580)</f>
      </c>
      <c r="T580" s="4">
        <f>IF($K580="","",(S580-V580)/J580*100)</f>
      </c>
      <c r="U580" s="4">
        <f>IF($K580="","",M580-Q580)</f>
      </c>
      <c r="W580" s="4">
        <f>IF($K580="","",S580-V580)</f>
      </c>
    </row>
    <row r="581" spans="1:28" x14ac:dyDescent="0.25">
      <c r="A581" s="8"/>
      <c r="D581" s="9"/>
      <c r="J581" s="4"/>
      <c r="K581" s="4"/>
      <c r="L581" s="4">
        <f>IF($K581="","",K581-J581)</f>
      </c>
      <c r="M581" s="4">
        <f>IF($K581="","",L581*16.67%)</f>
      </c>
      <c r="N581" s="4">
        <f>IF($K581="","",K581/100*11)</f>
      </c>
      <c r="O581" s="4">
        <v>8.99</v>
      </c>
      <c r="P581" s="4"/>
      <c r="Q581" s="4">
        <f>IF($K581="","",P581*20%)</f>
      </c>
      <c r="R581" s="4">
        <v>1</v>
      </c>
      <c r="S581" s="4">
        <f>IF($K581="","",L581-M581-N581-O581-P581-Q581-R581)</f>
      </c>
      <c r="T581" s="4">
        <f>IF($K581="","",(S581-V581)/J581*100)</f>
      </c>
      <c r="U581" s="4">
        <f>IF($K581="","",M581-Q581)</f>
      </c>
      <c r="W581" s="4">
        <f>IF($K581="","",S581-V581)</f>
      </c>
    </row>
    <row r="582" spans="1:28" x14ac:dyDescent="0.25">
      <c r="A582" s="8"/>
      <c r="D582" s="9"/>
      <c r="J582" s="4"/>
      <c r="K582" s="4"/>
      <c r="L582" s="4">
        <f>IF($K582="","",K582-J582)</f>
      </c>
      <c r="M582" s="4">
        <f>IF($K582="","",L582*16.67%)</f>
      </c>
      <c r="N582" s="4">
        <f>IF($K582="","",K582/100*11)</f>
      </c>
      <c r="O582" s="4">
        <v>8.99</v>
      </c>
      <c r="P582" s="4"/>
      <c r="Q582" s="4">
        <f>IF($K582="","",P582*20%)</f>
      </c>
      <c r="R582" s="4">
        <v>1</v>
      </c>
      <c r="S582" s="4">
        <f>IF($K582="","",L582-M582-N582-O582-P582-Q582-R582)</f>
      </c>
      <c r="T582" s="4">
        <f>IF($K582="","",(S582-V582)/J582*100)</f>
      </c>
      <c r="U582" s="4">
        <f>IF($K582="","",M582-Q582)</f>
      </c>
      <c r="W582" s="4">
        <f>IF($K582="","",S582-V582)</f>
      </c>
    </row>
    <row r="583" spans="1:28" x14ac:dyDescent="0.25">
      <c r="A583" s="8"/>
      <c r="D583" s="9"/>
      <c r="J583" s="4"/>
      <c r="K583" s="4"/>
      <c r="L583" s="4">
        <f>IF($K583="","",K583-J583)</f>
      </c>
      <c r="M583" s="4">
        <f>IF($K583="","",L583*16.67%)</f>
      </c>
      <c r="N583" s="4">
        <f>IF($K583="","",K583/100*11)</f>
      </c>
      <c r="O583" s="4">
        <v>8.99</v>
      </c>
      <c r="P583" s="4"/>
      <c r="Q583" s="4">
        <f>IF($K583="","",P583*20%)</f>
      </c>
      <c r="R583" s="4">
        <v>1</v>
      </c>
      <c r="S583" s="4">
        <f>IF($K583="","",L583-M583-N583-O583-P583-Q583-R583)</f>
      </c>
      <c r="T583" s="4">
        <f>IF($K583="","",(S583-V583)/J583*100)</f>
      </c>
      <c r="U583" s="4">
        <f>IF($K583="","",M583-Q583)</f>
      </c>
      <c r="W583" s="4">
        <f>IF($K583="","",S583-V583)</f>
      </c>
    </row>
    <row r="584" spans="1:28" x14ac:dyDescent="0.25">
      <c r="A584" s="8"/>
      <c r="D584" s="9"/>
      <c r="J584" s="4"/>
      <c r="K584" s="4"/>
      <c r="L584" s="4">
        <f>IF($K584="","",K584-J584)</f>
      </c>
      <c r="M584" s="4">
        <f>IF($K584="","",L584*16.67%)</f>
      </c>
      <c r="N584" s="4">
        <f>IF($K584="","",K584/100*11)</f>
      </c>
      <c r="O584" s="4">
        <v>8.99</v>
      </c>
      <c r="P584" s="4"/>
      <c r="Q584" s="4">
        <f>IF($K584="","",P584*20%)</f>
      </c>
      <c r="R584" s="4">
        <v>1</v>
      </c>
      <c r="S584" s="4">
        <f>IF($K584="","",L584-M584-N584-O584-P584-Q584-R584)</f>
      </c>
      <c r="T584" s="4">
        <f>IF($K584="","",(S584-V584)/J584*100)</f>
      </c>
      <c r="U584" s="4">
        <f>IF($K584="","",M584-Q584)</f>
      </c>
      <c r="W584" s="4">
        <f>IF($K584="","",S584-V584)</f>
      </c>
    </row>
    <row r="585" spans="1:28" x14ac:dyDescent="0.25">
      <c r="A585" s="8"/>
      <c r="D585" s="9"/>
      <c r="J585" s="4"/>
      <c r="K585" s="4"/>
      <c r="L585" s="4">
        <f>IF($K585="","",K585-J585)</f>
      </c>
      <c r="M585" s="4">
        <f>IF($K585="","",L585*16.67%)</f>
      </c>
      <c r="N585" s="4">
        <f>IF($K585="","",K585/100*11)</f>
      </c>
      <c r="O585" s="4">
        <v>8.99</v>
      </c>
      <c r="P585" s="4"/>
      <c r="Q585" s="4">
        <f>IF($K585="","",P585*20%)</f>
      </c>
      <c r="R585" s="4">
        <v>1</v>
      </c>
      <c r="S585" s="4">
        <f>IF($K585="","",L585-M585-N585-O585-P585-Q585-R585)</f>
      </c>
      <c r="T585" s="4">
        <f>IF($K585="","",(S585-V585)/J585*100)</f>
      </c>
      <c r="U585" s="4">
        <f>IF($K585="","",M585-Q585)</f>
      </c>
      <c r="W585" s="4">
        <f>IF($K585="","",S585-V585)</f>
      </c>
    </row>
    <row r="586" spans="1:28" x14ac:dyDescent="0.25">
      <c r="A586" s="8"/>
      <c r="D586" s="9"/>
      <c r="J586" s="4"/>
      <c r="K586" s="4"/>
      <c r="L586" s="4">
        <f>IF($K586="","",K586-J586)</f>
      </c>
      <c r="M586" s="4">
        <f>IF($K586="","",L586*16.67%)</f>
      </c>
      <c r="N586" s="4">
        <f>IF($K586="","",K586/100*11)</f>
      </c>
      <c r="O586" s="4">
        <v>8.99</v>
      </c>
      <c r="P586" s="4"/>
      <c r="Q586" s="4">
        <f>IF($K586="","",P586*20%)</f>
      </c>
      <c r="R586" s="4">
        <v>1</v>
      </c>
      <c r="S586" s="4">
        <f>IF($K586="","",L586-M586-N586-O586-P586-Q586-R586)</f>
      </c>
      <c r="T586" s="4">
        <f>IF($K586="","",(S586-V586)/J586*100)</f>
      </c>
      <c r="U586" s="4">
        <f>IF($K586="","",M586-Q586)</f>
      </c>
      <c r="W586" s="4">
        <f>IF($K586="","",S586-V586)</f>
      </c>
    </row>
    <row r="587" spans="1:28" x14ac:dyDescent="0.25">
      <c r="A587" s="8"/>
      <c r="D587" s="9"/>
      <c r="J587" s="4"/>
      <c r="K587" s="4"/>
      <c r="L587" s="4">
        <f>IF($K587="","",K587-J587)</f>
      </c>
      <c r="M587" s="4">
        <f>IF($K587="","",L587*16.67%)</f>
      </c>
      <c r="N587" s="4">
        <f>IF($K587="","",K587/100*11)</f>
      </c>
      <c r="O587" s="4">
        <v>8.99</v>
      </c>
      <c r="P587" s="4"/>
      <c r="Q587" s="4">
        <f>IF($K587="","",P587*20%)</f>
      </c>
      <c r="R587" s="4">
        <v>1</v>
      </c>
      <c r="S587" s="4">
        <f>IF($K587="","",L587-M587-N587-O587-P587-Q587-R587)</f>
      </c>
      <c r="T587" s="4">
        <f>IF($K587="","",(S587-V587)/J587*100)</f>
      </c>
      <c r="U587" s="4">
        <f>IF($K587="","",M587-Q587)</f>
      </c>
      <c r="W587" s="4">
        <f>IF($K587="","",S587-V587)</f>
      </c>
    </row>
    <row r="588" spans="1:28" x14ac:dyDescent="0.25">
      <c r="A588" s="8"/>
      <c r="D588" s="9"/>
      <c r="J588" s="4"/>
      <c r="K588" s="4"/>
      <c r="L588" s="4">
        <f>IF($K588="","",K588-J588)</f>
      </c>
      <c r="M588" s="4">
        <f>IF($K588="","",L588*16.67%)</f>
      </c>
      <c r="N588" s="4">
        <f>IF($K588="","",K588/100*11)</f>
      </c>
      <c r="O588" s="4">
        <v>8.99</v>
      </c>
      <c r="P588" s="4"/>
      <c r="Q588" s="4">
        <f>IF($K588="","",P588*20%)</f>
      </c>
      <c r="R588" s="4">
        <v>1</v>
      </c>
      <c r="S588" s="4">
        <f>IF($K588="","",L588-M588-N588-O588-P588-Q588-R588)</f>
      </c>
      <c r="T588" s="4">
        <f>IF($K588="","",(S588-V588)/J588*100)</f>
      </c>
      <c r="U588" s="4">
        <f>IF($K588="","",M588-Q588)</f>
      </c>
      <c r="W588" s="4">
        <f>IF($K588="","",S588-V588)</f>
      </c>
    </row>
    <row r="589" spans="1:28" x14ac:dyDescent="0.25">
      <c r="A589" s="8"/>
      <c r="D589" s="9"/>
      <c r="J589" s="4"/>
      <c r="K589" s="4"/>
      <c r="L589" s="4">
        <f>IF($K589="","",K589-J589)</f>
      </c>
      <c r="M589" s="4">
        <f>IF($K589="","",L589*16.67%)</f>
      </c>
      <c r="N589" s="4">
        <f>IF($K589="","",K589/100*11)</f>
      </c>
      <c r="O589" s="4">
        <v>8.99</v>
      </c>
      <c r="P589" s="4"/>
      <c r="Q589" s="4">
        <f>IF($K589="","",P589*20%)</f>
      </c>
      <c r="R589" s="4">
        <v>1</v>
      </c>
      <c r="S589" s="4">
        <f>IF($K589="","",L589-M589-N589-O589-P589-Q589-R589)</f>
      </c>
      <c r="T589" s="4">
        <f>IF($K589="","",(S589-V589)/J589*100)</f>
      </c>
      <c r="U589" s="4">
        <f>IF($K589="","",M589-Q589)</f>
      </c>
      <c r="W589" s="4">
        <f>IF($K589="","",S589-V589)</f>
      </c>
    </row>
    <row r="590" spans="1:28" x14ac:dyDescent="0.25">
      <c r="A590" s="8"/>
      <c r="D590" s="9"/>
      <c r="J590" s="4"/>
      <c r="K590" s="4"/>
      <c r="L590" s="4">
        <f>IF($K590="","",K590-J590)</f>
      </c>
      <c r="M590" s="4">
        <f>IF($K590="","",L590*16.67%)</f>
      </c>
      <c r="N590" s="4">
        <f>IF($K590="","",K590/100*11)</f>
      </c>
      <c r="O590" s="4">
        <v>8.99</v>
      </c>
      <c r="P590" s="4"/>
      <c r="Q590" s="4">
        <f>IF($K590="","",P590*20%)</f>
      </c>
      <c r="R590" s="4">
        <v>1</v>
      </c>
      <c r="S590" s="4">
        <f>IF($K590="","",L590-M590-N590-O590-P590-Q590-R590)</f>
      </c>
      <c r="T590" s="4">
        <f>IF($K590="","",(S590-V590)/J590*100)</f>
      </c>
      <c r="U590" s="4">
        <f>IF($K590="","",M590-Q590)</f>
      </c>
      <c r="W590" s="4">
        <f>IF($K590="","",S590-V590)</f>
      </c>
    </row>
    <row r="591" spans="1:28" x14ac:dyDescent="0.25">
      <c r="A591" s="8"/>
      <c r="D591" s="9"/>
      <c r="J591" s="4"/>
      <c r="K591" s="4"/>
      <c r="L591" s="4">
        <f>IF($K591="","",K591-J591)</f>
      </c>
      <c r="M591" s="4">
        <f>IF($K591="","",L591*16.67%)</f>
      </c>
      <c r="N591" s="4">
        <f>IF($K591="","",K591/100*11)</f>
      </c>
      <c r="O591" s="4">
        <v>8.99</v>
      </c>
      <c r="P591" s="4"/>
      <c r="Q591" s="4">
        <f>IF($K591="","",P591*20%)</f>
      </c>
      <c r="R591" s="4">
        <v>1</v>
      </c>
      <c r="S591" s="4">
        <f>IF($K591="","",L591-M591-N591-O591-P591-Q591-R591)</f>
      </c>
      <c r="T591" s="4">
        <f>IF($K591="","",(S591-V591)/J591*100)</f>
      </c>
      <c r="U591" s="4">
        <f>IF($K591="","",M591-Q591)</f>
      </c>
      <c r="W591" s="4">
        <f>IF($K591="","",S591-V591)</f>
      </c>
    </row>
    <row r="592" spans="1:28" x14ac:dyDescent="0.25">
      <c r="A592" s="8"/>
      <c r="D592" s="9"/>
      <c r="J592" s="4"/>
      <c r="K592" s="4"/>
      <c r="L592" s="4">
        <f>IF($K592="","",K592-J592)</f>
      </c>
      <c r="M592" s="4">
        <f>IF($K592="","",L592*16.67%)</f>
      </c>
      <c r="N592" s="4">
        <f>IF($K592="","",K592/100*11)</f>
      </c>
      <c r="O592" s="4">
        <v>8.99</v>
      </c>
      <c r="P592" s="4"/>
      <c r="Q592" s="4">
        <f>IF($K592="","",P592*20%)</f>
      </c>
      <c r="R592" s="4">
        <v>1</v>
      </c>
      <c r="S592" s="4">
        <f>IF($K592="","",L592-M592-N592-O592-P592-Q592-R592)</f>
      </c>
      <c r="T592" s="4">
        <f>IF($K592="","",(S592-V592)/J592*100)</f>
      </c>
      <c r="U592" s="4">
        <f>IF($K592="","",M592-Q592)</f>
      </c>
      <c r="W592" s="4">
        <f>IF($K592="","",S592-V592)</f>
      </c>
    </row>
    <row r="593" spans="1:28" x14ac:dyDescent="0.25">
      <c r="A593" s="8"/>
      <c r="D593" s="9"/>
      <c r="J593" s="4"/>
      <c r="K593" s="4"/>
      <c r="L593" s="4">
        <f>IF($K593="","",K593-J593)</f>
      </c>
      <c r="M593" s="4">
        <f>IF($K593="","",L593*16.67%)</f>
      </c>
      <c r="N593" s="4">
        <f>IF($K593="","",K593/100*11)</f>
      </c>
      <c r="O593" s="4">
        <v>8.99</v>
      </c>
      <c r="P593" s="4"/>
      <c r="Q593" s="4">
        <f>IF($K593="","",P593*20%)</f>
      </c>
      <c r="R593" s="4">
        <v>1</v>
      </c>
      <c r="S593" s="4">
        <f>IF($K593="","",L593-M593-N593-O593-P593-Q593-R593)</f>
      </c>
      <c r="T593" s="4">
        <f>IF($K593="","",(S593-V593)/J593*100)</f>
      </c>
      <c r="U593" s="4">
        <f>IF($K593="","",M593-Q593)</f>
      </c>
      <c r="W593" s="4">
        <f>IF($K593="","",S593-V593)</f>
      </c>
    </row>
    <row r="594" spans="1:28" x14ac:dyDescent="0.25">
      <c r="A594" s="8"/>
      <c r="D594" s="9"/>
      <c r="J594" s="4"/>
      <c r="K594" s="4"/>
      <c r="L594" s="4">
        <f>IF($K594="","",K594-J594)</f>
      </c>
      <c r="M594" s="4">
        <f>IF($K594="","",L594*16.67%)</f>
      </c>
      <c r="N594" s="4">
        <f>IF($K594="","",K594/100*11)</f>
      </c>
      <c r="O594" s="4">
        <v>8.99</v>
      </c>
      <c r="P594" s="4"/>
      <c r="Q594" s="4">
        <f>IF($K594="","",P594*20%)</f>
      </c>
      <c r="R594" s="4">
        <v>1</v>
      </c>
      <c r="S594" s="4">
        <f>IF($K594="","",L594-M594-N594-O594-P594-Q594-R594)</f>
      </c>
      <c r="T594" s="4">
        <f>IF($K594="","",(S594-V594)/J594*100)</f>
      </c>
      <c r="U594" s="4">
        <f>IF($K594="","",M594-Q594)</f>
      </c>
      <c r="W594" s="4">
        <f>IF($K594="","",S594-V594)</f>
      </c>
    </row>
    <row r="595" spans="1:28" x14ac:dyDescent="0.25">
      <c r="A595" s="8"/>
      <c r="D595" s="9"/>
      <c r="J595" s="4"/>
      <c r="K595" s="4"/>
      <c r="L595" s="4">
        <f>IF($K595="","",K595-J595)</f>
      </c>
      <c r="M595" s="4">
        <f>IF($K595="","",L595*16.67%)</f>
      </c>
      <c r="N595" s="4">
        <f>IF($K595="","",K595/100*11)</f>
      </c>
      <c r="O595" s="4">
        <v>8.99</v>
      </c>
      <c r="P595" s="4"/>
      <c r="Q595" s="4">
        <f>IF($K595="","",P595*20%)</f>
      </c>
      <c r="R595" s="4">
        <v>1</v>
      </c>
      <c r="S595" s="4">
        <f>IF($K595="","",L595-M595-N595-O595-P595-Q595-R595)</f>
      </c>
      <c r="T595" s="4">
        <f>IF($K595="","",(S595-V595)/J595*100)</f>
      </c>
      <c r="U595" s="4">
        <f>IF($K595="","",M595-Q595)</f>
      </c>
      <c r="W595" s="4">
        <f>IF($K595="","",S595-V595)</f>
      </c>
    </row>
    <row r="596" spans="1:28" x14ac:dyDescent="0.25">
      <c r="A596" s="8"/>
      <c r="D596" s="9"/>
      <c r="J596" s="4"/>
      <c r="K596" s="4"/>
      <c r="L596" s="4">
        <f>IF($K596="","",K596-J596)</f>
      </c>
      <c r="M596" s="4">
        <f>IF($K596="","",L596*16.67%)</f>
      </c>
      <c r="N596" s="4">
        <f>IF($K596="","",K596/100*11)</f>
      </c>
      <c r="O596" s="4">
        <v>8.99</v>
      </c>
      <c r="P596" s="4"/>
      <c r="Q596" s="4">
        <f>IF($K596="","",P596*20%)</f>
      </c>
      <c r="R596" s="4">
        <v>1</v>
      </c>
      <c r="S596" s="4">
        <f>IF($K596="","",L596-M596-N596-O596-P596-Q596-R596)</f>
      </c>
      <c r="T596" s="4">
        <f>IF($K596="","",(S596-V596)/J596*100)</f>
      </c>
      <c r="U596" s="4">
        <f>IF($K596="","",M596-Q596)</f>
      </c>
      <c r="W596" s="4">
        <f>IF($K596="","",S596-V596)</f>
      </c>
    </row>
    <row r="597" spans="1:28" x14ac:dyDescent="0.25">
      <c r="A597" s="8"/>
      <c r="D597" s="9"/>
      <c r="J597" s="4"/>
      <c r="K597" s="4"/>
      <c r="L597" s="4">
        <f>IF($K597="","",K597-J597)</f>
      </c>
      <c r="M597" s="4">
        <f>IF($K597="","",L597*16.67%)</f>
      </c>
      <c r="N597" s="4">
        <f>IF($K597="","",K597/100*11)</f>
      </c>
      <c r="O597" s="4">
        <v>8.99</v>
      </c>
      <c r="P597" s="4"/>
      <c r="Q597" s="4">
        <f>IF($K597="","",P597*20%)</f>
      </c>
      <c r="R597" s="4">
        <v>1</v>
      </c>
      <c r="S597" s="4">
        <f>IF($K597="","",L597-M597-N597-O597-P597-Q597-R597)</f>
      </c>
      <c r="T597" s="4">
        <f>IF($K597="","",(S597-V597)/J597*100)</f>
      </c>
      <c r="U597" s="4">
        <f>IF($K597="","",M597-Q597)</f>
      </c>
      <c r="W597" s="4">
        <f>IF($K597="","",S597-V597)</f>
      </c>
    </row>
    <row r="598" spans="1:28" x14ac:dyDescent="0.25">
      <c r="A598" s="8"/>
      <c r="D598" s="9"/>
      <c r="J598" s="4"/>
      <c r="K598" s="4"/>
      <c r="L598" s="4">
        <f>IF($K598="","",K598-J598)</f>
      </c>
      <c r="M598" s="4">
        <f>IF($K598="","",L598*16.67%)</f>
      </c>
      <c r="N598" s="4">
        <f>IF($K598="","",K598/100*11)</f>
      </c>
      <c r="O598" s="4">
        <v>8.99</v>
      </c>
      <c r="P598" s="4"/>
      <c r="Q598" s="4">
        <f>IF($K598="","",P598*20%)</f>
      </c>
      <c r="R598" s="4">
        <v>1</v>
      </c>
      <c r="S598" s="4">
        <f>IF($K598="","",L598-M598-N598-O598-P598-Q598-R598)</f>
      </c>
      <c r="T598" s="4">
        <f>IF($K598="","",(S598-V598)/J598*100)</f>
      </c>
      <c r="U598" s="4">
        <f>IF($K598="","",M598-Q598)</f>
      </c>
      <c r="W598" s="4">
        <f>IF($K598="","",S598-V598)</f>
      </c>
    </row>
    <row r="599" spans="1:28" x14ac:dyDescent="0.25">
      <c r="A599" s="8"/>
      <c r="D599" s="9"/>
      <c r="J599" s="4"/>
      <c r="K599" s="4"/>
      <c r="L599" s="4">
        <f>IF($K599="","",K599-J599)</f>
      </c>
      <c r="M599" s="4">
        <f>IF($K599="","",L599*16.67%)</f>
      </c>
      <c r="N599" s="4">
        <f>IF($K599="","",K599/100*11)</f>
      </c>
      <c r="O599" s="4">
        <v>8.99</v>
      </c>
      <c r="P599" s="4"/>
      <c r="Q599" s="4">
        <f>IF($K599="","",P599*20%)</f>
      </c>
      <c r="R599" s="4">
        <v>1</v>
      </c>
      <c r="S599" s="4">
        <f>IF($K599="","",L599-M599-N599-O599-P599-Q599-R599)</f>
      </c>
      <c r="T599" s="4">
        <f>IF($K599="","",(S599-V599)/J599*100)</f>
      </c>
      <c r="U599" s="4">
        <f>IF($K599="","",M599-Q599)</f>
      </c>
      <c r="W599" s="4">
        <f>IF($K599="","",S599-V599)</f>
      </c>
    </row>
    <row r="600" spans="1:28" x14ac:dyDescent="0.25">
      <c r="A600" s="8"/>
      <c r="D600" s="9"/>
      <c r="J600" s="4"/>
      <c r="K600" s="4"/>
      <c r="L600" s="4">
        <f>IF($K600="","",K600-J600)</f>
      </c>
      <c r="M600" s="4">
        <f>IF($K600="","",L600*16.67%)</f>
      </c>
      <c r="N600" s="4">
        <f>IF($K600="","",K600/100*11)</f>
      </c>
      <c r="O600" s="4">
        <v>8.99</v>
      </c>
      <c r="P600" s="4"/>
      <c r="Q600" s="4">
        <f>IF($K600="","",P600*20%)</f>
      </c>
      <c r="R600" s="4">
        <v>1</v>
      </c>
      <c r="S600" s="4">
        <f>IF($K600="","",L600-M600-N600-O600-P600-Q600-R600)</f>
      </c>
      <c r="T600" s="4">
        <f>IF($K600="","",(S600-V600)/J600*100)</f>
      </c>
      <c r="U600" s="4">
        <f>IF($K600="","",M600-Q600)</f>
      </c>
      <c r="W600" s="4">
        <f>IF($K600="","",S600-V600)</f>
      </c>
    </row>
    <row r="601" spans="1:28" x14ac:dyDescent="0.25">
      <c r="A601" s="8"/>
      <c r="D601" s="9"/>
      <c r="J601" s="4"/>
      <c r="K601" s="4"/>
      <c r="L601" s="4">
        <f>IF($K601="","",K601-J601)</f>
      </c>
      <c r="M601" s="4">
        <f>IF($K601="","",L601*16.67%)</f>
      </c>
      <c r="N601" s="4">
        <f>IF($K601="","",K601/100*11)</f>
      </c>
      <c r="O601" s="4">
        <v>8.99</v>
      </c>
      <c r="P601" s="4"/>
      <c r="Q601" s="4">
        <f>IF($K601="","",P601*20%)</f>
      </c>
      <c r="R601" s="4">
        <v>1</v>
      </c>
      <c r="S601" s="4">
        <f>IF($K601="","",L601-M601-N601-O601-P601-Q601-R601)</f>
      </c>
      <c r="T601" s="4">
        <f>IF($K601="","",(S601-V601)/J601*100)</f>
      </c>
      <c r="U601" s="4">
        <f>IF($K601="","",M601-Q601)</f>
      </c>
      <c r="W601" s="4">
        <f>IF($K601="","",S601-V601)</f>
      </c>
    </row>
    <row r="602" spans="1:28" x14ac:dyDescent="0.25">
      <c r="A602" s="8"/>
      <c r="D602" s="9"/>
      <c r="J602" s="4"/>
      <c r="K602" s="4"/>
      <c r="L602" s="4">
        <f>IF($K602="","",K602-J602)</f>
      </c>
      <c r="M602" s="4">
        <f>IF($K602="","",L602*16.67%)</f>
      </c>
      <c r="N602" s="4">
        <f>IF($K602="","",K602/100*11)</f>
      </c>
      <c r="O602" s="4">
        <v>8.99</v>
      </c>
      <c r="P602" s="4"/>
      <c r="Q602" s="4">
        <f>IF($K602="","",P602*20%)</f>
      </c>
      <c r="R602" s="4">
        <v>1</v>
      </c>
      <c r="S602" s="4">
        <f>IF($K602="","",L602-M602-N602-O602-P602-Q602-R602)</f>
      </c>
      <c r="T602" s="4">
        <f>IF($K602="","",(S602-V602)/J602*100)</f>
      </c>
      <c r="U602" s="4">
        <f>IF($K602="","",M602-Q602)</f>
      </c>
      <c r="W602" s="4">
        <f>IF($K602="","",S602-V602)</f>
      </c>
    </row>
    <row r="603" spans="1:28" x14ac:dyDescent="0.25">
      <c r="A603" s="8"/>
      <c r="D603" s="9"/>
      <c r="J603" s="4"/>
      <c r="K603" s="4"/>
      <c r="L603" s="4">
        <f>IF($K603="","",K603-J603)</f>
      </c>
      <c r="M603" s="4">
        <f>IF($K603="","",L603*16.67%)</f>
      </c>
      <c r="N603" s="4">
        <f>IF($K603="","",K603/100*11)</f>
      </c>
      <c r="O603" s="4">
        <v>8.99</v>
      </c>
      <c r="P603" s="4"/>
      <c r="Q603" s="4">
        <f>IF($K603="","",P603*20%)</f>
      </c>
      <c r="R603" s="4">
        <v>1</v>
      </c>
      <c r="S603" s="4">
        <f>IF($K603="","",L603-M603-N603-O603-P603-Q603-R603)</f>
      </c>
      <c r="T603" s="4">
        <f>IF($K603="","",(S603-V603)/J603*100)</f>
      </c>
      <c r="U603" s="4">
        <f>IF($K603="","",M603-Q603)</f>
      </c>
      <c r="W603" s="4">
        <f>IF($K603="","",S603-V603)</f>
      </c>
    </row>
    <row r="604" spans="1:28" x14ac:dyDescent="0.25">
      <c r="A604" s="8"/>
      <c r="D604" s="9"/>
      <c r="J604" s="4"/>
      <c r="K604" s="4"/>
      <c r="L604" s="4">
        <f>IF($K604="","",K604-J604)</f>
      </c>
      <c r="M604" s="4">
        <f>IF($K604="","",L604*16.67%)</f>
      </c>
      <c r="N604" s="4">
        <f>IF($K604="","",K604/100*11)</f>
      </c>
      <c r="O604" s="4">
        <v>8.99</v>
      </c>
      <c r="P604" s="4"/>
      <c r="Q604" s="4">
        <f>IF($K604="","",P604*20%)</f>
      </c>
      <c r="R604" s="4">
        <v>1</v>
      </c>
      <c r="S604" s="4">
        <f>IF($K604="","",L604-M604-N604-O604-P604-Q604-R604)</f>
      </c>
      <c r="T604" s="4">
        <f>IF($K604="","",(S604-V604)/J604*100)</f>
      </c>
      <c r="U604" s="4">
        <f>IF($K604="","",M604-Q604)</f>
      </c>
      <c r="W604" s="4">
        <f>IF($K604="","",S604-V604)</f>
      </c>
    </row>
    <row r="605" spans="1:28" x14ac:dyDescent="0.25">
      <c r="A605" s="8"/>
      <c r="D605" s="9"/>
      <c r="J605" s="4"/>
      <c r="K605" s="4"/>
      <c r="L605" s="4">
        <f>IF($K605="","",K605-J605)</f>
      </c>
      <c r="M605" s="4">
        <f>IF($K605="","",L605*16.67%)</f>
      </c>
      <c r="N605" s="4">
        <f>IF($K605="","",K605/100*11)</f>
      </c>
      <c r="O605" s="4">
        <v>8.99</v>
      </c>
      <c r="P605" s="4"/>
      <c r="Q605" s="4">
        <f>IF($K605="","",P605*20%)</f>
      </c>
      <c r="R605" s="4">
        <v>1</v>
      </c>
      <c r="S605" s="4">
        <f>IF($K605="","",L605-M605-N605-O605-P605-Q605-R605)</f>
      </c>
      <c r="T605" s="4">
        <f>IF($K605="","",(S605-V605)/J605*100)</f>
      </c>
      <c r="U605" s="4">
        <f>IF($K605="","",M605-Q605)</f>
      </c>
      <c r="W605" s="4">
        <f>IF($K605="","",S605-V605)</f>
      </c>
    </row>
    <row r="606" spans="1:28" x14ac:dyDescent="0.25">
      <c r="A606" s="8"/>
      <c r="D606" s="9"/>
      <c r="J606" s="4"/>
      <c r="K606" s="4"/>
      <c r="L606" s="4">
        <f>IF($K606="","",K606-J606)</f>
      </c>
      <c r="M606" s="4">
        <f>IF($K606="","",L606*16.67%)</f>
      </c>
      <c r="N606" s="4">
        <f>IF($K606="","",K606/100*11)</f>
      </c>
      <c r="O606" s="4">
        <v>8.99</v>
      </c>
      <c r="P606" s="4"/>
      <c r="Q606" s="4">
        <f>IF($K606="","",P606*20%)</f>
      </c>
      <c r="R606" s="4">
        <v>1</v>
      </c>
      <c r="S606" s="4">
        <f>IF($K606="","",L606-M606-N606-O606-P606-Q606-R606)</f>
      </c>
      <c r="T606" s="4">
        <f>IF($K606="","",(S606-V606)/J606*100)</f>
      </c>
      <c r="U606" s="4">
        <f>IF($K606="","",M606-Q606)</f>
      </c>
      <c r="W606" s="4">
        <f>IF($K606="","",S606-V606)</f>
      </c>
    </row>
    <row r="607" spans="1:28" x14ac:dyDescent="0.25">
      <c r="A607" s="8"/>
      <c r="D607" s="9"/>
      <c r="J607" s="4"/>
      <c r="K607" s="4"/>
      <c r="L607" s="4">
        <f>IF($K607="","",K607-J607)</f>
      </c>
      <c r="M607" s="4">
        <f>IF($K607="","",L607*16.67%)</f>
      </c>
      <c r="N607" s="4">
        <f>IF($K607="","",K607/100*11)</f>
      </c>
      <c r="O607" s="4">
        <v>8.99</v>
      </c>
      <c r="P607" s="4"/>
      <c r="Q607" s="4">
        <f>IF($K607="","",P607*20%)</f>
      </c>
      <c r="R607" s="4">
        <v>1</v>
      </c>
      <c r="S607" s="4">
        <f>IF($K607="","",L607-M607-N607-O607-P607-Q607-R607)</f>
      </c>
      <c r="T607" s="4">
        <f>IF($K607="","",(S607-V607)/J607*100)</f>
      </c>
      <c r="U607" s="4">
        <f>IF($K607="","",M607-Q607)</f>
      </c>
      <c r="W607" s="4">
        <f>IF($K607="","",S607-V607)</f>
      </c>
    </row>
    <row r="608" spans="1:28" x14ac:dyDescent="0.25">
      <c r="A608" s="8"/>
      <c r="D608" s="9"/>
      <c r="J608" s="4"/>
      <c r="K608" s="4"/>
      <c r="L608" s="4">
        <f>IF($K608="","",K608-J608)</f>
      </c>
      <c r="M608" s="4">
        <f>IF($K608="","",L608*16.67%)</f>
      </c>
      <c r="N608" s="4">
        <f>IF($K608="","",K608/100*11)</f>
      </c>
      <c r="O608" s="4">
        <v>8.99</v>
      </c>
      <c r="P608" s="4"/>
      <c r="Q608" s="4">
        <f>IF($K608="","",P608*20%)</f>
      </c>
      <c r="R608" s="4">
        <v>1</v>
      </c>
      <c r="S608" s="4">
        <f>IF($K608="","",L608-M608-N608-O608-P608-Q608-R608)</f>
      </c>
      <c r="T608" s="4">
        <f>IF($K608="","",(S608-V608)/J608*100)</f>
      </c>
      <c r="U608" s="4">
        <f>IF($K608="","",M608-Q608)</f>
      </c>
      <c r="W608" s="4">
        <f>IF($K608="","",S608-V608)</f>
      </c>
    </row>
    <row r="609" spans="1:28" x14ac:dyDescent="0.25">
      <c r="A609" s="8"/>
      <c r="D609" s="9"/>
      <c r="J609" s="4"/>
      <c r="K609" s="4"/>
      <c r="L609" s="4">
        <f>IF($K609="","",K609-J609)</f>
      </c>
      <c r="M609" s="4">
        <f>IF($K609="","",L609*16.67%)</f>
      </c>
      <c r="N609" s="4">
        <f>IF($K609="","",K609/100*11)</f>
      </c>
      <c r="O609" s="4">
        <v>8.99</v>
      </c>
      <c r="P609" s="4"/>
      <c r="Q609" s="4">
        <f>IF($K609="","",P609*20%)</f>
      </c>
      <c r="R609" s="4">
        <v>1</v>
      </c>
      <c r="S609" s="4">
        <f>IF($K609="","",L609-M609-N609-O609-P609-Q609-R609)</f>
      </c>
      <c r="T609" s="4">
        <f>IF($K609="","",(S609-V609)/J609*100)</f>
      </c>
      <c r="U609" s="4">
        <f>IF($K609="","",M609-Q609)</f>
      </c>
      <c r="W609" s="4">
        <f>IF($K609="","",S609-V609)</f>
      </c>
    </row>
    <row r="610" spans="1:28" x14ac:dyDescent="0.25">
      <c r="A610" s="8"/>
      <c r="D610" s="9"/>
      <c r="J610" s="4"/>
      <c r="K610" s="4"/>
      <c r="L610" s="4">
        <f>IF($K610="","",K610-J610)</f>
      </c>
      <c r="M610" s="4">
        <f>IF($K610="","",L610*16.67%)</f>
      </c>
      <c r="N610" s="4">
        <f>IF($K610="","",K610/100*11)</f>
      </c>
      <c r="O610" s="4">
        <v>8.99</v>
      </c>
      <c r="P610" s="4"/>
      <c r="Q610" s="4">
        <f>IF($K610="","",P610*20%)</f>
      </c>
      <c r="R610" s="4">
        <v>1</v>
      </c>
      <c r="S610" s="4">
        <f>IF($K610="","",L610-M610-N610-O610-P610-Q610-R610)</f>
      </c>
      <c r="T610" s="4">
        <f>IF($K610="","",(S610-V610)/J610*100)</f>
      </c>
      <c r="U610" s="4">
        <f>IF($K610="","",M610-Q610)</f>
      </c>
      <c r="W610" s="4">
        <f>IF($K610="","",S610-V610)</f>
      </c>
    </row>
    <row r="611" spans="1:28" x14ac:dyDescent="0.25">
      <c r="A611" s="8"/>
      <c r="D611" s="9"/>
      <c r="J611" s="4"/>
      <c r="K611" s="4"/>
      <c r="L611" s="4">
        <f>IF($K611="","",K611-J611)</f>
      </c>
      <c r="M611" s="4">
        <f>IF($K611="","",L611*16.67%)</f>
      </c>
      <c r="N611" s="4">
        <f>IF($K611="","",K611/100*11)</f>
      </c>
      <c r="O611" s="4">
        <v>8.99</v>
      </c>
      <c r="P611" s="4"/>
      <c r="Q611" s="4">
        <f>IF($K611="","",P611*20%)</f>
      </c>
      <c r="R611" s="4">
        <v>1</v>
      </c>
      <c r="S611" s="4">
        <f>IF($K611="","",L611-M611-N611-O611-P611-Q611-R611)</f>
      </c>
      <c r="T611" s="4">
        <f>IF($K611="","",(S611-V611)/J611*100)</f>
      </c>
      <c r="U611" s="4">
        <f>IF($K611="","",M611-Q611)</f>
      </c>
      <c r="W611" s="4">
        <f>IF($K611="","",S611-V611)</f>
      </c>
    </row>
    <row r="612" spans="1:28" x14ac:dyDescent="0.25">
      <c r="A612" s="8"/>
      <c r="D612" s="9"/>
      <c r="J612" s="4"/>
      <c r="K612" s="4"/>
      <c r="L612" s="4">
        <f>IF($K612="","",K612-J612)</f>
      </c>
      <c r="M612" s="4">
        <f>IF($K612="","",L612*16.67%)</f>
      </c>
      <c r="N612" s="4">
        <f>IF($K612="","",K612/100*11)</f>
      </c>
      <c r="O612" s="4">
        <v>8.99</v>
      </c>
      <c r="P612" s="4"/>
      <c r="Q612" s="4">
        <f>IF($K612="","",P612*20%)</f>
      </c>
      <c r="R612" s="4">
        <v>1</v>
      </c>
      <c r="S612" s="4">
        <f>IF($K612="","",L612-M612-N612-O612-P612-Q612-R612)</f>
      </c>
      <c r="T612" s="4">
        <f>IF($K612="","",(S612-V612)/J612*100)</f>
      </c>
      <c r="U612" s="4">
        <f>IF($K612="","",M612-Q612)</f>
      </c>
      <c r="W612" s="4">
        <f>IF($K612="","",S612-V612)</f>
      </c>
    </row>
    <row r="613" spans="1:28" x14ac:dyDescent="0.25">
      <c r="A613" s="8"/>
      <c r="D613" s="9"/>
      <c r="J613" s="4"/>
      <c r="K613" s="4"/>
      <c r="L613" s="4">
        <f>IF($K613="","",K613-J613)</f>
      </c>
      <c r="M613" s="4">
        <f>IF($K613="","",L613*16.67%)</f>
      </c>
      <c r="N613" s="4">
        <f>IF($K613="","",K613/100*11)</f>
      </c>
      <c r="O613" s="4">
        <v>8.99</v>
      </c>
      <c r="P613" s="4"/>
      <c r="Q613" s="4">
        <f>IF($K613="","",P613*20%)</f>
      </c>
      <c r="R613" s="4">
        <v>1</v>
      </c>
      <c r="S613" s="4">
        <f>IF($K613="","",L613-M613-N613-O613-P613-Q613-R613)</f>
      </c>
      <c r="T613" s="4">
        <f>IF($K613="","",(S613-V613)/J613*100)</f>
      </c>
      <c r="U613" s="4">
        <f>IF($K613="","",M613-Q613)</f>
      </c>
      <c r="W613" s="4">
        <f>IF($K613="","",S613-V613)</f>
      </c>
    </row>
    <row r="614" spans="1:28" x14ac:dyDescent="0.25">
      <c r="A614" s="8"/>
      <c r="D614" s="9"/>
      <c r="J614" s="4"/>
      <c r="K614" s="4"/>
      <c r="L614" s="4">
        <f>IF($K614="","",K614-J614)</f>
      </c>
      <c r="M614" s="4">
        <f>IF($K614="","",L614*16.67%)</f>
      </c>
      <c r="N614" s="4">
        <f>IF($K614="","",K614/100*11)</f>
      </c>
      <c r="O614" s="4">
        <v>8.99</v>
      </c>
      <c r="P614" s="4"/>
      <c r="Q614" s="4">
        <f>IF($K614="","",P614*20%)</f>
      </c>
      <c r="R614" s="4">
        <v>1</v>
      </c>
      <c r="S614" s="4">
        <f>IF($K614="","",L614-M614-N614-O614-P614-Q614-R614)</f>
      </c>
      <c r="T614" s="4">
        <f>IF($K614="","",(S614-V614)/J614*100)</f>
      </c>
      <c r="U614" s="4">
        <f>IF($K614="","",M614-Q614)</f>
      </c>
      <c r="W614" s="4">
        <f>IF($K614="","",S614-V614)</f>
      </c>
    </row>
    <row r="615" spans="1:28" x14ac:dyDescent="0.25">
      <c r="A615" s="8"/>
      <c r="D615" s="9"/>
      <c r="J615" s="4"/>
      <c r="K615" s="4"/>
      <c r="L615" s="4">
        <f>IF($K615="","",K615-J615)</f>
      </c>
      <c r="M615" s="4">
        <f>IF($K615="","",L615*16.67%)</f>
      </c>
      <c r="N615" s="4">
        <f>IF($K615="","",K615/100*11)</f>
      </c>
      <c r="O615" s="4">
        <v>8.99</v>
      </c>
      <c r="P615" s="4"/>
      <c r="Q615" s="4">
        <f>IF($K615="","",P615*20%)</f>
      </c>
      <c r="R615" s="4">
        <v>1</v>
      </c>
      <c r="S615" s="4">
        <f>IF($K615="","",L615-M615-N615-O615-P615-Q615-R615)</f>
      </c>
      <c r="T615" s="4">
        <f>IF($K615="","",(S615-V615)/J615*100)</f>
      </c>
      <c r="U615" s="4">
        <f>IF($K615="","",M615-Q615)</f>
      </c>
      <c r="W615" s="4">
        <f>IF($K615="","",S615-V615)</f>
      </c>
    </row>
    <row r="616" spans="1:28" x14ac:dyDescent="0.25">
      <c r="A616" s="8"/>
      <c r="D616" s="9"/>
      <c r="J616" s="4"/>
      <c r="K616" s="4"/>
      <c r="L616" s="4">
        <f>IF($K616="","",K616-J616)</f>
      </c>
      <c r="M616" s="4">
        <f>IF($K616="","",L616*16.67%)</f>
      </c>
      <c r="N616" s="4">
        <f>IF($K616="","",K616/100*11)</f>
      </c>
      <c r="O616" s="4">
        <v>8.99</v>
      </c>
      <c r="P616" s="4"/>
      <c r="Q616" s="4">
        <f>IF($K616="","",P616*20%)</f>
      </c>
      <c r="R616" s="4">
        <v>1</v>
      </c>
      <c r="S616" s="4">
        <f>IF($K616="","",L616-M616-N616-O616-P616-Q616-R616)</f>
      </c>
      <c r="T616" s="4">
        <f>IF($K616="","",(S616-V616)/J616*100)</f>
      </c>
      <c r="U616" s="4">
        <f>IF($K616="","",M616-Q616)</f>
      </c>
      <c r="W616" s="4">
        <f>IF($K616="","",S616-V616)</f>
      </c>
    </row>
    <row r="617" spans="1:28" x14ac:dyDescent="0.25">
      <c r="A617" s="8"/>
      <c r="D617" s="9"/>
      <c r="J617" s="4"/>
      <c r="K617" s="4"/>
      <c r="L617" s="4">
        <f>IF($K617="","",K617-J617)</f>
      </c>
      <c r="M617" s="4">
        <f>IF($K617="","",L617*16.67%)</f>
      </c>
      <c r="N617" s="4">
        <f>IF($K617="","",K617/100*11)</f>
      </c>
      <c r="O617" s="4">
        <v>8.99</v>
      </c>
      <c r="P617" s="4"/>
      <c r="Q617" s="4">
        <f>IF($K617="","",P617*20%)</f>
      </c>
      <c r="R617" s="4">
        <v>1</v>
      </c>
      <c r="S617" s="4">
        <f>IF($K617="","",L617-M617-N617-O617-P617-Q617-R617)</f>
      </c>
      <c r="T617" s="4">
        <f>IF($K617="","",(S617-V617)/J617*100)</f>
      </c>
      <c r="U617" s="4">
        <f>IF($K617="","",M617-Q617)</f>
      </c>
      <c r="W617" s="4">
        <f>IF($K617="","",S617-V617)</f>
      </c>
    </row>
    <row r="618" spans="1:28" x14ac:dyDescent="0.25">
      <c r="A618" s="8"/>
      <c r="D618" s="9"/>
      <c r="J618" s="4"/>
      <c r="K618" s="4"/>
      <c r="L618" s="4">
        <f>IF($K618="","",K618-J618)</f>
      </c>
      <c r="M618" s="4">
        <f>IF($K618="","",L618*16.67%)</f>
      </c>
      <c r="N618" s="4">
        <f>IF($K618="","",K618/100*11)</f>
      </c>
      <c r="O618" s="4">
        <v>8.99</v>
      </c>
      <c r="P618" s="4"/>
      <c r="Q618" s="4">
        <f>IF($K618="","",P618*20%)</f>
      </c>
      <c r="R618" s="4">
        <v>1</v>
      </c>
      <c r="S618" s="4">
        <f>IF($K618="","",L618-M618-N618-O618-P618-Q618-R618)</f>
      </c>
      <c r="T618" s="4">
        <f>IF($K618="","",(S618-V618)/J618*100)</f>
      </c>
      <c r="U618" s="4">
        <f>IF($K618="","",M618-Q618)</f>
      </c>
      <c r="W618" s="4">
        <f>IF($K618="","",S618-V618)</f>
      </c>
    </row>
    <row r="619" spans="1:28" x14ac:dyDescent="0.25">
      <c r="A619" s="8"/>
      <c r="D619" s="9"/>
      <c r="J619" s="4"/>
      <c r="K619" s="4"/>
      <c r="L619" s="4">
        <f>IF($K619="","",K619-J619)</f>
      </c>
      <c r="M619" s="4">
        <f>IF($K619="","",L619*16.67%)</f>
      </c>
      <c r="N619" s="4">
        <f>IF($K619="","",K619/100*11)</f>
      </c>
      <c r="O619" s="4">
        <v>8.99</v>
      </c>
      <c r="P619" s="4"/>
      <c r="Q619" s="4">
        <f>IF($K619="","",P619*20%)</f>
      </c>
      <c r="R619" s="4">
        <v>1</v>
      </c>
      <c r="S619" s="4">
        <f>IF($K619="","",L619-M619-N619-O619-P619-Q619-R619)</f>
      </c>
      <c r="T619" s="4">
        <f>IF($K619="","",(S619-V619)/J619*100)</f>
      </c>
      <c r="U619" s="4">
        <f>IF($K619="","",M619-Q619)</f>
      </c>
      <c r="W619" s="4">
        <f>IF($K619="","",S619-V619)</f>
      </c>
    </row>
    <row r="620" spans="1:28" x14ac:dyDescent="0.25">
      <c r="A620" s="8"/>
      <c r="D620" s="9"/>
      <c r="J620" s="4"/>
      <c r="K620" s="4"/>
      <c r="L620" s="4">
        <f>IF($K620="","",K620-J620)</f>
      </c>
      <c r="M620" s="4">
        <f>IF($K620="","",L620*16.67%)</f>
      </c>
      <c r="N620" s="4">
        <f>IF($K620="","",K620/100*11)</f>
      </c>
      <c r="O620" s="4">
        <v>8.99</v>
      </c>
      <c r="P620" s="4"/>
      <c r="Q620" s="4">
        <f>IF($K620="","",P620*20%)</f>
      </c>
      <c r="R620" s="4">
        <v>1</v>
      </c>
      <c r="S620" s="4">
        <f>IF($K620="","",L620-M620-N620-O620-P620-Q620-R620)</f>
      </c>
      <c r="T620" s="4">
        <f>IF($K620="","",(S620-V620)/J620*100)</f>
      </c>
      <c r="U620" s="4">
        <f>IF($K620="","",M620-Q620)</f>
      </c>
      <c r="W620" s="4">
        <f>IF($K620="","",S620-V620)</f>
      </c>
    </row>
    <row r="621" spans="1:28" x14ac:dyDescent="0.25">
      <c r="A621" s="8"/>
      <c r="D621" s="9"/>
      <c r="J621" s="4"/>
      <c r="K621" s="4"/>
      <c r="L621" s="4">
        <f>IF($K621="","",K621-J621)</f>
      </c>
      <c r="M621" s="4">
        <f>IF($K621="","",L621*16.67%)</f>
      </c>
      <c r="N621" s="4">
        <f>IF($K621="","",K621/100*11)</f>
      </c>
      <c r="O621" s="4">
        <v>8.99</v>
      </c>
      <c r="P621" s="4"/>
      <c r="Q621" s="4">
        <f>IF($K621="","",P621*20%)</f>
      </c>
      <c r="R621" s="4">
        <v>1</v>
      </c>
      <c r="S621" s="4">
        <f>IF($K621="","",L621-M621-N621-O621-P621-Q621-R621)</f>
      </c>
      <c r="T621" s="4">
        <f>IF($K621="","",(S621-V621)/J621*100)</f>
      </c>
      <c r="U621" s="4">
        <f>IF($K621="","",M621-Q621)</f>
      </c>
      <c r="W621" s="4">
        <f>IF($K621="","",S621-V621)</f>
      </c>
    </row>
    <row r="622" spans="1:28" x14ac:dyDescent="0.25">
      <c r="A622" s="8"/>
      <c r="D622" s="9"/>
      <c r="J622" s="4"/>
      <c r="K622" s="4"/>
      <c r="L622" s="4">
        <f>IF($K622="","",K622-J622)</f>
      </c>
      <c r="M622" s="4">
        <f>IF($K622="","",L622*16.67%)</f>
      </c>
      <c r="N622" s="4">
        <f>IF($K622="","",K622/100*11)</f>
      </c>
      <c r="O622" s="4">
        <v>8.99</v>
      </c>
      <c r="P622" s="4"/>
      <c r="Q622" s="4">
        <f>IF($K622="","",P622*20%)</f>
      </c>
      <c r="R622" s="4">
        <v>1</v>
      </c>
      <c r="S622" s="4">
        <f>IF($K622="","",L622-M622-N622-O622-P622-Q622-R622)</f>
      </c>
      <c r="T622" s="4">
        <f>IF($K622="","",(S622-V622)/J622*100)</f>
      </c>
      <c r="U622" s="4">
        <f>IF($K622="","",M622-Q622)</f>
      </c>
      <c r="W622" s="4">
        <f>IF($K622="","",S622-V622)</f>
      </c>
    </row>
    <row r="623" spans="1:28" x14ac:dyDescent="0.25">
      <c r="A623" s="8"/>
      <c r="D623" s="9"/>
      <c r="J623" s="4"/>
      <c r="K623" s="4"/>
      <c r="L623" s="4">
        <f>IF($K623="","",K623-J623)</f>
      </c>
      <c r="M623" s="4">
        <f>IF($K623="","",L623*16.67%)</f>
      </c>
      <c r="N623" s="4">
        <f>IF($K623="","",K623/100*11)</f>
      </c>
      <c r="O623" s="4">
        <v>8.99</v>
      </c>
      <c r="P623" s="4"/>
      <c r="Q623" s="4">
        <f>IF($K623="","",P623*20%)</f>
      </c>
      <c r="R623" s="4">
        <v>1</v>
      </c>
      <c r="S623" s="4">
        <f>IF($K623="","",L623-M623-N623-O623-P623-Q623-R623)</f>
      </c>
      <c r="T623" s="4">
        <f>IF($K623="","",(S623-V623)/J623*100)</f>
      </c>
      <c r="U623" s="4">
        <f>IF($K623="","",M623-Q623)</f>
      </c>
      <c r="W623" s="4">
        <f>IF($K623="","",S623-V623)</f>
      </c>
    </row>
    <row r="624" spans="1:28" x14ac:dyDescent="0.25">
      <c r="A624" s="8"/>
      <c r="D624" s="9"/>
      <c r="J624" s="4"/>
      <c r="K624" s="4"/>
      <c r="L624" s="4">
        <f>IF($K624="","",K624-J624)</f>
      </c>
      <c r="M624" s="4">
        <f>IF($K624="","",L624*16.67%)</f>
      </c>
      <c r="N624" s="4">
        <f>IF($K624="","",K624/100*11)</f>
      </c>
      <c r="O624" s="4">
        <v>8.99</v>
      </c>
      <c r="P624" s="4"/>
      <c r="Q624" s="4">
        <f>IF($K624="","",P624*20%)</f>
      </c>
      <c r="R624" s="4">
        <v>1</v>
      </c>
      <c r="S624" s="4">
        <f>IF($K624="","",L624-M624-N624-O624-P624-Q624-R624)</f>
      </c>
      <c r="T624" s="4">
        <f>IF($K624="","",(S624-V624)/J624*100)</f>
      </c>
      <c r="U624" s="4">
        <f>IF($K624="","",M624-Q624)</f>
      </c>
      <c r="W624" s="4">
        <f>IF($K624="","",S624-V624)</f>
      </c>
    </row>
    <row r="625" spans="1:28" x14ac:dyDescent="0.25">
      <c r="A625" s="8"/>
      <c r="D625" s="9"/>
      <c r="J625" s="4"/>
      <c r="K625" s="4"/>
      <c r="L625" s="4">
        <f>IF($K625="","",K625-J625)</f>
      </c>
      <c r="M625" s="4">
        <f>IF($K625="","",L625*16.67%)</f>
      </c>
      <c r="N625" s="4">
        <f>IF($K625="","",K625/100*11)</f>
      </c>
      <c r="O625" s="4">
        <v>8.99</v>
      </c>
      <c r="P625" s="4"/>
      <c r="Q625" s="4">
        <f>IF($K625="","",P625*20%)</f>
      </c>
      <c r="R625" s="4">
        <v>1</v>
      </c>
      <c r="S625" s="4">
        <f>IF($K625="","",L625-M625-N625-O625-P625-Q625-R625)</f>
      </c>
      <c r="T625" s="4">
        <f>IF($K625="","",(S625-V625)/J625*100)</f>
      </c>
      <c r="U625" s="4">
        <f>IF($K625="","",M625-Q625)</f>
      </c>
      <c r="W625" s="4">
        <f>IF($K625="","",S625-V625)</f>
      </c>
    </row>
    <row r="626" spans="1:28" x14ac:dyDescent="0.25">
      <c r="A626" s="8"/>
      <c r="D626" s="9"/>
      <c r="J626" s="4"/>
      <c r="K626" s="4"/>
      <c r="L626" s="4">
        <f>IF($K626="","",K626-J626)</f>
      </c>
      <c r="M626" s="4">
        <f>IF($K626="","",L626*16.67%)</f>
      </c>
      <c r="N626" s="4">
        <f>IF($K626="","",K626/100*11)</f>
      </c>
      <c r="O626" s="4">
        <v>8.99</v>
      </c>
      <c r="P626" s="4"/>
      <c r="Q626" s="4">
        <f>IF($K626="","",P626*20%)</f>
      </c>
      <c r="R626" s="4">
        <v>1</v>
      </c>
      <c r="S626" s="4">
        <f>IF($K626="","",L626-M626-N626-O626-P626-Q626-R626)</f>
      </c>
      <c r="T626" s="4">
        <f>IF($K626="","",(S626-V626)/J626*100)</f>
      </c>
      <c r="U626" s="4">
        <f>IF($K626="","",M626-Q626)</f>
      </c>
      <c r="W626" s="4">
        <f>IF($K626="","",S626-V626)</f>
      </c>
    </row>
    <row r="627" spans="1:28" x14ac:dyDescent="0.25">
      <c r="A627" s="8"/>
      <c r="D627" s="9"/>
      <c r="J627" s="4"/>
      <c r="K627" s="4"/>
      <c r="L627" s="4">
        <f>IF($K627="","",K627-J627)</f>
      </c>
      <c r="M627" s="4">
        <f>IF($K627="","",L627*16.67%)</f>
      </c>
      <c r="N627" s="4">
        <f>IF($K627="","",K627/100*11)</f>
      </c>
      <c r="O627" s="4">
        <v>8.99</v>
      </c>
      <c r="P627" s="4"/>
      <c r="Q627" s="4">
        <f>IF($K627="","",P627*20%)</f>
      </c>
      <c r="R627" s="4">
        <v>1</v>
      </c>
      <c r="S627" s="4">
        <f>IF($K627="","",L627-M627-N627-O627-P627-Q627-R627)</f>
      </c>
      <c r="T627" s="4">
        <f>IF($K627="","",(S627-V627)/J627*100)</f>
      </c>
      <c r="U627" s="4">
        <f>IF($K627="","",M627-Q627)</f>
      </c>
      <c r="W627" s="4">
        <f>IF($K627="","",S627-V627)</f>
      </c>
    </row>
    <row r="628" spans="1:28" x14ac:dyDescent="0.25">
      <c r="A628" s="8"/>
      <c r="D628" s="9"/>
      <c r="J628" s="4"/>
      <c r="K628" s="4"/>
      <c r="L628" s="4">
        <f>IF($K628="","",K628-J628)</f>
      </c>
      <c r="M628" s="4">
        <f>IF($K628="","",L628*16.67%)</f>
      </c>
      <c r="N628" s="4">
        <f>IF($K628="","",K628/100*11)</f>
      </c>
      <c r="O628" s="4">
        <v>8.99</v>
      </c>
      <c r="P628" s="4"/>
      <c r="Q628" s="4">
        <f>IF($K628="","",P628*20%)</f>
      </c>
      <c r="R628" s="4">
        <v>1</v>
      </c>
      <c r="S628" s="4">
        <f>IF($K628="","",L628-M628-N628-O628-P628-Q628-R628)</f>
      </c>
      <c r="T628" s="4">
        <f>IF($K628="","",(S628-V628)/J628*100)</f>
      </c>
      <c r="U628" s="4">
        <f>IF($K628="","",M628-Q628)</f>
      </c>
      <c r="W628" s="4">
        <f>IF($K628="","",S628-V628)</f>
      </c>
    </row>
    <row r="629" spans="1:28" x14ac:dyDescent="0.25">
      <c r="A629" s="8"/>
      <c r="D629" s="9"/>
      <c r="J629" s="4"/>
      <c r="K629" s="4"/>
      <c r="L629" s="4">
        <f>IF($K629="","",K629-J629)</f>
      </c>
      <c r="M629" s="4">
        <f>IF($K629="","",L629*16.67%)</f>
      </c>
      <c r="N629" s="4">
        <f>IF($K629="","",K629/100*11)</f>
      </c>
      <c r="O629" s="4">
        <v>8.99</v>
      </c>
      <c r="P629" s="4"/>
      <c r="Q629" s="4">
        <f>IF($K629="","",P629*20%)</f>
      </c>
      <c r="R629" s="4">
        <v>1</v>
      </c>
      <c r="S629" s="4">
        <f>IF($K629="","",L629-M629-N629-O629-P629-Q629-R629)</f>
      </c>
      <c r="T629" s="4">
        <f>IF($K629="","",(S629-V629)/J629*100)</f>
      </c>
      <c r="U629" s="4">
        <f>IF($K629="","",M629-Q629)</f>
      </c>
      <c r="W629" s="4">
        <f>IF($K629="","",S629-V629)</f>
      </c>
    </row>
    <row r="630" spans="1:28" x14ac:dyDescent="0.25">
      <c r="A630" s="8"/>
      <c r="D630" s="9"/>
      <c r="J630" s="4"/>
      <c r="K630" s="4"/>
      <c r="L630" s="4">
        <f>IF($K630="","",K630-J630)</f>
      </c>
      <c r="M630" s="4">
        <f>IF($K630="","",L630*16.67%)</f>
      </c>
      <c r="N630" s="4">
        <f>IF($K630="","",K630/100*11)</f>
      </c>
      <c r="O630" s="4">
        <v>8.99</v>
      </c>
      <c r="P630" s="4"/>
      <c r="Q630" s="4">
        <f>IF($K630="","",P630*20%)</f>
      </c>
      <c r="R630" s="4">
        <v>1</v>
      </c>
      <c r="S630" s="4">
        <f>IF($K630="","",L630-M630-N630-O630-P630-Q630-R630)</f>
      </c>
      <c r="T630" s="4">
        <f>IF($K630="","",(S630-V630)/J630*100)</f>
      </c>
      <c r="U630" s="4">
        <f>IF($K630="","",M630-Q630)</f>
      </c>
      <c r="W630" s="4">
        <f>IF($K630="","",S630-V630)</f>
      </c>
    </row>
    <row r="631" spans="1:28" x14ac:dyDescent="0.25">
      <c r="A631" s="8"/>
      <c r="D631" s="9"/>
      <c r="J631" s="4"/>
      <c r="K631" s="4"/>
      <c r="L631" s="4">
        <f>IF($K631="","",K631-J631)</f>
      </c>
      <c r="M631" s="4">
        <f>IF($K631="","",L631*16.67%)</f>
      </c>
      <c r="N631" s="4">
        <f>IF($K631="","",K631/100*11)</f>
      </c>
      <c r="O631" s="4">
        <v>8.99</v>
      </c>
      <c r="P631" s="4"/>
      <c r="Q631" s="4">
        <f>IF($K631="","",P631*20%)</f>
      </c>
      <c r="R631" s="4">
        <v>1</v>
      </c>
      <c r="S631" s="4">
        <f>IF($K631="","",L631-M631-N631-O631-P631-Q631-R631)</f>
      </c>
      <c r="T631" s="4">
        <f>IF($K631="","",(S631-V631)/J631*100)</f>
      </c>
      <c r="U631" s="4">
        <f>IF($K631="","",M631-Q631)</f>
      </c>
      <c r="W631" s="4">
        <f>IF($K631="","",S631-V631)</f>
      </c>
    </row>
    <row r="632" spans="1:28" x14ac:dyDescent="0.25">
      <c r="A632" s="8"/>
      <c r="D632" s="9"/>
      <c r="J632" s="4"/>
      <c r="K632" s="4"/>
      <c r="L632" s="4">
        <f>IF($K632="","",K632-J632)</f>
      </c>
      <c r="M632" s="4">
        <f>IF($K632="","",L632*16.67%)</f>
      </c>
      <c r="N632" s="4">
        <f>IF($K632="","",K632/100*11)</f>
      </c>
      <c r="O632" s="4">
        <v>8.99</v>
      </c>
      <c r="P632" s="4"/>
      <c r="Q632" s="4">
        <f>IF($K632="","",P632*20%)</f>
      </c>
      <c r="R632" s="4">
        <v>1</v>
      </c>
      <c r="S632" s="4">
        <f>IF($K632="","",L632-M632-N632-O632-P632-Q632-R632)</f>
      </c>
      <c r="T632" s="4">
        <f>IF($K632="","",(S632-V632)/J632*100)</f>
      </c>
      <c r="U632" s="4">
        <f>IF($K632="","",M632-Q632)</f>
      </c>
      <c r="W632" s="4">
        <f>IF($K632="","",S632-V632)</f>
      </c>
    </row>
    <row r="633" spans="1:28" x14ac:dyDescent="0.25">
      <c r="A633" s="8"/>
      <c r="D633" s="9"/>
      <c r="J633" s="4"/>
      <c r="K633" s="4"/>
      <c r="L633" s="4">
        <f>IF($K633="","",K633-J633)</f>
      </c>
      <c r="M633" s="4">
        <f>IF($K633="","",L633*16.67%)</f>
      </c>
      <c r="N633" s="4">
        <f>IF($K633="","",K633/100*11)</f>
      </c>
      <c r="O633" s="4">
        <v>8.99</v>
      </c>
      <c r="P633" s="4"/>
      <c r="Q633" s="4">
        <f>IF($K633="","",P633*20%)</f>
      </c>
      <c r="R633" s="4">
        <v>1</v>
      </c>
      <c r="S633" s="4">
        <f>IF($K633="","",L633-M633-N633-O633-P633-Q633-R633)</f>
      </c>
      <c r="T633" s="4">
        <f>IF($K633="","",(S633-V633)/J633*100)</f>
      </c>
      <c r="U633" s="4">
        <f>IF($K633="","",M633-Q633)</f>
      </c>
      <c r="W633" s="4">
        <f>IF($K633="","",S633-V633)</f>
      </c>
    </row>
    <row r="634" spans="1:28" x14ac:dyDescent="0.25">
      <c r="A634" s="8"/>
      <c r="D634" s="9"/>
      <c r="J634" s="4"/>
      <c r="K634" s="4"/>
      <c r="L634" s="4">
        <f>IF($K634="","",K634-J634)</f>
      </c>
      <c r="M634" s="4">
        <f>IF($K634="","",L634*16.67%)</f>
      </c>
      <c r="N634" s="4">
        <f>IF($K634="","",K634/100*11)</f>
      </c>
      <c r="O634" s="4">
        <v>8.99</v>
      </c>
      <c r="P634" s="4"/>
      <c r="Q634" s="4">
        <f>IF($K634="","",P634*20%)</f>
      </c>
      <c r="R634" s="4">
        <v>1</v>
      </c>
      <c r="S634" s="4">
        <f>IF($K634="","",L634-M634-N634-O634-P634-Q634-R634)</f>
      </c>
      <c r="T634" s="4">
        <f>IF($K634="","",(S634-V634)/J634*100)</f>
      </c>
      <c r="U634" s="4">
        <f>IF($K634="","",M634-Q634)</f>
      </c>
      <c r="W634" s="4">
        <f>IF($K634="","",S634-V634)</f>
      </c>
    </row>
    <row r="635" spans="1:28" x14ac:dyDescent="0.25">
      <c r="A635" s="8"/>
      <c r="D635" s="9"/>
      <c r="J635" s="4"/>
      <c r="K635" s="4"/>
      <c r="L635" s="4">
        <f>IF($K635="","",K635-J635)</f>
      </c>
      <c r="M635" s="4">
        <f>IF($K635="","",L635*16.67%)</f>
      </c>
      <c r="N635" s="4">
        <f>IF($K635="","",K635/100*11)</f>
      </c>
      <c r="O635" s="4">
        <v>8.99</v>
      </c>
      <c r="P635" s="4"/>
      <c r="Q635" s="4">
        <f>IF($K635="","",P635*20%)</f>
      </c>
      <c r="R635" s="4">
        <v>1</v>
      </c>
      <c r="S635" s="4">
        <f>IF($K635="","",L635-M635-N635-O635-P635-Q635-R635)</f>
      </c>
      <c r="T635" s="4">
        <f>IF($K635="","",(S635-V635)/J635*100)</f>
      </c>
      <c r="U635" s="4">
        <f>IF($K635="","",M635-Q635)</f>
      </c>
      <c r="W635" s="4">
        <f>IF($K635="","",S635-V635)</f>
      </c>
    </row>
    <row r="636" spans="1:28" x14ac:dyDescent="0.25">
      <c r="A636" s="8"/>
      <c r="D636" s="9"/>
      <c r="J636" s="4"/>
      <c r="K636" s="4"/>
      <c r="L636" s="4">
        <f>IF($K636="","",K636-J636)</f>
      </c>
      <c r="M636" s="4">
        <f>IF($K636="","",L636*16.67%)</f>
      </c>
      <c r="N636" s="4">
        <f>IF($K636="","",K636/100*11)</f>
      </c>
      <c r="O636" s="4">
        <v>8.99</v>
      </c>
      <c r="P636" s="4"/>
      <c r="Q636" s="4">
        <f>IF($K636="","",P636*20%)</f>
      </c>
      <c r="R636" s="4">
        <v>1</v>
      </c>
      <c r="S636" s="4">
        <f>IF($K636="","",L636-M636-N636-O636-P636-Q636-R636)</f>
      </c>
      <c r="T636" s="4">
        <f>IF($K636="","",(S636-V636)/J636*100)</f>
      </c>
      <c r="U636" s="4">
        <f>IF($K636="","",M636-Q636)</f>
      </c>
      <c r="W636" s="4">
        <f>IF($K636="","",S636-V636)</f>
      </c>
    </row>
    <row r="637" spans="1:28" x14ac:dyDescent="0.25">
      <c r="A637" s="8"/>
      <c r="D637" s="9"/>
      <c r="J637" s="4"/>
      <c r="K637" s="4"/>
      <c r="L637" s="4">
        <f>IF($K637="","",K637-J637)</f>
      </c>
      <c r="M637" s="4">
        <f>IF($K637="","",L637*16.67%)</f>
      </c>
      <c r="N637" s="4">
        <f>IF($K637="","",K637/100*11)</f>
      </c>
      <c r="O637" s="4">
        <v>8.99</v>
      </c>
      <c r="P637" s="4"/>
      <c r="Q637" s="4">
        <f>IF($K637="","",P637*20%)</f>
      </c>
      <c r="R637" s="4">
        <v>1</v>
      </c>
      <c r="S637" s="4">
        <f>IF($K637="","",L637-M637-N637-O637-P637-Q637-R637)</f>
      </c>
      <c r="T637" s="4">
        <f>IF($K637="","",(S637-V637)/J637*100)</f>
      </c>
      <c r="U637" s="4">
        <f>IF($K637="","",M637-Q637)</f>
      </c>
      <c r="W637" s="4">
        <f>IF($K637="","",S637-V637)</f>
      </c>
    </row>
    <row r="638" spans="1:28" x14ac:dyDescent="0.25">
      <c r="A638" s="8"/>
      <c r="D638" s="9"/>
      <c r="J638" s="4"/>
      <c r="K638" s="4"/>
      <c r="L638" s="4">
        <f>IF($K638="","",K638-J638)</f>
      </c>
      <c r="M638" s="4">
        <f>IF($K638="","",L638*16.67%)</f>
      </c>
      <c r="N638" s="4">
        <f>IF($K638="","",K638/100*11)</f>
      </c>
      <c r="O638" s="4">
        <v>8.99</v>
      </c>
      <c r="P638" s="4"/>
      <c r="Q638" s="4">
        <f>IF($K638="","",P638*20%)</f>
      </c>
      <c r="R638" s="4">
        <v>1</v>
      </c>
      <c r="S638" s="4">
        <f>IF($K638="","",L638-M638-N638-O638-P638-Q638-R638)</f>
      </c>
      <c r="T638" s="4">
        <f>IF($K638="","",(S638-V638)/J638*100)</f>
      </c>
      <c r="U638" s="4">
        <f>IF($K638="","",M638-Q638)</f>
      </c>
      <c r="W638" s="4">
        <f>IF($K638="","",S638-V638)</f>
      </c>
    </row>
    <row r="639" spans="1:28" x14ac:dyDescent="0.25">
      <c r="A639" s="8"/>
      <c r="D639" s="9"/>
      <c r="J639" s="4"/>
      <c r="K639" s="4"/>
      <c r="L639" s="4">
        <f>IF($K639="","",K639-J639)</f>
      </c>
      <c r="M639" s="4">
        <f>IF($K639="","",L639*16.67%)</f>
      </c>
      <c r="N639" s="4">
        <f>IF($K639="","",K639/100*11)</f>
      </c>
      <c r="O639" s="4">
        <v>8.99</v>
      </c>
      <c r="P639" s="4"/>
      <c r="Q639" s="4">
        <f>IF($K639="","",P639*20%)</f>
      </c>
      <c r="R639" s="4">
        <v>1</v>
      </c>
      <c r="S639" s="4">
        <f>IF($K639="","",L639-M639-N639-O639-P639-Q639-R639)</f>
      </c>
      <c r="T639" s="4">
        <f>IF($K639="","",(S639-V639)/J639*100)</f>
      </c>
      <c r="U639" s="4">
        <f>IF($K639="","",M639-Q639)</f>
      </c>
      <c r="W639" s="4">
        <f>IF($K639="","",S639-V639)</f>
      </c>
    </row>
    <row r="640" spans="1:28" x14ac:dyDescent="0.25">
      <c r="A640" s="8"/>
      <c r="D640" s="9"/>
      <c r="J640" s="4"/>
      <c r="K640" s="4"/>
      <c r="L640" s="4">
        <f>IF($K640="","",K640-J640)</f>
      </c>
      <c r="M640" s="4">
        <f>IF($K640="","",L640*16.67%)</f>
      </c>
      <c r="N640" s="4">
        <f>IF($K640="","",K640/100*11)</f>
      </c>
      <c r="O640" s="4">
        <v>8.99</v>
      </c>
      <c r="P640" s="4"/>
      <c r="Q640" s="4">
        <f>IF($K640="","",P640*20%)</f>
      </c>
      <c r="R640" s="4">
        <v>1</v>
      </c>
      <c r="S640" s="4">
        <f>IF($K640="","",L640-M640-N640-O640-P640-Q640-R640)</f>
      </c>
      <c r="T640" s="4">
        <f>IF($K640="","",(S640-V640)/J640*100)</f>
      </c>
      <c r="U640" s="4">
        <f>IF($K640="","",M640-Q640)</f>
      </c>
      <c r="W640" s="4">
        <f>IF($K640="","",S640-V640)</f>
      </c>
    </row>
    <row r="641" spans="1:28" x14ac:dyDescent="0.25">
      <c r="A641" s="8"/>
      <c r="D641" s="9"/>
      <c r="J641" s="4"/>
      <c r="K641" s="4"/>
      <c r="L641" s="4">
        <f>IF($K641="","",K641-J641)</f>
      </c>
      <c r="M641" s="4">
        <f>IF($K641="","",L641*16.67%)</f>
      </c>
      <c r="N641" s="4">
        <f>IF($K641="","",K641/100*11)</f>
      </c>
      <c r="O641" s="4">
        <v>8.99</v>
      </c>
      <c r="P641" s="4"/>
      <c r="Q641" s="4">
        <f>IF($K641="","",P641*20%)</f>
      </c>
      <c r="R641" s="4">
        <v>1</v>
      </c>
      <c r="S641" s="4">
        <f>IF($K641="","",L641-M641-N641-O641-P641-Q641-R641)</f>
      </c>
      <c r="T641" s="4">
        <f>IF($K641="","",(S641-V641)/J641*100)</f>
      </c>
      <c r="U641" s="4">
        <f>IF($K641="","",M641-Q641)</f>
      </c>
      <c r="W641" s="4">
        <f>IF($K641="","",S641-V641)</f>
      </c>
    </row>
    <row r="642" spans="1:28" x14ac:dyDescent="0.25">
      <c r="A642" s="8"/>
      <c r="D642" s="9"/>
      <c r="J642" s="4"/>
      <c r="K642" s="4"/>
      <c r="L642" s="4">
        <f>IF($K642="","",K642-J642)</f>
      </c>
      <c r="M642" s="4">
        <f>IF($K642="","",L642*16.67%)</f>
      </c>
      <c r="N642" s="4">
        <f>IF($K642="","",K642/100*11)</f>
      </c>
      <c r="O642" s="4">
        <v>8.99</v>
      </c>
      <c r="P642" s="4"/>
      <c r="Q642" s="4">
        <f>IF($K642="","",P642*20%)</f>
      </c>
      <c r="R642" s="4">
        <v>1</v>
      </c>
      <c r="S642" s="4">
        <f>IF($K642="","",L642-M642-N642-O642-P642-Q642-R642)</f>
      </c>
      <c r="T642" s="4">
        <f>IF($K642="","",(S642-V642)/J642*100)</f>
      </c>
      <c r="U642" s="4">
        <f>IF($K642="","",M642-Q642)</f>
      </c>
      <c r="W642" s="4">
        <f>IF($K642="","",S642-V642)</f>
      </c>
    </row>
    <row r="643" spans="1:28" x14ac:dyDescent="0.25">
      <c r="A643" s="8"/>
      <c r="D643" s="9"/>
      <c r="J643" s="4"/>
      <c r="K643" s="4"/>
      <c r="L643" s="4">
        <f>IF($K643="","",K643-J643)</f>
      </c>
      <c r="M643" s="4">
        <f>IF($K643="","",L643*16.67%)</f>
      </c>
      <c r="N643" s="4">
        <f>IF($K643="","",K643/100*11)</f>
      </c>
      <c r="O643" s="4">
        <v>8.99</v>
      </c>
      <c r="P643" s="4"/>
      <c r="Q643" s="4">
        <f>IF($K643="","",P643*20%)</f>
      </c>
      <c r="R643" s="4">
        <v>1</v>
      </c>
      <c r="S643" s="4">
        <f>IF($K643="","",L643-M643-N643-O643-P643-Q643-R643)</f>
      </c>
      <c r="T643" s="4">
        <f>IF($K643="","",(S643-V643)/J643*100)</f>
      </c>
      <c r="U643" s="4">
        <f>IF($K643="","",M643-Q643)</f>
      </c>
      <c r="W643" s="4">
        <f>IF($K643="","",S643-V643)</f>
      </c>
    </row>
    <row r="644" spans="1:28" x14ac:dyDescent="0.25">
      <c r="A644" s="8"/>
      <c r="D644" s="9"/>
      <c r="J644" s="4"/>
      <c r="K644" s="4"/>
      <c r="L644" s="4">
        <f>IF($K644="","",K644-J644)</f>
      </c>
      <c r="M644" s="4">
        <f>IF($K644="","",L644*16.67%)</f>
      </c>
      <c r="N644" s="4">
        <f>IF($K644="","",K644/100*11)</f>
      </c>
      <c r="O644" s="4">
        <v>8.99</v>
      </c>
      <c r="P644" s="4"/>
      <c r="Q644" s="4">
        <f>IF($K644="","",P644*20%)</f>
      </c>
      <c r="R644" s="4">
        <v>1</v>
      </c>
      <c r="S644" s="4">
        <f>IF($K644="","",L644-M644-N644-O644-P644-Q644-R644)</f>
      </c>
      <c r="T644" s="4">
        <f>IF($K644="","",(S644-V644)/J644*100)</f>
      </c>
      <c r="U644" s="4">
        <f>IF($K644="","",M644-Q644)</f>
      </c>
      <c r="W644" s="4">
        <f>IF($K644="","",S644-V644)</f>
      </c>
    </row>
    <row r="645" spans="1:28" s="7" customFormat="1" x14ac:dyDescent="0.25">
      <c r="A645" s="3" t="s">
        <v>18</v>
      </c>
      <c r="B645" s="7"/>
      <c r="C645" s="7"/>
      <c r="D645" s="7"/>
      <c r="E645" s="7"/>
      <c r="F645" s="7"/>
      <c r="G645" s="7"/>
      <c r="H645" s="7"/>
      <c r="I645" s="14">
        <f>SUM(I2:I644)</f>
      </c>
      <c r="J645" s="14">
        <f>SUM(J2:J644)</f>
      </c>
      <c r="K645" s="14">
        <f>SUM(K2:K644)</f>
      </c>
      <c r="L645" s="14">
        <f>SUM(L2:L644)</f>
      </c>
      <c r="M645" s="14">
        <f>SUM(M2:M644)</f>
      </c>
      <c r="N645" s="14">
        <f>SUM(N2:N644)</f>
      </c>
      <c r="O645" s="14">
        <f>SUM(O2:O644)</f>
      </c>
      <c r="P645" s="14">
        <f>SUM(P2:P644)</f>
      </c>
      <c r="Q645" s="14">
        <f>SUM(Q2:Q644)</f>
      </c>
      <c r="R645" s="14">
        <f>SUM(R2:R644)</f>
      </c>
      <c r="S645" s="14">
        <f>SUM(S2:S644)</f>
      </c>
      <c r="T645" s="14">
        <f>IFERROR((S645-V645)/J645*100,0)</f>
      </c>
      <c r="U645" s="14">
        <f>SUM(U2:U644)</f>
      </c>
      <c r="V645" s="14">
        <f>SUM(V2:V644)</f>
      </c>
      <c r="W645" s="14">
        <f>SUM(W2:W644)</f>
      </c>
      <c r="X645" s="7"/>
      <c r="Y645" s="7"/>
      <c r="Z645" s="7"/>
      <c r="AA645" s="7"/>
      <c r="AB64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89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1488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1489</v>
      </c>
      <c r="P1" t="s">
        <v>1490</v>
      </c>
      <c r="Q1" t="s">
        <v>1491</v>
      </c>
      <c r="R1" t="s">
        <v>1492</v>
      </c>
      <c r="S1" t="s">
        <v>43</v>
      </c>
      <c r="T1" t="s">
        <v>44</v>
      </c>
      <c r="U1" t="s">
        <v>1493</v>
      </c>
      <c r="V1" t="s">
        <v>1494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46241.5</v>
      </c>
      <c r="B2" t="s">
        <v>1495</v>
      </c>
      <c r="C2" t="s">
        <v>189</v>
      </c>
      <c r="D2" s="9" t="s">
        <v>1</v>
      </c>
      <c r="E2" t="s">
        <v>189</v>
      </c>
      <c r="F2" t="s">
        <v>1</v>
      </c>
      <c r="G2" t="s">
        <v>1</v>
      </c>
      <c r="H2" t="s">
        <v>66</v>
      </c>
      <c r="I2">
        <v>1</v>
      </c>
      <c r="J2" s="4">
        <v>3.5</v>
      </c>
      <c r="K2" s="4">
        <v>9.99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0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(Y2-AB2)/J2*100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46231.5</v>
      </c>
      <c r="B3" t="s">
        <v>1496</v>
      </c>
      <c r="C3" t="s">
        <v>1</v>
      </c>
      <c r="D3" s="9" t="s">
        <v>1497</v>
      </c>
      <c r="E3" t="s">
        <v>139</v>
      </c>
      <c r="F3" t="s">
        <v>59</v>
      </c>
      <c r="G3" t="s">
        <v>65</v>
      </c>
      <c r="H3" t="s">
        <v>61</v>
      </c>
      <c r="I3">
        <v>1</v>
      </c>
      <c r="J3" s="4">
        <v>356</v>
      </c>
      <c r="K3" s="4">
        <v>455.68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0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(Y3-AB3)/J3*100</f>
      </c>
      <c r="AA3" s="4">
        <f>M3-X3</f>
      </c>
      <c r="AC3" s="4">
        <f>Y3-AB3</f>
      </c>
      <c r="AH3" t="s">
        <v>1</v>
      </c>
    </row>
    <row r="4" spans="1:34" x14ac:dyDescent="0.25">
      <c r="A4" s="8">
        <v>46231.5</v>
      </c>
      <c r="B4" t="s">
        <v>1498</v>
      </c>
      <c r="C4" t="s">
        <v>1</v>
      </c>
      <c r="D4" s="9" t="s">
        <v>1499</v>
      </c>
      <c r="E4" t="s">
        <v>94</v>
      </c>
      <c r="F4" t="s">
        <v>105</v>
      </c>
      <c r="G4" t="s">
        <v>95</v>
      </c>
      <c r="H4" t="s">
        <v>102</v>
      </c>
      <c r="I4">
        <v>1</v>
      </c>
      <c r="J4" s="4">
        <v>88</v>
      </c>
      <c r="K4" s="4">
        <v>114.4</v>
      </c>
      <c r="L4" s="4">
        <f>K4-J4</f>
      </c>
      <c r="M4" s="4">
        <f>L4*16.67%</f>
      </c>
      <c r="N4" s="4">
        <f>(K4*6.9%)-(K4*6.9%)*10%</f>
      </c>
      <c r="O4" s="4">
        <f>K4*0.35%</f>
      </c>
      <c r="P4" s="4">
        <v>0.4</v>
      </c>
      <c r="Q4" s="4">
        <f>(N4+O4+P4)*20%</f>
      </c>
      <c r="R4" s="4">
        <f>N4+O4+P4+Q4</f>
      </c>
      <c r="S4" s="4">
        <v>0</v>
      </c>
      <c r="T4" s="4">
        <v>0</v>
      </c>
      <c r="U4" s="4">
        <v>0</v>
      </c>
      <c r="V4" s="4">
        <f>U4*20%</f>
      </c>
      <c r="W4" s="4">
        <v>1</v>
      </c>
      <c r="X4" s="4">
        <f>Q4+T4+V4</f>
      </c>
      <c r="Y4" s="4">
        <f>L4-M4-R4-S4-T4-U4-V4-W4</f>
      </c>
      <c r="Z4" s="4">
        <f>(Y4-AB4)/J4*100</f>
      </c>
      <c r="AA4" s="4">
        <f>M4-X4</f>
      </c>
      <c r="AC4" s="4">
        <f>Y4-AB4</f>
      </c>
      <c r="AH4" t="s">
        <v>1</v>
      </c>
    </row>
    <row r="5" spans="1:34" x14ac:dyDescent="0.25">
      <c r="A5" s="8">
        <v>46231.5</v>
      </c>
      <c r="B5" t="s">
        <v>1500</v>
      </c>
      <c r="C5" t="s">
        <v>1</v>
      </c>
      <c r="D5" s="9" t="s">
        <v>1501</v>
      </c>
      <c r="E5" t="s">
        <v>114</v>
      </c>
      <c r="F5" t="s">
        <v>99</v>
      </c>
      <c r="G5" t="s">
        <v>60</v>
      </c>
      <c r="H5" t="s">
        <v>66</v>
      </c>
      <c r="I5">
        <v>1</v>
      </c>
      <c r="J5" s="4">
        <v>188</v>
      </c>
      <c r="K5" s="4">
        <v>265.08</v>
      </c>
      <c r="L5" s="4">
        <f>K5-J5</f>
      </c>
      <c r="M5" s="4">
        <f>L5*16.67%</f>
      </c>
      <c r="N5" s="4">
        <f>(K5*6.9%)-(K5*6.9%)*10%</f>
      </c>
      <c r="O5" s="4">
        <f>K5*0.35%</f>
      </c>
      <c r="P5" s="4">
        <v>0.4</v>
      </c>
      <c r="Q5" s="4">
        <f>(N5+O5+P5)*20%</f>
      </c>
      <c r="R5" s="4">
        <f>N5+O5+P5+Q5</f>
      </c>
      <c r="S5" s="4">
        <v>0</v>
      </c>
      <c r="T5" s="4">
        <v>0</v>
      </c>
      <c r="U5" s="4">
        <v>0</v>
      </c>
      <c r="V5" s="4">
        <f>U5*20%</f>
      </c>
      <c r="W5" s="4">
        <v>1</v>
      </c>
      <c r="X5" s="4">
        <f>Q5+T5+V5</f>
      </c>
      <c r="Y5" s="4">
        <f>L5-M5-R5-S5-T5-U5-V5-W5</f>
      </c>
      <c r="Z5" s="4">
        <f>(Y5-AB5)/J5*100</f>
      </c>
      <c r="AA5" s="4">
        <f>M5-X5</f>
      </c>
      <c r="AC5" s="4">
        <f>Y5-AB5</f>
      </c>
      <c r="AH5" t="s">
        <v>1</v>
      </c>
    </row>
    <row r="6" spans="1:34" x14ac:dyDescent="0.25">
      <c r="A6" s="8">
        <v>46231.5</v>
      </c>
      <c r="B6" t="s">
        <v>1502</v>
      </c>
      <c r="C6" t="s">
        <v>1</v>
      </c>
      <c r="D6" s="9" t="s">
        <v>1503</v>
      </c>
      <c r="E6" t="s">
        <v>94</v>
      </c>
      <c r="F6" t="s">
        <v>99</v>
      </c>
      <c r="G6" t="s">
        <v>95</v>
      </c>
      <c r="H6" t="s">
        <v>102</v>
      </c>
      <c r="I6">
        <v>1</v>
      </c>
      <c r="J6" s="4">
        <v>69</v>
      </c>
      <c r="K6" s="4">
        <v>93.84</v>
      </c>
      <c r="L6" s="4">
        <f>K6-J6</f>
      </c>
      <c r="M6" s="4">
        <f>L6*16.67%</f>
      </c>
      <c r="N6" s="4">
        <f>(K6*6.9%)-(K6*6.9%)*10%</f>
      </c>
      <c r="O6" s="4">
        <f>K6*0.35%</f>
      </c>
      <c r="P6" s="4">
        <v>0.4</v>
      </c>
      <c r="Q6" s="4">
        <f>(N6+O6+P6)*20%</f>
      </c>
      <c r="R6" s="4">
        <f>N6+O6+P6+Q6</f>
      </c>
      <c r="S6" s="4">
        <v>0</v>
      </c>
      <c r="T6" s="4">
        <v>0</v>
      </c>
      <c r="U6" s="4">
        <v>0</v>
      </c>
      <c r="V6" s="4">
        <f>U6*20%</f>
      </c>
      <c r="W6" s="4">
        <v>1</v>
      </c>
      <c r="X6" s="4">
        <f>Q6+T6+V6</f>
      </c>
      <c r="Y6" s="4">
        <f>L6-M6-R6-S6-T6-U6-V6-W6</f>
      </c>
      <c r="Z6" s="4">
        <f>(Y6-AB6)/J6*100</f>
      </c>
      <c r="AA6" s="4">
        <f>M6-X6</f>
      </c>
      <c r="AC6" s="4">
        <f>Y6-AB6</f>
      </c>
      <c r="AH6" t="s">
        <v>1</v>
      </c>
    </row>
    <row r="7" spans="1:34" x14ac:dyDescent="0.25">
      <c r="A7" s="8">
        <v>46231.5</v>
      </c>
      <c r="B7" t="s">
        <v>1504</v>
      </c>
      <c r="C7" t="s">
        <v>1</v>
      </c>
      <c r="D7" s="9" t="s">
        <v>1505</v>
      </c>
      <c r="E7" t="s">
        <v>91</v>
      </c>
      <c r="F7" t="s">
        <v>99</v>
      </c>
      <c r="G7" t="s">
        <v>65</v>
      </c>
      <c r="H7" t="s">
        <v>75</v>
      </c>
      <c r="I7">
        <v>1</v>
      </c>
      <c r="J7" s="4">
        <v>114</v>
      </c>
      <c r="K7" s="4">
        <v>152.76</v>
      </c>
      <c r="L7" s="4">
        <f>K7-J7</f>
      </c>
      <c r="M7" s="4">
        <f>L7*16.67%</f>
      </c>
      <c r="N7" s="4">
        <f>(K7*6.9%)-(K7*6.9%)*10%</f>
      </c>
      <c r="O7" s="4">
        <f>K7*0.35%</f>
      </c>
      <c r="P7" s="4">
        <v>0.4</v>
      </c>
      <c r="Q7" s="4">
        <f>(N7+O7+P7)*20%</f>
      </c>
      <c r="R7" s="4">
        <f>N7+O7+P7+Q7</f>
      </c>
      <c r="S7" s="4">
        <v>0</v>
      </c>
      <c r="T7" s="4">
        <v>0</v>
      </c>
      <c r="U7" s="4">
        <v>0</v>
      </c>
      <c r="V7" s="4">
        <f>U7*20%</f>
      </c>
      <c r="W7" s="4">
        <v>1</v>
      </c>
      <c r="X7" s="4">
        <f>Q7+T7+V7</f>
      </c>
      <c r="Y7" s="4">
        <f>L7-M7-R7-S7-T7-U7-V7-W7</f>
      </c>
      <c r="Z7" s="4">
        <f>(Y7-AB7)/J7*100</f>
      </c>
      <c r="AA7" s="4">
        <f>M7-X7</f>
      </c>
      <c r="AC7" s="4">
        <f>Y7-AB7</f>
      </c>
      <c r="AH7" t="s">
        <v>1</v>
      </c>
    </row>
    <row r="8" spans="1:34" x14ac:dyDescent="0.25">
      <c r="A8" s="8">
        <v>46231.5</v>
      </c>
      <c r="B8" t="s">
        <v>1506</v>
      </c>
      <c r="C8" t="s">
        <v>1</v>
      </c>
      <c r="D8" s="9" t="s">
        <v>1507</v>
      </c>
      <c r="E8" t="s">
        <v>91</v>
      </c>
      <c r="F8" t="s">
        <v>74</v>
      </c>
      <c r="G8" t="s">
        <v>95</v>
      </c>
      <c r="H8" t="s">
        <v>61</v>
      </c>
      <c r="I8">
        <v>1</v>
      </c>
      <c r="J8" s="4">
        <v>124</v>
      </c>
      <c r="K8" s="4">
        <v>161.2</v>
      </c>
      <c r="L8" s="4">
        <f>K8-J8</f>
      </c>
      <c r="M8" s="4">
        <f>L8*16.67%</f>
      </c>
      <c r="N8" s="4">
        <f>(K8*6.9%)-(K8*6.9%)*10%</f>
      </c>
      <c r="O8" s="4">
        <f>K8*0.35%</f>
      </c>
      <c r="P8" s="4">
        <v>0.4</v>
      </c>
      <c r="Q8" s="4">
        <f>(N8+O8+P8)*20%</f>
      </c>
      <c r="R8" s="4">
        <f>N8+O8+P8+Q8</f>
      </c>
      <c r="S8" s="4">
        <v>0</v>
      </c>
      <c r="T8" s="4">
        <v>0</v>
      </c>
      <c r="U8" s="4">
        <v>0</v>
      </c>
      <c r="V8" s="4">
        <f>U8*20%</f>
      </c>
      <c r="W8" s="4">
        <v>1</v>
      </c>
      <c r="X8" s="4">
        <f>Q8+T8+V8</f>
      </c>
      <c r="Y8" s="4">
        <f>L8-M8-R8-S8-T8-U8-V8-W8</f>
      </c>
      <c r="Z8" s="4">
        <f>(Y8-AB8)/J8*100</f>
      </c>
      <c r="AA8" s="4">
        <f>M8-X8</f>
      </c>
      <c r="AC8" s="4">
        <f>Y8-AB8</f>
      </c>
      <c r="AH8" t="s">
        <v>1</v>
      </c>
    </row>
    <row r="9" spans="1:34" x14ac:dyDescent="0.25">
      <c r="A9" s="8">
        <v>46231.5</v>
      </c>
      <c r="B9" t="s">
        <v>1508</v>
      </c>
      <c r="C9" t="s">
        <v>1</v>
      </c>
      <c r="D9" s="9" t="s">
        <v>1509</v>
      </c>
      <c r="E9" t="s">
        <v>91</v>
      </c>
      <c r="F9" t="s">
        <v>74</v>
      </c>
      <c r="G9" t="s">
        <v>65</v>
      </c>
      <c r="H9" t="s">
        <v>102</v>
      </c>
      <c r="I9">
        <v>1</v>
      </c>
      <c r="J9" s="4">
        <v>137</v>
      </c>
      <c r="K9" s="4">
        <v>187.69</v>
      </c>
      <c r="L9" s="4">
        <f>K9-J9</f>
      </c>
      <c r="M9" s="4">
        <f>L9*16.67%</f>
      </c>
      <c r="N9" s="4">
        <f>(K9*6.9%)-(K9*6.9%)*10%</f>
      </c>
      <c r="O9" s="4">
        <f>K9*0.35%</f>
      </c>
      <c r="P9" s="4">
        <v>0.4</v>
      </c>
      <c r="Q9" s="4">
        <f>(N9+O9+P9)*20%</f>
      </c>
      <c r="R9" s="4">
        <f>N9+O9+P9+Q9</f>
      </c>
      <c r="S9" s="4">
        <v>0</v>
      </c>
      <c r="T9" s="4">
        <v>0</v>
      </c>
      <c r="U9" s="4">
        <v>0</v>
      </c>
      <c r="V9" s="4">
        <f>U9*20%</f>
      </c>
      <c r="W9" s="4">
        <v>1</v>
      </c>
      <c r="X9" s="4">
        <f>Q9+T9+V9</f>
      </c>
      <c r="Y9" s="4">
        <f>L9-M9-R9-S9-T9-U9-V9-W9</f>
      </c>
      <c r="Z9" s="4">
        <f>(Y9-AB9)/J9*100</f>
      </c>
      <c r="AA9" s="4">
        <f>M9-X9</f>
      </c>
      <c r="AC9" s="4">
        <f>Y9-AB9</f>
      </c>
      <c r="AH9" t="s">
        <v>1</v>
      </c>
    </row>
    <row r="10" spans="1:34" x14ac:dyDescent="0.25">
      <c r="A10" s="8">
        <v>46231.5</v>
      </c>
      <c r="B10" t="s">
        <v>1510</v>
      </c>
      <c r="C10" t="s">
        <v>1</v>
      </c>
      <c r="D10" s="9" t="s">
        <v>1511</v>
      </c>
      <c r="E10" t="s">
        <v>64</v>
      </c>
      <c r="F10" t="s">
        <v>88</v>
      </c>
      <c r="G10" t="s">
        <v>65</v>
      </c>
      <c r="H10" t="s">
        <v>102</v>
      </c>
      <c r="I10">
        <v>1</v>
      </c>
      <c r="J10" s="4">
        <v>230</v>
      </c>
      <c r="K10" s="4">
        <v>322</v>
      </c>
      <c r="L10" s="4">
        <f>K10-J10</f>
      </c>
      <c r="M10" s="4">
        <f>L10*16.67%</f>
      </c>
      <c r="N10" s="4">
        <f>(K10*6.9%)-(K10*6.9%)*10%</f>
      </c>
      <c r="O10" s="4">
        <f>K10*0.35%</f>
      </c>
      <c r="P10" s="4">
        <v>0.4</v>
      </c>
      <c r="Q10" s="4">
        <f>(N10+O10+P10)*20%</f>
      </c>
      <c r="R10" s="4">
        <f>N10+O10+P10+Q10</f>
      </c>
      <c r="S10" s="4">
        <v>0</v>
      </c>
      <c r="T10" s="4">
        <v>0</v>
      </c>
      <c r="U10" s="4">
        <v>0</v>
      </c>
      <c r="V10" s="4">
        <f>U10*20%</f>
      </c>
      <c r="W10" s="4">
        <v>1</v>
      </c>
      <c r="X10" s="4">
        <f>Q10+T10+V10</f>
      </c>
      <c r="Y10" s="4">
        <f>L10-M10-R10-S10-T10-U10-V10-W10</f>
      </c>
      <c r="Z10" s="4">
        <f>(Y10-AB10)/J10*100</f>
      </c>
      <c r="AA10" s="4">
        <f>M10-X10</f>
      </c>
      <c r="AC10" s="4">
        <f>Y10-AB10</f>
      </c>
      <c r="AH10" t="s">
        <v>1</v>
      </c>
    </row>
    <row r="11" spans="1:34" x14ac:dyDescent="0.25">
      <c r="A11" s="8">
        <v>46231.5</v>
      </c>
      <c r="B11" t="s">
        <v>1512</v>
      </c>
      <c r="C11" t="s">
        <v>1</v>
      </c>
      <c r="D11" s="9" t="s">
        <v>1513</v>
      </c>
      <c r="E11" t="s">
        <v>58</v>
      </c>
      <c r="F11" t="s">
        <v>85</v>
      </c>
      <c r="G11" t="s">
        <v>60</v>
      </c>
      <c r="H11" t="s">
        <v>61</v>
      </c>
      <c r="I11">
        <v>1</v>
      </c>
      <c r="J11" s="4">
        <v>433</v>
      </c>
      <c r="K11" s="4">
        <v>584.55</v>
      </c>
      <c r="L11" s="4">
        <f>K11-J11</f>
      </c>
      <c r="M11" s="4">
        <f>L11*16.67%</f>
      </c>
      <c r="N11" s="4">
        <f>(K11*6.9%)-(K11*6.9%)*10%</f>
      </c>
      <c r="O11" s="4">
        <f>K11*0.35%</f>
      </c>
      <c r="P11" s="4">
        <v>0.4</v>
      </c>
      <c r="Q11" s="4">
        <f>(N11+O11+P11)*20%</f>
      </c>
      <c r="R11" s="4">
        <f>N11+O11+P11+Q11</f>
      </c>
      <c r="S11" s="4">
        <v>0</v>
      </c>
      <c r="T11" s="4">
        <v>0</v>
      </c>
      <c r="U11" s="4">
        <v>0</v>
      </c>
      <c r="V11" s="4">
        <f>U11*20%</f>
      </c>
      <c r="W11" s="4">
        <v>1</v>
      </c>
      <c r="X11" s="4">
        <f>Q11+T11+V11</f>
      </c>
      <c r="Y11" s="4">
        <f>L11-M11-R11-S11-T11-U11-V11-W11</f>
      </c>
      <c r="Z11" s="4">
        <f>(Y11-AB11)/J11*100</f>
      </c>
      <c r="AA11" s="4">
        <f>M11-X11</f>
      </c>
      <c r="AC11" s="4">
        <f>Y11-AB11</f>
      </c>
      <c r="AH11" t="s">
        <v>1</v>
      </c>
    </row>
    <row r="12" spans="1:34" x14ac:dyDescent="0.25">
      <c r="A12" s="8">
        <v>46231.5</v>
      </c>
      <c r="B12" t="s">
        <v>1514</v>
      </c>
      <c r="C12" t="s">
        <v>1</v>
      </c>
      <c r="D12" s="9" t="s">
        <v>1515</v>
      </c>
      <c r="E12" t="s">
        <v>114</v>
      </c>
      <c r="F12" t="s">
        <v>99</v>
      </c>
      <c r="G12" t="s">
        <v>60</v>
      </c>
      <c r="H12" t="s">
        <v>78</v>
      </c>
      <c r="I12">
        <v>1</v>
      </c>
      <c r="J12" s="4">
        <v>244</v>
      </c>
      <c r="K12" s="4">
        <v>344.04</v>
      </c>
      <c r="L12" s="4">
        <f>K12-J12</f>
      </c>
      <c r="M12" s="4">
        <f>L12*16.67%</f>
      </c>
      <c r="N12" s="4">
        <f>(K12*6.9%)-(K12*6.9%)*10%</f>
      </c>
      <c r="O12" s="4">
        <f>K12*0.35%</f>
      </c>
      <c r="P12" s="4">
        <v>0.4</v>
      </c>
      <c r="Q12" s="4">
        <f>(N12+O12+P12)*20%</f>
      </c>
      <c r="R12" s="4">
        <f>N12+O12+P12+Q12</f>
      </c>
      <c r="S12" s="4">
        <v>0</v>
      </c>
      <c r="T12" s="4">
        <v>0</v>
      </c>
      <c r="U12" s="4">
        <v>0</v>
      </c>
      <c r="V12" s="4">
        <f>U12*20%</f>
      </c>
      <c r="W12" s="4">
        <v>1</v>
      </c>
      <c r="X12" s="4">
        <f>Q12+T12+V12</f>
      </c>
      <c r="Y12" s="4">
        <f>L12-M12-R12-S12-T12-U12-V12-W12</f>
      </c>
      <c r="Z12" s="4">
        <f>(Y12-AB12)/J12*100</f>
      </c>
      <c r="AA12" s="4">
        <f>M12-X12</f>
      </c>
      <c r="AC12" s="4">
        <f>Y12-AB12</f>
      </c>
      <c r="AH12" t="s">
        <v>1</v>
      </c>
    </row>
    <row r="13" spans="1:34" x14ac:dyDescent="0.25">
      <c r="A13" s="8">
        <v>46231.5</v>
      </c>
      <c r="B13" t="s">
        <v>1516</v>
      </c>
      <c r="C13" t="s">
        <v>1</v>
      </c>
      <c r="D13" s="9" t="s">
        <v>1517</v>
      </c>
      <c r="E13" t="s">
        <v>91</v>
      </c>
      <c r="F13" t="s">
        <v>70</v>
      </c>
      <c r="G13" t="s">
        <v>65</v>
      </c>
      <c r="H13" t="s">
        <v>78</v>
      </c>
      <c r="I13">
        <v>1</v>
      </c>
      <c r="J13" s="4">
        <v>118</v>
      </c>
      <c r="K13" s="4">
        <v>139.24</v>
      </c>
      <c r="L13" s="4">
        <f>K13-J13</f>
      </c>
      <c r="M13" s="4">
        <f>L13*16.67%</f>
      </c>
      <c r="N13" s="4">
        <f>(K13*6.9%)-(K13*6.9%)*10%</f>
      </c>
      <c r="O13" s="4">
        <f>K13*0.35%</f>
      </c>
      <c r="P13" s="4">
        <v>0.4</v>
      </c>
      <c r="Q13" s="4">
        <f>(N13+O13+P13)*20%</f>
      </c>
      <c r="R13" s="4">
        <f>N13+O13+P13+Q13</f>
      </c>
      <c r="S13" s="4">
        <v>0</v>
      </c>
      <c r="T13" s="4">
        <v>0</v>
      </c>
      <c r="U13" s="4">
        <v>0</v>
      </c>
      <c r="V13" s="4">
        <f>U13*20%</f>
      </c>
      <c r="W13" s="4">
        <v>1</v>
      </c>
      <c r="X13" s="4">
        <f>Q13+T13+V13</f>
      </c>
      <c r="Y13" s="4">
        <f>L13-M13-R13-S13-T13-U13-V13-W13</f>
      </c>
      <c r="Z13" s="4">
        <f>(Y13-AB13)/J13*100</f>
      </c>
      <c r="AA13" s="4">
        <f>M13-X13</f>
      </c>
      <c r="AC13" s="4">
        <f>Y13-AB13</f>
      </c>
      <c r="AH13" t="s">
        <v>1</v>
      </c>
    </row>
    <row r="14" spans="1:34" x14ac:dyDescent="0.25">
      <c r="A14" s="8">
        <v>46231.5</v>
      </c>
      <c r="B14" t="s">
        <v>1518</v>
      </c>
      <c r="C14" t="s">
        <v>1</v>
      </c>
      <c r="D14" s="9" t="s">
        <v>1519</v>
      </c>
      <c r="E14" t="s">
        <v>125</v>
      </c>
      <c r="F14" t="s">
        <v>74</v>
      </c>
      <c r="G14" t="s">
        <v>126</v>
      </c>
      <c r="H14" t="s">
        <v>75</v>
      </c>
      <c r="I14">
        <v>1</v>
      </c>
      <c r="J14" s="4">
        <v>272</v>
      </c>
      <c r="K14" s="4">
        <v>394.4</v>
      </c>
      <c r="L14" s="4">
        <f>K14-J14</f>
      </c>
      <c r="M14" s="4">
        <f>L14*16.67%</f>
      </c>
      <c r="N14" s="4">
        <f>(K14*6.9%)-(K14*6.9%)*10%</f>
      </c>
      <c r="O14" s="4">
        <f>K14*0.35%</f>
      </c>
      <c r="P14" s="4">
        <v>0.4</v>
      </c>
      <c r="Q14" s="4">
        <f>(N14+O14+P14)*20%</f>
      </c>
      <c r="R14" s="4">
        <f>N14+O14+P14+Q14</f>
      </c>
      <c r="S14" s="4">
        <v>0</v>
      </c>
      <c r="T14" s="4">
        <v>0</v>
      </c>
      <c r="U14" s="4">
        <v>0</v>
      </c>
      <c r="V14" s="4">
        <f>U14*20%</f>
      </c>
      <c r="W14" s="4">
        <v>1</v>
      </c>
      <c r="X14" s="4">
        <f>Q14+T14+V14</f>
      </c>
      <c r="Y14" s="4">
        <f>L14-M14-R14-S14-T14-U14-V14-W14</f>
      </c>
      <c r="Z14" s="4">
        <f>(Y14-AB14)/J14*100</f>
      </c>
      <c r="AA14" s="4">
        <f>M14-X14</f>
      </c>
      <c r="AC14" s="4">
        <f>Y14-AB14</f>
      </c>
      <c r="AH14" t="s">
        <v>1</v>
      </c>
    </row>
    <row r="15" spans="1:34" x14ac:dyDescent="0.25">
      <c r="A15" s="8">
        <v>46231.5</v>
      </c>
      <c r="B15" t="s">
        <v>1520</v>
      </c>
      <c r="C15" t="s">
        <v>1</v>
      </c>
      <c r="D15" s="9" t="s">
        <v>1521</v>
      </c>
      <c r="E15" t="s">
        <v>91</v>
      </c>
      <c r="F15" t="s">
        <v>74</v>
      </c>
      <c r="G15" t="s">
        <v>95</v>
      </c>
      <c r="H15" t="s">
        <v>66</v>
      </c>
      <c r="I15">
        <v>1</v>
      </c>
      <c r="J15" s="4">
        <v>114</v>
      </c>
      <c r="K15" s="4">
        <v>160.74</v>
      </c>
      <c r="L15" s="4">
        <f>K15-J15</f>
      </c>
      <c r="M15" s="4">
        <f>L15*16.67%</f>
      </c>
      <c r="N15" s="4">
        <f>(K15*6.9%)-(K15*6.9%)*10%</f>
      </c>
      <c r="O15" s="4">
        <f>K15*0.35%</f>
      </c>
      <c r="P15" s="4">
        <v>0.4</v>
      </c>
      <c r="Q15" s="4">
        <f>(N15+O15+P15)*20%</f>
      </c>
      <c r="R15" s="4">
        <f>N15+O15+P15+Q15</f>
      </c>
      <c r="S15" s="4">
        <v>0</v>
      </c>
      <c r="T15" s="4">
        <v>0</v>
      </c>
      <c r="U15" s="4">
        <v>0</v>
      </c>
      <c r="V15" s="4">
        <f>U15*20%</f>
      </c>
      <c r="W15" s="4">
        <v>1</v>
      </c>
      <c r="X15" s="4">
        <f>Q15+T15+V15</f>
      </c>
      <c r="Y15" s="4">
        <f>L15-M15-R15-S15-T15-U15-V15-W15</f>
      </c>
      <c r="Z15" s="4">
        <f>(Y15-AB15)/J15*100</f>
      </c>
      <c r="AA15" s="4">
        <f>M15-X15</f>
      </c>
      <c r="AC15" s="4">
        <f>Y15-AB15</f>
      </c>
      <c r="AH15" t="s">
        <v>1</v>
      </c>
    </row>
    <row r="16" spans="1:34" x14ac:dyDescent="0.25">
      <c r="A16" s="8">
        <v>46231.5</v>
      </c>
      <c r="B16" t="s">
        <v>1522</v>
      </c>
      <c r="C16" t="s">
        <v>1</v>
      </c>
      <c r="D16" s="9" t="s">
        <v>1523</v>
      </c>
      <c r="E16" t="s">
        <v>91</v>
      </c>
      <c r="F16" t="s">
        <v>88</v>
      </c>
      <c r="G16" t="s">
        <v>95</v>
      </c>
      <c r="H16" t="s">
        <v>78</v>
      </c>
      <c r="I16">
        <v>1</v>
      </c>
      <c r="J16" s="4">
        <v>114</v>
      </c>
      <c r="K16" s="4">
        <v>135.66</v>
      </c>
      <c r="L16" s="4">
        <f>K16-J16</f>
      </c>
      <c r="M16" s="4">
        <f>L16*16.67%</f>
      </c>
      <c r="N16" s="4">
        <f>(K16*6.9%)-(K16*6.9%)*10%</f>
      </c>
      <c r="O16" s="4">
        <f>K16*0.35%</f>
      </c>
      <c r="P16" s="4">
        <v>0.4</v>
      </c>
      <c r="Q16" s="4">
        <f>(N16+O16+P16)*20%</f>
      </c>
      <c r="R16" s="4">
        <f>N16+O16+P16+Q16</f>
      </c>
      <c r="S16" s="4">
        <v>0</v>
      </c>
      <c r="T16" s="4">
        <v>0</v>
      </c>
      <c r="U16" s="4">
        <v>0</v>
      </c>
      <c r="V16" s="4">
        <f>U16*20%</f>
      </c>
      <c r="W16" s="4">
        <v>1</v>
      </c>
      <c r="X16" s="4">
        <f>Q16+T16+V16</f>
      </c>
      <c r="Y16" s="4">
        <f>L16-M16-R16-S16-T16-U16-V16-W16</f>
      </c>
      <c r="Z16" s="4">
        <f>(Y16-AB16)/J16*100</f>
      </c>
      <c r="AA16" s="4">
        <f>M16-X16</f>
      </c>
      <c r="AC16" s="4">
        <f>Y16-AB16</f>
      </c>
      <c r="AH16" t="s">
        <v>1</v>
      </c>
    </row>
    <row r="17" spans="1:34" x14ac:dyDescent="0.25">
      <c r="A17" s="8">
        <v>46231.5</v>
      </c>
      <c r="B17" t="s">
        <v>1524</v>
      </c>
      <c r="C17" t="s">
        <v>1</v>
      </c>
      <c r="D17" s="9" t="s">
        <v>1525</v>
      </c>
      <c r="E17" t="s">
        <v>131</v>
      </c>
      <c r="F17" t="s">
        <v>105</v>
      </c>
      <c r="G17" t="s">
        <v>65</v>
      </c>
      <c r="H17" t="s">
        <v>78</v>
      </c>
      <c r="I17">
        <v>1</v>
      </c>
      <c r="J17" s="4">
        <v>295</v>
      </c>
      <c r="K17" s="4">
        <v>380.55</v>
      </c>
      <c r="L17" s="4">
        <f>K17-J17</f>
      </c>
      <c r="M17" s="4">
        <f>L17*16.67%</f>
      </c>
      <c r="N17" s="4">
        <f>(K17*6.9%)-(K17*6.9%)*10%</f>
      </c>
      <c r="O17" s="4">
        <f>K17*0.35%</f>
      </c>
      <c r="P17" s="4">
        <v>0.4</v>
      </c>
      <c r="Q17" s="4">
        <f>(N17+O17+P17)*20%</f>
      </c>
      <c r="R17" s="4">
        <f>N17+O17+P17+Q17</f>
      </c>
      <c r="S17" s="4">
        <v>0</v>
      </c>
      <c r="T17" s="4">
        <v>0</v>
      </c>
      <c r="U17" s="4">
        <v>0</v>
      </c>
      <c r="V17" s="4">
        <f>U17*20%</f>
      </c>
      <c r="W17" s="4">
        <v>1</v>
      </c>
      <c r="X17" s="4">
        <f>Q17+T17+V17</f>
      </c>
      <c r="Y17" s="4">
        <f>L17-M17-R17-S17-T17-U17-V17-W17</f>
      </c>
      <c r="Z17" s="4">
        <f>(Y17-AB17)/J17*100</f>
      </c>
      <c r="AA17" s="4">
        <f>M17-X17</f>
      </c>
      <c r="AC17" s="4">
        <f>Y17-AB17</f>
      </c>
      <c r="AH17" t="s">
        <v>1</v>
      </c>
    </row>
    <row r="18" spans="1:34" x14ac:dyDescent="0.25">
      <c r="A18" s="8">
        <v>46231.5</v>
      </c>
      <c r="B18" t="s">
        <v>1526</v>
      </c>
      <c r="C18" t="s">
        <v>1</v>
      </c>
      <c r="D18" s="9" t="s">
        <v>1527</v>
      </c>
      <c r="E18" t="s">
        <v>69</v>
      </c>
      <c r="F18" t="s">
        <v>59</v>
      </c>
      <c r="G18" t="s">
        <v>60</v>
      </c>
      <c r="H18" t="s">
        <v>102</v>
      </c>
      <c r="I18">
        <v>1</v>
      </c>
      <c r="J18" s="4">
        <v>514</v>
      </c>
      <c r="K18" s="4">
        <v>663.06</v>
      </c>
      <c r="L18" s="4">
        <f>K18-J18</f>
      </c>
      <c r="M18" s="4">
        <f>L18*16.67%</f>
      </c>
      <c r="N18" s="4">
        <f>(K18*6.9%)-(K18*6.9%)*10%</f>
      </c>
      <c r="O18" s="4">
        <f>K18*0.35%</f>
      </c>
      <c r="P18" s="4">
        <v>0.4</v>
      </c>
      <c r="Q18" s="4">
        <f>(N18+O18+P18)*20%</f>
      </c>
      <c r="R18" s="4">
        <f>N18+O18+P18+Q18</f>
      </c>
      <c r="S18" s="4">
        <v>0</v>
      </c>
      <c r="T18" s="4">
        <v>0</v>
      </c>
      <c r="U18" s="4">
        <v>0</v>
      </c>
      <c r="V18" s="4">
        <f>U18*20%</f>
      </c>
      <c r="W18" s="4">
        <v>1</v>
      </c>
      <c r="X18" s="4">
        <f>Q18+T18+V18</f>
      </c>
      <c r="Y18" s="4">
        <f>L18-M18-R18-S18-T18-U18-V18-W18</f>
      </c>
      <c r="Z18" s="4">
        <f>(Y18-AB18)/J18*100</f>
      </c>
      <c r="AA18" s="4">
        <f>M18-X18</f>
      </c>
      <c r="AC18" s="4">
        <f>Y18-AB18</f>
      </c>
      <c r="AH18" t="s">
        <v>1</v>
      </c>
    </row>
    <row r="19" spans="1:34" x14ac:dyDescent="0.25">
      <c r="A19" s="8">
        <v>46231.5</v>
      </c>
      <c r="B19" t="s">
        <v>1528</v>
      </c>
      <c r="C19" t="s">
        <v>1</v>
      </c>
      <c r="D19" s="9" t="s">
        <v>1529</v>
      </c>
      <c r="E19" t="s">
        <v>139</v>
      </c>
      <c r="F19" t="s">
        <v>74</v>
      </c>
      <c r="G19" t="s">
        <v>65</v>
      </c>
      <c r="H19" t="s">
        <v>61</v>
      </c>
      <c r="I19">
        <v>1</v>
      </c>
      <c r="J19" s="4">
        <v>343</v>
      </c>
      <c r="K19" s="4">
        <v>476.77</v>
      </c>
      <c r="L19" s="4">
        <f>K19-J19</f>
      </c>
      <c r="M19" s="4">
        <f>L19*16.67%</f>
      </c>
      <c r="N19" s="4">
        <f>(K19*6.9%)-(K19*6.9%)*10%</f>
      </c>
      <c r="O19" s="4">
        <f>K19*0.35%</f>
      </c>
      <c r="P19" s="4">
        <v>0.4</v>
      </c>
      <c r="Q19" s="4">
        <f>(N19+O19+P19)*20%</f>
      </c>
      <c r="R19" s="4">
        <f>N19+O19+P19+Q19</f>
      </c>
      <c r="S19" s="4">
        <v>0</v>
      </c>
      <c r="T19" s="4">
        <v>0</v>
      </c>
      <c r="U19" s="4">
        <v>0</v>
      </c>
      <c r="V19" s="4">
        <f>U19*20%</f>
      </c>
      <c r="W19" s="4">
        <v>1</v>
      </c>
      <c r="X19" s="4">
        <f>Q19+T19+V19</f>
      </c>
      <c r="Y19" s="4">
        <f>L19-M19-R19-S19-T19-U19-V19-W19</f>
      </c>
      <c r="Z19" s="4">
        <f>(Y19-AB19)/J19*100</f>
      </c>
      <c r="AA19" s="4">
        <f>M19-X19</f>
      </c>
      <c r="AC19" s="4">
        <f>Y19-AB19</f>
      </c>
      <c r="AH19" t="s">
        <v>1</v>
      </c>
    </row>
    <row r="20" spans="1:34" x14ac:dyDescent="0.25">
      <c r="A20" s="8">
        <v>46231.5</v>
      </c>
      <c r="B20" t="s">
        <v>1530</v>
      </c>
      <c r="C20" t="s">
        <v>1</v>
      </c>
      <c r="D20" s="9" t="s">
        <v>1531</v>
      </c>
      <c r="E20" t="s">
        <v>64</v>
      </c>
      <c r="F20" t="s">
        <v>85</v>
      </c>
      <c r="G20" t="s">
        <v>65</v>
      </c>
      <c r="H20" t="s">
        <v>78</v>
      </c>
      <c r="I20">
        <v>1</v>
      </c>
      <c r="J20" s="4">
        <v>260</v>
      </c>
      <c r="K20" s="4">
        <v>317.2</v>
      </c>
      <c r="L20" s="4">
        <f>K20-J20</f>
      </c>
      <c r="M20" s="4">
        <f>L20*16.67%</f>
      </c>
      <c r="N20" s="4">
        <f>(K20*6.9%)-(K20*6.9%)*10%</f>
      </c>
      <c r="O20" s="4">
        <f>K20*0.35%</f>
      </c>
      <c r="P20" s="4">
        <v>0.4</v>
      </c>
      <c r="Q20" s="4">
        <f>(N20+O20+P20)*20%</f>
      </c>
      <c r="R20" s="4">
        <f>N20+O20+P20+Q20</f>
      </c>
      <c r="S20" s="4">
        <v>0</v>
      </c>
      <c r="T20" s="4">
        <v>0</v>
      </c>
      <c r="U20" s="4">
        <v>0</v>
      </c>
      <c r="V20" s="4">
        <f>U20*20%</f>
      </c>
      <c r="W20" s="4">
        <v>1</v>
      </c>
      <c r="X20" s="4">
        <f>Q20+T20+V20</f>
      </c>
      <c r="Y20" s="4">
        <f>L20-M20-R20-S20-T20-U20-V20-W20</f>
      </c>
      <c r="Z20" s="4">
        <f>(Y20-AB20)/J20*100</f>
      </c>
      <c r="AA20" s="4">
        <f>M20-X20</f>
      </c>
      <c r="AC20" s="4">
        <f>Y20-AB20</f>
      </c>
      <c r="AH20" t="s">
        <v>1</v>
      </c>
    </row>
    <row r="21" spans="1:34" x14ac:dyDescent="0.25">
      <c r="A21" s="8">
        <v>46231.5</v>
      </c>
      <c r="B21" t="s">
        <v>1532</v>
      </c>
      <c r="C21" t="s">
        <v>1</v>
      </c>
      <c r="D21" s="9" t="s">
        <v>1533</v>
      </c>
      <c r="E21" t="s">
        <v>58</v>
      </c>
      <c r="F21" t="s">
        <v>74</v>
      </c>
      <c r="G21" t="s">
        <v>60</v>
      </c>
      <c r="H21" t="s">
        <v>102</v>
      </c>
      <c r="I21">
        <v>1</v>
      </c>
      <c r="J21" s="4">
        <v>433</v>
      </c>
      <c r="K21" s="4">
        <v>497.95</v>
      </c>
      <c r="L21" s="4">
        <f>K21-J21</f>
      </c>
      <c r="M21" s="4">
        <f>L21*16.67%</f>
      </c>
      <c r="N21" s="4">
        <f>(K21*6.9%)-(K21*6.9%)*10%</f>
      </c>
      <c r="O21" s="4">
        <f>K21*0.35%</f>
      </c>
      <c r="P21" s="4">
        <v>0.4</v>
      </c>
      <c r="Q21" s="4">
        <f>(N21+O21+P21)*20%</f>
      </c>
      <c r="R21" s="4">
        <f>N21+O21+P21+Q21</f>
      </c>
      <c r="S21" s="4">
        <v>0</v>
      </c>
      <c r="T21" s="4">
        <v>0</v>
      </c>
      <c r="U21" s="4">
        <v>0</v>
      </c>
      <c r="V21" s="4">
        <f>U21*20%</f>
      </c>
      <c r="W21" s="4">
        <v>1</v>
      </c>
      <c r="X21" s="4">
        <f>Q21+T21+V21</f>
      </c>
      <c r="Y21" s="4">
        <f>L21-M21-R21-S21-T21-U21-V21-W21</f>
      </c>
      <c r="Z21" s="4">
        <f>(Y21-AB21)/J21*100</f>
      </c>
      <c r="AA21" s="4">
        <f>M21-X21</f>
      </c>
      <c r="AC21" s="4">
        <f>Y21-AB21</f>
      </c>
      <c r="AH21" t="s">
        <v>1</v>
      </c>
    </row>
    <row r="22" spans="1:34" x14ac:dyDescent="0.25">
      <c r="A22" s="8">
        <v>46231.5</v>
      </c>
      <c r="B22" t="s">
        <v>1534</v>
      </c>
      <c r="C22" t="s">
        <v>1</v>
      </c>
      <c r="D22" s="9" t="s">
        <v>1535</v>
      </c>
      <c r="E22" t="s">
        <v>73</v>
      </c>
      <c r="F22" t="s">
        <v>105</v>
      </c>
      <c r="G22" t="s">
        <v>60</v>
      </c>
      <c r="H22" t="s">
        <v>66</v>
      </c>
      <c r="I22">
        <v>1</v>
      </c>
      <c r="J22" s="4">
        <v>368</v>
      </c>
      <c r="K22" s="4">
        <v>467.36</v>
      </c>
      <c r="L22" s="4">
        <f>K22-J22</f>
      </c>
      <c r="M22" s="4">
        <f>L22*16.67%</f>
      </c>
      <c r="N22" s="4">
        <f>(K22*6.9%)-(K22*6.9%)*10%</f>
      </c>
      <c r="O22" s="4">
        <f>K22*0.35%</f>
      </c>
      <c r="P22" s="4">
        <v>0.4</v>
      </c>
      <c r="Q22" s="4">
        <f>(N22+O22+P22)*20%</f>
      </c>
      <c r="R22" s="4">
        <f>N22+O22+P22+Q22</f>
      </c>
      <c r="S22" s="4">
        <v>0</v>
      </c>
      <c r="T22" s="4">
        <v>0</v>
      </c>
      <c r="U22" s="4">
        <v>0</v>
      </c>
      <c r="V22" s="4">
        <f>U22*20%</f>
      </c>
      <c r="W22" s="4">
        <v>1</v>
      </c>
      <c r="X22" s="4">
        <f>Q22+T22+V22</f>
      </c>
      <c r="Y22" s="4">
        <f>L22-M22-R22-S22-T22-U22-V22-W22</f>
      </c>
      <c r="Z22" s="4">
        <f>(Y22-AB22)/J22*100</f>
      </c>
      <c r="AA22" s="4">
        <f>M22-X22</f>
      </c>
      <c r="AC22" s="4">
        <f>Y22-AB22</f>
      </c>
      <c r="AH22" t="s">
        <v>1</v>
      </c>
    </row>
    <row r="23" spans="1:34" x14ac:dyDescent="0.25">
      <c r="A23" s="8">
        <v>46231.5</v>
      </c>
      <c r="B23" t="s">
        <v>1536</v>
      </c>
      <c r="C23" t="s">
        <v>1</v>
      </c>
      <c r="D23" s="9" t="s">
        <v>1537</v>
      </c>
      <c r="E23" t="s">
        <v>131</v>
      </c>
      <c r="F23" t="s">
        <v>85</v>
      </c>
      <c r="G23" t="s">
        <v>65</v>
      </c>
      <c r="H23" t="s">
        <v>78</v>
      </c>
      <c r="I23">
        <v>1</v>
      </c>
      <c r="J23" s="4">
        <v>324</v>
      </c>
      <c r="K23" s="4">
        <v>430.92</v>
      </c>
      <c r="L23" s="4">
        <f>K23-J23</f>
      </c>
      <c r="M23" s="4">
        <f>L23*16.67%</f>
      </c>
      <c r="N23" s="4">
        <f>(K23*6.9%)-(K23*6.9%)*10%</f>
      </c>
      <c r="O23" s="4">
        <f>K23*0.35%</f>
      </c>
      <c r="P23" s="4">
        <v>0.4</v>
      </c>
      <c r="Q23" s="4">
        <f>(N23+O23+P23)*20%</f>
      </c>
      <c r="R23" s="4">
        <f>N23+O23+P23+Q23</f>
      </c>
      <c r="S23" s="4">
        <v>0</v>
      </c>
      <c r="T23" s="4">
        <v>0</v>
      </c>
      <c r="U23" s="4">
        <v>0</v>
      </c>
      <c r="V23" s="4">
        <f>U23*20%</f>
      </c>
      <c r="W23" s="4">
        <v>1</v>
      </c>
      <c r="X23" s="4">
        <f>Q23+T23+V23</f>
      </c>
      <c r="Y23" s="4">
        <f>L23-M23-R23-S23-T23-U23-V23-W23</f>
      </c>
      <c r="Z23" s="4">
        <f>(Y23-AB23)/J23*100</f>
      </c>
      <c r="AA23" s="4">
        <f>M23-X23</f>
      </c>
      <c r="AC23" s="4">
        <f>Y23-AB23</f>
      </c>
      <c r="AH23" t="s">
        <v>1</v>
      </c>
    </row>
    <row r="24" spans="1:34" x14ac:dyDescent="0.25">
      <c r="A24" s="8">
        <v>46231.5</v>
      </c>
      <c r="B24" t="s">
        <v>1538</v>
      </c>
      <c r="C24" t="s">
        <v>1</v>
      </c>
      <c r="D24" s="9" t="s">
        <v>1539</v>
      </c>
      <c r="E24" t="s">
        <v>69</v>
      </c>
      <c r="F24" t="s">
        <v>70</v>
      </c>
      <c r="G24" t="s">
        <v>60</v>
      </c>
      <c r="H24" t="s">
        <v>75</v>
      </c>
      <c r="I24">
        <v>1</v>
      </c>
      <c r="J24" s="4">
        <v>504</v>
      </c>
      <c r="K24" s="4">
        <v>609.84</v>
      </c>
      <c r="L24" s="4">
        <f>K24-J24</f>
      </c>
      <c r="M24" s="4">
        <f>L24*16.67%</f>
      </c>
      <c r="N24" s="4">
        <f>(K24*6.9%)-(K24*6.9%)*10%</f>
      </c>
      <c r="O24" s="4">
        <f>K24*0.35%</f>
      </c>
      <c r="P24" s="4">
        <v>0.4</v>
      </c>
      <c r="Q24" s="4">
        <f>(N24+O24+P24)*20%</f>
      </c>
      <c r="R24" s="4">
        <f>N24+O24+P24+Q24</f>
      </c>
      <c r="S24" s="4">
        <v>0</v>
      </c>
      <c r="T24" s="4">
        <v>0</v>
      </c>
      <c r="U24" s="4">
        <v>0</v>
      </c>
      <c r="V24" s="4">
        <f>U24*20%</f>
      </c>
      <c r="W24" s="4">
        <v>1</v>
      </c>
      <c r="X24" s="4">
        <f>Q24+T24+V24</f>
      </c>
      <c r="Y24" s="4">
        <f>L24-M24-R24-S24-T24-U24-V24-W24</f>
      </c>
      <c r="Z24" s="4">
        <f>(Y24-AB24)/J24*100</f>
      </c>
      <c r="AA24" s="4">
        <f>M24-X24</f>
      </c>
      <c r="AC24" s="4">
        <f>Y24-AB24</f>
      </c>
      <c r="AH24" t="s">
        <v>1</v>
      </c>
    </row>
    <row r="25" spans="1:34" x14ac:dyDescent="0.25">
      <c r="A25" s="8">
        <v>46231.5</v>
      </c>
      <c r="B25" t="s">
        <v>1540</v>
      </c>
      <c r="C25" t="s">
        <v>1</v>
      </c>
      <c r="D25" s="9" t="s">
        <v>1541</v>
      </c>
      <c r="E25" t="s">
        <v>139</v>
      </c>
      <c r="F25" t="s">
        <v>105</v>
      </c>
      <c r="G25" t="s">
        <v>65</v>
      </c>
      <c r="H25" t="s">
        <v>61</v>
      </c>
      <c r="I25">
        <v>1</v>
      </c>
      <c r="J25" s="4">
        <v>337</v>
      </c>
      <c r="K25" s="4">
        <v>481.91</v>
      </c>
      <c r="L25" s="4">
        <f>K25-J25</f>
      </c>
      <c r="M25" s="4">
        <f>L25*16.67%</f>
      </c>
      <c r="N25" s="4">
        <f>(K25*6.9%)-(K25*6.9%)*10%</f>
      </c>
      <c r="O25" s="4">
        <f>K25*0.35%</f>
      </c>
      <c r="P25" s="4">
        <v>0.4</v>
      </c>
      <c r="Q25" s="4">
        <f>(N25+O25+P25)*20%</f>
      </c>
      <c r="R25" s="4">
        <f>N25+O25+P25+Q25</f>
      </c>
      <c r="S25" s="4">
        <v>0</v>
      </c>
      <c r="T25" s="4">
        <v>0</v>
      </c>
      <c r="U25" s="4">
        <v>0</v>
      </c>
      <c r="V25" s="4">
        <f>U25*20%</f>
      </c>
      <c r="W25" s="4">
        <v>1</v>
      </c>
      <c r="X25" s="4">
        <f>Q25+T25+V25</f>
      </c>
      <c r="Y25" s="4">
        <f>L25-M25-R25-S25-T25-U25-V25-W25</f>
      </c>
      <c r="Z25" s="4">
        <f>(Y25-AB25)/J25*100</f>
      </c>
      <c r="AA25" s="4">
        <f>M25-X25</f>
      </c>
      <c r="AC25" s="4">
        <f>Y25-AB25</f>
      </c>
      <c r="AH25" t="s">
        <v>1</v>
      </c>
    </row>
    <row r="26" spans="1:34" x14ac:dyDescent="0.25">
      <c r="A26" s="8">
        <v>46231.5</v>
      </c>
      <c r="B26" t="s">
        <v>1542</v>
      </c>
      <c r="C26" t="s">
        <v>1</v>
      </c>
      <c r="D26" s="9" t="s">
        <v>1543</v>
      </c>
      <c r="E26" t="s">
        <v>73</v>
      </c>
      <c r="F26" t="s">
        <v>99</v>
      </c>
      <c r="G26" t="s">
        <v>60</v>
      </c>
      <c r="H26" t="s">
        <v>75</v>
      </c>
      <c r="I26">
        <v>1</v>
      </c>
      <c r="J26" s="4">
        <v>369</v>
      </c>
      <c r="K26" s="4">
        <v>435.42</v>
      </c>
      <c r="L26" s="4">
        <f>K26-J26</f>
      </c>
      <c r="M26" s="4">
        <f>L26*16.67%</f>
      </c>
      <c r="N26" s="4">
        <f>(K26*6.9%)-(K26*6.9%)*10%</f>
      </c>
      <c r="O26" s="4">
        <f>K26*0.35%</f>
      </c>
      <c r="P26" s="4">
        <v>0.4</v>
      </c>
      <c r="Q26" s="4">
        <f>(N26+O26+P26)*20%</f>
      </c>
      <c r="R26" s="4">
        <f>N26+O26+P26+Q26</f>
      </c>
      <c r="S26" s="4">
        <v>0</v>
      </c>
      <c r="T26" s="4">
        <v>0</v>
      </c>
      <c r="U26" s="4">
        <v>0</v>
      </c>
      <c r="V26" s="4">
        <f>U26*20%</f>
      </c>
      <c r="W26" s="4">
        <v>1</v>
      </c>
      <c r="X26" s="4">
        <f>Q26+T26+V26</f>
      </c>
      <c r="Y26" s="4">
        <f>L26-M26-R26-S26-T26-U26-V26-W26</f>
      </c>
      <c r="Z26" s="4">
        <f>(Y26-AB26)/J26*100</f>
      </c>
      <c r="AA26" s="4">
        <f>M26-X26</f>
      </c>
      <c r="AC26" s="4">
        <f>Y26-AB26</f>
      </c>
      <c r="AH26" t="s">
        <v>1</v>
      </c>
    </row>
    <row r="27" spans="1:34" x14ac:dyDescent="0.25">
      <c r="A27" s="8">
        <v>46231.5</v>
      </c>
      <c r="B27" t="s">
        <v>1544</v>
      </c>
      <c r="C27" t="s">
        <v>1</v>
      </c>
      <c r="D27" s="9" t="s">
        <v>1545</v>
      </c>
      <c r="E27" t="s">
        <v>139</v>
      </c>
      <c r="F27" t="s">
        <v>99</v>
      </c>
      <c r="G27" t="s">
        <v>65</v>
      </c>
      <c r="H27" t="s">
        <v>75</v>
      </c>
      <c r="I27">
        <v>1</v>
      </c>
      <c r="J27" s="4">
        <v>306</v>
      </c>
      <c r="K27" s="4">
        <v>397.8</v>
      </c>
      <c r="L27" s="4">
        <f>K27-J27</f>
      </c>
      <c r="M27" s="4">
        <f>L27*16.67%</f>
      </c>
      <c r="N27" s="4">
        <f>(K27*6.9%)-(K27*6.9%)*10%</f>
      </c>
      <c r="O27" s="4">
        <f>K27*0.35%</f>
      </c>
      <c r="P27" s="4">
        <v>0.4</v>
      </c>
      <c r="Q27" s="4">
        <f>(N27+O27+P27)*20%</f>
      </c>
      <c r="R27" s="4">
        <f>N27+O27+P27+Q27</f>
      </c>
      <c r="S27" s="4">
        <v>0</v>
      </c>
      <c r="T27" s="4">
        <v>0</v>
      </c>
      <c r="U27" s="4">
        <v>0</v>
      </c>
      <c r="V27" s="4">
        <f>U27*20%</f>
      </c>
      <c r="W27" s="4">
        <v>1</v>
      </c>
      <c r="X27" s="4">
        <f>Q27+T27+V27</f>
      </c>
      <c r="Y27" s="4">
        <f>L27-M27-R27-S27-T27-U27-V27-W27</f>
      </c>
      <c r="Z27" s="4">
        <f>(Y27-AB27)/J27*100</f>
      </c>
      <c r="AA27" s="4">
        <f>M27-X27</f>
      </c>
      <c r="AC27" s="4">
        <f>Y27-AB27</f>
      </c>
      <c r="AH27" t="s">
        <v>1</v>
      </c>
    </row>
    <row r="28" spans="1:34" x14ac:dyDescent="0.25">
      <c r="A28" s="8">
        <v>46231.5</v>
      </c>
      <c r="B28" t="s">
        <v>1546</v>
      </c>
      <c r="C28" t="s">
        <v>1</v>
      </c>
      <c r="D28" s="9" t="s">
        <v>1547</v>
      </c>
      <c r="E28" t="s">
        <v>73</v>
      </c>
      <c r="F28" t="s">
        <v>85</v>
      </c>
      <c r="G28" t="s">
        <v>60</v>
      </c>
      <c r="H28" t="s">
        <v>102</v>
      </c>
      <c r="I28">
        <v>1</v>
      </c>
      <c r="J28" s="4">
        <v>330</v>
      </c>
      <c r="K28" s="4">
        <v>389.4</v>
      </c>
      <c r="L28" s="4">
        <f>K28-J28</f>
      </c>
      <c r="M28" s="4">
        <f>L28*16.67%</f>
      </c>
      <c r="N28" s="4">
        <f>(K28*6.9%)-(K28*6.9%)*10%</f>
      </c>
      <c r="O28" s="4">
        <f>K28*0.35%</f>
      </c>
      <c r="P28" s="4">
        <v>0.4</v>
      </c>
      <c r="Q28" s="4">
        <f>(N28+O28+P28)*20%</f>
      </c>
      <c r="R28" s="4">
        <f>N28+O28+P28+Q28</f>
      </c>
      <c r="S28" s="4">
        <v>0</v>
      </c>
      <c r="T28" s="4">
        <v>0</v>
      </c>
      <c r="U28" s="4">
        <v>0</v>
      </c>
      <c r="V28" s="4">
        <f>U28*20%</f>
      </c>
      <c r="W28" s="4">
        <v>1</v>
      </c>
      <c r="X28" s="4">
        <f>Q28+T28+V28</f>
      </c>
      <c r="Y28" s="4">
        <f>L28-M28-R28-S28-T28-U28-V28-W28</f>
      </c>
      <c r="Z28" s="4">
        <f>(Y28-AB28)/J28*100</f>
      </c>
      <c r="AA28" s="4">
        <f>M28-X28</f>
      </c>
      <c r="AC28" s="4">
        <f>Y28-AB28</f>
      </c>
      <c r="AH28" t="s">
        <v>1</v>
      </c>
    </row>
    <row r="29" spans="1:34" x14ac:dyDescent="0.25">
      <c r="A29" s="8">
        <v>46231.5</v>
      </c>
      <c r="B29" t="s">
        <v>1548</v>
      </c>
      <c r="C29" t="s">
        <v>1</v>
      </c>
      <c r="D29" s="9" t="s">
        <v>1549</v>
      </c>
      <c r="E29" t="s">
        <v>58</v>
      </c>
      <c r="F29" t="s">
        <v>59</v>
      </c>
      <c r="G29" t="s">
        <v>60</v>
      </c>
      <c r="H29" t="s">
        <v>102</v>
      </c>
      <c r="I29">
        <v>1</v>
      </c>
      <c r="J29" s="4">
        <v>455</v>
      </c>
      <c r="K29" s="4">
        <v>523.25</v>
      </c>
      <c r="L29" s="4">
        <f>K29-J29</f>
      </c>
      <c r="M29" s="4">
        <f>L29*16.67%</f>
      </c>
      <c r="N29" s="4">
        <f>(K29*6.9%)-(K29*6.9%)*10%</f>
      </c>
      <c r="O29" s="4">
        <f>K29*0.35%</f>
      </c>
      <c r="P29" s="4">
        <v>0.4</v>
      </c>
      <c r="Q29" s="4">
        <f>(N29+O29+P29)*20%</f>
      </c>
      <c r="R29" s="4">
        <f>N29+O29+P29+Q29</f>
      </c>
      <c r="S29" s="4">
        <v>0</v>
      </c>
      <c r="T29" s="4">
        <v>0</v>
      </c>
      <c r="U29" s="4">
        <v>0</v>
      </c>
      <c r="V29" s="4">
        <f>U29*20%</f>
      </c>
      <c r="W29" s="4">
        <v>1</v>
      </c>
      <c r="X29" s="4">
        <f>Q29+T29+V29</f>
      </c>
      <c r="Y29" s="4">
        <f>L29-M29-R29-S29-T29-U29-V29-W29</f>
      </c>
      <c r="Z29" s="4">
        <f>(Y29-AB29)/J29*100</f>
      </c>
      <c r="AA29" s="4">
        <f>M29-X29</f>
      </c>
      <c r="AC29" s="4">
        <f>Y29-AB29</f>
      </c>
      <c r="AH29" t="s">
        <v>1</v>
      </c>
    </row>
    <row r="30" spans="1:34" x14ac:dyDescent="0.25">
      <c r="A30" s="8">
        <v>46231.5</v>
      </c>
      <c r="B30" t="s">
        <v>1550</v>
      </c>
      <c r="C30" t="s">
        <v>1</v>
      </c>
      <c r="D30" s="9" t="s">
        <v>1551</v>
      </c>
      <c r="E30" t="s">
        <v>58</v>
      </c>
      <c r="F30" t="s">
        <v>70</v>
      </c>
      <c r="G30" t="s">
        <v>60</v>
      </c>
      <c r="H30" t="s">
        <v>78</v>
      </c>
      <c r="I30">
        <v>1</v>
      </c>
      <c r="J30" s="4">
        <v>437</v>
      </c>
      <c r="K30" s="4">
        <v>594.32</v>
      </c>
      <c r="L30" s="4">
        <f>K30-J30</f>
      </c>
      <c r="M30" s="4">
        <f>L30*16.67%</f>
      </c>
      <c r="N30" s="4">
        <f>(K30*6.9%)-(K30*6.9%)*10%</f>
      </c>
      <c r="O30" s="4">
        <f>K30*0.35%</f>
      </c>
      <c r="P30" s="4">
        <v>0.4</v>
      </c>
      <c r="Q30" s="4">
        <f>(N30+O30+P30)*20%</f>
      </c>
      <c r="R30" s="4">
        <f>N30+O30+P30+Q30</f>
      </c>
      <c r="S30" s="4">
        <v>0</v>
      </c>
      <c r="T30" s="4">
        <v>0</v>
      </c>
      <c r="U30" s="4">
        <v>0</v>
      </c>
      <c r="V30" s="4">
        <f>U30*20%</f>
      </c>
      <c r="W30" s="4">
        <v>1</v>
      </c>
      <c r="X30" s="4">
        <f>Q30+T30+V30</f>
      </c>
      <c r="Y30" s="4">
        <f>L30-M30-R30-S30-T30-U30-V30-W30</f>
      </c>
      <c r="Z30" s="4">
        <f>(Y30-AB30)/J30*100</f>
      </c>
      <c r="AA30" s="4">
        <f>M30-X30</f>
      </c>
      <c r="AC30" s="4">
        <f>Y30-AB30</f>
      </c>
      <c r="AH30" t="s">
        <v>1</v>
      </c>
    </row>
    <row r="31" spans="1:34" x14ac:dyDescent="0.25">
      <c r="A31" s="8">
        <v>46231.5</v>
      </c>
      <c r="B31" t="s">
        <v>1552</v>
      </c>
      <c r="C31" t="s">
        <v>1</v>
      </c>
      <c r="D31" s="9" t="s">
        <v>1553</v>
      </c>
      <c r="E31" t="s">
        <v>73</v>
      </c>
      <c r="F31" t="s">
        <v>99</v>
      </c>
      <c r="G31" t="s">
        <v>60</v>
      </c>
      <c r="H31" t="s">
        <v>102</v>
      </c>
      <c r="I31">
        <v>1</v>
      </c>
      <c r="J31" s="4">
        <v>326</v>
      </c>
      <c r="K31" s="4">
        <v>443.36</v>
      </c>
      <c r="L31" s="4">
        <f>K31-J31</f>
      </c>
      <c r="M31" s="4">
        <f>L31*16.67%</f>
      </c>
      <c r="N31" s="4">
        <f>(K31*6.9%)-(K31*6.9%)*10%</f>
      </c>
      <c r="O31" s="4">
        <f>K31*0.35%</f>
      </c>
      <c r="P31" s="4">
        <v>0.4</v>
      </c>
      <c r="Q31" s="4">
        <f>(N31+O31+P31)*20%</f>
      </c>
      <c r="R31" s="4">
        <f>N31+O31+P31+Q31</f>
      </c>
      <c r="S31" s="4">
        <v>0</v>
      </c>
      <c r="T31" s="4">
        <v>0</v>
      </c>
      <c r="U31" s="4">
        <v>0</v>
      </c>
      <c r="V31" s="4">
        <f>U31*20%</f>
      </c>
      <c r="W31" s="4">
        <v>1</v>
      </c>
      <c r="X31" s="4">
        <f>Q31+T31+V31</f>
      </c>
      <c r="Y31" s="4">
        <f>L31-M31-R31-S31-T31-U31-V31-W31</f>
      </c>
      <c r="Z31" s="4">
        <f>(Y31-AB31)/J31*100</f>
      </c>
      <c r="AA31" s="4">
        <f>M31-X31</f>
      </c>
      <c r="AC31" s="4">
        <f>Y31-AB31</f>
      </c>
      <c r="AH31" t="s">
        <v>1</v>
      </c>
    </row>
    <row r="32" spans="1:34" x14ac:dyDescent="0.25">
      <c r="A32" s="8">
        <v>46231.5</v>
      </c>
      <c r="B32" t="s">
        <v>1554</v>
      </c>
      <c r="C32" t="s">
        <v>1</v>
      </c>
      <c r="D32" s="9" t="s">
        <v>1555</v>
      </c>
      <c r="E32" t="s">
        <v>292</v>
      </c>
      <c r="F32" t="s">
        <v>74</v>
      </c>
      <c r="G32" t="s">
        <v>126</v>
      </c>
      <c r="H32" t="s">
        <v>61</v>
      </c>
      <c r="I32">
        <v>1</v>
      </c>
      <c r="J32" s="4">
        <v>169</v>
      </c>
      <c r="K32" s="4">
        <v>199.42</v>
      </c>
      <c r="L32" s="4">
        <f>K32-J32</f>
      </c>
      <c r="M32" s="4">
        <f>L32*16.67%</f>
      </c>
      <c r="N32" s="4">
        <f>(K32*6.9%)-(K32*6.9%)*10%</f>
      </c>
      <c r="O32" s="4">
        <f>K32*0.35%</f>
      </c>
      <c r="P32" s="4">
        <v>0.4</v>
      </c>
      <c r="Q32" s="4">
        <f>(N32+O32+P32)*20%</f>
      </c>
      <c r="R32" s="4">
        <f>N32+O32+P32+Q32</f>
      </c>
      <c r="S32" s="4">
        <v>0</v>
      </c>
      <c r="T32" s="4">
        <v>0</v>
      </c>
      <c r="U32" s="4">
        <v>0</v>
      </c>
      <c r="V32" s="4">
        <f>U32*20%</f>
      </c>
      <c r="W32" s="4">
        <v>1</v>
      </c>
      <c r="X32" s="4">
        <f>Q32+T32+V32</f>
      </c>
      <c r="Y32" s="4">
        <f>L32-M32-R32-S32-T32-U32-V32-W32</f>
      </c>
      <c r="Z32" s="4">
        <f>(Y32-AB32)/J32*100</f>
      </c>
      <c r="AA32" s="4">
        <f>M32-X32</f>
      </c>
      <c r="AC32" s="4">
        <f>Y32-AB32</f>
      </c>
      <c r="AH32" t="s">
        <v>1</v>
      </c>
    </row>
    <row r="33" spans="1:34" x14ac:dyDescent="0.25">
      <c r="A33" s="8">
        <v>46231.5</v>
      </c>
      <c r="B33" t="s">
        <v>1556</v>
      </c>
      <c r="C33" t="s">
        <v>1</v>
      </c>
      <c r="D33" s="9" t="s">
        <v>1557</v>
      </c>
      <c r="E33" t="s">
        <v>91</v>
      </c>
      <c r="F33" t="s">
        <v>85</v>
      </c>
      <c r="G33" t="s">
        <v>95</v>
      </c>
      <c r="H33" t="s">
        <v>102</v>
      </c>
      <c r="I33">
        <v>1</v>
      </c>
      <c r="J33" s="4">
        <v>121</v>
      </c>
      <c r="K33" s="4">
        <v>158.51</v>
      </c>
      <c r="L33" s="4">
        <f>K33-J33</f>
      </c>
      <c r="M33" s="4">
        <f>L33*16.67%</f>
      </c>
      <c r="N33" s="4">
        <f>(K33*6.9%)-(K33*6.9%)*10%</f>
      </c>
      <c r="O33" s="4">
        <f>K33*0.35%</f>
      </c>
      <c r="P33" s="4">
        <v>0.4</v>
      </c>
      <c r="Q33" s="4">
        <f>(N33+O33+P33)*20%</f>
      </c>
      <c r="R33" s="4">
        <f>N33+O33+P33+Q33</f>
      </c>
      <c r="S33" s="4">
        <v>0</v>
      </c>
      <c r="T33" s="4">
        <v>0</v>
      </c>
      <c r="U33" s="4">
        <v>0</v>
      </c>
      <c r="V33" s="4">
        <f>U33*20%</f>
      </c>
      <c r="W33" s="4">
        <v>1</v>
      </c>
      <c r="X33" s="4">
        <f>Q33+T33+V33</f>
      </c>
      <c r="Y33" s="4">
        <f>L33-M33-R33-S33-T33-U33-V33-W33</f>
      </c>
      <c r="Z33" s="4">
        <f>(Y33-AB33)/J33*100</f>
      </c>
      <c r="AA33" s="4">
        <f>M33-X33</f>
      </c>
      <c r="AC33" s="4">
        <f>Y33-AB33</f>
      </c>
      <c r="AH33" t="s">
        <v>1</v>
      </c>
    </row>
    <row r="34" spans="1:34" x14ac:dyDescent="0.25">
      <c r="A34" s="8">
        <v>46231.5</v>
      </c>
      <c r="B34" t="s">
        <v>1558</v>
      </c>
      <c r="C34" t="s">
        <v>1</v>
      </c>
      <c r="D34" s="9" t="s">
        <v>1559</v>
      </c>
      <c r="E34" t="s">
        <v>64</v>
      </c>
      <c r="F34" t="s">
        <v>59</v>
      </c>
      <c r="G34" t="s">
        <v>65</v>
      </c>
      <c r="H34" t="s">
        <v>75</v>
      </c>
      <c r="I34">
        <v>1</v>
      </c>
      <c r="J34" s="4">
        <v>250</v>
      </c>
      <c r="K34" s="4">
        <v>307.5</v>
      </c>
      <c r="L34" s="4">
        <f>K34-J34</f>
      </c>
      <c r="M34" s="4">
        <f>L34*16.67%</f>
      </c>
      <c r="N34" s="4">
        <f>(K34*6.9%)-(K34*6.9%)*10%</f>
      </c>
      <c r="O34" s="4">
        <f>K34*0.35%</f>
      </c>
      <c r="P34" s="4">
        <v>0.4</v>
      </c>
      <c r="Q34" s="4">
        <f>(N34+O34+P34)*20%</f>
      </c>
      <c r="R34" s="4">
        <f>N34+O34+P34+Q34</f>
      </c>
      <c r="S34" s="4">
        <v>0</v>
      </c>
      <c r="T34" s="4">
        <v>0</v>
      </c>
      <c r="U34" s="4">
        <v>0</v>
      </c>
      <c r="V34" s="4">
        <f>U34*20%</f>
      </c>
      <c r="W34" s="4">
        <v>1</v>
      </c>
      <c r="X34" s="4">
        <f>Q34+T34+V34</f>
      </c>
      <c r="Y34" s="4">
        <f>L34-M34-R34-S34-T34-U34-V34-W34</f>
      </c>
      <c r="Z34" s="4">
        <f>(Y34-AB34)/J34*100</f>
      </c>
      <c r="AA34" s="4">
        <f>M34-X34</f>
      </c>
      <c r="AC34" s="4">
        <f>Y34-AB34</f>
      </c>
      <c r="AH34" t="s">
        <v>1</v>
      </c>
    </row>
    <row r="35" spans="1:34" x14ac:dyDescent="0.25">
      <c r="A35" s="8">
        <v>46231.5</v>
      </c>
      <c r="B35" t="s">
        <v>1560</v>
      </c>
      <c r="C35" t="s">
        <v>1</v>
      </c>
      <c r="D35" s="9" t="s">
        <v>1561</v>
      </c>
      <c r="E35" t="s">
        <v>73</v>
      </c>
      <c r="F35" t="s">
        <v>88</v>
      </c>
      <c r="G35" t="s">
        <v>60</v>
      </c>
      <c r="H35" t="s">
        <v>61</v>
      </c>
      <c r="I35">
        <v>1</v>
      </c>
      <c r="J35" s="4">
        <v>350</v>
      </c>
      <c r="K35" s="4">
        <v>483</v>
      </c>
      <c r="L35" s="4">
        <f>K35-J35</f>
      </c>
      <c r="M35" s="4">
        <f>L35*16.67%</f>
      </c>
      <c r="N35" s="4">
        <f>(K35*6.9%)-(K35*6.9%)*10%</f>
      </c>
      <c r="O35" s="4">
        <f>K35*0.35%</f>
      </c>
      <c r="P35" s="4">
        <v>0.4</v>
      </c>
      <c r="Q35" s="4">
        <f>(N35+O35+P35)*20%</f>
      </c>
      <c r="R35" s="4">
        <f>N35+O35+P35+Q35</f>
      </c>
      <c r="S35" s="4">
        <v>0</v>
      </c>
      <c r="T35" s="4">
        <v>0</v>
      </c>
      <c r="U35" s="4">
        <v>0</v>
      </c>
      <c r="V35" s="4">
        <f>U35*20%</f>
      </c>
      <c r="W35" s="4">
        <v>1</v>
      </c>
      <c r="X35" s="4">
        <f>Q35+T35+V35</f>
      </c>
      <c r="Y35" s="4">
        <f>L35-M35-R35-S35-T35-U35-V35-W35</f>
      </c>
      <c r="Z35" s="4">
        <f>(Y35-AB35)/J35*100</f>
      </c>
      <c r="AA35" s="4">
        <f>M35-X35</f>
      </c>
      <c r="AC35" s="4">
        <f>Y35-AB35</f>
      </c>
      <c r="AH35" t="s">
        <v>1</v>
      </c>
    </row>
    <row r="36" spans="1:34" x14ac:dyDescent="0.25">
      <c r="A36" s="8">
        <v>46231.5</v>
      </c>
      <c r="B36" t="s">
        <v>1562</v>
      </c>
      <c r="C36" t="s">
        <v>1</v>
      </c>
      <c r="D36" s="9" t="s">
        <v>1563</v>
      </c>
      <c r="E36" t="s">
        <v>81</v>
      </c>
      <c r="F36" t="s">
        <v>85</v>
      </c>
      <c r="G36" t="s">
        <v>65</v>
      </c>
      <c r="H36" t="s">
        <v>102</v>
      </c>
      <c r="I36">
        <v>1</v>
      </c>
      <c r="J36" s="4">
        <v>559</v>
      </c>
      <c r="K36" s="4">
        <v>777.01</v>
      </c>
      <c r="L36" s="4">
        <f>K36-J36</f>
      </c>
      <c r="M36" s="4">
        <f>L36*16.67%</f>
      </c>
      <c r="N36" s="4">
        <f>(K36*6.9%)-(K36*6.9%)*10%</f>
      </c>
      <c r="O36" s="4">
        <f>K36*0.35%</f>
      </c>
      <c r="P36" s="4">
        <v>0.4</v>
      </c>
      <c r="Q36" s="4">
        <f>(N36+O36+P36)*20%</f>
      </c>
      <c r="R36" s="4">
        <f>N36+O36+P36+Q36</f>
      </c>
      <c r="S36" s="4">
        <v>0</v>
      </c>
      <c r="T36" s="4">
        <v>0</v>
      </c>
      <c r="U36" s="4">
        <v>0</v>
      </c>
      <c r="V36" s="4">
        <f>U36*20%</f>
      </c>
      <c r="W36" s="4">
        <v>1</v>
      </c>
      <c r="X36" s="4">
        <f>Q36+T36+V36</f>
      </c>
      <c r="Y36" s="4">
        <f>L36-M36-R36-S36-T36-U36-V36-W36</f>
      </c>
      <c r="Z36" s="4">
        <f>(Y36-AB36)/J36*100</f>
      </c>
      <c r="AA36" s="4">
        <f>M36-X36</f>
      </c>
      <c r="AC36" s="4">
        <f>Y36-AB36</f>
      </c>
      <c r="AH36" t="s">
        <v>1</v>
      </c>
    </row>
    <row r="37" spans="1:34" x14ac:dyDescent="0.25">
      <c r="A37" s="8">
        <v>46231.5</v>
      </c>
      <c r="B37" t="s">
        <v>1564</v>
      </c>
      <c r="C37" t="s">
        <v>1</v>
      </c>
      <c r="D37" s="9" t="s">
        <v>1565</v>
      </c>
      <c r="E37" t="s">
        <v>91</v>
      </c>
      <c r="F37" t="s">
        <v>99</v>
      </c>
      <c r="G37" t="s">
        <v>95</v>
      </c>
      <c r="H37" t="s">
        <v>75</v>
      </c>
      <c r="I37">
        <v>1</v>
      </c>
      <c r="J37" s="4">
        <v>140</v>
      </c>
      <c r="K37" s="4">
        <v>172.2</v>
      </c>
      <c r="L37" s="4">
        <f>K37-J37</f>
      </c>
      <c r="M37" s="4">
        <f>L37*16.67%</f>
      </c>
      <c r="N37" s="4">
        <f>(K37*6.9%)-(K37*6.9%)*10%</f>
      </c>
      <c r="O37" s="4">
        <f>K37*0.35%</f>
      </c>
      <c r="P37" s="4">
        <v>0.4</v>
      </c>
      <c r="Q37" s="4">
        <f>(N37+O37+P37)*20%</f>
      </c>
      <c r="R37" s="4">
        <f>N37+O37+P37+Q37</f>
      </c>
      <c r="S37" s="4">
        <v>0</v>
      </c>
      <c r="T37" s="4">
        <v>0</v>
      </c>
      <c r="U37" s="4">
        <v>0</v>
      </c>
      <c r="V37" s="4">
        <f>U37*20%</f>
      </c>
      <c r="W37" s="4">
        <v>1</v>
      </c>
      <c r="X37" s="4">
        <f>Q37+T37+V37</f>
      </c>
      <c r="Y37" s="4">
        <f>L37-M37-R37-S37-T37-U37-V37-W37</f>
      </c>
      <c r="Z37" s="4">
        <f>(Y37-AB37)/J37*100</f>
      </c>
      <c r="AA37" s="4">
        <f>M37-X37</f>
      </c>
      <c r="AC37" s="4">
        <f>Y37-AB37</f>
      </c>
      <c r="AH37" t="s">
        <v>1</v>
      </c>
    </row>
    <row r="38" spans="1:34" x14ac:dyDescent="0.25">
      <c r="A38" s="8">
        <v>46231.5</v>
      </c>
      <c r="B38" t="s">
        <v>1566</v>
      </c>
      <c r="C38" t="s">
        <v>1</v>
      </c>
      <c r="D38" s="9" t="s">
        <v>1567</v>
      </c>
      <c r="E38" t="s">
        <v>84</v>
      </c>
      <c r="F38" t="s">
        <v>59</v>
      </c>
      <c r="G38" t="s">
        <v>60</v>
      </c>
      <c r="H38" t="s">
        <v>75</v>
      </c>
      <c r="I38">
        <v>1</v>
      </c>
      <c r="J38" s="4">
        <v>716</v>
      </c>
      <c r="K38" s="4">
        <v>1009.56</v>
      </c>
      <c r="L38" s="4">
        <f>K38-J38</f>
      </c>
      <c r="M38" s="4">
        <f>L38*16.67%</f>
      </c>
      <c r="N38" s="4">
        <f>(K38*6.9%)-(K38*6.9%)*10%</f>
      </c>
      <c r="O38" s="4">
        <f>K38*0.35%</f>
      </c>
      <c r="P38" s="4">
        <v>0.4</v>
      </c>
      <c r="Q38" s="4">
        <f>(N38+O38+P38)*20%</f>
      </c>
      <c r="R38" s="4">
        <f>N38+O38+P38+Q38</f>
      </c>
      <c r="S38" s="4">
        <v>0</v>
      </c>
      <c r="T38" s="4">
        <v>0</v>
      </c>
      <c r="U38" s="4">
        <v>0</v>
      </c>
      <c r="V38" s="4">
        <f>U38*20%</f>
      </c>
      <c r="W38" s="4">
        <v>1</v>
      </c>
      <c r="X38" s="4">
        <f>Q38+T38+V38</f>
      </c>
      <c r="Y38" s="4">
        <f>L38-M38-R38-S38-T38-U38-V38-W38</f>
      </c>
      <c r="Z38" s="4">
        <f>(Y38-AB38)/J38*100</f>
      </c>
      <c r="AA38" s="4">
        <f>M38-X38</f>
      </c>
      <c r="AC38" s="4">
        <f>Y38-AB38</f>
      </c>
      <c r="AH38" t="s">
        <v>1</v>
      </c>
    </row>
    <row r="39" spans="1:34" x14ac:dyDescent="0.25">
      <c r="A39" s="8">
        <v>46231.5</v>
      </c>
      <c r="B39" t="s">
        <v>1568</v>
      </c>
      <c r="C39" t="s">
        <v>1</v>
      </c>
      <c r="D39" s="9" t="s">
        <v>1569</v>
      </c>
      <c r="E39" t="s">
        <v>81</v>
      </c>
      <c r="F39" t="s">
        <v>85</v>
      </c>
      <c r="G39" t="s">
        <v>65</v>
      </c>
      <c r="H39" t="s">
        <v>66</v>
      </c>
      <c r="I39">
        <v>1</v>
      </c>
      <c r="J39" s="4">
        <v>611</v>
      </c>
      <c r="K39" s="4">
        <v>885.95</v>
      </c>
      <c r="L39" s="4">
        <f>K39-J39</f>
      </c>
      <c r="M39" s="4">
        <f>L39*16.67%</f>
      </c>
      <c r="N39" s="4">
        <f>(K39*6.9%)-(K39*6.9%)*10%</f>
      </c>
      <c r="O39" s="4">
        <f>K39*0.35%</f>
      </c>
      <c r="P39" s="4">
        <v>0.4</v>
      </c>
      <c r="Q39" s="4">
        <f>(N39+O39+P39)*20%</f>
      </c>
      <c r="R39" s="4">
        <f>N39+O39+P39+Q39</f>
      </c>
      <c r="S39" s="4">
        <v>0</v>
      </c>
      <c r="T39" s="4">
        <v>0</v>
      </c>
      <c r="U39" s="4">
        <v>0</v>
      </c>
      <c r="V39" s="4">
        <f>U39*20%</f>
      </c>
      <c r="W39" s="4">
        <v>1</v>
      </c>
      <c r="X39" s="4">
        <f>Q39+T39+V39</f>
      </c>
      <c r="Y39" s="4">
        <f>L39-M39-R39-S39-T39-U39-V39-W39</f>
      </c>
      <c r="Z39" s="4">
        <f>(Y39-AB39)/J39*100</f>
      </c>
      <c r="AA39" s="4">
        <f>M39-X39</f>
      </c>
      <c r="AC39" s="4">
        <f>Y39-AB39</f>
      </c>
      <c r="AH39" t="s">
        <v>1</v>
      </c>
    </row>
    <row r="40" spans="1:34" x14ac:dyDescent="0.25">
      <c r="A40" s="8">
        <v>46231.5</v>
      </c>
      <c r="B40" t="s">
        <v>1570</v>
      </c>
      <c r="C40" t="s">
        <v>1</v>
      </c>
      <c r="D40" s="9" t="s">
        <v>1571</v>
      </c>
      <c r="E40" t="s">
        <v>98</v>
      </c>
      <c r="F40" t="s">
        <v>59</v>
      </c>
      <c r="G40" t="s">
        <v>65</v>
      </c>
      <c r="H40" t="s">
        <v>66</v>
      </c>
      <c r="I40">
        <v>1</v>
      </c>
      <c r="J40" s="4">
        <v>330</v>
      </c>
      <c r="K40" s="4">
        <v>402.6</v>
      </c>
      <c r="L40" s="4">
        <f>K40-J40</f>
      </c>
      <c r="M40" s="4">
        <f>L40*16.67%</f>
      </c>
      <c r="N40" s="4">
        <f>(K40*6.9%)-(K40*6.9%)*10%</f>
      </c>
      <c r="O40" s="4">
        <f>K40*0.35%</f>
      </c>
      <c r="P40" s="4">
        <v>0.4</v>
      </c>
      <c r="Q40" s="4">
        <f>(N40+O40+P40)*20%</f>
      </c>
      <c r="R40" s="4">
        <f>N40+O40+P40+Q40</f>
      </c>
      <c r="S40" s="4">
        <v>0</v>
      </c>
      <c r="T40" s="4">
        <v>0</v>
      </c>
      <c r="U40" s="4">
        <v>0</v>
      </c>
      <c r="V40" s="4">
        <f>U40*20%</f>
      </c>
      <c r="W40" s="4">
        <v>1</v>
      </c>
      <c r="X40" s="4">
        <f>Q40+T40+V40</f>
      </c>
      <c r="Y40" s="4">
        <f>L40-M40-R40-S40-T40-U40-V40-W40</f>
      </c>
      <c r="Z40" s="4">
        <f>(Y40-AB40)/J40*100</f>
      </c>
      <c r="AA40" s="4">
        <f>M40-X40</f>
      </c>
      <c r="AC40" s="4">
        <f>Y40-AB40</f>
      </c>
      <c r="AH40" t="s">
        <v>1</v>
      </c>
    </row>
    <row r="41" spans="1:34" x14ac:dyDescent="0.25">
      <c r="A41" s="8">
        <v>46231.5</v>
      </c>
      <c r="B41" t="s">
        <v>1572</v>
      </c>
      <c r="C41" t="s">
        <v>1</v>
      </c>
      <c r="D41" s="9" t="s">
        <v>1573</v>
      </c>
      <c r="E41" t="s">
        <v>64</v>
      </c>
      <c r="F41" t="s">
        <v>59</v>
      </c>
      <c r="G41" t="s">
        <v>65</v>
      </c>
      <c r="H41" t="s">
        <v>61</v>
      </c>
      <c r="I41">
        <v>1</v>
      </c>
      <c r="J41" s="4">
        <v>243</v>
      </c>
      <c r="K41" s="4">
        <v>318.33</v>
      </c>
      <c r="L41" s="4">
        <f>K41-J41</f>
      </c>
      <c r="M41" s="4">
        <f>L41*16.67%</f>
      </c>
      <c r="N41" s="4">
        <f>(K41*6.9%)-(K41*6.9%)*10%</f>
      </c>
      <c r="O41" s="4">
        <f>K41*0.35%</f>
      </c>
      <c r="P41" s="4">
        <v>0.4</v>
      </c>
      <c r="Q41" s="4">
        <f>(N41+O41+P41)*20%</f>
      </c>
      <c r="R41" s="4">
        <f>N41+O41+P41+Q41</f>
      </c>
      <c r="S41" s="4">
        <v>0</v>
      </c>
      <c r="T41" s="4">
        <v>0</v>
      </c>
      <c r="U41" s="4">
        <v>0</v>
      </c>
      <c r="V41" s="4">
        <f>U41*20%</f>
      </c>
      <c r="W41" s="4">
        <v>1</v>
      </c>
      <c r="X41" s="4">
        <f>Q41+T41+V41</f>
      </c>
      <c r="Y41" s="4">
        <f>L41-M41-R41-S41-T41-U41-V41-W41</f>
      </c>
      <c r="Z41" s="4">
        <f>(Y41-AB41)/J41*100</f>
      </c>
      <c r="AA41" s="4">
        <f>M41-X41</f>
      </c>
      <c r="AC41" s="4">
        <f>Y41-AB41</f>
      </c>
      <c r="AH41" t="s">
        <v>1</v>
      </c>
    </row>
    <row r="42" spans="1:34" x14ac:dyDescent="0.25">
      <c r="A42" s="8">
        <v>46231.5</v>
      </c>
      <c r="B42" t="s">
        <v>1574</v>
      </c>
      <c r="C42" t="s">
        <v>1</v>
      </c>
      <c r="D42" s="9" t="s">
        <v>1575</v>
      </c>
      <c r="E42" t="s">
        <v>58</v>
      </c>
      <c r="F42" t="s">
        <v>74</v>
      </c>
      <c r="G42" t="s">
        <v>60</v>
      </c>
      <c r="H42" t="s">
        <v>66</v>
      </c>
      <c r="I42">
        <v>1</v>
      </c>
      <c r="J42" s="4">
        <v>464</v>
      </c>
      <c r="K42" s="4">
        <v>556.8</v>
      </c>
      <c r="L42" s="4">
        <f>K42-J42</f>
      </c>
      <c r="M42" s="4">
        <f>L42*16.67%</f>
      </c>
      <c r="N42" s="4">
        <f>(K42*6.9%)-(K42*6.9%)*10%</f>
      </c>
      <c r="O42" s="4">
        <f>K42*0.35%</f>
      </c>
      <c r="P42" s="4">
        <v>0.4</v>
      </c>
      <c r="Q42" s="4">
        <f>(N42+O42+P42)*20%</f>
      </c>
      <c r="R42" s="4">
        <f>N42+O42+P42+Q42</f>
      </c>
      <c r="S42" s="4">
        <v>0</v>
      </c>
      <c r="T42" s="4">
        <v>0</v>
      </c>
      <c r="U42" s="4">
        <v>0</v>
      </c>
      <c r="V42" s="4">
        <f>U42*20%</f>
      </c>
      <c r="W42" s="4">
        <v>1</v>
      </c>
      <c r="X42" s="4">
        <f>Q42+T42+V42</f>
      </c>
      <c r="Y42" s="4">
        <f>L42-M42-R42-S42-T42-U42-V42-W42</f>
      </c>
      <c r="Z42" s="4">
        <f>(Y42-AB42)/J42*100</f>
      </c>
      <c r="AA42" s="4">
        <f>M42-X42</f>
      </c>
      <c r="AC42" s="4">
        <f>Y42-AB42</f>
      </c>
      <c r="AH42" t="s">
        <v>1</v>
      </c>
    </row>
    <row r="43" spans="1:34" x14ac:dyDescent="0.25">
      <c r="A43" s="8">
        <v>46231.5</v>
      </c>
      <c r="B43" t="s">
        <v>1576</v>
      </c>
      <c r="C43" t="s">
        <v>1</v>
      </c>
      <c r="D43" s="9" t="s">
        <v>1577</v>
      </c>
      <c r="E43" t="s">
        <v>69</v>
      </c>
      <c r="F43" t="s">
        <v>74</v>
      </c>
      <c r="G43" t="s">
        <v>60</v>
      </c>
      <c r="H43" t="s">
        <v>102</v>
      </c>
      <c r="I43">
        <v>1</v>
      </c>
      <c r="J43" s="4">
        <v>481</v>
      </c>
      <c r="K43" s="4">
        <v>606.06</v>
      </c>
      <c r="L43" s="4">
        <f>K43-J43</f>
      </c>
      <c r="M43" s="4">
        <f>L43*16.67%</f>
      </c>
      <c r="N43" s="4">
        <f>(K43*6.9%)-(K43*6.9%)*10%</f>
      </c>
      <c r="O43" s="4">
        <f>K43*0.35%</f>
      </c>
      <c r="P43" s="4">
        <v>0.4</v>
      </c>
      <c r="Q43" s="4">
        <f>(N43+O43+P43)*20%</f>
      </c>
      <c r="R43" s="4">
        <f>N43+O43+P43+Q43</f>
      </c>
      <c r="S43" s="4">
        <v>0</v>
      </c>
      <c r="T43" s="4">
        <v>0</v>
      </c>
      <c r="U43" s="4">
        <v>0</v>
      </c>
      <c r="V43" s="4">
        <f>U43*20%</f>
      </c>
      <c r="W43" s="4">
        <v>1</v>
      </c>
      <c r="X43" s="4">
        <f>Q43+T43+V43</f>
      </c>
      <c r="Y43" s="4">
        <f>L43-M43-R43-S43-T43-U43-V43-W43</f>
      </c>
      <c r="Z43" s="4">
        <f>(Y43-AB43)/J43*100</f>
      </c>
      <c r="AA43" s="4">
        <f>M43-X43</f>
      </c>
      <c r="AC43" s="4">
        <f>Y43-AB43</f>
      </c>
      <c r="AH43" t="s">
        <v>1</v>
      </c>
    </row>
    <row r="44" spans="1:34" x14ac:dyDescent="0.25">
      <c r="A44" s="8">
        <v>46231.5</v>
      </c>
      <c r="B44" t="s">
        <v>1578</v>
      </c>
      <c r="C44" t="s">
        <v>1</v>
      </c>
      <c r="D44" s="9" t="s">
        <v>1579</v>
      </c>
      <c r="E44" t="s">
        <v>131</v>
      </c>
      <c r="F44" t="s">
        <v>70</v>
      </c>
      <c r="G44" t="s">
        <v>65</v>
      </c>
      <c r="H44" t="s">
        <v>102</v>
      </c>
      <c r="I44">
        <v>1</v>
      </c>
      <c r="J44" s="4">
        <v>335</v>
      </c>
      <c r="K44" s="4">
        <v>422.1</v>
      </c>
      <c r="L44" s="4">
        <f>K44-J44</f>
      </c>
      <c r="M44" s="4">
        <f>L44*16.67%</f>
      </c>
      <c r="N44" s="4">
        <f>(K44*6.9%)-(K44*6.9%)*10%</f>
      </c>
      <c r="O44" s="4">
        <f>K44*0.35%</f>
      </c>
      <c r="P44" s="4">
        <v>0.4</v>
      </c>
      <c r="Q44" s="4">
        <f>(N44+O44+P44)*20%</f>
      </c>
      <c r="R44" s="4">
        <f>N44+O44+P44+Q44</f>
      </c>
      <c r="S44" s="4">
        <v>0</v>
      </c>
      <c r="T44" s="4">
        <v>0</v>
      </c>
      <c r="U44" s="4">
        <v>0</v>
      </c>
      <c r="V44" s="4">
        <f>U44*20%</f>
      </c>
      <c r="W44" s="4">
        <v>1</v>
      </c>
      <c r="X44" s="4">
        <f>Q44+T44+V44</f>
      </c>
      <c r="Y44" s="4">
        <f>L44-M44-R44-S44-T44-U44-V44-W44</f>
      </c>
      <c r="Z44" s="4">
        <f>(Y44-AB44)/J44*100</f>
      </c>
      <c r="AA44" s="4">
        <f>M44-X44</f>
      </c>
      <c r="AC44" s="4">
        <f>Y44-AB44</f>
      </c>
      <c r="AH44" t="s">
        <v>1</v>
      </c>
    </row>
    <row r="45" spans="1:34" x14ac:dyDescent="0.25">
      <c r="A45" s="8">
        <v>46231.5</v>
      </c>
      <c r="B45" t="s">
        <v>1580</v>
      </c>
      <c r="C45" t="s">
        <v>1</v>
      </c>
      <c r="D45" s="9" t="s">
        <v>1581</v>
      </c>
      <c r="E45" t="s">
        <v>114</v>
      </c>
      <c r="F45" t="s">
        <v>105</v>
      </c>
      <c r="G45" t="s">
        <v>95</v>
      </c>
      <c r="H45" t="s">
        <v>75</v>
      </c>
      <c r="I45">
        <v>1</v>
      </c>
      <c r="J45" s="4">
        <v>217</v>
      </c>
      <c r="K45" s="4">
        <v>290.78</v>
      </c>
      <c r="L45" s="4">
        <f>K45-J45</f>
      </c>
      <c r="M45" s="4">
        <f>L45*16.67%</f>
      </c>
      <c r="N45" s="4">
        <f>(K45*6.9%)-(K45*6.9%)*10%</f>
      </c>
      <c r="O45" s="4">
        <f>K45*0.35%</f>
      </c>
      <c r="P45" s="4">
        <v>0.4</v>
      </c>
      <c r="Q45" s="4">
        <f>(N45+O45+P45)*20%</f>
      </c>
      <c r="R45" s="4">
        <f>N45+O45+P45+Q45</f>
      </c>
      <c r="S45" s="4">
        <v>0</v>
      </c>
      <c r="T45" s="4">
        <v>0</v>
      </c>
      <c r="U45" s="4">
        <v>0</v>
      </c>
      <c r="V45" s="4">
        <f>U45*20%</f>
      </c>
      <c r="W45" s="4">
        <v>1</v>
      </c>
      <c r="X45" s="4">
        <f>Q45+T45+V45</f>
      </c>
      <c r="Y45" s="4">
        <f>L45-M45-R45-S45-T45-U45-V45-W45</f>
      </c>
      <c r="Z45" s="4">
        <f>(Y45-AB45)/J45*100</f>
      </c>
      <c r="AA45" s="4">
        <f>M45-X45</f>
      </c>
      <c r="AC45" s="4">
        <f>Y45-AB45</f>
      </c>
      <c r="AH45" t="s">
        <v>1</v>
      </c>
    </row>
    <row r="46" spans="1:34" x14ac:dyDescent="0.25">
      <c r="A46" s="8">
        <v>46231.5</v>
      </c>
      <c r="B46" t="s">
        <v>1582</v>
      </c>
      <c r="C46" t="s">
        <v>1</v>
      </c>
      <c r="D46" s="9" t="s">
        <v>1583</v>
      </c>
      <c r="E46" t="s">
        <v>125</v>
      </c>
      <c r="F46" t="s">
        <v>59</v>
      </c>
      <c r="G46" t="s">
        <v>126</v>
      </c>
      <c r="H46" t="s">
        <v>66</v>
      </c>
      <c r="I46">
        <v>1</v>
      </c>
      <c r="J46" s="4">
        <v>236</v>
      </c>
      <c r="K46" s="4">
        <v>306.8</v>
      </c>
      <c r="L46" s="4">
        <f>K46-J46</f>
      </c>
      <c r="M46" s="4">
        <f>L46*16.67%</f>
      </c>
      <c r="N46" s="4">
        <f>(K46*6.9%)-(K46*6.9%)*10%</f>
      </c>
      <c r="O46" s="4">
        <f>K46*0.35%</f>
      </c>
      <c r="P46" s="4">
        <v>0.4</v>
      </c>
      <c r="Q46" s="4">
        <f>(N46+O46+P46)*20%</f>
      </c>
      <c r="R46" s="4">
        <f>N46+O46+P46+Q46</f>
      </c>
      <c r="S46" s="4">
        <v>0</v>
      </c>
      <c r="T46" s="4">
        <v>0</v>
      </c>
      <c r="U46" s="4">
        <v>0</v>
      </c>
      <c r="V46" s="4">
        <f>U46*20%</f>
      </c>
      <c r="W46" s="4">
        <v>1</v>
      </c>
      <c r="X46" s="4">
        <f>Q46+T46+V46</f>
      </c>
      <c r="Y46" s="4">
        <f>L46-M46-R46-S46-T46-U46-V46-W46</f>
      </c>
      <c r="Z46" s="4">
        <f>(Y46-AB46)/J46*100</f>
      </c>
      <c r="AA46" s="4">
        <f>M46-X46</f>
      </c>
      <c r="AC46" s="4">
        <f>Y46-AB46</f>
      </c>
      <c r="AH46" t="s">
        <v>1</v>
      </c>
    </row>
    <row r="47" spans="1:34" x14ac:dyDescent="0.25">
      <c r="A47" s="8">
        <v>46231.5</v>
      </c>
      <c r="B47" t="s">
        <v>1584</v>
      </c>
      <c r="C47" t="s">
        <v>1</v>
      </c>
      <c r="D47" s="9" t="s">
        <v>1585</v>
      </c>
      <c r="E47" t="s">
        <v>234</v>
      </c>
      <c r="F47" t="s">
        <v>70</v>
      </c>
      <c r="G47" t="s">
        <v>65</v>
      </c>
      <c r="H47" t="s">
        <v>78</v>
      </c>
      <c r="I47">
        <v>1</v>
      </c>
      <c r="J47" s="4">
        <v>151</v>
      </c>
      <c r="K47" s="4">
        <v>215.93</v>
      </c>
      <c r="L47" s="4">
        <f>K47-J47</f>
      </c>
      <c r="M47" s="4">
        <f>L47*16.67%</f>
      </c>
      <c r="N47" s="4">
        <f>(K47*6.9%)-(K47*6.9%)*10%</f>
      </c>
      <c r="O47" s="4">
        <f>K47*0.35%</f>
      </c>
      <c r="P47" s="4">
        <v>0.4</v>
      </c>
      <c r="Q47" s="4">
        <f>(N47+O47+P47)*20%</f>
      </c>
      <c r="R47" s="4">
        <f>N47+O47+P47+Q47</f>
      </c>
      <c r="S47" s="4">
        <v>0</v>
      </c>
      <c r="T47" s="4">
        <v>0</v>
      </c>
      <c r="U47" s="4">
        <v>0</v>
      </c>
      <c r="V47" s="4">
        <f>U47*20%</f>
      </c>
      <c r="W47" s="4">
        <v>1</v>
      </c>
      <c r="X47" s="4">
        <f>Q47+T47+V47</f>
      </c>
      <c r="Y47" s="4">
        <f>L47-M47-R47-S47-T47-U47-V47-W47</f>
      </c>
      <c r="Z47" s="4">
        <f>(Y47-AB47)/J47*100</f>
      </c>
      <c r="AA47" s="4">
        <f>M47-X47</f>
      </c>
      <c r="AC47" s="4">
        <f>Y47-AB47</f>
      </c>
      <c r="AH47" t="s">
        <v>1</v>
      </c>
    </row>
    <row r="48" spans="1:34" x14ac:dyDescent="0.25">
      <c r="A48" s="8">
        <v>46231.5</v>
      </c>
      <c r="B48" t="s">
        <v>1586</v>
      </c>
      <c r="C48" t="s">
        <v>1</v>
      </c>
      <c r="D48" s="9" t="s">
        <v>1587</v>
      </c>
      <c r="E48" t="s">
        <v>69</v>
      </c>
      <c r="F48" t="s">
        <v>88</v>
      </c>
      <c r="G48" t="s">
        <v>60</v>
      </c>
      <c r="H48" t="s">
        <v>102</v>
      </c>
      <c r="I48">
        <v>1</v>
      </c>
      <c r="J48" s="4">
        <v>518</v>
      </c>
      <c r="K48" s="4">
        <v>600.88</v>
      </c>
      <c r="L48" s="4">
        <f>K48-J48</f>
      </c>
      <c r="M48" s="4">
        <f>L48*16.67%</f>
      </c>
      <c r="N48" s="4">
        <f>(K48*6.9%)-(K48*6.9%)*10%</f>
      </c>
      <c r="O48" s="4">
        <f>K48*0.35%</f>
      </c>
      <c r="P48" s="4">
        <v>0.4</v>
      </c>
      <c r="Q48" s="4">
        <f>(N48+O48+P48)*20%</f>
      </c>
      <c r="R48" s="4">
        <f>N48+O48+P48+Q48</f>
      </c>
      <c r="S48" s="4">
        <v>0</v>
      </c>
      <c r="T48" s="4">
        <v>0</v>
      </c>
      <c r="U48" s="4">
        <v>0</v>
      </c>
      <c r="V48" s="4">
        <f>U48*20%</f>
      </c>
      <c r="W48" s="4">
        <v>1</v>
      </c>
      <c r="X48" s="4">
        <f>Q48+T48+V48</f>
      </c>
      <c r="Y48" s="4">
        <f>L48-M48-R48-S48-T48-U48-V48-W48</f>
      </c>
      <c r="Z48" s="4">
        <f>(Y48-AB48)/J48*100</f>
      </c>
      <c r="AA48" s="4">
        <f>M48-X48</f>
      </c>
      <c r="AC48" s="4">
        <f>Y48-AB48</f>
      </c>
      <c r="AH48" t="s">
        <v>1</v>
      </c>
    </row>
    <row r="49" spans="1:34" x14ac:dyDescent="0.25">
      <c r="A49" s="8">
        <v>46231.5</v>
      </c>
      <c r="B49" t="s">
        <v>1588</v>
      </c>
      <c r="C49" t="s">
        <v>185</v>
      </c>
      <c r="D49" s="9" t="s">
        <v>1</v>
      </c>
      <c r="E49" t="s">
        <v>185</v>
      </c>
      <c r="F49" t="s">
        <v>1</v>
      </c>
      <c r="G49" t="s">
        <v>1</v>
      </c>
      <c r="H49" t="s">
        <v>102</v>
      </c>
      <c r="I49">
        <v>4</v>
      </c>
      <c r="J49" s="4">
        <v>4.8</v>
      </c>
      <c r="K49" s="4">
        <v>6.1</v>
      </c>
      <c r="L49" s="4">
        <f>K49-J49</f>
      </c>
      <c r="M49" s="4">
        <f>L49*16.67%</f>
      </c>
      <c r="N49" s="4">
        <f>(K49*6.9%)-(K49*6.9%)*10%</f>
      </c>
      <c r="O49" s="4">
        <f>K49*0.35%</f>
      </c>
      <c r="P49" s="4">
        <v>0.4</v>
      </c>
      <c r="Q49" s="4">
        <f>(N49+O49+P49)*20%</f>
      </c>
      <c r="R49" s="4">
        <f>N49+O49+P49+Q49</f>
      </c>
      <c r="S49" s="4">
        <v>0</v>
      </c>
      <c r="T49" s="4">
        <v>0</v>
      </c>
      <c r="U49" s="4">
        <v>0</v>
      </c>
      <c r="V49" s="4">
        <f>U49*20%</f>
      </c>
      <c r="W49" s="4">
        <v>0</v>
      </c>
      <c r="X49" s="4">
        <f>Q49+T49+V49</f>
      </c>
      <c r="Y49" s="4">
        <f>L49-M49-R49-S49-T49-U49-V49-W49</f>
      </c>
      <c r="Z49" s="4">
        <f>(Y49-AB49)/J49*100</f>
      </c>
      <c r="AA49" s="4">
        <f>M49-X49</f>
      </c>
      <c r="AC49" s="4">
        <f>Y49-AB49</f>
      </c>
      <c r="AH49" t="s">
        <v>1</v>
      </c>
    </row>
    <row r="50" spans="1:34" x14ac:dyDescent="0.25">
      <c r="A50" s="8">
        <v>46231.5</v>
      </c>
      <c r="B50" t="s">
        <v>1589</v>
      </c>
      <c r="C50" t="s">
        <v>185</v>
      </c>
      <c r="D50" s="9" t="s">
        <v>1</v>
      </c>
      <c r="E50" t="s">
        <v>185</v>
      </c>
      <c r="F50" t="s">
        <v>1</v>
      </c>
      <c r="G50" t="s">
        <v>1</v>
      </c>
      <c r="H50" t="s">
        <v>102</v>
      </c>
      <c r="I50">
        <v>3</v>
      </c>
      <c r="J50" s="4">
        <v>3.6</v>
      </c>
      <c r="K50" s="4">
        <v>4.61</v>
      </c>
      <c r="L50" s="4">
        <f>K50-J50</f>
      </c>
      <c r="M50" s="4">
        <f>L50*16.67%</f>
      </c>
      <c r="N50" s="4">
        <f>(K50*6.9%)-(K50*6.9%)*10%</f>
      </c>
      <c r="O50" s="4">
        <f>K50*0.35%</f>
      </c>
      <c r="P50" s="4">
        <v>0.4</v>
      </c>
      <c r="Q50" s="4">
        <f>(N50+O50+P50)*20%</f>
      </c>
      <c r="R50" s="4">
        <f>N50+O50+P50+Q50</f>
      </c>
      <c r="S50" s="4">
        <v>0</v>
      </c>
      <c r="T50" s="4">
        <v>0</v>
      </c>
      <c r="U50" s="4">
        <v>0</v>
      </c>
      <c r="V50" s="4">
        <f>U50*20%</f>
      </c>
      <c r="W50" s="4">
        <v>0</v>
      </c>
      <c r="X50" s="4">
        <f>Q50+T50+V50</f>
      </c>
      <c r="Y50" s="4">
        <f>L50-M50-R50-S50-T50-U50-V50-W50</f>
      </c>
      <c r="Z50" s="4">
        <f>(Y50-AB50)/J50*100</f>
      </c>
      <c r="AA50" s="4">
        <f>M50-X50</f>
      </c>
      <c r="AC50" s="4">
        <f>Y50-AB50</f>
      </c>
      <c r="AH50" t="s">
        <v>1</v>
      </c>
    </row>
    <row r="51" spans="1:34" x14ac:dyDescent="0.25">
      <c r="A51" s="8">
        <v>46231.5</v>
      </c>
      <c r="B51" t="s">
        <v>1590</v>
      </c>
      <c r="C51" t="s">
        <v>177</v>
      </c>
      <c r="D51" s="9" t="s">
        <v>1</v>
      </c>
      <c r="E51" t="s">
        <v>177</v>
      </c>
      <c r="F51" t="s">
        <v>1</v>
      </c>
      <c r="G51" t="s">
        <v>1</v>
      </c>
      <c r="H51" t="s">
        <v>78</v>
      </c>
      <c r="I51">
        <v>2</v>
      </c>
      <c r="J51" s="4">
        <v>0.3</v>
      </c>
      <c r="K51" s="4">
        <v>0.37</v>
      </c>
      <c r="L51" s="4">
        <f>K51-J51</f>
      </c>
      <c r="M51" s="4">
        <f>L51*16.67%</f>
      </c>
      <c r="N51" s="4">
        <f>(K51*6.9%)-(K51*6.9%)*10%</f>
      </c>
      <c r="O51" s="4">
        <f>K51*0.35%</f>
      </c>
      <c r="P51" s="4">
        <v>0.4</v>
      </c>
      <c r="Q51" s="4">
        <f>(N51+O51+P51)*20%</f>
      </c>
      <c r="R51" s="4">
        <f>N51+O51+P51+Q51</f>
      </c>
      <c r="S51" s="4">
        <v>0</v>
      </c>
      <c r="T51" s="4">
        <v>0</v>
      </c>
      <c r="U51" s="4">
        <v>0</v>
      </c>
      <c r="V51" s="4">
        <f>U51*20%</f>
      </c>
      <c r="W51" s="4">
        <v>0</v>
      </c>
      <c r="X51" s="4">
        <f>Q51+T51+V51</f>
      </c>
      <c r="Y51" s="4">
        <f>L51-M51-R51-S51-T51-U51-V51-W51</f>
      </c>
      <c r="Z51" s="4">
        <f>(Y51-AB51)/J51*100</f>
      </c>
      <c r="AA51" s="4">
        <f>M51-X51</f>
      </c>
      <c r="AC51" s="4">
        <f>Y51-AB51</f>
      </c>
      <c r="AH51" t="s">
        <v>1</v>
      </c>
    </row>
    <row r="52" spans="1:34" x14ac:dyDescent="0.25">
      <c r="A52" s="8">
        <v>46231.5</v>
      </c>
      <c r="B52" t="s">
        <v>1591</v>
      </c>
      <c r="C52" t="s">
        <v>254</v>
      </c>
      <c r="D52" s="9" t="s">
        <v>1</v>
      </c>
      <c r="E52" t="s">
        <v>254</v>
      </c>
      <c r="F52" t="s">
        <v>1</v>
      </c>
      <c r="G52" t="s">
        <v>1</v>
      </c>
      <c r="H52" t="s">
        <v>61</v>
      </c>
      <c r="I52">
        <v>3</v>
      </c>
      <c r="J52" s="4">
        <v>2.4</v>
      </c>
      <c r="K52" s="4">
        <v>3.48</v>
      </c>
      <c r="L52" s="4">
        <f>K52-J52</f>
      </c>
      <c r="M52" s="4">
        <f>L52*16.67%</f>
      </c>
      <c r="N52" s="4">
        <f>(K52*6.9%)-(K52*6.9%)*10%</f>
      </c>
      <c r="O52" s="4">
        <f>K52*0.35%</f>
      </c>
      <c r="P52" s="4">
        <v>0.4</v>
      </c>
      <c r="Q52" s="4">
        <f>(N52+O52+P52)*20%</f>
      </c>
      <c r="R52" s="4">
        <f>N52+O52+P52+Q52</f>
      </c>
      <c r="S52" s="4">
        <v>0</v>
      </c>
      <c r="T52" s="4">
        <v>0</v>
      </c>
      <c r="U52" s="4">
        <v>0</v>
      </c>
      <c r="V52" s="4">
        <f>U52*20%</f>
      </c>
      <c r="W52" s="4">
        <v>0</v>
      </c>
      <c r="X52" s="4">
        <f>Q52+T52+V52</f>
      </c>
      <c r="Y52" s="4">
        <f>L52-M52-R52-S52-T52-U52-V52-W52</f>
      </c>
      <c r="Z52" s="4">
        <f>(Y52-AB52)/J52*100</f>
      </c>
      <c r="AA52" s="4">
        <f>M52-X52</f>
      </c>
      <c r="AC52" s="4">
        <f>Y52-AB52</f>
      </c>
      <c r="AH52" t="s">
        <v>1</v>
      </c>
    </row>
    <row r="53" spans="1:34" x14ac:dyDescent="0.25">
      <c r="A53" s="8">
        <v>46231.5</v>
      </c>
      <c r="B53" t="s">
        <v>1592</v>
      </c>
      <c r="C53" t="s">
        <v>254</v>
      </c>
      <c r="D53" s="9" t="s">
        <v>1</v>
      </c>
      <c r="E53" t="s">
        <v>254</v>
      </c>
      <c r="F53" t="s">
        <v>1</v>
      </c>
      <c r="G53" t="s">
        <v>1</v>
      </c>
      <c r="H53" t="s">
        <v>61</v>
      </c>
      <c r="I53">
        <v>3</v>
      </c>
      <c r="J53" s="4">
        <v>2.4</v>
      </c>
      <c r="K53" s="4">
        <v>3.31</v>
      </c>
      <c r="L53" s="4">
        <f>K53-J53</f>
      </c>
      <c r="M53" s="4">
        <f>L53*16.67%</f>
      </c>
      <c r="N53" s="4">
        <f>(K53*6.9%)-(K53*6.9%)*10%</f>
      </c>
      <c r="O53" s="4">
        <f>K53*0.35%</f>
      </c>
      <c r="P53" s="4">
        <v>0.4</v>
      </c>
      <c r="Q53" s="4">
        <f>(N53+O53+P53)*20%</f>
      </c>
      <c r="R53" s="4">
        <f>N53+O53+P53+Q53</f>
      </c>
      <c r="S53" s="4">
        <v>0</v>
      </c>
      <c r="T53" s="4">
        <v>0</v>
      </c>
      <c r="U53" s="4">
        <v>0</v>
      </c>
      <c r="V53" s="4">
        <f>U53*20%</f>
      </c>
      <c r="W53" s="4">
        <v>0</v>
      </c>
      <c r="X53" s="4">
        <f>Q53+T53+V53</f>
      </c>
      <c r="Y53" s="4">
        <f>L53-M53-R53-S53-T53-U53-V53-W53</f>
      </c>
      <c r="Z53" s="4">
        <f>(Y53-AB53)/J53*100</f>
      </c>
      <c r="AA53" s="4">
        <f>M53-X53</f>
      </c>
      <c r="AC53" s="4">
        <f>Y53-AB53</f>
      </c>
      <c r="AH53" t="s">
        <v>1</v>
      </c>
    </row>
    <row r="54" spans="1:34" x14ac:dyDescent="0.25">
      <c r="A54" s="8">
        <v>46231.5</v>
      </c>
      <c r="B54" t="s">
        <v>1593</v>
      </c>
      <c r="C54" t="s">
        <v>182</v>
      </c>
      <c r="D54" s="9" t="s">
        <v>1</v>
      </c>
      <c r="E54" t="s">
        <v>182</v>
      </c>
      <c r="F54" t="s">
        <v>1</v>
      </c>
      <c r="G54" t="s">
        <v>1</v>
      </c>
      <c r="H54" t="s">
        <v>75</v>
      </c>
      <c r="I54">
        <v>2</v>
      </c>
      <c r="J54" s="4">
        <v>3.8</v>
      </c>
      <c r="K54" s="4">
        <v>4.52</v>
      </c>
      <c r="L54" s="4">
        <f>K54-J54</f>
      </c>
      <c r="M54" s="4">
        <f>L54*16.67%</f>
      </c>
      <c r="N54" s="4">
        <f>(K54*6.9%)-(K54*6.9%)*10%</f>
      </c>
      <c r="O54" s="4">
        <f>K54*0.35%</f>
      </c>
      <c r="P54" s="4">
        <v>0.4</v>
      </c>
      <c r="Q54" s="4">
        <f>(N54+O54+P54)*20%</f>
      </c>
      <c r="R54" s="4">
        <f>N54+O54+P54+Q54</f>
      </c>
      <c r="S54" s="4">
        <v>0</v>
      </c>
      <c r="T54" s="4">
        <v>0</v>
      </c>
      <c r="U54" s="4">
        <v>0</v>
      </c>
      <c r="V54" s="4">
        <f>U54*20%</f>
      </c>
      <c r="W54" s="4">
        <v>0</v>
      </c>
      <c r="X54" s="4">
        <f>Q54+T54+V54</f>
      </c>
      <c r="Y54" s="4">
        <f>L54-M54-R54-S54-T54-U54-V54-W54</f>
      </c>
      <c r="Z54" s="4">
        <f>(Y54-AB54)/J54*100</f>
      </c>
      <c r="AA54" s="4">
        <f>M54-X54</f>
      </c>
      <c r="AC54" s="4">
        <f>Y54-AB54</f>
      </c>
      <c r="AH54" t="s">
        <v>1</v>
      </c>
    </row>
    <row r="55" spans="1:34" x14ac:dyDescent="0.25">
      <c r="A55" s="8">
        <v>46231.5</v>
      </c>
      <c r="B55" t="s">
        <v>1594</v>
      </c>
      <c r="C55" t="s">
        <v>182</v>
      </c>
      <c r="D55" s="9" t="s">
        <v>1</v>
      </c>
      <c r="E55" t="s">
        <v>182</v>
      </c>
      <c r="F55" t="s">
        <v>1</v>
      </c>
      <c r="G55" t="s">
        <v>1</v>
      </c>
      <c r="H55" t="s">
        <v>75</v>
      </c>
      <c r="I55">
        <v>4</v>
      </c>
      <c r="J55" s="4">
        <v>7.6</v>
      </c>
      <c r="K55" s="4">
        <v>9.96</v>
      </c>
      <c r="L55" s="4">
        <f>K55-J55</f>
      </c>
      <c r="M55" s="4">
        <f>L55*16.67%</f>
      </c>
      <c r="N55" s="4">
        <f>(K55*6.9%)-(K55*6.9%)*10%</f>
      </c>
      <c r="O55" s="4">
        <f>K55*0.35%</f>
      </c>
      <c r="P55" s="4">
        <v>0.4</v>
      </c>
      <c r="Q55" s="4">
        <f>(N55+O55+P55)*20%</f>
      </c>
      <c r="R55" s="4">
        <f>N55+O55+P55+Q55</f>
      </c>
      <c r="S55" s="4">
        <v>0</v>
      </c>
      <c r="T55" s="4">
        <v>0</v>
      </c>
      <c r="U55" s="4">
        <v>0</v>
      </c>
      <c r="V55" s="4">
        <f>U55*20%</f>
      </c>
      <c r="W55" s="4">
        <v>0</v>
      </c>
      <c r="X55" s="4">
        <f>Q55+T55+V55</f>
      </c>
      <c r="Y55" s="4">
        <f>L55-M55-R55-S55-T55-U55-V55-W55</f>
      </c>
      <c r="Z55" s="4">
        <f>(Y55-AB55)/J55*100</f>
      </c>
      <c r="AA55" s="4">
        <f>M55-X55</f>
      </c>
      <c r="AC55" s="4">
        <f>Y55-AB55</f>
      </c>
      <c r="AH55" t="s">
        <v>1</v>
      </c>
    </row>
    <row r="56" spans="1:34" x14ac:dyDescent="0.25">
      <c r="A56" s="8">
        <v>46231.5</v>
      </c>
      <c r="B56" t="s">
        <v>1595</v>
      </c>
      <c r="C56" t="s">
        <v>182</v>
      </c>
      <c r="D56" s="9" t="s">
        <v>1</v>
      </c>
      <c r="E56" t="s">
        <v>182</v>
      </c>
      <c r="F56" t="s">
        <v>1</v>
      </c>
      <c r="G56" t="s">
        <v>1</v>
      </c>
      <c r="H56" t="s">
        <v>75</v>
      </c>
      <c r="I56">
        <v>1</v>
      </c>
      <c r="J56" s="4">
        <v>1.9</v>
      </c>
      <c r="K56" s="4">
        <v>2.49</v>
      </c>
      <c r="L56" s="4">
        <f>K56-J56</f>
      </c>
      <c r="M56" s="4">
        <f>L56*16.67%</f>
      </c>
      <c r="N56" s="4">
        <f>(K56*6.9%)-(K56*6.9%)*10%</f>
      </c>
      <c r="O56" s="4">
        <f>K56*0.35%</f>
      </c>
      <c r="P56" s="4">
        <v>0.4</v>
      </c>
      <c r="Q56" s="4">
        <f>(N56+O56+P56)*20%</f>
      </c>
      <c r="R56" s="4">
        <f>N56+O56+P56+Q56</f>
      </c>
      <c r="S56" s="4">
        <v>0</v>
      </c>
      <c r="T56" s="4">
        <v>0</v>
      </c>
      <c r="U56" s="4">
        <v>0</v>
      </c>
      <c r="V56" s="4">
        <f>U56*20%</f>
      </c>
      <c r="W56" s="4">
        <v>0</v>
      </c>
      <c r="X56" s="4">
        <f>Q56+T56+V56</f>
      </c>
      <c r="Y56" s="4">
        <f>L56-M56-R56-S56-T56-U56-V56-W56</f>
      </c>
      <c r="Z56" s="4">
        <f>(Y56-AB56)/J56*100</f>
      </c>
      <c r="AA56" s="4">
        <f>M56-X56</f>
      </c>
      <c r="AC56" s="4">
        <f>Y56-AB56</f>
      </c>
      <c r="AH56" t="s">
        <v>1</v>
      </c>
    </row>
    <row r="57" spans="1:34" x14ac:dyDescent="0.25">
      <c r="A57" s="8">
        <v>46231.5</v>
      </c>
      <c r="B57" t="s">
        <v>1596</v>
      </c>
      <c r="C57" t="s">
        <v>182</v>
      </c>
      <c r="D57" s="9" t="s">
        <v>1</v>
      </c>
      <c r="E57" t="s">
        <v>182</v>
      </c>
      <c r="F57" t="s">
        <v>1</v>
      </c>
      <c r="G57" t="s">
        <v>1</v>
      </c>
      <c r="H57" t="s">
        <v>75</v>
      </c>
      <c r="I57">
        <v>2</v>
      </c>
      <c r="J57" s="4">
        <v>3.8</v>
      </c>
      <c r="K57" s="4">
        <v>4.83</v>
      </c>
      <c r="L57" s="4">
        <f>K57-J57</f>
      </c>
      <c r="M57" s="4">
        <f>L57*16.67%</f>
      </c>
      <c r="N57" s="4">
        <f>(K57*6.9%)-(K57*6.9%)*10%</f>
      </c>
      <c r="O57" s="4">
        <f>K57*0.35%</f>
      </c>
      <c r="P57" s="4">
        <v>0.4</v>
      </c>
      <c r="Q57" s="4">
        <f>(N57+O57+P57)*20%</f>
      </c>
      <c r="R57" s="4">
        <f>N57+O57+P57+Q57</f>
      </c>
      <c r="S57" s="4">
        <v>0</v>
      </c>
      <c r="T57" s="4">
        <v>0</v>
      </c>
      <c r="U57" s="4">
        <v>0</v>
      </c>
      <c r="V57" s="4">
        <f>U57*20%</f>
      </c>
      <c r="W57" s="4">
        <v>0</v>
      </c>
      <c r="X57" s="4">
        <f>Q57+T57+V57</f>
      </c>
      <c r="Y57" s="4">
        <f>L57-M57-R57-S57-T57-U57-V57-W57</f>
      </c>
      <c r="Z57" s="4">
        <f>(Y57-AB57)/J57*100</f>
      </c>
      <c r="AA57" s="4">
        <f>M57-X57</f>
      </c>
      <c r="AC57" s="4">
        <f>Y57-AB57</f>
      </c>
      <c r="AH57" t="s">
        <v>1</v>
      </c>
    </row>
    <row r="58" spans="1:34" x14ac:dyDescent="0.25">
      <c r="A58" s="8">
        <v>46231.5</v>
      </c>
      <c r="B58" t="s">
        <v>1597</v>
      </c>
      <c r="C58" t="s">
        <v>185</v>
      </c>
      <c r="D58" s="9" t="s">
        <v>1</v>
      </c>
      <c r="E58" t="s">
        <v>185</v>
      </c>
      <c r="F58" t="s">
        <v>1</v>
      </c>
      <c r="G58" t="s">
        <v>1</v>
      </c>
      <c r="H58" t="s">
        <v>102</v>
      </c>
      <c r="I58">
        <v>3</v>
      </c>
      <c r="J58" s="4">
        <v>3.6</v>
      </c>
      <c r="K58" s="4">
        <v>4.46</v>
      </c>
      <c r="L58" s="4">
        <f>K58-J58</f>
      </c>
      <c r="M58" s="4">
        <f>L58*16.67%</f>
      </c>
      <c r="N58" s="4">
        <f>(K58*6.9%)-(K58*6.9%)*10%</f>
      </c>
      <c r="O58" s="4">
        <f>K58*0.35%</f>
      </c>
      <c r="P58" s="4">
        <v>0.4</v>
      </c>
      <c r="Q58" s="4">
        <f>(N58+O58+P58)*20%</f>
      </c>
      <c r="R58" s="4">
        <f>N58+O58+P58+Q58</f>
      </c>
      <c r="S58" s="4">
        <v>0</v>
      </c>
      <c r="T58" s="4">
        <v>0</v>
      </c>
      <c r="U58" s="4">
        <v>0</v>
      </c>
      <c r="V58" s="4">
        <f>U58*20%</f>
      </c>
      <c r="W58" s="4">
        <v>0</v>
      </c>
      <c r="X58" s="4">
        <f>Q58+T58+V58</f>
      </c>
      <c r="Y58" s="4">
        <f>L58-M58-R58-S58-T58-U58-V58-W58</f>
      </c>
      <c r="Z58" s="4">
        <f>(Y58-AB58)/J58*100</f>
      </c>
      <c r="AA58" s="4">
        <f>M58-X58</f>
      </c>
      <c r="AC58" s="4">
        <f>Y58-AB58</f>
      </c>
      <c r="AH58" t="s">
        <v>1</v>
      </c>
    </row>
    <row r="59" spans="1:34" x14ac:dyDescent="0.25">
      <c r="A59" s="8">
        <v>46231.5</v>
      </c>
      <c r="B59" t="s">
        <v>1598</v>
      </c>
      <c r="C59" t="s">
        <v>185</v>
      </c>
      <c r="D59" s="9" t="s">
        <v>1</v>
      </c>
      <c r="E59" t="s">
        <v>185</v>
      </c>
      <c r="F59" t="s">
        <v>1</v>
      </c>
      <c r="G59" t="s">
        <v>1</v>
      </c>
      <c r="H59" t="s">
        <v>102</v>
      </c>
      <c r="I59">
        <v>2</v>
      </c>
      <c r="J59" s="4">
        <v>2.4</v>
      </c>
      <c r="K59" s="4">
        <v>3.41</v>
      </c>
      <c r="L59" s="4">
        <f>K59-J59</f>
      </c>
      <c r="M59" s="4">
        <f>L59*16.67%</f>
      </c>
      <c r="N59" s="4">
        <f>(K59*6.9%)-(K59*6.9%)*10%</f>
      </c>
      <c r="O59" s="4">
        <f>K59*0.35%</f>
      </c>
      <c r="P59" s="4">
        <v>0.4</v>
      </c>
      <c r="Q59" s="4">
        <f>(N59+O59+P59)*20%</f>
      </c>
      <c r="R59" s="4">
        <f>N59+O59+P59+Q59</f>
      </c>
      <c r="S59" s="4">
        <v>0</v>
      </c>
      <c r="T59" s="4">
        <v>0</v>
      </c>
      <c r="U59" s="4">
        <v>0</v>
      </c>
      <c r="V59" s="4">
        <f>U59*20%</f>
      </c>
      <c r="W59" s="4">
        <v>0</v>
      </c>
      <c r="X59" s="4">
        <f>Q59+T59+V59</f>
      </c>
      <c r="Y59" s="4">
        <f>L59-M59-R59-S59-T59-U59-V59-W59</f>
      </c>
      <c r="Z59" s="4">
        <f>(Y59-AB59)/J59*100</f>
      </c>
      <c r="AA59" s="4">
        <f>M59-X59</f>
      </c>
      <c r="AC59" s="4">
        <f>Y59-AB59</f>
      </c>
      <c r="AH59" t="s">
        <v>1</v>
      </c>
    </row>
    <row r="60" spans="1:34" x14ac:dyDescent="0.25">
      <c r="A60" s="8">
        <v>46231.5</v>
      </c>
      <c r="B60" t="s">
        <v>1599</v>
      </c>
      <c r="C60" t="s">
        <v>189</v>
      </c>
      <c r="D60" s="9" t="s">
        <v>1</v>
      </c>
      <c r="E60" t="s">
        <v>189</v>
      </c>
      <c r="F60" t="s">
        <v>1</v>
      </c>
      <c r="G60" t="s">
        <v>1</v>
      </c>
      <c r="H60" t="s">
        <v>66</v>
      </c>
      <c r="I60">
        <v>2</v>
      </c>
      <c r="J60" s="4">
        <v>7</v>
      </c>
      <c r="K60" s="4">
        <v>9.8</v>
      </c>
      <c r="L60" s="4">
        <f>K60-J60</f>
      </c>
      <c r="M60" s="4">
        <f>L60*16.67%</f>
      </c>
      <c r="N60" s="4">
        <f>(K60*6.9%)-(K60*6.9%)*10%</f>
      </c>
      <c r="O60" s="4">
        <f>K60*0.35%</f>
      </c>
      <c r="P60" s="4">
        <v>0.4</v>
      </c>
      <c r="Q60" s="4">
        <f>(N60+O60+P60)*20%</f>
      </c>
      <c r="R60" s="4">
        <f>N60+O60+P60+Q60</f>
      </c>
      <c r="S60" s="4">
        <v>0</v>
      </c>
      <c r="T60" s="4">
        <v>0</v>
      </c>
      <c r="U60" s="4">
        <v>0</v>
      </c>
      <c r="V60" s="4">
        <f>U60*20%</f>
      </c>
      <c r="W60" s="4">
        <v>0</v>
      </c>
      <c r="X60" s="4">
        <f>Q60+T60+V60</f>
      </c>
      <c r="Y60" s="4">
        <f>L60-M60-R60-S60-T60-U60-V60-W60</f>
      </c>
      <c r="Z60" s="4">
        <f>(Y60-AB60)/J60*100</f>
      </c>
      <c r="AA60" s="4">
        <f>M60-X60</f>
      </c>
      <c r="AC60" s="4">
        <f>Y60-AB60</f>
      </c>
      <c r="AH60" t="s">
        <v>1</v>
      </c>
    </row>
    <row r="61" spans="1:34" x14ac:dyDescent="0.25">
      <c r="A61" s="8">
        <v>46231.5</v>
      </c>
      <c r="B61" t="s">
        <v>1600</v>
      </c>
      <c r="C61" t="s">
        <v>189</v>
      </c>
      <c r="D61" s="9" t="s">
        <v>1</v>
      </c>
      <c r="E61" t="s">
        <v>189</v>
      </c>
      <c r="F61" t="s">
        <v>1</v>
      </c>
      <c r="G61" t="s">
        <v>1</v>
      </c>
      <c r="H61" t="s">
        <v>66</v>
      </c>
      <c r="I61">
        <v>3</v>
      </c>
      <c r="J61" s="4">
        <v>10.5</v>
      </c>
      <c r="K61" s="4">
        <v>15.12</v>
      </c>
      <c r="L61" s="4">
        <f>K61-J61</f>
      </c>
      <c r="M61" s="4">
        <f>L61*16.67%</f>
      </c>
      <c r="N61" s="4">
        <f>(K61*6.9%)-(K61*6.9%)*10%</f>
      </c>
      <c r="O61" s="4">
        <f>K61*0.35%</f>
      </c>
      <c r="P61" s="4">
        <v>0.4</v>
      </c>
      <c r="Q61" s="4">
        <f>(N61+O61+P61)*20%</f>
      </c>
      <c r="R61" s="4">
        <f>N61+O61+P61+Q61</f>
      </c>
      <c r="S61" s="4">
        <v>0</v>
      </c>
      <c r="T61" s="4">
        <v>0</v>
      </c>
      <c r="U61" s="4">
        <v>0</v>
      </c>
      <c r="V61" s="4">
        <f>U61*20%</f>
      </c>
      <c r="W61" s="4">
        <v>0</v>
      </c>
      <c r="X61" s="4">
        <f>Q61+T61+V61</f>
      </c>
      <c r="Y61" s="4">
        <f>L61-M61-R61-S61-T61-U61-V61-W61</f>
      </c>
      <c r="Z61" s="4">
        <f>(Y61-AB61)/J61*100</f>
      </c>
      <c r="AA61" s="4">
        <f>M61-X61</f>
      </c>
      <c r="AC61" s="4">
        <f>Y61-AB61</f>
      </c>
      <c r="AH61" t="s">
        <v>1</v>
      </c>
    </row>
    <row r="62" spans="1:34" x14ac:dyDescent="0.25">
      <c r="A62" s="8">
        <v>46231.5</v>
      </c>
      <c r="B62" t="s">
        <v>1601</v>
      </c>
      <c r="C62" t="s">
        <v>1</v>
      </c>
      <c r="D62" s="9" t="s">
        <v>1</v>
      </c>
      <c r="E62" t="s">
        <v>1</v>
      </c>
      <c r="F62" t="s">
        <v>1</v>
      </c>
      <c r="G62" t="s">
        <v>1</v>
      </c>
      <c r="H62" t="s">
        <v>102</v>
      </c>
      <c r="I62">
        <v>1</v>
      </c>
      <c r="J62" s="4">
        <v>191</v>
      </c>
      <c r="K62" s="4">
        <v>255.94</v>
      </c>
      <c r="L62" s="4">
        <f>K62-J62</f>
      </c>
      <c r="M62" s="4">
        <f>L62*16.67%</f>
      </c>
      <c r="N62" s="4">
        <f>(K62*6.9%)-(K62*6.9%)*10%</f>
      </c>
      <c r="O62" s="4">
        <f>K62*0.35%</f>
      </c>
      <c r="P62" s="4">
        <v>0.4</v>
      </c>
      <c r="Q62" s="4">
        <f>(N62+O62+P62)*20%</f>
      </c>
      <c r="R62" s="4">
        <f>N62+O62+P62+Q62</f>
      </c>
      <c r="S62" s="4">
        <v>0</v>
      </c>
      <c r="T62" s="4">
        <v>0</v>
      </c>
      <c r="U62" s="4">
        <v>0</v>
      </c>
      <c r="V62" s="4">
        <f>U62*20%</f>
      </c>
      <c r="W62" s="4">
        <v>1</v>
      </c>
      <c r="X62" s="4">
        <f>Q62+T62+V62</f>
      </c>
      <c r="Y62" s="4">
        <f>L62-M62-R62-S62-T62-U62-V62-W62</f>
      </c>
      <c r="Z62" s="4">
        <f>(Y62-AB62)/J62*100</f>
      </c>
      <c r="AA62" s="4">
        <f>M62-X62</f>
      </c>
      <c r="AC62" s="4">
        <f>Y62-AB62</f>
      </c>
      <c r="AH62" t="s">
        <v>1</v>
      </c>
    </row>
    <row r="63" spans="1:34" x14ac:dyDescent="0.25">
      <c r="A63" s="8">
        <v>46231.5</v>
      </c>
      <c r="B63" t="s">
        <v>1602</v>
      </c>
      <c r="C63" t="s">
        <v>1</v>
      </c>
      <c r="D63" s="9" t="s">
        <v>1</v>
      </c>
      <c r="E63" t="s">
        <v>1</v>
      </c>
      <c r="F63" t="s">
        <v>1</v>
      </c>
      <c r="G63" t="s">
        <v>1</v>
      </c>
      <c r="H63" t="s">
        <v>61</v>
      </c>
      <c r="I63">
        <v>1</v>
      </c>
      <c r="J63" s="4">
        <v>180</v>
      </c>
      <c r="K63" s="4">
        <v>232.2</v>
      </c>
      <c r="L63" s="4">
        <f>K63-J63</f>
      </c>
      <c r="M63" s="4">
        <f>L63*16.67%</f>
      </c>
      <c r="N63" s="4">
        <f>(K63*6.9%)-(K63*6.9%)*10%</f>
      </c>
      <c r="O63" s="4">
        <f>K63*0.35%</f>
      </c>
      <c r="P63" s="4">
        <v>0.4</v>
      </c>
      <c r="Q63" s="4">
        <f>(N63+O63+P63)*20%</f>
      </c>
      <c r="R63" s="4">
        <f>N63+O63+P63+Q63</f>
      </c>
      <c r="S63" s="4">
        <v>0</v>
      </c>
      <c r="T63" s="4">
        <v>0</v>
      </c>
      <c r="U63" s="4">
        <v>0</v>
      </c>
      <c r="V63" s="4">
        <f>U63*20%</f>
      </c>
      <c r="W63" s="4">
        <v>1</v>
      </c>
      <c r="X63" s="4">
        <f>Q63+T63+V63</f>
      </c>
      <c r="Y63" s="4">
        <f>L63-M63-R63-S63-T63-U63-V63-W63</f>
      </c>
      <c r="Z63" s="4">
        <f>(Y63-AB63)/J63*100</f>
      </c>
      <c r="AA63" s="4">
        <f>M63-X63</f>
      </c>
      <c r="AC63" s="4">
        <f>Y63-AB63</f>
      </c>
      <c r="AH63" t="s">
        <v>1</v>
      </c>
    </row>
    <row r="64" spans="1:34" x14ac:dyDescent="0.25">
      <c r="A64" s="8">
        <v>46231.5</v>
      </c>
      <c r="B64" t="s">
        <v>1603</v>
      </c>
      <c r="C64" t="s">
        <v>1</v>
      </c>
      <c r="D64" s="9" t="s">
        <v>1</v>
      </c>
      <c r="E64" t="s">
        <v>1</v>
      </c>
      <c r="F64" t="s">
        <v>1</v>
      </c>
      <c r="G64" t="s">
        <v>1</v>
      </c>
      <c r="H64" t="s">
        <v>75</v>
      </c>
      <c r="I64">
        <v>1</v>
      </c>
      <c r="J64" s="4">
        <v>130</v>
      </c>
      <c r="K64" s="4">
        <v>167.7</v>
      </c>
      <c r="L64" s="4">
        <f>K64-J64</f>
      </c>
      <c r="M64" s="4">
        <f>L64*16.67%</f>
      </c>
      <c r="N64" s="4">
        <f>(K64*6.9%)-(K64*6.9%)*10%</f>
      </c>
      <c r="O64" s="4">
        <f>K64*0.35%</f>
      </c>
      <c r="P64" s="4">
        <v>0.4</v>
      </c>
      <c r="Q64" s="4">
        <f>(N64+O64+P64)*20%</f>
      </c>
      <c r="R64" s="4">
        <f>N64+O64+P64+Q64</f>
      </c>
      <c r="S64" s="4">
        <v>0</v>
      </c>
      <c r="T64" s="4">
        <v>0</v>
      </c>
      <c r="U64" s="4">
        <v>0</v>
      </c>
      <c r="V64" s="4">
        <f>U64*20%</f>
      </c>
      <c r="W64" s="4">
        <v>1</v>
      </c>
      <c r="X64" s="4">
        <f>Q64+T64+V64</f>
      </c>
      <c r="Y64" s="4">
        <f>L64-M64-R64-S64-T64-U64-V64-W64</f>
      </c>
      <c r="Z64" s="4">
        <f>(Y64-AB64)/J64*100</f>
      </c>
      <c r="AA64" s="4">
        <f>M64-X64</f>
      </c>
      <c r="AC64" s="4">
        <f>Y64-AB64</f>
      </c>
      <c r="AH64" t="s">
        <v>1</v>
      </c>
    </row>
    <row r="65" spans="1:34" x14ac:dyDescent="0.25">
      <c r="A65" s="8">
        <v>46231.5</v>
      </c>
      <c r="B65" t="s">
        <v>1604</v>
      </c>
      <c r="C65" t="s">
        <v>1</v>
      </c>
      <c r="D65" s="9" t="s">
        <v>1</v>
      </c>
      <c r="E65" t="s">
        <v>1</v>
      </c>
      <c r="F65" t="s">
        <v>1</v>
      </c>
      <c r="G65" t="s">
        <v>1</v>
      </c>
      <c r="H65" t="s">
        <v>78</v>
      </c>
      <c r="I65">
        <v>1</v>
      </c>
      <c r="J65" s="4">
        <v>105</v>
      </c>
      <c r="K65" s="4">
        <v>131.25</v>
      </c>
      <c r="L65" s="4">
        <f>K65-J65</f>
      </c>
      <c r="M65" s="4">
        <f>L65*16.67%</f>
      </c>
      <c r="N65" s="4">
        <f>(K65*6.9%)-(K65*6.9%)*10%</f>
      </c>
      <c r="O65" s="4">
        <f>K65*0.35%</f>
      </c>
      <c r="P65" s="4">
        <v>0.4</v>
      </c>
      <c r="Q65" s="4">
        <f>(N65+O65+P65)*20%</f>
      </c>
      <c r="R65" s="4">
        <f>N65+O65+P65+Q65</f>
      </c>
      <c r="S65" s="4">
        <v>0</v>
      </c>
      <c r="T65" s="4">
        <v>0</v>
      </c>
      <c r="U65" s="4">
        <v>0</v>
      </c>
      <c r="V65" s="4">
        <f>U65*20%</f>
      </c>
      <c r="W65" s="4">
        <v>1</v>
      </c>
      <c r="X65" s="4">
        <f>Q65+T65+V65</f>
      </c>
      <c r="Y65" s="4">
        <f>L65-M65-R65-S65-T65-U65-V65-W65</f>
      </c>
      <c r="Z65" s="4">
        <f>(Y65-AB65)/J65*100</f>
      </c>
      <c r="AA65" s="4">
        <f>M65-X65</f>
      </c>
      <c r="AC65" s="4">
        <f>Y65-AB65</f>
      </c>
      <c r="AH65" t="s">
        <v>1</v>
      </c>
    </row>
    <row r="66" spans="1:34" x14ac:dyDescent="0.25">
      <c r="A66" s="8">
        <v>46231.5</v>
      </c>
      <c r="B66" t="s">
        <v>1605</v>
      </c>
      <c r="C66" t="s">
        <v>1</v>
      </c>
      <c r="D66" s="9" t="s">
        <v>1</v>
      </c>
      <c r="E66" t="s">
        <v>1</v>
      </c>
      <c r="F66" t="s">
        <v>1</v>
      </c>
      <c r="G66" t="s">
        <v>1</v>
      </c>
      <c r="H66" t="s">
        <v>61</v>
      </c>
      <c r="I66">
        <v>1</v>
      </c>
      <c r="J66" s="4">
        <v>242</v>
      </c>
      <c r="K66" s="4">
        <v>326.7</v>
      </c>
      <c r="L66" s="4">
        <f>K66-J66</f>
      </c>
      <c r="M66" s="4">
        <f>L66*16.67%</f>
      </c>
      <c r="N66" s="4">
        <f>(K66*6.9%)-(K66*6.9%)*10%</f>
      </c>
      <c r="O66" s="4">
        <f>K66*0.35%</f>
      </c>
      <c r="P66" s="4">
        <v>0.4</v>
      </c>
      <c r="Q66" s="4">
        <f>(N66+O66+P66)*20%</f>
      </c>
      <c r="R66" s="4">
        <f>N66+O66+P66+Q66</f>
      </c>
      <c r="S66" s="4">
        <v>0</v>
      </c>
      <c r="T66" s="4">
        <v>0</v>
      </c>
      <c r="U66" s="4">
        <v>0</v>
      </c>
      <c r="V66" s="4">
        <f>U66*20%</f>
      </c>
      <c r="W66" s="4">
        <v>1</v>
      </c>
      <c r="X66" s="4">
        <f>Q66+T66+V66</f>
      </c>
      <c r="Y66" s="4">
        <f>L66-M66-R66-S66-T66-U66-V66-W66</f>
      </c>
      <c r="Z66" s="4">
        <f>(Y66-AB66)/J66*100</f>
      </c>
      <c r="AA66" s="4">
        <f>M66-X66</f>
      </c>
      <c r="AC66" s="4">
        <f>Y66-AB66</f>
      </c>
      <c r="AH66" t="s">
        <v>1</v>
      </c>
    </row>
    <row r="67" spans="1:34" x14ac:dyDescent="0.25">
      <c r="A67" s="8">
        <v>46230.5</v>
      </c>
      <c r="B67" t="s">
        <v>1606</v>
      </c>
      <c r="C67" t="s">
        <v>1</v>
      </c>
      <c r="D67" s="9" t="s">
        <v>1607</v>
      </c>
      <c r="E67" t="s">
        <v>81</v>
      </c>
      <c r="F67" t="s">
        <v>88</v>
      </c>
      <c r="G67" t="s">
        <v>65</v>
      </c>
      <c r="H67" t="s">
        <v>61</v>
      </c>
      <c r="I67">
        <v>1</v>
      </c>
      <c r="J67" s="4">
        <v>571</v>
      </c>
      <c r="K67" s="4">
        <v>730.88</v>
      </c>
      <c r="L67" s="4">
        <f>K67-J67</f>
      </c>
      <c r="M67" s="4">
        <f>L67*16.67%</f>
      </c>
      <c r="N67" s="4">
        <f>(K67*6.9%)-(K67*6.9%)*10%</f>
      </c>
      <c r="O67" s="4">
        <f>K67*0.35%</f>
      </c>
      <c r="P67" s="4">
        <v>0.4</v>
      </c>
      <c r="Q67" s="4">
        <f>(N67+O67+P67)*20%</f>
      </c>
      <c r="R67" s="4">
        <f>N67+O67+P67+Q67</f>
      </c>
      <c r="S67" s="4">
        <v>0</v>
      </c>
      <c r="T67" s="4">
        <v>0</v>
      </c>
      <c r="U67" s="4">
        <v>0</v>
      </c>
      <c r="V67" s="4">
        <f>U67*20%</f>
      </c>
      <c r="W67" s="4">
        <v>1</v>
      </c>
      <c r="X67" s="4">
        <f>Q67+T67+V67</f>
      </c>
      <c r="Y67" s="4">
        <f>L67-M67-R67-S67-T67-U67-V67-W67</f>
      </c>
      <c r="Z67" s="4">
        <f>(Y67-AB67)/J67*100</f>
      </c>
      <c r="AA67" s="4">
        <f>M67-X67</f>
      </c>
      <c r="AC67" s="4">
        <f>Y67-AB67</f>
      </c>
      <c r="AH67" t="s">
        <v>1</v>
      </c>
    </row>
    <row r="68" spans="1:34" x14ac:dyDescent="0.25">
      <c r="A68" s="8">
        <v>46230.5</v>
      </c>
      <c r="B68" t="s">
        <v>1608</v>
      </c>
      <c r="C68" t="s">
        <v>1</v>
      </c>
      <c r="D68" s="9" t="s">
        <v>1609</v>
      </c>
      <c r="E68" t="s">
        <v>91</v>
      </c>
      <c r="F68" t="s">
        <v>85</v>
      </c>
      <c r="G68" t="s">
        <v>65</v>
      </c>
      <c r="H68" t="s">
        <v>75</v>
      </c>
      <c r="I68">
        <v>1</v>
      </c>
      <c r="J68" s="4">
        <v>136</v>
      </c>
      <c r="K68" s="4">
        <v>159.12</v>
      </c>
      <c r="L68" s="4">
        <f>K68-J68</f>
      </c>
      <c r="M68" s="4">
        <f>L68*16.67%</f>
      </c>
      <c r="N68" s="4">
        <f>(K68*6.9%)-(K68*6.9%)*10%</f>
      </c>
      <c r="O68" s="4">
        <f>K68*0.35%</f>
      </c>
      <c r="P68" s="4">
        <v>0.4</v>
      </c>
      <c r="Q68" s="4">
        <f>(N68+O68+P68)*20%</f>
      </c>
      <c r="R68" s="4">
        <f>N68+O68+P68+Q68</f>
      </c>
      <c r="S68" s="4">
        <v>0</v>
      </c>
      <c r="T68" s="4">
        <v>0</v>
      </c>
      <c r="U68" s="4">
        <v>0</v>
      </c>
      <c r="V68" s="4">
        <f>U68*20%</f>
      </c>
      <c r="W68" s="4">
        <v>1</v>
      </c>
      <c r="X68" s="4">
        <f>Q68+T68+V68</f>
      </c>
      <c r="Y68" s="4">
        <f>L68-M68-R68-S68-T68-U68-V68-W68</f>
      </c>
      <c r="Z68" s="4">
        <f>(Y68-AB68)/J68*100</f>
      </c>
      <c r="AA68" s="4">
        <f>M68-X68</f>
      </c>
      <c r="AC68" s="4">
        <f>Y68-AB68</f>
      </c>
      <c r="AH68" t="s">
        <v>1</v>
      </c>
    </row>
    <row r="69" spans="1:34" x14ac:dyDescent="0.25">
      <c r="A69" s="8">
        <v>46230.5</v>
      </c>
      <c r="B69" t="s">
        <v>1610</v>
      </c>
      <c r="C69" t="s">
        <v>1</v>
      </c>
      <c r="D69" s="9" t="s">
        <v>1611</v>
      </c>
      <c r="E69" t="s">
        <v>172</v>
      </c>
      <c r="F69" t="s">
        <v>105</v>
      </c>
      <c r="G69" t="s">
        <v>65</v>
      </c>
      <c r="H69" t="s">
        <v>102</v>
      </c>
      <c r="I69">
        <v>1</v>
      </c>
      <c r="J69" s="4">
        <v>174</v>
      </c>
      <c r="K69" s="4">
        <v>236.64</v>
      </c>
      <c r="L69" s="4">
        <f>K69-J69</f>
      </c>
      <c r="M69" s="4">
        <f>L69*16.67%</f>
      </c>
      <c r="N69" s="4">
        <f>(K69*6.9%)-(K69*6.9%)*10%</f>
      </c>
      <c r="O69" s="4">
        <f>K69*0.35%</f>
      </c>
      <c r="P69" s="4">
        <v>0.4</v>
      </c>
      <c r="Q69" s="4">
        <f>(N69+O69+P69)*20%</f>
      </c>
      <c r="R69" s="4">
        <f>N69+O69+P69+Q69</f>
      </c>
      <c r="S69" s="4">
        <v>0</v>
      </c>
      <c r="T69" s="4">
        <v>0</v>
      </c>
      <c r="U69" s="4">
        <v>0</v>
      </c>
      <c r="V69" s="4">
        <f>U69*20%</f>
      </c>
      <c r="W69" s="4">
        <v>1</v>
      </c>
      <c r="X69" s="4">
        <f>Q69+T69+V69</f>
      </c>
      <c r="Y69" s="4">
        <f>L69-M69-R69-S69-T69-U69-V69-W69</f>
      </c>
      <c r="Z69" s="4">
        <f>(Y69-AB69)/J69*100</f>
      </c>
      <c r="AA69" s="4">
        <f>M69-X69</f>
      </c>
      <c r="AC69" s="4">
        <f>Y69-AB69</f>
      </c>
      <c r="AH69" t="s">
        <v>1</v>
      </c>
    </row>
    <row r="70" spans="1:34" x14ac:dyDescent="0.25">
      <c r="A70" s="8">
        <v>46229.5</v>
      </c>
      <c r="B70" t="s">
        <v>1612</v>
      </c>
      <c r="C70" t="s">
        <v>182</v>
      </c>
      <c r="D70" s="9" t="s">
        <v>1</v>
      </c>
      <c r="E70" t="s">
        <v>182</v>
      </c>
      <c r="F70" t="s">
        <v>1</v>
      </c>
      <c r="G70" t="s">
        <v>1</v>
      </c>
      <c r="H70" t="s">
        <v>75</v>
      </c>
      <c r="I70">
        <v>4</v>
      </c>
      <c r="J70" s="4">
        <v>7.6</v>
      </c>
      <c r="K70" s="4">
        <v>8.82</v>
      </c>
      <c r="L70" s="4">
        <f>K70-J70</f>
      </c>
      <c r="M70" s="4">
        <f>L70*16.67%</f>
      </c>
      <c r="N70" s="4">
        <f>(K70*6.9%)-(K70*6.9%)*10%</f>
      </c>
      <c r="O70" s="4">
        <f>K70*0.35%</f>
      </c>
      <c r="P70" s="4">
        <v>0.4</v>
      </c>
      <c r="Q70" s="4">
        <f>(N70+O70+P70)*20%</f>
      </c>
      <c r="R70" s="4">
        <f>N70+O70+P70+Q70</f>
      </c>
      <c r="S70" s="4">
        <v>0</v>
      </c>
      <c r="T70" s="4">
        <v>0</v>
      </c>
      <c r="U70" s="4">
        <v>0</v>
      </c>
      <c r="V70" s="4">
        <f>U70*20%</f>
      </c>
      <c r="W70" s="4">
        <v>0</v>
      </c>
      <c r="X70" s="4">
        <f>Q70+T70+V70</f>
      </c>
      <c r="Y70" s="4">
        <f>L70-M70-R70-S70-T70-U70-V70-W70</f>
      </c>
      <c r="Z70" s="4">
        <f>(Y70-AB70)/J70*100</f>
      </c>
      <c r="AA70" s="4">
        <f>M70-X70</f>
      </c>
      <c r="AC70" s="4">
        <f>Y70-AB70</f>
      </c>
      <c r="AH70" t="s">
        <v>1</v>
      </c>
    </row>
    <row r="71" spans="1:34" x14ac:dyDescent="0.25">
      <c r="A71" s="8">
        <v>46229.5</v>
      </c>
      <c r="B71" t="s">
        <v>1613</v>
      </c>
      <c r="C71" t="s">
        <v>174</v>
      </c>
      <c r="D71" s="9" t="s">
        <v>1</v>
      </c>
      <c r="E71" t="s">
        <v>174</v>
      </c>
      <c r="F71" t="s">
        <v>1</v>
      </c>
      <c r="G71" t="s">
        <v>1</v>
      </c>
      <c r="H71" t="s">
        <v>66</v>
      </c>
      <c r="I71">
        <v>3</v>
      </c>
      <c r="J71" s="4">
        <v>12.75</v>
      </c>
      <c r="K71" s="4">
        <v>16.7</v>
      </c>
      <c r="L71" s="4">
        <f>K71-J71</f>
      </c>
      <c r="M71" s="4">
        <f>L71*16.67%</f>
      </c>
      <c r="N71" s="4">
        <f>(K71*6.9%)-(K71*6.9%)*10%</f>
      </c>
      <c r="O71" s="4">
        <f>K71*0.35%</f>
      </c>
      <c r="P71" s="4">
        <v>0.4</v>
      </c>
      <c r="Q71" s="4">
        <f>(N71+O71+P71)*20%</f>
      </c>
      <c r="R71" s="4">
        <f>N71+O71+P71+Q71</f>
      </c>
      <c r="S71" s="4">
        <v>0</v>
      </c>
      <c r="T71" s="4">
        <v>0</v>
      </c>
      <c r="U71" s="4">
        <v>0</v>
      </c>
      <c r="V71" s="4">
        <f>U71*20%</f>
      </c>
      <c r="W71" s="4">
        <v>0</v>
      </c>
      <c r="X71" s="4">
        <f>Q71+T71+V71</f>
      </c>
      <c r="Y71" s="4">
        <f>L71-M71-R71-S71-T71-U71-V71-W71</f>
      </c>
      <c r="Z71" s="4">
        <f>(Y71-AB71)/J71*100</f>
      </c>
      <c r="AA71" s="4">
        <f>M71-X71</f>
      </c>
      <c r="AC71" s="4">
        <f>Y71-AB71</f>
      </c>
      <c r="AH71" t="s">
        <v>1</v>
      </c>
    </row>
    <row r="72" spans="1:34" x14ac:dyDescent="0.25">
      <c r="A72" s="8">
        <v>46228.5</v>
      </c>
      <c r="B72" t="s">
        <v>1614</v>
      </c>
      <c r="C72" t="s">
        <v>1</v>
      </c>
      <c r="D72" s="9" t="s">
        <v>1615</v>
      </c>
      <c r="E72" t="s">
        <v>98</v>
      </c>
      <c r="F72" t="s">
        <v>88</v>
      </c>
      <c r="G72" t="s">
        <v>60</v>
      </c>
      <c r="H72" t="s">
        <v>66</v>
      </c>
      <c r="I72">
        <v>1</v>
      </c>
      <c r="J72" s="4">
        <v>284</v>
      </c>
      <c r="K72" s="4">
        <v>383.4</v>
      </c>
      <c r="L72" s="4">
        <f>K72-J72</f>
      </c>
      <c r="M72" s="4">
        <f>L72*16.67%</f>
      </c>
      <c r="N72" s="4">
        <f>(K72*6.9%)-(K72*6.9%)*10%</f>
      </c>
      <c r="O72" s="4">
        <f>K72*0.35%</f>
      </c>
      <c r="P72" s="4">
        <v>0.4</v>
      </c>
      <c r="Q72" s="4">
        <f>(N72+O72+P72)*20%</f>
      </c>
      <c r="R72" s="4">
        <f>N72+O72+P72+Q72</f>
      </c>
      <c r="S72" s="4">
        <v>0</v>
      </c>
      <c r="T72" s="4">
        <v>0</v>
      </c>
      <c r="U72" s="4">
        <v>0</v>
      </c>
      <c r="V72" s="4">
        <f>U72*20%</f>
      </c>
      <c r="W72" s="4">
        <v>1</v>
      </c>
      <c r="X72" s="4">
        <f>Q72+T72+V72</f>
      </c>
      <c r="Y72" s="4">
        <f>L72-M72-R72-S72-T72-U72-V72-W72</f>
      </c>
      <c r="Z72" s="4">
        <f>(Y72-AB72)/J72*100</f>
      </c>
      <c r="AA72" s="4">
        <f>M72-X72</f>
      </c>
      <c r="AC72" s="4">
        <f>Y72-AB72</f>
      </c>
      <c r="AH72" t="s">
        <v>1</v>
      </c>
    </row>
    <row r="73" spans="1:34" x14ac:dyDescent="0.25">
      <c r="A73" s="8">
        <v>46228.5</v>
      </c>
      <c r="B73" t="s">
        <v>1616</v>
      </c>
      <c r="C73" t="s">
        <v>1</v>
      </c>
      <c r="D73" s="9" t="s">
        <v>1617</v>
      </c>
      <c r="E73" t="s">
        <v>64</v>
      </c>
      <c r="F73" t="s">
        <v>85</v>
      </c>
      <c r="G73" t="s">
        <v>65</v>
      </c>
      <c r="H73" t="s">
        <v>75</v>
      </c>
      <c r="I73">
        <v>1</v>
      </c>
      <c r="J73" s="4">
        <v>220</v>
      </c>
      <c r="K73" s="4">
        <v>275</v>
      </c>
      <c r="L73" s="4">
        <f>K73-J73</f>
      </c>
      <c r="M73" s="4">
        <f>L73*16.67%</f>
      </c>
      <c r="N73" s="4">
        <f>(K73*6.9%)-(K73*6.9%)*10%</f>
      </c>
      <c r="O73" s="4">
        <f>K73*0.35%</f>
      </c>
      <c r="P73" s="4">
        <v>0.4</v>
      </c>
      <c r="Q73" s="4">
        <f>(N73+O73+P73)*20%</f>
      </c>
      <c r="R73" s="4">
        <f>N73+O73+P73+Q73</f>
      </c>
      <c r="S73" s="4">
        <v>0</v>
      </c>
      <c r="T73" s="4">
        <v>0</v>
      </c>
      <c r="U73" s="4">
        <v>0</v>
      </c>
      <c r="V73" s="4">
        <f>U73*20%</f>
      </c>
      <c r="W73" s="4">
        <v>1</v>
      </c>
      <c r="X73" s="4">
        <f>Q73+T73+V73</f>
      </c>
      <c r="Y73" s="4">
        <f>L73-M73-R73-S73-T73-U73-V73-W73</f>
      </c>
      <c r="Z73" s="4">
        <f>(Y73-AB73)/J73*100</f>
      </c>
      <c r="AA73" s="4">
        <f>M73-X73</f>
      </c>
      <c r="AC73" s="4">
        <f>Y73-AB73</f>
      </c>
      <c r="AH73" t="s">
        <v>1</v>
      </c>
    </row>
    <row r="74" spans="1:34" x14ac:dyDescent="0.25">
      <c r="A74" s="8">
        <v>46228.5</v>
      </c>
      <c r="B74" t="s">
        <v>1618</v>
      </c>
      <c r="C74" t="s">
        <v>1</v>
      </c>
      <c r="D74" s="9" t="s">
        <v>1619</v>
      </c>
      <c r="E74" t="s">
        <v>64</v>
      </c>
      <c r="F74" t="s">
        <v>105</v>
      </c>
      <c r="G74" t="s">
        <v>65</v>
      </c>
      <c r="H74" t="s">
        <v>75</v>
      </c>
      <c r="I74">
        <v>1</v>
      </c>
      <c r="J74" s="4">
        <v>235</v>
      </c>
      <c r="K74" s="4">
        <v>284.35</v>
      </c>
      <c r="L74" s="4">
        <f>K74-J74</f>
      </c>
      <c r="M74" s="4">
        <f>L74*16.67%</f>
      </c>
      <c r="N74" s="4">
        <f>(K74*6.9%)-(K74*6.9%)*10%</f>
      </c>
      <c r="O74" s="4">
        <f>K74*0.35%</f>
      </c>
      <c r="P74" s="4">
        <v>0.4</v>
      </c>
      <c r="Q74" s="4">
        <f>(N74+O74+P74)*20%</f>
      </c>
      <c r="R74" s="4">
        <f>N74+O74+P74+Q74</f>
      </c>
      <c r="S74" s="4">
        <v>0</v>
      </c>
      <c r="T74" s="4">
        <v>0</v>
      </c>
      <c r="U74" s="4">
        <v>0</v>
      </c>
      <c r="V74" s="4">
        <f>U74*20%</f>
      </c>
      <c r="W74" s="4">
        <v>1</v>
      </c>
      <c r="X74" s="4">
        <f>Q74+T74+V74</f>
      </c>
      <c r="Y74" s="4">
        <f>L74-M74-R74-S74-T74-U74-V74-W74</f>
      </c>
      <c r="Z74" s="4">
        <f>(Y74-AB74)/J74*100</f>
      </c>
      <c r="AA74" s="4">
        <f>M74-X74</f>
      </c>
      <c r="AC74" s="4">
        <f>Y74-AB74</f>
      </c>
      <c r="AH74" t="s">
        <v>1</v>
      </c>
    </row>
    <row r="75" spans="1:34" x14ac:dyDescent="0.25">
      <c r="A75" s="8">
        <v>46228.5</v>
      </c>
      <c r="B75" t="s">
        <v>1620</v>
      </c>
      <c r="C75" t="s">
        <v>1</v>
      </c>
      <c r="D75" s="9" t="s">
        <v>1621</v>
      </c>
      <c r="E75" t="s">
        <v>94</v>
      </c>
      <c r="F75" t="s">
        <v>85</v>
      </c>
      <c r="G75" t="s">
        <v>95</v>
      </c>
      <c r="H75" t="s">
        <v>102</v>
      </c>
      <c r="I75">
        <v>1</v>
      </c>
      <c r="J75" s="4">
        <v>85</v>
      </c>
      <c r="K75" s="4">
        <v>114.75</v>
      </c>
      <c r="L75" s="4">
        <f>K75-J75</f>
      </c>
      <c r="M75" s="4">
        <f>L75*16.67%</f>
      </c>
      <c r="N75" s="4">
        <f>(K75*6.9%)-(K75*6.9%)*10%</f>
      </c>
      <c r="O75" s="4">
        <f>K75*0.35%</f>
      </c>
      <c r="P75" s="4">
        <v>0.4</v>
      </c>
      <c r="Q75" s="4">
        <f>(N75+O75+P75)*20%</f>
      </c>
      <c r="R75" s="4">
        <f>N75+O75+P75+Q75</f>
      </c>
      <c r="S75" s="4">
        <v>0</v>
      </c>
      <c r="T75" s="4">
        <v>0</v>
      </c>
      <c r="U75" s="4">
        <v>0</v>
      </c>
      <c r="V75" s="4">
        <f>U75*20%</f>
      </c>
      <c r="W75" s="4">
        <v>1</v>
      </c>
      <c r="X75" s="4">
        <f>Q75+T75+V75</f>
      </c>
      <c r="Y75" s="4">
        <f>L75-M75-R75-S75-T75-U75-V75-W75</f>
      </c>
      <c r="Z75" s="4">
        <f>(Y75-AB75)/J75*100</f>
      </c>
      <c r="AA75" s="4">
        <f>M75-X75</f>
      </c>
      <c r="AC75" s="4">
        <f>Y75-AB75</f>
      </c>
      <c r="AH75" t="s">
        <v>1</v>
      </c>
    </row>
    <row r="76" spans="1:34" x14ac:dyDescent="0.25">
      <c r="A76" s="8">
        <v>46228.5</v>
      </c>
      <c r="B76" t="s">
        <v>1622</v>
      </c>
      <c r="C76" t="s">
        <v>185</v>
      </c>
      <c r="D76" s="9" t="s">
        <v>1</v>
      </c>
      <c r="E76" t="s">
        <v>185</v>
      </c>
      <c r="F76" t="s">
        <v>1</v>
      </c>
      <c r="G76" t="s">
        <v>1</v>
      </c>
      <c r="H76" t="s">
        <v>102</v>
      </c>
      <c r="I76">
        <v>2</v>
      </c>
      <c r="J76" s="4">
        <v>2.4</v>
      </c>
      <c r="K76" s="4">
        <v>3.31</v>
      </c>
      <c r="L76" s="4">
        <f>K76-J76</f>
      </c>
      <c r="M76" s="4">
        <f>L76*16.67%</f>
      </c>
      <c r="N76" s="4">
        <f>(K76*6.9%)-(K76*6.9%)*10%</f>
      </c>
      <c r="O76" s="4">
        <f>K76*0.35%</f>
      </c>
      <c r="P76" s="4">
        <v>0.4</v>
      </c>
      <c r="Q76" s="4">
        <f>(N76+O76+P76)*20%</f>
      </c>
      <c r="R76" s="4">
        <f>N76+O76+P76+Q76</f>
      </c>
      <c r="S76" s="4">
        <v>0</v>
      </c>
      <c r="T76" s="4">
        <v>0</v>
      </c>
      <c r="U76" s="4">
        <v>0</v>
      </c>
      <c r="V76" s="4">
        <f>U76*20%</f>
      </c>
      <c r="W76" s="4">
        <v>0</v>
      </c>
      <c r="X76" s="4">
        <f>Q76+T76+V76</f>
      </c>
      <c r="Y76" s="4">
        <f>L76-M76-R76-S76-T76-U76-V76-W76</f>
      </c>
      <c r="Z76" s="4">
        <f>(Y76-AB76)/J76*100</f>
      </c>
      <c r="AA76" s="4">
        <f>M76-X76</f>
      </c>
      <c r="AC76" s="4">
        <f>Y76-AB76</f>
      </c>
      <c r="AH76" t="s">
        <v>1</v>
      </c>
    </row>
    <row r="77" spans="1:34" x14ac:dyDescent="0.25">
      <c r="A77" s="8">
        <v>46228.5</v>
      </c>
      <c r="B77" t="s">
        <v>1623</v>
      </c>
      <c r="C77" t="s">
        <v>1</v>
      </c>
      <c r="D77" s="9" t="s">
        <v>1</v>
      </c>
      <c r="E77" t="s">
        <v>1</v>
      </c>
      <c r="F77" t="s">
        <v>1</v>
      </c>
      <c r="G77" t="s">
        <v>1</v>
      </c>
      <c r="H77" t="s">
        <v>78</v>
      </c>
      <c r="I77">
        <v>1</v>
      </c>
      <c r="J77" s="4">
        <v>169</v>
      </c>
      <c r="K77" s="4">
        <v>216.32</v>
      </c>
      <c r="L77" s="4">
        <f>K77-J77</f>
      </c>
      <c r="M77" s="4">
        <f>L77*16.67%</f>
      </c>
      <c r="N77" s="4">
        <f>(K77*6.9%)-(K77*6.9%)*10%</f>
      </c>
      <c r="O77" s="4">
        <f>K77*0.35%</f>
      </c>
      <c r="P77" s="4">
        <v>0.4</v>
      </c>
      <c r="Q77" s="4">
        <f>(N77+O77+P77)*20%</f>
      </c>
      <c r="R77" s="4">
        <f>N77+O77+P77+Q77</f>
      </c>
      <c r="S77" s="4">
        <v>0</v>
      </c>
      <c r="T77" s="4">
        <v>0</v>
      </c>
      <c r="U77" s="4">
        <v>0</v>
      </c>
      <c r="V77" s="4">
        <f>U77*20%</f>
      </c>
      <c r="W77" s="4">
        <v>1</v>
      </c>
      <c r="X77" s="4">
        <f>Q77+T77+V77</f>
      </c>
      <c r="Y77" s="4">
        <f>L77-M77-R77-S77-T77-U77-V77-W77</f>
      </c>
      <c r="Z77" s="4">
        <f>(Y77-AB77)/J77*100</f>
      </c>
      <c r="AA77" s="4">
        <f>M77-X77</f>
      </c>
      <c r="AC77" s="4">
        <f>Y77-AB77</f>
      </c>
      <c r="AH77" t="s">
        <v>1</v>
      </c>
    </row>
    <row r="78" spans="1:34" x14ac:dyDescent="0.25">
      <c r="A78" s="8">
        <v>46227.5</v>
      </c>
      <c r="B78" t="s">
        <v>1624</v>
      </c>
      <c r="C78" t="s">
        <v>1</v>
      </c>
      <c r="D78" s="9" t="s">
        <v>1625</v>
      </c>
      <c r="E78" t="s">
        <v>114</v>
      </c>
      <c r="F78" t="s">
        <v>88</v>
      </c>
      <c r="G78" t="s">
        <v>95</v>
      </c>
      <c r="H78" t="s">
        <v>102</v>
      </c>
      <c r="I78">
        <v>1</v>
      </c>
      <c r="J78" s="4">
        <v>197</v>
      </c>
      <c r="K78" s="4">
        <v>265.95</v>
      </c>
      <c r="L78" s="4">
        <f>K78-J78</f>
      </c>
      <c r="M78" s="4">
        <f>L78*16.67%</f>
      </c>
      <c r="N78" s="4">
        <f>(K78*6.9%)-(K78*6.9%)*10%</f>
      </c>
      <c r="O78" s="4">
        <f>K78*0.35%</f>
      </c>
      <c r="P78" s="4">
        <v>0.4</v>
      </c>
      <c r="Q78" s="4">
        <f>(N78+O78+P78)*20%</f>
      </c>
      <c r="R78" s="4">
        <f>N78+O78+P78+Q78</f>
      </c>
      <c r="S78" s="4">
        <v>0</v>
      </c>
      <c r="T78" s="4">
        <v>0</v>
      </c>
      <c r="U78" s="4">
        <v>0</v>
      </c>
      <c r="V78" s="4">
        <f>U78*20%</f>
      </c>
      <c r="W78" s="4">
        <v>1</v>
      </c>
      <c r="X78" s="4">
        <f>Q78+T78+V78</f>
      </c>
      <c r="Y78" s="4">
        <f>L78-M78-R78-S78-T78-U78-V78-W78</f>
      </c>
      <c r="Z78" s="4">
        <f>(Y78-AB78)/J78*100</f>
      </c>
      <c r="AA78" s="4">
        <f>M78-X78</f>
      </c>
      <c r="AC78" s="4">
        <f>Y78-AB78</f>
      </c>
      <c r="AH78" t="s">
        <v>1</v>
      </c>
    </row>
    <row r="79" spans="1:34" x14ac:dyDescent="0.25">
      <c r="A79" s="8">
        <v>46227.5</v>
      </c>
      <c r="B79" t="s">
        <v>1626</v>
      </c>
      <c r="C79" t="s">
        <v>1</v>
      </c>
      <c r="D79" s="9" t="s">
        <v>1627</v>
      </c>
      <c r="E79" t="s">
        <v>94</v>
      </c>
      <c r="F79" t="s">
        <v>88</v>
      </c>
      <c r="G79" t="s">
        <v>95</v>
      </c>
      <c r="H79" t="s">
        <v>66</v>
      </c>
      <c r="I79">
        <v>1</v>
      </c>
      <c r="J79" s="4">
        <v>72</v>
      </c>
      <c r="K79" s="4">
        <v>102.96</v>
      </c>
      <c r="L79" s="4">
        <f>K79-J79</f>
      </c>
      <c r="M79" s="4">
        <f>L79*16.67%</f>
      </c>
      <c r="N79" s="4">
        <f>(K79*6.9%)-(K79*6.9%)*10%</f>
      </c>
      <c r="O79" s="4">
        <f>K79*0.35%</f>
      </c>
      <c r="P79" s="4">
        <v>0.4</v>
      </c>
      <c r="Q79" s="4">
        <f>(N79+O79+P79)*20%</f>
      </c>
      <c r="R79" s="4">
        <f>N79+O79+P79+Q79</f>
      </c>
      <c r="S79" s="4">
        <v>0</v>
      </c>
      <c r="T79" s="4">
        <v>0</v>
      </c>
      <c r="U79" s="4">
        <v>0</v>
      </c>
      <c r="V79" s="4">
        <f>U79*20%</f>
      </c>
      <c r="W79" s="4">
        <v>1</v>
      </c>
      <c r="X79" s="4">
        <f>Q79+T79+V79</f>
      </c>
      <c r="Y79" s="4">
        <f>L79-M79-R79-S79-T79-U79-V79-W79</f>
      </c>
      <c r="Z79" s="4">
        <f>(Y79-AB79)/J79*100</f>
      </c>
      <c r="AA79" s="4">
        <f>M79-X79</f>
      </c>
      <c r="AC79" s="4">
        <f>Y79-AB79</f>
      </c>
      <c r="AH79" t="s">
        <v>1</v>
      </c>
    </row>
    <row r="80" spans="1:34" x14ac:dyDescent="0.25">
      <c r="A80" s="8">
        <v>46227.5</v>
      </c>
      <c r="B80" t="s">
        <v>1628</v>
      </c>
      <c r="C80" t="s">
        <v>1</v>
      </c>
      <c r="D80" s="9" t="s">
        <v>1629</v>
      </c>
      <c r="E80" t="s">
        <v>98</v>
      </c>
      <c r="F80" t="s">
        <v>88</v>
      </c>
      <c r="G80" t="s">
        <v>60</v>
      </c>
      <c r="H80" t="s">
        <v>61</v>
      </c>
      <c r="I80">
        <v>1</v>
      </c>
      <c r="J80" s="4">
        <v>283</v>
      </c>
      <c r="K80" s="4">
        <v>331.11</v>
      </c>
      <c r="L80" s="4">
        <f>K80-J80</f>
      </c>
      <c r="M80" s="4">
        <f>L80*16.67%</f>
      </c>
      <c r="N80" s="4">
        <f>(K80*6.9%)-(K80*6.9%)*10%</f>
      </c>
      <c r="O80" s="4">
        <f>K80*0.35%</f>
      </c>
      <c r="P80" s="4">
        <v>0.4</v>
      </c>
      <c r="Q80" s="4">
        <f>(N80+O80+P80)*20%</f>
      </c>
      <c r="R80" s="4">
        <f>N80+O80+P80+Q80</f>
      </c>
      <c r="S80" s="4">
        <v>0</v>
      </c>
      <c r="T80" s="4">
        <v>0</v>
      </c>
      <c r="U80" s="4">
        <v>0</v>
      </c>
      <c r="V80" s="4">
        <f>U80*20%</f>
      </c>
      <c r="W80" s="4">
        <v>1</v>
      </c>
      <c r="X80" s="4">
        <f>Q80+T80+V80</f>
      </c>
      <c r="Y80" s="4">
        <f>L80-M80-R80-S80-T80-U80-V80-W80</f>
      </c>
      <c r="Z80" s="4">
        <f>(Y80-AB80)/J80*100</f>
      </c>
      <c r="AA80" s="4">
        <f>M80-X80</f>
      </c>
      <c r="AC80" s="4">
        <f>Y80-AB80</f>
      </c>
      <c r="AH80" t="s">
        <v>1</v>
      </c>
    </row>
    <row r="81" spans="1:34" x14ac:dyDescent="0.25">
      <c r="A81" s="8">
        <v>46226.5</v>
      </c>
      <c r="B81" t="s">
        <v>1630</v>
      </c>
      <c r="C81" t="s">
        <v>1</v>
      </c>
      <c r="D81" s="9" t="s">
        <v>1631</v>
      </c>
      <c r="E81" t="s">
        <v>172</v>
      </c>
      <c r="F81" t="s">
        <v>85</v>
      </c>
      <c r="G81" t="s">
        <v>65</v>
      </c>
      <c r="H81" t="s">
        <v>78</v>
      </c>
      <c r="I81">
        <v>1</v>
      </c>
      <c r="J81" s="4">
        <v>168</v>
      </c>
      <c r="K81" s="4">
        <v>220.08</v>
      </c>
      <c r="L81" s="4">
        <f>K81-J81</f>
      </c>
      <c r="M81" s="4">
        <f>L81*16.67%</f>
      </c>
      <c r="N81" s="4">
        <f>(K81*6.9%)-(K81*6.9%)*10%</f>
      </c>
      <c r="O81" s="4">
        <f>K81*0.35%</f>
      </c>
      <c r="P81" s="4">
        <v>0.4</v>
      </c>
      <c r="Q81" s="4">
        <f>(N81+O81+P81)*20%</f>
      </c>
      <c r="R81" s="4">
        <f>N81+O81+P81+Q81</f>
      </c>
      <c r="S81" s="4">
        <v>0</v>
      </c>
      <c r="T81" s="4">
        <v>0</v>
      </c>
      <c r="U81" s="4">
        <v>0</v>
      </c>
      <c r="V81" s="4">
        <f>U81*20%</f>
      </c>
      <c r="W81" s="4">
        <v>1</v>
      </c>
      <c r="X81" s="4">
        <f>Q81+T81+V81</f>
      </c>
      <c r="Y81" s="4">
        <f>L81-M81-R81-S81-T81-U81-V81-W81</f>
      </c>
      <c r="Z81" s="4">
        <f>(Y81-AB81)/J81*100</f>
      </c>
      <c r="AA81" s="4">
        <f>M81-X81</f>
      </c>
      <c r="AC81" s="4">
        <f>Y81-AB81</f>
      </c>
      <c r="AH81" t="s">
        <v>1</v>
      </c>
    </row>
    <row r="82" spans="1:34" x14ac:dyDescent="0.25">
      <c r="A82" s="8">
        <v>46226.5</v>
      </c>
      <c r="B82" t="s">
        <v>1632</v>
      </c>
      <c r="C82" t="s">
        <v>1</v>
      </c>
      <c r="D82" s="9" t="s">
        <v>1633</v>
      </c>
      <c r="E82" t="s">
        <v>234</v>
      </c>
      <c r="F82" t="s">
        <v>59</v>
      </c>
      <c r="G82" t="s">
        <v>65</v>
      </c>
      <c r="H82" t="s">
        <v>61</v>
      </c>
      <c r="I82">
        <v>1</v>
      </c>
      <c r="J82" s="4">
        <v>189</v>
      </c>
      <c r="K82" s="4">
        <v>253.26</v>
      </c>
      <c r="L82" s="4">
        <f>K82-J82</f>
      </c>
      <c r="M82" s="4">
        <f>L82*16.67%</f>
      </c>
      <c r="N82" s="4">
        <f>(K82*6.9%)-(K82*6.9%)*10%</f>
      </c>
      <c r="O82" s="4">
        <f>K82*0.35%</f>
      </c>
      <c r="P82" s="4">
        <v>0.4</v>
      </c>
      <c r="Q82" s="4">
        <f>(N82+O82+P82)*20%</f>
      </c>
      <c r="R82" s="4">
        <f>N82+O82+P82+Q82</f>
      </c>
      <c r="S82" s="4">
        <v>0</v>
      </c>
      <c r="T82" s="4">
        <v>0</v>
      </c>
      <c r="U82" s="4">
        <v>0</v>
      </c>
      <c r="V82" s="4">
        <f>U82*20%</f>
      </c>
      <c r="W82" s="4">
        <v>1</v>
      </c>
      <c r="X82" s="4">
        <f>Q82+T82+V82</f>
      </c>
      <c r="Y82" s="4">
        <f>L82-M82-R82-S82-T82-U82-V82-W82</f>
      </c>
      <c r="Z82" s="4">
        <f>(Y82-AB82)/J82*100</f>
      </c>
      <c r="AA82" s="4">
        <f>M82-X82</f>
      </c>
      <c r="AC82" s="4">
        <f>Y82-AB82</f>
      </c>
      <c r="AH82" t="s">
        <v>1</v>
      </c>
    </row>
    <row r="83" spans="1:34" x14ac:dyDescent="0.25">
      <c r="A83" s="8">
        <v>46226.5</v>
      </c>
      <c r="B83" t="s">
        <v>1634</v>
      </c>
      <c r="C83" t="s">
        <v>1</v>
      </c>
      <c r="D83" s="9" t="s">
        <v>1635</v>
      </c>
      <c r="E83" t="s">
        <v>292</v>
      </c>
      <c r="F83" t="s">
        <v>88</v>
      </c>
      <c r="G83" t="s">
        <v>126</v>
      </c>
      <c r="H83" t="s">
        <v>75</v>
      </c>
      <c r="I83">
        <v>1</v>
      </c>
      <c r="J83" s="4">
        <v>156</v>
      </c>
      <c r="K83" s="4">
        <v>209.04</v>
      </c>
      <c r="L83" s="4">
        <f>K83-J83</f>
      </c>
      <c r="M83" s="4">
        <f>L83*16.67%</f>
      </c>
      <c r="N83" s="4">
        <f>(K83*6.9%)-(K83*6.9%)*10%</f>
      </c>
      <c r="O83" s="4">
        <f>K83*0.35%</f>
      </c>
      <c r="P83" s="4">
        <v>0.4</v>
      </c>
      <c r="Q83" s="4">
        <f>(N83+O83+P83)*20%</f>
      </c>
      <c r="R83" s="4">
        <f>N83+O83+P83+Q83</f>
      </c>
      <c r="S83" s="4">
        <v>0</v>
      </c>
      <c r="T83" s="4">
        <v>0</v>
      </c>
      <c r="U83" s="4">
        <v>0</v>
      </c>
      <c r="V83" s="4">
        <f>U83*20%</f>
      </c>
      <c r="W83" s="4">
        <v>1</v>
      </c>
      <c r="X83" s="4">
        <f>Q83+T83+V83</f>
      </c>
      <c r="Y83" s="4">
        <f>L83-M83-R83-S83-T83-U83-V83-W83</f>
      </c>
      <c r="Z83" s="4">
        <f>(Y83-AB83)/J83*100</f>
      </c>
      <c r="AA83" s="4">
        <f>M83-X83</f>
      </c>
      <c r="AC83" s="4">
        <f>Y83-AB83</f>
      </c>
      <c r="AH83" t="s">
        <v>1</v>
      </c>
    </row>
    <row r="84" spans="1:34" x14ac:dyDescent="0.25">
      <c r="A84" s="8">
        <v>46226.5</v>
      </c>
      <c r="B84" t="s">
        <v>1636</v>
      </c>
      <c r="C84" t="s">
        <v>185</v>
      </c>
      <c r="D84" s="9" t="s">
        <v>1</v>
      </c>
      <c r="E84" t="s">
        <v>185</v>
      </c>
      <c r="F84" t="s">
        <v>1</v>
      </c>
      <c r="G84" t="s">
        <v>1</v>
      </c>
      <c r="H84" t="s">
        <v>102</v>
      </c>
      <c r="I84">
        <v>3</v>
      </c>
      <c r="J84" s="4">
        <v>3.6</v>
      </c>
      <c r="K84" s="4">
        <v>5.18</v>
      </c>
      <c r="L84" s="4">
        <f>K84-J84</f>
      </c>
      <c r="M84" s="4">
        <f>L84*16.67%</f>
      </c>
      <c r="N84" s="4">
        <f>(K84*6.9%)-(K84*6.9%)*10%</f>
      </c>
      <c r="O84" s="4">
        <f>K84*0.35%</f>
      </c>
      <c r="P84" s="4">
        <v>0.4</v>
      </c>
      <c r="Q84" s="4">
        <f>(N84+O84+P84)*20%</f>
      </c>
      <c r="R84" s="4">
        <f>N84+O84+P84+Q84</f>
      </c>
      <c r="S84" s="4">
        <v>0</v>
      </c>
      <c r="T84" s="4">
        <v>0</v>
      </c>
      <c r="U84" s="4">
        <v>0</v>
      </c>
      <c r="V84" s="4">
        <f>U84*20%</f>
      </c>
      <c r="W84" s="4">
        <v>0</v>
      </c>
      <c r="X84" s="4">
        <f>Q84+T84+V84</f>
      </c>
      <c r="Y84" s="4">
        <f>L84-M84-R84-S84-T84-U84-V84-W84</f>
      </c>
      <c r="Z84" s="4">
        <f>(Y84-AB84)/J84*100</f>
      </c>
      <c r="AA84" s="4">
        <f>M84-X84</f>
      </c>
      <c r="AC84" s="4">
        <f>Y84-AB84</f>
      </c>
      <c r="AH84" t="s">
        <v>1</v>
      </c>
    </row>
    <row r="85" spans="1:34" x14ac:dyDescent="0.25">
      <c r="A85" s="8">
        <v>46226.5</v>
      </c>
      <c r="B85" t="s">
        <v>1637</v>
      </c>
      <c r="C85" t="s">
        <v>1</v>
      </c>
      <c r="D85" s="9" t="s">
        <v>1</v>
      </c>
      <c r="E85" t="s">
        <v>1</v>
      </c>
      <c r="F85" t="s">
        <v>1</v>
      </c>
      <c r="G85" t="s">
        <v>1</v>
      </c>
      <c r="H85" t="s">
        <v>102</v>
      </c>
      <c r="I85">
        <v>1</v>
      </c>
      <c r="J85" s="4">
        <v>582</v>
      </c>
      <c r="K85" s="4">
        <v>832.26</v>
      </c>
      <c r="L85" s="4">
        <f>K85-J85</f>
      </c>
      <c r="M85" s="4">
        <f>L85*16.67%</f>
      </c>
      <c r="N85" s="4">
        <f>(K85*6.9%)-(K85*6.9%)*10%</f>
      </c>
      <c r="O85" s="4">
        <f>K85*0.35%</f>
      </c>
      <c r="P85" s="4">
        <v>0.4</v>
      </c>
      <c r="Q85" s="4">
        <f>(N85+O85+P85)*20%</f>
      </c>
      <c r="R85" s="4">
        <f>N85+O85+P85+Q85</f>
      </c>
      <c r="S85" s="4">
        <v>0</v>
      </c>
      <c r="T85" s="4">
        <v>0</v>
      </c>
      <c r="U85" s="4">
        <v>0</v>
      </c>
      <c r="V85" s="4">
        <f>U85*20%</f>
      </c>
      <c r="W85" s="4">
        <v>1</v>
      </c>
      <c r="X85" s="4">
        <f>Q85+T85+V85</f>
      </c>
      <c r="Y85" s="4">
        <f>L85-M85-R85-S85-T85-U85-V85-W85</f>
      </c>
      <c r="Z85" s="4">
        <f>(Y85-AB85)/J85*100</f>
      </c>
      <c r="AA85" s="4">
        <f>M85-X85</f>
      </c>
      <c r="AC85" s="4">
        <f>Y85-AB85</f>
      </c>
      <c r="AH85" t="s">
        <v>1</v>
      </c>
    </row>
    <row r="86" spans="1:34" x14ac:dyDescent="0.25">
      <c r="A86" s="8">
        <v>46225.5</v>
      </c>
      <c r="B86" t="s">
        <v>1638</v>
      </c>
      <c r="C86" t="s">
        <v>1</v>
      </c>
      <c r="D86" s="9" t="s">
        <v>1639</v>
      </c>
      <c r="E86" t="s">
        <v>114</v>
      </c>
      <c r="F86" t="s">
        <v>59</v>
      </c>
      <c r="G86" t="s">
        <v>95</v>
      </c>
      <c r="H86" t="s">
        <v>66</v>
      </c>
      <c r="I86">
        <v>1</v>
      </c>
      <c r="J86" s="4">
        <v>258</v>
      </c>
      <c r="K86" s="4">
        <v>371.52</v>
      </c>
      <c r="L86" s="4">
        <f>K86-J86</f>
      </c>
      <c r="M86" s="4">
        <f>L86*16.67%</f>
      </c>
      <c r="N86" s="4">
        <f>(K86*6.9%)-(K86*6.9%)*10%</f>
      </c>
      <c r="O86" s="4">
        <f>K86*0.35%</f>
      </c>
      <c r="P86" s="4">
        <v>0.4</v>
      </c>
      <c r="Q86" s="4">
        <f>(N86+O86+P86)*20%</f>
      </c>
      <c r="R86" s="4">
        <f>N86+O86+P86+Q86</f>
      </c>
      <c r="S86" s="4">
        <v>0</v>
      </c>
      <c r="T86" s="4">
        <v>0</v>
      </c>
      <c r="U86" s="4">
        <v>0</v>
      </c>
      <c r="V86" s="4">
        <f>U86*20%</f>
      </c>
      <c r="W86" s="4">
        <v>1</v>
      </c>
      <c r="X86" s="4">
        <f>Q86+T86+V86</f>
      </c>
      <c r="Y86" s="4">
        <f>L86-M86-R86-S86-T86-U86-V86-W86</f>
      </c>
      <c r="Z86" s="4">
        <f>(Y86-AB86)/J86*100</f>
      </c>
      <c r="AA86" s="4">
        <f>M86-X86</f>
      </c>
      <c r="AC86" s="4">
        <f>Y86-AB86</f>
      </c>
      <c r="AH86" t="s">
        <v>1</v>
      </c>
    </row>
    <row r="87" spans="1:34" x14ac:dyDescent="0.25">
      <c r="A87" s="8">
        <v>46225.5</v>
      </c>
      <c r="B87" t="s">
        <v>1640</v>
      </c>
      <c r="C87" t="s">
        <v>1</v>
      </c>
      <c r="D87" s="9" t="s">
        <v>1641</v>
      </c>
      <c r="E87" t="s">
        <v>91</v>
      </c>
      <c r="F87" t="s">
        <v>88</v>
      </c>
      <c r="G87" t="s">
        <v>95</v>
      </c>
      <c r="H87" t="s">
        <v>102</v>
      </c>
      <c r="I87">
        <v>1</v>
      </c>
      <c r="J87" s="4">
        <v>106</v>
      </c>
      <c r="K87" s="4">
        <v>147.34</v>
      </c>
      <c r="L87" s="4">
        <f>K87-J87</f>
      </c>
      <c r="M87" s="4">
        <f>L87*16.67%</f>
      </c>
      <c r="N87" s="4">
        <f>(K87*6.9%)-(K87*6.9%)*10%</f>
      </c>
      <c r="O87" s="4">
        <f>K87*0.35%</f>
      </c>
      <c r="P87" s="4">
        <v>0.4</v>
      </c>
      <c r="Q87" s="4">
        <f>(N87+O87+P87)*20%</f>
      </c>
      <c r="R87" s="4">
        <f>N87+O87+P87+Q87</f>
      </c>
      <c r="S87" s="4">
        <v>0</v>
      </c>
      <c r="T87" s="4">
        <v>0</v>
      </c>
      <c r="U87" s="4">
        <v>0</v>
      </c>
      <c r="V87" s="4">
        <f>U87*20%</f>
      </c>
      <c r="W87" s="4">
        <v>1</v>
      </c>
      <c r="X87" s="4">
        <f>Q87+T87+V87</f>
      </c>
      <c r="Y87" s="4">
        <f>L87-M87-R87-S87-T87-U87-V87-W87</f>
      </c>
      <c r="Z87" s="4">
        <f>(Y87-AB87)/J87*100</f>
      </c>
      <c r="AA87" s="4">
        <f>M87-X87</f>
      </c>
      <c r="AC87" s="4">
        <f>Y87-AB87</f>
      </c>
      <c r="AH87" t="s">
        <v>1</v>
      </c>
    </row>
    <row r="88" spans="1:34" x14ac:dyDescent="0.25">
      <c r="A88" s="8">
        <v>46225.5</v>
      </c>
      <c r="B88" t="s">
        <v>1642</v>
      </c>
      <c r="C88" t="s">
        <v>1</v>
      </c>
      <c r="D88" s="9" t="s">
        <v>1643</v>
      </c>
      <c r="E88" t="s">
        <v>64</v>
      </c>
      <c r="F88" t="s">
        <v>59</v>
      </c>
      <c r="G88" t="s">
        <v>65</v>
      </c>
      <c r="H88" t="s">
        <v>102</v>
      </c>
      <c r="I88">
        <v>1</v>
      </c>
      <c r="J88" s="4">
        <v>233</v>
      </c>
      <c r="K88" s="4">
        <v>291.25</v>
      </c>
      <c r="L88" s="4">
        <f>K88-J88</f>
      </c>
      <c r="M88" s="4">
        <f>L88*16.67%</f>
      </c>
      <c r="N88" s="4">
        <f>(K88*6.9%)-(K88*6.9%)*10%</f>
      </c>
      <c r="O88" s="4">
        <f>K88*0.35%</f>
      </c>
      <c r="P88" s="4">
        <v>0.4</v>
      </c>
      <c r="Q88" s="4">
        <f>(N88+O88+P88)*20%</f>
      </c>
      <c r="R88" s="4">
        <f>N88+O88+P88+Q88</f>
      </c>
      <c r="S88" s="4">
        <v>0</v>
      </c>
      <c r="T88" s="4">
        <v>0</v>
      </c>
      <c r="U88" s="4">
        <v>0</v>
      </c>
      <c r="V88" s="4">
        <f>U88*20%</f>
      </c>
      <c r="W88" s="4">
        <v>1</v>
      </c>
      <c r="X88" s="4">
        <f>Q88+T88+V88</f>
      </c>
      <c r="Y88" s="4">
        <f>L88-M88-R88-S88-T88-U88-V88-W88</f>
      </c>
      <c r="Z88" s="4">
        <f>(Y88-AB88)/J88*100</f>
      </c>
      <c r="AA88" s="4">
        <f>M88-X88</f>
      </c>
      <c r="AC88" s="4">
        <f>Y88-AB88</f>
      </c>
      <c r="AH88" t="s">
        <v>1</v>
      </c>
    </row>
    <row r="89" spans="1:34" x14ac:dyDescent="0.25">
      <c r="A89" s="8">
        <v>46225.5</v>
      </c>
      <c r="B89" t="s">
        <v>1644</v>
      </c>
      <c r="C89" t="s">
        <v>1</v>
      </c>
      <c r="D89" s="9" t="s">
        <v>1645</v>
      </c>
      <c r="E89" t="s">
        <v>58</v>
      </c>
      <c r="F89" t="s">
        <v>105</v>
      </c>
      <c r="G89" t="s">
        <v>60</v>
      </c>
      <c r="H89" t="s">
        <v>78</v>
      </c>
      <c r="I89">
        <v>1</v>
      </c>
      <c r="J89" s="4">
        <v>441</v>
      </c>
      <c r="K89" s="4">
        <v>564.48</v>
      </c>
      <c r="L89" s="4">
        <f>K89-J89</f>
      </c>
      <c r="M89" s="4">
        <f>L89*16.67%</f>
      </c>
      <c r="N89" s="4">
        <f>(K89*6.9%)-(K89*6.9%)*10%</f>
      </c>
      <c r="O89" s="4">
        <f>K89*0.35%</f>
      </c>
      <c r="P89" s="4">
        <v>0.4</v>
      </c>
      <c r="Q89" s="4">
        <f>(N89+O89+P89)*20%</f>
      </c>
      <c r="R89" s="4">
        <f>N89+O89+P89+Q89</f>
      </c>
      <c r="S89" s="4">
        <v>0</v>
      </c>
      <c r="T89" s="4">
        <v>0</v>
      </c>
      <c r="U89" s="4">
        <v>0</v>
      </c>
      <c r="V89" s="4">
        <f>U89*20%</f>
      </c>
      <c r="W89" s="4">
        <v>1</v>
      </c>
      <c r="X89" s="4">
        <f>Q89+T89+V89</f>
      </c>
      <c r="Y89" s="4">
        <f>L89-M89-R89-S89-T89-U89-V89-W89</f>
      </c>
      <c r="Z89" s="4">
        <f>(Y89-AB89)/J89*100</f>
      </c>
      <c r="AA89" s="4">
        <f>M89-X89</f>
      </c>
      <c r="AC89" s="4">
        <f>Y89-AB89</f>
      </c>
      <c r="AH89" t="s">
        <v>1</v>
      </c>
    </row>
    <row r="90" spans="1:34" x14ac:dyDescent="0.25">
      <c r="A90" s="8">
        <v>46225.5</v>
      </c>
      <c r="B90" t="s">
        <v>1646</v>
      </c>
      <c r="C90" t="s">
        <v>1</v>
      </c>
      <c r="D90" s="9" t="s">
        <v>1647</v>
      </c>
      <c r="E90" t="s">
        <v>131</v>
      </c>
      <c r="F90" t="s">
        <v>85</v>
      </c>
      <c r="G90" t="s">
        <v>60</v>
      </c>
      <c r="H90" t="s">
        <v>66</v>
      </c>
      <c r="I90">
        <v>1</v>
      </c>
      <c r="J90" s="4">
        <v>288</v>
      </c>
      <c r="K90" s="4">
        <v>377.28</v>
      </c>
      <c r="L90" s="4">
        <f>K90-J90</f>
      </c>
      <c r="M90" s="4">
        <f>L90*16.67%</f>
      </c>
      <c r="N90" s="4">
        <f>(K90*6.9%)-(K90*6.9%)*10%</f>
      </c>
      <c r="O90" s="4">
        <f>K90*0.35%</f>
      </c>
      <c r="P90" s="4">
        <v>0.4</v>
      </c>
      <c r="Q90" s="4">
        <f>(N90+O90+P90)*20%</f>
      </c>
      <c r="R90" s="4">
        <f>N90+O90+P90+Q90</f>
      </c>
      <c r="S90" s="4">
        <v>0</v>
      </c>
      <c r="T90" s="4">
        <v>0</v>
      </c>
      <c r="U90" s="4">
        <v>0</v>
      </c>
      <c r="V90" s="4">
        <f>U90*20%</f>
      </c>
      <c r="W90" s="4">
        <v>1</v>
      </c>
      <c r="X90" s="4">
        <f>Q90+T90+V90</f>
      </c>
      <c r="Y90" s="4">
        <f>L90-M90-R90-S90-T90-U90-V90-W90</f>
      </c>
      <c r="Z90" s="4">
        <f>(Y90-AB90)/J90*100</f>
      </c>
      <c r="AA90" s="4">
        <f>M90-X90</f>
      </c>
      <c r="AC90" s="4">
        <f>Y90-AB90</f>
      </c>
      <c r="AH90" t="s">
        <v>1</v>
      </c>
    </row>
    <row r="91" spans="1:34" x14ac:dyDescent="0.25">
      <c r="A91" s="8">
        <v>46225.5</v>
      </c>
      <c r="B91" t="s">
        <v>1648</v>
      </c>
      <c r="C91" t="s">
        <v>1</v>
      </c>
      <c r="D91" s="9" t="s">
        <v>1649</v>
      </c>
      <c r="E91" t="s">
        <v>73</v>
      </c>
      <c r="F91" t="s">
        <v>70</v>
      </c>
      <c r="G91" t="s">
        <v>60</v>
      </c>
      <c r="H91" t="s">
        <v>102</v>
      </c>
      <c r="I91">
        <v>1</v>
      </c>
      <c r="J91" s="4">
        <v>346</v>
      </c>
      <c r="K91" s="4">
        <v>442.88</v>
      </c>
      <c r="L91" s="4">
        <f>K91-J91</f>
      </c>
      <c r="M91" s="4">
        <f>L91*16.67%</f>
      </c>
      <c r="N91" s="4">
        <f>(K91*6.9%)-(K91*6.9%)*10%</f>
      </c>
      <c r="O91" s="4">
        <f>K91*0.35%</f>
      </c>
      <c r="P91" s="4">
        <v>0.4</v>
      </c>
      <c r="Q91" s="4">
        <f>(N91+O91+P91)*20%</f>
      </c>
      <c r="R91" s="4">
        <f>N91+O91+P91+Q91</f>
      </c>
      <c r="S91" s="4">
        <v>0</v>
      </c>
      <c r="T91" s="4">
        <v>0</v>
      </c>
      <c r="U91" s="4">
        <v>0</v>
      </c>
      <c r="V91" s="4">
        <f>U91*20%</f>
      </c>
      <c r="W91" s="4">
        <v>1</v>
      </c>
      <c r="X91" s="4">
        <f>Q91+T91+V91</f>
      </c>
      <c r="Y91" s="4">
        <f>L91-M91-R91-S91-T91-U91-V91-W91</f>
      </c>
      <c r="Z91" s="4">
        <f>(Y91-AB91)/J91*100</f>
      </c>
      <c r="AA91" s="4">
        <f>M91-X91</f>
      </c>
      <c r="AC91" s="4">
        <f>Y91-AB91</f>
      </c>
      <c r="AH91" t="s">
        <v>1</v>
      </c>
    </row>
    <row r="92" spans="1:34" x14ac:dyDescent="0.25">
      <c r="A92" s="8">
        <v>46225.5</v>
      </c>
      <c r="B92" t="s">
        <v>1650</v>
      </c>
      <c r="C92" t="s">
        <v>1</v>
      </c>
      <c r="D92" s="9" t="s">
        <v>1651</v>
      </c>
      <c r="E92" t="s">
        <v>58</v>
      </c>
      <c r="F92" t="s">
        <v>70</v>
      </c>
      <c r="G92" t="s">
        <v>60</v>
      </c>
      <c r="H92" t="s">
        <v>75</v>
      </c>
      <c r="I92">
        <v>1</v>
      </c>
      <c r="J92" s="4">
        <v>440</v>
      </c>
      <c r="K92" s="4">
        <v>585.2</v>
      </c>
      <c r="L92" s="4">
        <f>K92-J92</f>
      </c>
      <c r="M92" s="4">
        <f>L92*16.67%</f>
      </c>
      <c r="N92" s="4">
        <f>(K92*6.9%)-(K92*6.9%)*10%</f>
      </c>
      <c r="O92" s="4">
        <f>K92*0.35%</f>
      </c>
      <c r="P92" s="4">
        <v>0.4</v>
      </c>
      <c r="Q92" s="4">
        <f>(N92+O92+P92)*20%</f>
      </c>
      <c r="R92" s="4">
        <f>N92+O92+P92+Q92</f>
      </c>
      <c r="S92" s="4">
        <v>0</v>
      </c>
      <c r="T92" s="4">
        <v>0</v>
      </c>
      <c r="U92" s="4">
        <v>0</v>
      </c>
      <c r="V92" s="4">
        <f>U92*20%</f>
      </c>
      <c r="W92" s="4">
        <v>1</v>
      </c>
      <c r="X92" s="4">
        <f>Q92+T92+V92</f>
      </c>
      <c r="Y92" s="4">
        <f>L92-M92-R92-S92-T92-U92-V92-W92</f>
      </c>
      <c r="Z92" s="4">
        <f>(Y92-AB92)/J92*100</f>
      </c>
      <c r="AA92" s="4">
        <f>M92-X92</f>
      </c>
      <c r="AC92" s="4">
        <f>Y92-AB92</f>
      </c>
      <c r="AH92" t="s">
        <v>1</v>
      </c>
    </row>
    <row r="93" spans="1:34" x14ac:dyDescent="0.25">
      <c r="A93" s="8">
        <v>46225.5</v>
      </c>
      <c r="B93" t="s">
        <v>1652</v>
      </c>
      <c r="C93" t="s">
        <v>174</v>
      </c>
      <c r="D93" s="9" t="s">
        <v>1</v>
      </c>
      <c r="E93" t="s">
        <v>174</v>
      </c>
      <c r="F93" t="s">
        <v>1</v>
      </c>
      <c r="G93" t="s">
        <v>1</v>
      </c>
      <c r="H93" t="s">
        <v>66</v>
      </c>
      <c r="I93">
        <v>4</v>
      </c>
      <c r="J93" s="4">
        <v>17</v>
      </c>
      <c r="K93" s="4">
        <v>23.12</v>
      </c>
      <c r="L93" s="4">
        <f>K93-J93</f>
      </c>
      <c r="M93" s="4">
        <f>L93*16.67%</f>
      </c>
      <c r="N93" s="4">
        <f>(K93*6.9%)-(K93*6.9%)*10%</f>
      </c>
      <c r="O93" s="4">
        <f>K93*0.35%</f>
      </c>
      <c r="P93" s="4">
        <v>0.4</v>
      </c>
      <c r="Q93" s="4">
        <f>(N93+O93+P93)*20%</f>
      </c>
      <c r="R93" s="4">
        <f>N93+O93+P93+Q93</f>
      </c>
      <c r="S93" s="4">
        <v>0</v>
      </c>
      <c r="T93" s="4">
        <v>0</v>
      </c>
      <c r="U93" s="4">
        <v>0</v>
      </c>
      <c r="V93" s="4">
        <f>U93*20%</f>
      </c>
      <c r="W93" s="4">
        <v>0</v>
      </c>
      <c r="X93" s="4">
        <f>Q93+T93+V93</f>
      </c>
      <c r="Y93" s="4">
        <f>L93-M93-R93-S93-T93-U93-V93-W93</f>
      </c>
      <c r="Z93" s="4">
        <f>(Y93-AB93)/J93*100</f>
      </c>
      <c r="AA93" s="4">
        <f>M93-X93</f>
      </c>
      <c r="AC93" s="4">
        <f>Y93-AB93</f>
      </c>
      <c r="AH93" t="s">
        <v>1</v>
      </c>
    </row>
    <row r="94" spans="1:34" x14ac:dyDescent="0.25">
      <c r="A94" s="8">
        <v>46224.5</v>
      </c>
      <c r="B94" t="s">
        <v>1653</v>
      </c>
      <c r="C94" t="s">
        <v>1</v>
      </c>
      <c r="D94" s="9" t="s">
        <v>1654</v>
      </c>
      <c r="E94" t="s">
        <v>81</v>
      </c>
      <c r="F94" t="s">
        <v>85</v>
      </c>
      <c r="G94" t="s">
        <v>65</v>
      </c>
      <c r="H94" t="s">
        <v>66</v>
      </c>
      <c r="I94">
        <v>1</v>
      </c>
      <c r="J94" s="4">
        <v>568</v>
      </c>
      <c r="K94" s="4">
        <v>761.12</v>
      </c>
      <c r="L94" s="4">
        <f>K94-J94</f>
      </c>
      <c r="M94" s="4">
        <f>L94*16.67%</f>
      </c>
      <c r="N94" s="4">
        <f>(K94*6.9%)-(K94*6.9%)*10%</f>
      </c>
      <c r="O94" s="4">
        <f>K94*0.35%</f>
      </c>
      <c r="P94" s="4">
        <v>0.4</v>
      </c>
      <c r="Q94" s="4">
        <f>(N94+O94+P94)*20%</f>
      </c>
      <c r="R94" s="4">
        <f>N94+O94+P94+Q94</f>
      </c>
      <c r="S94" s="4">
        <v>0</v>
      </c>
      <c r="T94" s="4">
        <v>0</v>
      </c>
      <c r="U94" s="4">
        <v>0</v>
      </c>
      <c r="V94" s="4">
        <f>U94*20%</f>
      </c>
      <c r="W94" s="4">
        <v>1</v>
      </c>
      <c r="X94" s="4">
        <f>Q94+T94+V94</f>
      </c>
      <c r="Y94" s="4">
        <f>L94-M94-R94-S94-T94-U94-V94-W94</f>
      </c>
      <c r="Z94" s="4">
        <f>(Y94-AB94)/J94*100</f>
      </c>
      <c r="AA94" s="4">
        <f>M94-X94</f>
      </c>
      <c r="AC94" s="4">
        <f>Y94-AB94</f>
      </c>
      <c r="AH94" t="s">
        <v>1</v>
      </c>
    </row>
    <row r="95" spans="1:34" x14ac:dyDescent="0.25">
      <c r="A95" s="8">
        <v>46224.5</v>
      </c>
      <c r="B95" t="s">
        <v>1655</v>
      </c>
      <c r="C95" t="s">
        <v>1</v>
      </c>
      <c r="D95" s="9" t="s">
        <v>1656</v>
      </c>
      <c r="E95" t="s">
        <v>114</v>
      </c>
      <c r="F95" t="s">
        <v>105</v>
      </c>
      <c r="G95" t="s">
        <v>95</v>
      </c>
      <c r="H95" t="s">
        <v>61</v>
      </c>
      <c r="I95">
        <v>1</v>
      </c>
      <c r="J95" s="4">
        <v>225</v>
      </c>
      <c r="K95" s="4">
        <v>301.5</v>
      </c>
      <c r="L95" s="4">
        <f>K95-J95</f>
      </c>
      <c r="M95" s="4">
        <f>L95*16.67%</f>
      </c>
      <c r="N95" s="4">
        <f>(K95*6.9%)-(K95*6.9%)*10%</f>
      </c>
      <c r="O95" s="4">
        <f>K95*0.35%</f>
      </c>
      <c r="P95" s="4">
        <v>0.4</v>
      </c>
      <c r="Q95" s="4">
        <f>(N95+O95+P95)*20%</f>
      </c>
      <c r="R95" s="4">
        <f>N95+O95+P95+Q95</f>
      </c>
      <c r="S95" s="4">
        <v>0</v>
      </c>
      <c r="T95" s="4">
        <v>0</v>
      </c>
      <c r="U95" s="4">
        <v>0</v>
      </c>
      <c r="V95" s="4">
        <f>U95*20%</f>
      </c>
      <c r="W95" s="4">
        <v>1</v>
      </c>
      <c r="X95" s="4">
        <f>Q95+T95+V95</f>
      </c>
      <c r="Y95" s="4">
        <f>L95-M95-R95-S95-T95-U95-V95-W95</f>
      </c>
      <c r="Z95" s="4">
        <f>(Y95-AB95)/J95*100</f>
      </c>
      <c r="AA95" s="4">
        <f>M95-X95</f>
      </c>
      <c r="AC95" s="4">
        <f>Y95-AB95</f>
      </c>
      <c r="AH95" t="s">
        <v>1</v>
      </c>
    </row>
    <row r="96" spans="1:34" x14ac:dyDescent="0.25">
      <c r="A96" s="8">
        <v>46224.5</v>
      </c>
      <c r="B96" t="s">
        <v>1657</v>
      </c>
      <c r="C96" t="s">
        <v>1</v>
      </c>
      <c r="D96" s="9" t="s">
        <v>1658</v>
      </c>
      <c r="E96" t="s">
        <v>91</v>
      </c>
      <c r="F96" t="s">
        <v>59</v>
      </c>
      <c r="G96" t="s">
        <v>65</v>
      </c>
      <c r="H96" t="s">
        <v>61</v>
      </c>
      <c r="I96">
        <v>1</v>
      </c>
      <c r="J96" s="4">
        <v>110</v>
      </c>
      <c r="K96" s="4">
        <v>126.5</v>
      </c>
      <c r="L96" s="4">
        <f>K96-J96</f>
      </c>
      <c r="M96" s="4">
        <f>L96*16.67%</f>
      </c>
      <c r="N96" s="4">
        <f>(K96*6.9%)-(K96*6.9%)*10%</f>
      </c>
      <c r="O96" s="4">
        <f>K96*0.35%</f>
      </c>
      <c r="P96" s="4">
        <v>0.4</v>
      </c>
      <c r="Q96" s="4">
        <f>(N96+O96+P96)*20%</f>
      </c>
      <c r="R96" s="4">
        <f>N96+O96+P96+Q96</f>
      </c>
      <c r="S96" s="4">
        <v>0</v>
      </c>
      <c r="T96" s="4">
        <v>0</v>
      </c>
      <c r="U96" s="4">
        <v>0</v>
      </c>
      <c r="V96" s="4">
        <f>U96*20%</f>
      </c>
      <c r="W96" s="4">
        <v>1</v>
      </c>
      <c r="X96" s="4">
        <f>Q96+T96+V96</f>
      </c>
      <c r="Y96" s="4">
        <f>L96-M96-R96-S96-T96-U96-V96-W96</f>
      </c>
      <c r="Z96" s="4">
        <f>(Y96-AB96)/J96*100</f>
      </c>
      <c r="AA96" s="4">
        <f>M96-X96</f>
      </c>
      <c r="AC96" s="4">
        <f>Y96-AB96</f>
      </c>
      <c r="AH96" t="s">
        <v>1</v>
      </c>
    </row>
    <row r="97" spans="1:34" x14ac:dyDescent="0.25">
      <c r="A97" s="8">
        <v>46223.5</v>
      </c>
      <c r="B97" t="s">
        <v>1659</v>
      </c>
      <c r="C97" t="s">
        <v>1</v>
      </c>
      <c r="D97" s="9" t="s">
        <v>1660</v>
      </c>
      <c r="E97" t="s">
        <v>98</v>
      </c>
      <c r="F97" t="s">
        <v>88</v>
      </c>
      <c r="G97" t="s">
        <v>65</v>
      </c>
      <c r="H97" t="s">
        <v>61</v>
      </c>
      <c r="I97">
        <v>1</v>
      </c>
      <c r="J97" s="4">
        <v>307</v>
      </c>
      <c r="K97" s="4">
        <v>371.47</v>
      </c>
      <c r="L97" s="4">
        <f>K97-J97</f>
      </c>
      <c r="M97" s="4">
        <f>L97*16.67%</f>
      </c>
      <c r="N97" s="4">
        <f>(K97*6.9%)-(K97*6.9%)*10%</f>
      </c>
      <c r="O97" s="4">
        <f>K97*0.35%</f>
      </c>
      <c r="P97" s="4">
        <v>0.4</v>
      </c>
      <c r="Q97" s="4">
        <f>(N97+O97+P97)*20%</f>
      </c>
      <c r="R97" s="4">
        <f>N97+O97+P97+Q97</f>
      </c>
      <c r="S97" s="4">
        <v>0</v>
      </c>
      <c r="T97" s="4">
        <v>0</v>
      </c>
      <c r="U97" s="4">
        <v>0</v>
      </c>
      <c r="V97" s="4">
        <f>U97*20%</f>
      </c>
      <c r="W97" s="4">
        <v>1</v>
      </c>
      <c r="X97" s="4">
        <f>Q97+T97+V97</f>
      </c>
      <c r="Y97" s="4">
        <f>L97-M97-R97-S97-T97-U97-V97-W97</f>
      </c>
      <c r="Z97" s="4">
        <f>(Y97-AB97)/J97*100</f>
      </c>
      <c r="AA97" s="4">
        <f>M97-X97</f>
      </c>
      <c r="AC97" s="4">
        <f>Y97-AB97</f>
      </c>
      <c r="AH97" t="s">
        <v>1</v>
      </c>
    </row>
    <row r="98" spans="1:34" x14ac:dyDescent="0.25">
      <c r="A98" s="8">
        <v>46223.5</v>
      </c>
      <c r="B98" t="s">
        <v>1661</v>
      </c>
      <c r="C98" t="s">
        <v>185</v>
      </c>
      <c r="D98" s="9" t="s">
        <v>1</v>
      </c>
      <c r="E98" t="s">
        <v>185</v>
      </c>
      <c r="F98" t="s">
        <v>1</v>
      </c>
      <c r="G98" t="s">
        <v>1</v>
      </c>
      <c r="H98" t="s">
        <v>102</v>
      </c>
      <c r="I98">
        <v>1</v>
      </c>
      <c r="J98" s="4">
        <v>1.2</v>
      </c>
      <c r="K98" s="4">
        <v>1.61</v>
      </c>
      <c r="L98" s="4">
        <f>K98-J98</f>
      </c>
      <c r="M98" s="4">
        <f>L98*16.67%</f>
      </c>
      <c r="N98" s="4">
        <f>(K98*6.9%)-(K98*6.9%)*10%</f>
      </c>
      <c r="O98" s="4">
        <f>K98*0.35%</f>
      </c>
      <c r="P98" s="4">
        <v>0.4</v>
      </c>
      <c r="Q98" s="4">
        <f>(N98+O98+P98)*20%</f>
      </c>
      <c r="R98" s="4">
        <f>N98+O98+P98+Q98</f>
      </c>
      <c r="S98" s="4">
        <v>0</v>
      </c>
      <c r="T98" s="4">
        <v>0</v>
      </c>
      <c r="U98" s="4">
        <v>0</v>
      </c>
      <c r="V98" s="4">
        <f>U98*20%</f>
      </c>
      <c r="W98" s="4">
        <v>0</v>
      </c>
      <c r="X98" s="4">
        <f>Q98+T98+V98</f>
      </c>
      <c r="Y98" s="4">
        <f>L98-M98-R98-S98-T98-U98-V98-W98</f>
      </c>
      <c r="Z98" s="4">
        <f>(Y98-AB98)/J98*100</f>
      </c>
      <c r="AA98" s="4">
        <f>M98-X98</f>
      </c>
      <c r="AC98" s="4">
        <f>Y98-AB98</f>
      </c>
      <c r="AH98" t="s">
        <v>1</v>
      </c>
    </row>
    <row r="99" spans="1:34" x14ac:dyDescent="0.25">
      <c r="A99" s="8">
        <v>46222.5</v>
      </c>
      <c r="B99" t="s">
        <v>1662</v>
      </c>
      <c r="C99" t="s">
        <v>1</v>
      </c>
      <c r="D99" s="9" t="s">
        <v>1663</v>
      </c>
      <c r="E99" t="s">
        <v>84</v>
      </c>
      <c r="F99" t="s">
        <v>85</v>
      </c>
      <c r="G99" t="s">
        <v>60</v>
      </c>
      <c r="H99" t="s">
        <v>78</v>
      </c>
      <c r="I99">
        <v>1</v>
      </c>
      <c r="J99" s="4">
        <v>721</v>
      </c>
      <c r="K99" s="4">
        <v>850.78</v>
      </c>
      <c r="L99" s="4">
        <f>K99-J99</f>
      </c>
      <c r="M99" s="4">
        <f>L99*16.67%</f>
      </c>
      <c r="N99" s="4">
        <f>(K99*6.9%)-(K99*6.9%)*10%</f>
      </c>
      <c r="O99" s="4">
        <f>K99*0.35%</f>
      </c>
      <c r="P99" s="4">
        <v>0.4</v>
      </c>
      <c r="Q99" s="4">
        <f>(N99+O99+P99)*20%</f>
      </c>
      <c r="R99" s="4">
        <f>N99+O99+P99+Q99</f>
      </c>
      <c r="S99" s="4">
        <v>0</v>
      </c>
      <c r="T99" s="4">
        <v>0</v>
      </c>
      <c r="U99" s="4">
        <v>0</v>
      </c>
      <c r="V99" s="4">
        <f>U99*20%</f>
      </c>
      <c r="W99" s="4">
        <v>1</v>
      </c>
      <c r="X99" s="4">
        <f>Q99+T99+V99</f>
      </c>
      <c r="Y99" s="4">
        <f>L99-M99-R99-S99-T99-U99-V99-W99</f>
      </c>
      <c r="Z99" s="4">
        <f>(Y99-AB99)/J99*100</f>
      </c>
      <c r="AA99" s="4">
        <f>M99-X99</f>
      </c>
      <c r="AC99" s="4">
        <f>Y99-AB99</f>
      </c>
      <c r="AH99" t="s">
        <v>1</v>
      </c>
    </row>
    <row r="100" spans="1:34" x14ac:dyDescent="0.25">
      <c r="A100" s="8">
        <v>46222.5</v>
      </c>
      <c r="B100" t="s">
        <v>1664</v>
      </c>
      <c r="C100" t="s">
        <v>1</v>
      </c>
      <c r="D100" s="9" t="s">
        <v>1665</v>
      </c>
      <c r="E100" t="s">
        <v>81</v>
      </c>
      <c r="F100" t="s">
        <v>70</v>
      </c>
      <c r="G100" t="s">
        <v>65</v>
      </c>
      <c r="H100" t="s">
        <v>102</v>
      </c>
      <c r="I100">
        <v>1</v>
      </c>
      <c r="J100" s="4">
        <v>589</v>
      </c>
      <c r="K100" s="4">
        <v>718.58</v>
      </c>
      <c r="L100" s="4">
        <f>K100-J100</f>
      </c>
      <c r="M100" s="4">
        <f>L100*16.67%</f>
      </c>
      <c r="N100" s="4">
        <f>(K100*6.9%)-(K100*6.9%)*10%</f>
      </c>
      <c r="O100" s="4">
        <f>K100*0.35%</f>
      </c>
      <c r="P100" s="4">
        <v>0.4</v>
      </c>
      <c r="Q100" s="4">
        <f>(N100+O100+P100)*20%</f>
      </c>
      <c r="R100" s="4">
        <f>N100+O100+P100+Q100</f>
      </c>
      <c r="S100" s="4">
        <v>0</v>
      </c>
      <c r="T100" s="4">
        <v>0</v>
      </c>
      <c r="U100" s="4">
        <v>0</v>
      </c>
      <c r="V100" s="4">
        <f>U100*20%</f>
      </c>
      <c r="W100" s="4">
        <v>1</v>
      </c>
      <c r="X100" s="4">
        <f>Q100+T100+V100</f>
      </c>
      <c r="Y100" s="4">
        <f>L100-M100-R100-S100-T100-U100-V100-W100</f>
      </c>
      <c r="Z100" s="4">
        <f>(Y100-AB100)/J100*100</f>
      </c>
      <c r="AA100" s="4">
        <f>M100-X100</f>
      </c>
      <c r="AC100" s="4">
        <f>Y100-AB100</f>
      </c>
      <c r="AH100" t="s">
        <v>1</v>
      </c>
    </row>
    <row r="101" spans="1:34" x14ac:dyDescent="0.25">
      <c r="A101" s="8">
        <v>46222.5</v>
      </c>
      <c r="B101" t="s">
        <v>1666</v>
      </c>
      <c r="C101" t="s">
        <v>1</v>
      </c>
      <c r="D101" s="9" t="s">
        <v>1667</v>
      </c>
      <c r="E101" t="s">
        <v>69</v>
      </c>
      <c r="F101" t="s">
        <v>105</v>
      </c>
      <c r="G101" t="s">
        <v>60</v>
      </c>
      <c r="H101" t="s">
        <v>66</v>
      </c>
      <c r="I101">
        <v>1</v>
      </c>
      <c r="J101" s="4">
        <v>555</v>
      </c>
      <c r="K101" s="4">
        <v>677.1</v>
      </c>
      <c r="L101" s="4">
        <f>K101-J101</f>
      </c>
      <c r="M101" s="4">
        <f>L101*16.67%</f>
      </c>
      <c r="N101" s="4">
        <f>(K101*6.9%)-(K101*6.9%)*10%</f>
      </c>
      <c r="O101" s="4">
        <f>K101*0.35%</f>
      </c>
      <c r="P101" s="4">
        <v>0.4</v>
      </c>
      <c r="Q101" s="4">
        <f>(N101+O101+P101)*20%</f>
      </c>
      <c r="R101" s="4">
        <f>N101+O101+P101+Q101</f>
      </c>
      <c r="S101" s="4">
        <v>0</v>
      </c>
      <c r="T101" s="4">
        <v>0</v>
      </c>
      <c r="U101" s="4">
        <v>0</v>
      </c>
      <c r="V101" s="4">
        <f>U101*20%</f>
      </c>
      <c r="W101" s="4">
        <v>1</v>
      </c>
      <c r="X101" s="4">
        <f>Q101+T101+V101</f>
      </c>
      <c r="Y101" s="4">
        <f>L101-M101-R101-S101-T101-U101-V101-W101</f>
      </c>
      <c r="Z101" s="4">
        <f>(Y101-AB101)/J101*100</f>
      </c>
      <c r="AA101" s="4">
        <f>M101-X101</f>
      </c>
      <c r="AC101" s="4">
        <f>Y101-AB101</f>
      </c>
      <c r="AH101" t="s">
        <v>1</v>
      </c>
    </row>
    <row r="102" spans="1:34" x14ac:dyDescent="0.25">
      <c r="A102" s="8">
        <v>46222.5</v>
      </c>
      <c r="B102" t="s">
        <v>1668</v>
      </c>
      <c r="C102" t="s">
        <v>185</v>
      </c>
      <c r="D102" s="9" t="s">
        <v>1</v>
      </c>
      <c r="E102" t="s">
        <v>185</v>
      </c>
      <c r="F102" t="s">
        <v>1</v>
      </c>
      <c r="G102" t="s">
        <v>1</v>
      </c>
      <c r="H102" t="s">
        <v>102</v>
      </c>
      <c r="I102">
        <v>2</v>
      </c>
      <c r="J102" s="4">
        <v>2.4</v>
      </c>
      <c r="K102" s="4">
        <v>2.95</v>
      </c>
      <c r="L102" s="4">
        <f>K102-J102</f>
      </c>
      <c r="M102" s="4">
        <f>L102*16.67%</f>
      </c>
      <c r="N102" s="4">
        <f>(K102*6.9%)-(K102*6.9%)*10%</f>
      </c>
      <c r="O102" s="4">
        <f>K102*0.35%</f>
      </c>
      <c r="P102" s="4">
        <v>0.4</v>
      </c>
      <c r="Q102" s="4">
        <f>(N102+O102+P102)*20%</f>
      </c>
      <c r="R102" s="4">
        <f>N102+O102+P102+Q102</f>
      </c>
      <c r="S102" s="4">
        <v>0</v>
      </c>
      <c r="T102" s="4">
        <v>0</v>
      </c>
      <c r="U102" s="4">
        <v>0</v>
      </c>
      <c r="V102" s="4">
        <f>U102*20%</f>
      </c>
      <c r="W102" s="4">
        <v>0</v>
      </c>
      <c r="X102" s="4">
        <f>Q102+T102+V102</f>
      </c>
      <c r="Y102" s="4">
        <f>L102-M102-R102-S102-T102-U102-V102-W102</f>
      </c>
      <c r="Z102" s="4">
        <f>(Y102-AB102)/J102*100</f>
      </c>
      <c r="AA102" s="4">
        <f>M102-X102</f>
      </c>
      <c r="AC102" s="4">
        <f>Y102-AB102</f>
      </c>
      <c r="AH102" t="s">
        <v>1</v>
      </c>
    </row>
    <row r="103" spans="1:34" x14ac:dyDescent="0.25">
      <c r="A103" s="8">
        <v>46221.5</v>
      </c>
      <c r="B103" t="s">
        <v>1669</v>
      </c>
      <c r="C103" t="s">
        <v>1</v>
      </c>
      <c r="D103" s="9" t="s">
        <v>1670</v>
      </c>
      <c r="E103" t="s">
        <v>58</v>
      </c>
      <c r="F103" t="s">
        <v>85</v>
      </c>
      <c r="G103" t="s">
        <v>60</v>
      </c>
      <c r="H103" t="s">
        <v>61</v>
      </c>
      <c r="I103">
        <v>1</v>
      </c>
      <c r="J103" s="4">
        <v>451</v>
      </c>
      <c r="K103" s="4">
        <v>604.34</v>
      </c>
      <c r="L103" s="4">
        <f>K103-J103</f>
      </c>
      <c r="M103" s="4">
        <f>L103*16.67%</f>
      </c>
      <c r="N103" s="4">
        <f>(K103*6.9%)-(K103*6.9%)*10%</f>
      </c>
      <c r="O103" s="4">
        <f>K103*0.35%</f>
      </c>
      <c r="P103" s="4">
        <v>0.4</v>
      </c>
      <c r="Q103" s="4">
        <f>(N103+O103+P103)*20%</f>
      </c>
      <c r="R103" s="4">
        <f>N103+O103+P103+Q103</f>
      </c>
      <c r="S103" s="4">
        <v>0</v>
      </c>
      <c r="T103" s="4">
        <v>0</v>
      </c>
      <c r="U103" s="4">
        <v>0</v>
      </c>
      <c r="V103" s="4">
        <f>U103*20%</f>
      </c>
      <c r="W103" s="4">
        <v>1</v>
      </c>
      <c r="X103" s="4">
        <f>Q103+T103+V103</f>
      </c>
      <c r="Y103" s="4">
        <f>L103-M103-R103-S103-T103-U103-V103-W103</f>
      </c>
      <c r="Z103" s="4">
        <f>(Y103-AB103)/J103*100</f>
      </c>
      <c r="AA103" s="4">
        <f>M103-X103</f>
      </c>
      <c r="AC103" s="4">
        <f>Y103-AB103</f>
      </c>
      <c r="AH103" t="s">
        <v>1</v>
      </c>
    </row>
    <row r="104" spans="1:34" x14ac:dyDescent="0.25">
      <c r="A104" s="8">
        <v>46221.5</v>
      </c>
      <c r="B104" t="s">
        <v>1671</v>
      </c>
      <c r="C104" t="s">
        <v>1</v>
      </c>
      <c r="D104" s="9" t="s">
        <v>1672</v>
      </c>
      <c r="E104" t="s">
        <v>84</v>
      </c>
      <c r="F104" t="s">
        <v>88</v>
      </c>
      <c r="G104" t="s">
        <v>60</v>
      </c>
      <c r="H104" t="s">
        <v>66</v>
      </c>
      <c r="I104">
        <v>1</v>
      </c>
      <c r="J104" s="4">
        <v>760</v>
      </c>
      <c r="K104" s="4">
        <v>1048.8</v>
      </c>
      <c r="L104" s="4">
        <f>K104-J104</f>
      </c>
      <c r="M104" s="4">
        <f>L104*16.67%</f>
      </c>
      <c r="N104" s="4">
        <f>(K104*6.9%)-(K104*6.9%)*10%</f>
      </c>
      <c r="O104" s="4">
        <f>K104*0.35%</f>
      </c>
      <c r="P104" s="4">
        <v>0.4</v>
      </c>
      <c r="Q104" s="4">
        <f>(N104+O104+P104)*20%</f>
      </c>
      <c r="R104" s="4">
        <f>N104+O104+P104+Q104</f>
      </c>
      <c r="S104" s="4">
        <v>0</v>
      </c>
      <c r="T104" s="4">
        <v>0</v>
      </c>
      <c r="U104" s="4">
        <v>0</v>
      </c>
      <c r="V104" s="4">
        <f>U104*20%</f>
      </c>
      <c r="W104" s="4">
        <v>1</v>
      </c>
      <c r="X104" s="4">
        <f>Q104+T104+V104</f>
      </c>
      <c r="Y104" s="4">
        <f>L104-M104-R104-S104-T104-U104-V104-W104</f>
      </c>
      <c r="Z104" s="4">
        <f>(Y104-AB104)/J104*100</f>
      </c>
      <c r="AA104" s="4">
        <f>M104-X104</f>
      </c>
      <c r="AC104" s="4">
        <f>Y104-AB104</f>
      </c>
      <c r="AH104" t="s">
        <v>1</v>
      </c>
    </row>
    <row r="105" spans="1:34" x14ac:dyDescent="0.25">
      <c r="A105" s="8">
        <v>46221.5</v>
      </c>
      <c r="B105" t="s">
        <v>1673</v>
      </c>
      <c r="C105" t="s">
        <v>1</v>
      </c>
      <c r="D105" s="9" t="s">
        <v>1674</v>
      </c>
      <c r="E105" t="s">
        <v>114</v>
      </c>
      <c r="F105" t="s">
        <v>85</v>
      </c>
      <c r="G105" t="s">
        <v>60</v>
      </c>
      <c r="H105" t="s">
        <v>102</v>
      </c>
      <c r="I105">
        <v>1</v>
      </c>
      <c r="J105" s="4">
        <v>203</v>
      </c>
      <c r="K105" s="4">
        <v>233.45</v>
      </c>
      <c r="L105" s="4">
        <f>K105-J105</f>
      </c>
      <c r="M105" s="4">
        <f>L105*16.67%</f>
      </c>
      <c r="N105" s="4">
        <f>(K105*6.9%)-(K105*6.9%)*10%</f>
      </c>
      <c r="O105" s="4">
        <f>K105*0.35%</f>
      </c>
      <c r="P105" s="4">
        <v>0.4</v>
      </c>
      <c r="Q105" s="4">
        <f>(N105+O105+P105)*20%</f>
      </c>
      <c r="R105" s="4">
        <f>N105+O105+P105+Q105</f>
      </c>
      <c r="S105" s="4">
        <v>0</v>
      </c>
      <c r="T105" s="4">
        <v>0</v>
      </c>
      <c r="U105" s="4">
        <v>0</v>
      </c>
      <c r="V105" s="4">
        <f>U105*20%</f>
      </c>
      <c r="W105" s="4">
        <v>1</v>
      </c>
      <c r="X105" s="4">
        <f>Q105+T105+V105</f>
      </c>
      <c r="Y105" s="4">
        <f>L105-M105-R105-S105-T105-U105-V105-W105</f>
      </c>
      <c r="Z105" s="4">
        <f>(Y105-AB105)/J105*100</f>
      </c>
      <c r="AA105" s="4">
        <f>M105-X105</f>
      </c>
      <c r="AC105" s="4">
        <f>Y105-AB105</f>
      </c>
      <c r="AH105" t="s">
        <v>1</v>
      </c>
    </row>
    <row r="106" spans="1:34" x14ac:dyDescent="0.25">
      <c r="A106" s="8">
        <v>46221.5</v>
      </c>
      <c r="B106" t="s">
        <v>1675</v>
      </c>
      <c r="C106" t="s">
        <v>1</v>
      </c>
      <c r="D106" s="9" t="s">
        <v>1676</v>
      </c>
      <c r="E106" t="s">
        <v>69</v>
      </c>
      <c r="F106" t="s">
        <v>74</v>
      </c>
      <c r="G106" t="s">
        <v>60</v>
      </c>
      <c r="H106" t="s">
        <v>102</v>
      </c>
      <c r="I106">
        <v>1</v>
      </c>
      <c r="J106" s="4">
        <v>555</v>
      </c>
      <c r="K106" s="4">
        <v>660.45</v>
      </c>
      <c r="L106" s="4">
        <f>K106-J106</f>
      </c>
      <c r="M106" s="4">
        <f>L106*16.67%</f>
      </c>
      <c r="N106" s="4">
        <f>(K106*6.9%)-(K106*6.9%)*10%</f>
      </c>
      <c r="O106" s="4">
        <f>K106*0.35%</f>
      </c>
      <c r="P106" s="4">
        <v>0.4</v>
      </c>
      <c r="Q106" s="4">
        <f>(N106+O106+P106)*20%</f>
      </c>
      <c r="R106" s="4">
        <f>N106+O106+P106+Q106</f>
      </c>
      <c r="S106" s="4">
        <v>0</v>
      </c>
      <c r="T106" s="4">
        <v>0</v>
      </c>
      <c r="U106" s="4">
        <v>0</v>
      </c>
      <c r="V106" s="4">
        <f>U106*20%</f>
      </c>
      <c r="W106" s="4">
        <v>1</v>
      </c>
      <c r="X106" s="4">
        <f>Q106+T106+V106</f>
      </c>
      <c r="Y106" s="4">
        <f>L106-M106-R106-S106-T106-U106-V106-W106</f>
      </c>
      <c r="Z106" s="4">
        <f>(Y106-AB106)/J106*100</f>
      </c>
      <c r="AA106" s="4">
        <f>M106-X106</f>
      </c>
      <c r="AC106" s="4">
        <f>Y106-AB106</f>
      </c>
      <c r="AH106" t="s">
        <v>1</v>
      </c>
    </row>
    <row r="107" spans="1:34" x14ac:dyDescent="0.25">
      <c r="A107" s="8">
        <v>46221.5</v>
      </c>
      <c r="B107" t="s">
        <v>1677</v>
      </c>
      <c r="C107" t="s">
        <v>1</v>
      </c>
      <c r="D107" s="9" t="s">
        <v>1678</v>
      </c>
      <c r="E107" t="s">
        <v>81</v>
      </c>
      <c r="F107" t="s">
        <v>74</v>
      </c>
      <c r="G107" t="s">
        <v>65</v>
      </c>
      <c r="H107" t="s">
        <v>61</v>
      </c>
      <c r="I107">
        <v>1</v>
      </c>
      <c r="J107" s="4">
        <v>568</v>
      </c>
      <c r="K107" s="4">
        <v>698.64</v>
      </c>
      <c r="L107" s="4">
        <f>K107-J107</f>
      </c>
      <c r="M107" s="4">
        <f>L107*16.67%</f>
      </c>
      <c r="N107" s="4">
        <f>(K107*6.9%)-(K107*6.9%)*10%</f>
      </c>
      <c r="O107" s="4">
        <f>K107*0.35%</f>
      </c>
      <c r="P107" s="4">
        <v>0.4</v>
      </c>
      <c r="Q107" s="4">
        <f>(N107+O107+P107)*20%</f>
      </c>
      <c r="R107" s="4">
        <f>N107+O107+P107+Q107</f>
      </c>
      <c r="S107" s="4">
        <v>0</v>
      </c>
      <c r="T107" s="4">
        <v>0</v>
      </c>
      <c r="U107" s="4">
        <v>0</v>
      </c>
      <c r="V107" s="4">
        <f>U107*20%</f>
      </c>
      <c r="W107" s="4">
        <v>1</v>
      </c>
      <c r="X107" s="4">
        <f>Q107+T107+V107</f>
      </c>
      <c r="Y107" s="4">
        <f>L107-M107-R107-S107-T107-U107-V107-W107</f>
      </c>
      <c r="Z107" s="4">
        <f>(Y107-AB107)/J107*100</f>
      </c>
      <c r="AA107" s="4">
        <f>M107-X107</f>
      </c>
      <c r="AC107" s="4">
        <f>Y107-AB107</f>
      </c>
      <c r="AH107" t="s">
        <v>1</v>
      </c>
    </row>
    <row r="108" spans="1:34" x14ac:dyDescent="0.25">
      <c r="A108" s="8">
        <v>46221.5</v>
      </c>
      <c r="B108" t="s">
        <v>1679</v>
      </c>
      <c r="C108" t="s">
        <v>1</v>
      </c>
      <c r="D108" s="9" t="s">
        <v>1680</v>
      </c>
      <c r="E108" t="s">
        <v>139</v>
      </c>
      <c r="F108" t="s">
        <v>59</v>
      </c>
      <c r="G108" t="s">
        <v>65</v>
      </c>
      <c r="H108" t="s">
        <v>61</v>
      </c>
      <c r="I108">
        <v>1</v>
      </c>
      <c r="J108" s="4">
        <v>335</v>
      </c>
      <c r="K108" s="4">
        <v>465.65</v>
      </c>
      <c r="L108" s="4">
        <f>K108-J108</f>
      </c>
      <c r="M108" s="4">
        <f>L108*16.67%</f>
      </c>
      <c r="N108" s="4">
        <f>(K108*6.9%)-(K108*6.9%)*10%</f>
      </c>
      <c r="O108" s="4">
        <f>K108*0.35%</f>
      </c>
      <c r="P108" s="4">
        <v>0.4</v>
      </c>
      <c r="Q108" s="4">
        <f>(N108+O108+P108)*20%</f>
      </c>
      <c r="R108" s="4">
        <f>N108+O108+P108+Q108</f>
      </c>
      <c r="S108" s="4">
        <v>0</v>
      </c>
      <c r="T108" s="4">
        <v>0</v>
      </c>
      <c r="U108" s="4">
        <v>0</v>
      </c>
      <c r="V108" s="4">
        <f>U108*20%</f>
      </c>
      <c r="W108" s="4">
        <v>1</v>
      </c>
      <c r="X108" s="4">
        <f>Q108+T108+V108</f>
      </c>
      <c r="Y108" s="4">
        <f>L108-M108-R108-S108-T108-U108-V108-W108</f>
      </c>
      <c r="Z108" s="4">
        <f>(Y108-AB108)/J108*100</f>
      </c>
      <c r="AA108" s="4">
        <f>M108-X108</f>
      </c>
      <c r="AC108" s="4">
        <f>Y108-AB108</f>
      </c>
      <c r="AH108" t="s">
        <v>1</v>
      </c>
    </row>
    <row r="109" spans="1:34" x14ac:dyDescent="0.25">
      <c r="A109" s="8">
        <v>46221.5</v>
      </c>
      <c r="B109" t="s">
        <v>1681</v>
      </c>
      <c r="C109" t="s">
        <v>1</v>
      </c>
      <c r="D109" s="9" t="s">
        <v>1682</v>
      </c>
      <c r="E109" t="s">
        <v>84</v>
      </c>
      <c r="F109" t="s">
        <v>88</v>
      </c>
      <c r="G109" t="s">
        <v>60</v>
      </c>
      <c r="H109" t="s">
        <v>102</v>
      </c>
      <c r="I109">
        <v>1</v>
      </c>
      <c r="J109" s="4">
        <v>745</v>
      </c>
      <c r="K109" s="4">
        <v>901.45</v>
      </c>
      <c r="L109" s="4">
        <f>K109-J109</f>
      </c>
      <c r="M109" s="4">
        <f>L109*16.67%</f>
      </c>
      <c r="N109" s="4">
        <f>(K109*6.9%)-(K109*6.9%)*10%</f>
      </c>
      <c r="O109" s="4">
        <f>K109*0.35%</f>
      </c>
      <c r="P109" s="4">
        <v>0.4</v>
      </c>
      <c r="Q109" s="4">
        <f>(N109+O109+P109)*20%</f>
      </c>
      <c r="R109" s="4">
        <f>N109+O109+P109+Q109</f>
      </c>
      <c r="S109" s="4">
        <v>0</v>
      </c>
      <c r="T109" s="4">
        <v>0</v>
      </c>
      <c r="U109" s="4">
        <v>0</v>
      </c>
      <c r="V109" s="4">
        <f>U109*20%</f>
      </c>
      <c r="W109" s="4">
        <v>1</v>
      </c>
      <c r="X109" s="4">
        <f>Q109+T109+V109</f>
      </c>
      <c r="Y109" s="4">
        <f>L109-M109-R109-S109-T109-U109-V109-W109</f>
      </c>
      <c r="Z109" s="4">
        <f>(Y109-AB109)/J109*100</f>
      </c>
      <c r="AA109" s="4">
        <f>M109-X109</f>
      </c>
      <c r="AC109" s="4">
        <f>Y109-AB109</f>
      </c>
      <c r="AH109" t="s">
        <v>1</v>
      </c>
    </row>
    <row r="110" spans="1:34" x14ac:dyDescent="0.25">
      <c r="A110" s="8">
        <v>46221.5</v>
      </c>
      <c r="B110" t="s">
        <v>1683</v>
      </c>
      <c r="C110" t="s">
        <v>1</v>
      </c>
      <c r="D110" s="9" t="s">
        <v>1684</v>
      </c>
      <c r="E110" t="s">
        <v>114</v>
      </c>
      <c r="F110" t="s">
        <v>74</v>
      </c>
      <c r="G110" t="s">
        <v>60</v>
      </c>
      <c r="H110" t="s">
        <v>61</v>
      </c>
      <c r="I110">
        <v>1</v>
      </c>
      <c r="J110" s="4">
        <v>239</v>
      </c>
      <c r="K110" s="4">
        <v>332.21</v>
      </c>
      <c r="L110" s="4">
        <f>K110-J110</f>
      </c>
      <c r="M110" s="4">
        <f>L110*16.67%</f>
      </c>
      <c r="N110" s="4">
        <f>(K110*6.9%)-(K110*6.9%)*10%</f>
      </c>
      <c r="O110" s="4">
        <f>K110*0.35%</f>
      </c>
      <c r="P110" s="4">
        <v>0.4</v>
      </c>
      <c r="Q110" s="4">
        <f>(N110+O110+P110)*20%</f>
      </c>
      <c r="R110" s="4">
        <f>N110+O110+P110+Q110</f>
      </c>
      <c r="S110" s="4">
        <v>0</v>
      </c>
      <c r="T110" s="4">
        <v>0</v>
      </c>
      <c r="U110" s="4">
        <v>0</v>
      </c>
      <c r="V110" s="4">
        <f>U110*20%</f>
      </c>
      <c r="W110" s="4">
        <v>1</v>
      </c>
      <c r="X110" s="4">
        <f>Q110+T110+V110</f>
      </c>
      <c r="Y110" s="4">
        <f>L110-M110-R110-S110-T110-U110-V110-W110</f>
      </c>
      <c r="Z110" s="4">
        <f>(Y110-AB110)/J110*100</f>
      </c>
      <c r="AA110" s="4">
        <f>M110-X110</f>
      </c>
      <c r="AC110" s="4">
        <f>Y110-AB110</f>
      </c>
      <c r="AH110" t="s">
        <v>1</v>
      </c>
    </row>
    <row r="111" spans="1:34" x14ac:dyDescent="0.25">
      <c r="A111" s="8">
        <v>46221.5</v>
      </c>
      <c r="B111" t="s">
        <v>1685</v>
      </c>
      <c r="C111" t="s">
        <v>254</v>
      </c>
      <c r="D111" s="9" t="s">
        <v>1</v>
      </c>
      <c r="E111" t="s">
        <v>254</v>
      </c>
      <c r="F111" t="s">
        <v>1</v>
      </c>
      <c r="G111" t="s">
        <v>1</v>
      </c>
      <c r="H111" t="s">
        <v>61</v>
      </c>
      <c r="I111">
        <v>3</v>
      </c>
      <c r="J111" s="4">
        <v>2.4</v>
      </c>
      <c r="K111" s="4">
        <v>3.43</v>
      </c>
      <c r="L111" s="4">
        <f>K111-J111</f>
      </c>
      <c r="M111" s="4">
        <f>L111*16.67%</f>
      </c>
      <c r="N111" s="4">
        <f>(K111*6.9%)-(K111*6.9%)*10%</f>
      </c>
      <c r="O111" s="4">
        <f>K111*0.35%</f>
      </c>
      <c r="P111" s="4">
        <v>0.4</v>
      </c>
      <c r="Q111" s="4">
        <f>(N111+O111+P111)*20%</f>
      </c>
      <c r="R111" s="4">
        <f>N111+O111+P111+Q111</f>
      </c>
      <c r="S111" s="4">
        <v>0</v>
      </c>
      <c r="T111" s="4">
        <v>0</v>
      </c>
      <c r="U111" s="4">
        <v>0</v>
      </c>
      <c r="V111" s="4">
        <f>U111*20%</f>
      </c>
      <c r="W111" s="4">
        <v>0</v>
      </c>
      <c r="X111" s="4">
        <f>Q111+T111+V111</f>
      </c>
      <c r="Y111" s="4">
        <f>L111-M111-R111-S111-T111-U111-V111-W111</f>
      </c>
      <c r="Z111" s="4">
        <f>(Y111-AB111)/J111*100</f>
      </c>
      <c r="AA111" s="4">
        <f>M111-X111</f>
      </c>
      <c r="AC111" s="4">
        <f>Y111-AB111</f>
      </c>
      <c r="AH111" t="s">
        <v>1</v>
      </c>
    </row>
    <row r="112" spans="1:34" x14ac:dyDescent="0.25">
      <c r="A112" s="8">
        <v>46220.5</v>
      </c>
      <c r="B112" t="s">
        <v>1686</v>
      </c>
      <c r="C112" t="s">
        <v>1</v>
      </c>
      <c r="D112" s="9" t="s">
        <v>1687</v>
      </c>
      <c r="E112" t="s">
        <v>58</v>
      </c>
      <c r="F112" t="s">
        <v>88</v>
      </c>
      <c r="G112" t="s">
        <v>60</v>
      </c>
      <c r="H112" t="s">
        <v>102</v>
      </c>
      <c r="I112">
        <v>1</v>
      </c>
      <c r="J112" s="4">
        <v>476</v>
      </c>
      <c r="K112" s="4">
        <v>633.08</v>
      </c>
      <c r="L112" s="4">
        <f>K112-J112</f>
      </c>
      <c r="M112" s="4">
        <f>L112*16.67%</f>
      </c>
      <c r="N112" s="4">
        <f>(K112*6.9%)-(K112*6.9%)*10%</f>
      </c>
      <c r="O112" s="4">
        <f>K112*0.35%</f>
      </c>
      <c r="P112" s="4">
        <v>0.4</v>
      </c>
      <c r="Q112" s="4">
        <f>(N112+O112+P112)*20%</f>
      </c>
      <c r="R112" s="4">
        <f>N112+O112+P112+Q112</f>
      </c>
      <c r="S112" s="4">
        <v>0</v>
      </c>
      <c r="T112" s="4">
        <v>0</v>
      </c>
      <c r="U112" s="4">
        <v>0</v>
      </c>
      <c r="V112" s="4">
        <f>U112*20%</f>
      </c>
      <c r="W112" s="4">
        <v>1</v>
      </c>
      <c r="X112" s="4">
        <f>Q112+T112+V112</f>
      </c>
      <c r="Y112" s="4">
        <f>L112-M112-R112-S112-T112-U112-V112-W112</f>
      </c>
      <c r="Z112" s="4">
        <f>(Y112-AB112)/J112*100</f>
      </c>
      <c r="AA112" s="4">
        <f>M112-X112</f>
      </c>
      <c r="AC112" s="4">
        <f>Y112-AB112</f>
      </c>
      <c r="AH112" t="s">
        <v>1</v>
      </c>
    </row>
    <row r="113" spans="1:34" x14ac:dyDescent="0.25">
      <c r="A113" s="8">
        <v>46220.5</v>
      </c>
      <c r="B113" t="s">
        <v>1688</v>
      </c>
      <c r="C113" t="s">
        <v>1</v>
      </c>
      <c r="D113" s="9" t="s">
        <v>1689</v>
      </c>
      <c r="E113" t="s">
        <v>94</v>
      </c>
      <c r="F113" t="s">
        <v>105</v>
      </c>
      <c r="G113" t="s">
        <v>95</v>
      </c>
      <c r="H113" t="s">
        <v>66</v>
      </c>
      <c r="I113">
        <v>1</v>
      </c>
      <c r="J113" s="4">
        <v>73</v>
      </c>
      <c r="K113" s="4">
        <v>89.06</v>
      </c>
      <c r="L113" s="4">
        <f>K113-J113</f>
      </c>
      <c r="M113" s="4">
        <f>L113*16.67%</f>
      </c>
      <c r="N113" s="4">
        <f>(K113*6.9%)-(K113*6.9%)*10%</f>
      </c>
      <c r="O113" s="4">
        <f>K113*0.35%</f>
      </c>
      <c r="P113" s="4">
        <v>0.4</v>
      </c>
      <c r="Q113" s="4">
        <f>(N113+O113+P113)*20%</f>
      </c>
      <c r="R113" s="4">
        <f>N113+O113+P113+Q113</f>
      </c>
      <c r="S113" s="4">
        <v>0</v>
      </c>
      <c r="T113" s="4">
        <v>0</v>
      </c>
      <c r="U113" s="4">
        <v>0</v>
      </c>
      <c r="V113" s="4">
        <f>U113*20%</f>
      </c>
      <c r="W113" s="4">
        <v>1</v>
      </c>
      <c r="X113" s="4">
        <f>Q113+T113+V113</f>
      </c>
      <c r="Y113" s="4">
        <f>L113-M113-R113-S113-T113-U113-V113-W113</f>
      </c>
      <c r="Z113" s="4">
        <f>(Y113-AB113)/J113*100</f>
      </c>
      <c r="AA113" s="4">
        <f>M113-X113</f>
      </c>
      <c r="AC113" s="4">
        <f>Y113-AB113</f>
      </c>
      <c r="AH113" t="s">
        <v>1</v>
      </c>
    </row>
    <row r="114" spans="1:34" x14ac:dyDescent="0.25">
      <c r="A114" s="8">
        <v>46220.5</v>
      </c>
      <c r="B114" t="s">
        <v>1690</v>
      </c>
      <c r="C114" t="s">
        <v>1</v>
      </c>
      <c r="D114" s="9" t="s">
        <v>1691</v>
      </c>
      <c r="E114" t="s">
        <v>292</v>
      </c>
      <c r="F114" t="s">
        <v>70</v>
      </c>
      <c r="G114" t="s">
        <v>126</v>
      </c>
      <c r="H114" t="s">
        <v>61</v>
      </c>
      <c r="I114">
        <v>1</v>
      </c>
      <c r="J114" s="4">
        <v>184</v>
      </c>
      <c r="K114" s="4">
        <v>224.48</v>
      </c>
      <c r="L114" s="4">
        <f>K114-J114</f>
      </c>
      <c r="M114" s="4">
        <f>L114*16.67%</f>
      </c>
      <c r="N114" s="4">
        <f>(K114*6.9%)-(K114*6.9%)*10%</f>
      </c>
      <c r="O114" s="4">
        <f>K114*0.35%</f>
      </c>
      <c r="P114" s="4">
        <v>0.4</v>
      </c>
      <c r="Q114" s="4">
        <f>(N114+O114+P114)*20%</f>
      </c>
      <c r="R114" s="4">
        <f>N114+O114+P114+Q114</f>
      </c>
      <c r="S114" s="4">
        <v>0</v>
      </c>
      <c r="T114" s="4">
        <v>0</v>
      </c>
      <c r="U114" s="4">
        <v>0</v>
      </c>
      <c r="V114" s="4">
        <f>U114*20%</f>
      </c>
      <c r="W114" s="4">
        <v>1</v>
      </c>
      <c r="X114" s="4">
        <f>Q114+T114+V114</f>
      </c>
      <c r="Y114" s="4">
        <f>L114-M114-R114-S114-T114-U114-V114-W114</f>
      </c>
      <c r="Z114" s="4">
        <f>(Y114-AB114)/J114*100</f>
      </c>
      <c r="AA114" s="4">
        <f>M114-X114</f>
      </c>
      <c r="AC114" s="4">
        <f>Y114-AB114</f>
      </c>
      <c r="AH114" t="s">
        <v>1</v>
      </c>
    </row>
    <row r="115" spans="1:34" x14ac:dyDescent="0.25">
      <c r="A115" s="8">
        <v>46220.5</v>
      </c>
      <c r="B115" t="s">
        <v>1692</v>
      </c>
      <c r="C115" t="s">
        <v>1</v>
      </c>
      <c r="D115" s="9" t="s">
        <v>1693</v>
      </c>
      <c r="E115" t="s">
        <v>292</v>
      </c>
      <c r="F115" t="s">
        <v>99</v>
      </c>
      <c r="G115" t="s">
        <v>126</v>
      </c>
      <c r="H115" t="s">
        <v>78</v>
      </c>
      <c r="I115">
        <v>1</v>
      </c>
      <c r="J115" s="4">
        <v>177</v>
      </c>
      <c r="K115" s="4">
        <v>228.33</v>
      </c>
      <c r="L115" s="4">
        <f>K115-J115</f>
      </c>
      <c r="M115" s="4">
        <f>L115*16.67%</f>
      </c>
      <c r="N115" s="4">
        <f>(K115*6.9%)-(K115*6.9%)*10%</f>
      </c>
      <c r="O115" s="4">
        <f>K115*0.35%</f>
      </c>
      <c r="P115" s="4">
        <v>0.4</v>
      </c>
      <c r="Q115" s="4">
        <f>(N115+O115+P115)*20%</f>
      </c>
      <c r="R115" s="4">
        <f>N115+O115+P115+Q115</f>
      </c>
      <c r="S115" s="4">
        <v>0</v>
      </c>
      <c r="T115" s="4">
        <v>0</v>
      </c>
      <c r="U115" s="4">
        <v>0</v>
      </c>
      <c r="V115" s="4">
        <f>U115*20%</f>
      </c>
      <c r="W115" s="4">
        <v>1</v>
      </c>
      <c r="X115" s="4">
        <f>Q115+T115+V115</f>
      </c>
      <c r="Y115" s="4">
        <f>L115-M115-R115-S115-T115-U115-V115-W115</f>
      </c>
      <c r="Z115" s="4">
        <f>(Y115-AB115)/J115*100</f>
      </c>
      <c r="AA115" s="4">
        <f>M115-X115</f>
      </c>
      <c r="AC115" s="4">
        <f>Y115-AB115</f>
      </c>
      <c r="AH115" t="s">
        <v>1</v>
      </c>
    </row>
    <row r="116" spans="1:34" x14ac:dyDescent="0.25">
      <c r="A116" s="8">
        <v>46220.5</v>
      </c>
      <c r="B116" t="s">
        <v>1694</v>
      </c>
      <c r="C116" t="s">
        <v>1</v>
      </c>
      <c r="D116" s="9" t="s">
        <v>1695</v>
      </c>
      <c r="E116" t="s">
        <v>139</v>
      </c>
      <c r="F116" t="s">
        <v>59</v>
      </c>
      <c r="G116" t="s">
        <v>65</v>
      </c>
      <c r="H116" t="s">
        <v>66</v>
      </c>
      <c r="I116">
        <v>1</v>
      </c>
      <c r="J116" s="4">
        <v>308</v>
      </c>
      <c r="K116" s="4">
        <v>366.52</v>
      </c>
      <c r="L116" s="4">
        <f>K116-J116</f>
      </c>
      <c r="M116" s="4">
        <f>L116*16.67%</f>
      </c>
      <c r="N116" s="4">
        <f>(K116*6.9%)-(K116*6.9%)*10%</f>
      </c>
      <c r="O116" s="4">
        <f>K116*0.35%</f>
      </c>
      <c r="P116" s="4">
        <v>0.4</v>
      </c>
      <c r="Q116" s="4">
        <f>(N116+O116+P116)*20%</f>
      </c>
      <c r="R116" s="4">
        <f>N116+O116+P116+Q116</f>
      </c>
      <c r="S116" s="4">
        <v>0</v>
      </c>
      <c r="T116" s="4">
        <v>0</v>
      </c>
      <c r="U116" s="4">
        <v>0</v>
      </c>
      <c r="V116" s="4">
        <f>U116*20%</f>
      </c>
      <c r="W116" s="4">
        <v>1</v>
      </c>
      <c r="X116" s="4">
        <f>Q116+T116+V116</f>
      </c>
      <c r="Y116" s="4">
        <f>L116-M116-R116-S116-T116-U116-V116-W116</f>
      </c>
      <c r="Z116" s="4">
        <f>(Y116-AB116)/J116*100</f>
      </c>
      <c r="AA116" s="4">
        <f>M116-X116</f>
      </c>
      <c r="AC116" s="4">
        <f>Y116-AB116</f>
      </c>
      <c r="AH116" t="s">
        <v>1</v>
      </c>
    </row>
    <row r="117" spans="1:34" x14ac:dyDescent="0.25">
      <c r="A117" s="8">
        <v>46219.5</v>
      </c>
      <c r="B117" t="s">
        <v>1696</v>
      </c>
      <c r="C117" t="s">
        <v>1</v>
      </c>
      <c r="D117" s="9" t="s">
        <v>1697</v>
      </c>
      <c r="E117" t="s">
        <v>69</v>
      </c>
      <c r="F117" t="s">
        <v>105</v>
      </c>
      <c r="G117" t="s">
        <v>60</v>
      </c>
      <c r="H117" t="s">
        <v>102</v>
      </c>
      <c r="I117">
        <v>1</v>
      </c>
      <c r="J117" s="4">
        <v>536</v>
      </c>
      <c r="K117" s="4">
        <v>648.56</v>
      </c>
      <c r="L117" s="4">
        <f>K117-J117</f>
      </c>
      <c r="M117" s="4">
        <f>L117*16.67%</f>
      </c>
      <c r="N117" s="4">
        <f>(K117*6.9%)-(K117*6.9%)*10%</f>
      </c>
      <c r="O117" s="4">
        <f>K117*0.35%</f>
      </c>
      <c r="P117" s="4">
        <v>0.4</v>
      </c>
      <c r="Q117" s="4">
        <f>(N117+O117+P117)*20%</f>
      </c>
      <c r="R117" s="4">
        <f>N117+O117+P117+Q117</f>
      </c>
      <c r="S117" s="4">
        <v>0</v>
      </c>
      <c r="T117" s="4">
        <v>0</v>
      </c>
      <c r="U117" s="4">
        <v>0</v>
      </c>
      <c r="V117" s="4">
        <f>U117*20%</f>
      </c>
      <c r="W117" s="4">
        <v>1</v>
      </c>
      <c r="X117" s="4">
        <f>Q117+T117+V117</f>
      </c>
      <c r="Y117" s="4">
        <f>L117-M117-R117-S117-T117-U117-V117-W117</f>
      </c>
      <c r="Z117" s="4">
        <f>(Y117-AB117)/J117*100</f>
      </c>
      <c r="AA117" s="4">
        <f>M117-X117</f>
      </c>
      <c r="AC117" s="4">
        <f>Y117-AB117</f>
      </c>
      <c r="AH117" t="s">
        <v>1</v>
      </c>
    </row>
    <row r="118" spans="1:34" x14ac:dyDescent="0.25">
      <c r="A118" s="8">
        <v>46219.5</v>
      </c>
      <c r="B118" t="s">
        <v>1698</v>
      </c>
      <c r="C118" t="s">
        <v>1</v>
      </c>
      <c r="D118" s="9" t="s">
        <v>1699</v>
      </c>
      <c r="E118" t="s">
        <v>69</v>
      </c>
      <c r="F118" t="s">
        <v>88</v>
      </c>
      <c r="G118" t="s">
        <v>60</v>
      </c>
      <c r="H118" t="s">
        <v>61</v>
      </c>
      <c r="I118">
        <v>1</v>
      </c>
      <c r="J118" s="4">
        <v>559</v>
      </c>
      <c r="K118" s="4">
        <v>670.8</v>
      </c>
      <c r="L118" s="4">
        <f>K118-J118</f>
      </c>
      <c r="M118" s="4">
        <f>L118*16.67%</f>
      </c>
      <c r="N118" s="4">
        <f>(K118*6.9%)-(K118*6.9%)*10%</f>
      </c>
      <c r="O118" s="4">
        <f>K118*0.35%</f>
      </c>
      <c r="P118" s="4">
        <v>0.4</v>
      </c>
      <c r="Q118" s="4">
        <f>(N118+O118+P118)*20%</f>
      </c>
      <c r="R118" s="4">
        <f>N118+O118+P118+Q118</f>
      </c>
      <c r="S118" s="4">
        <v>0</v>
      </c>
      <c r="T118" s="4">
        <v>0</v>
      </c>
      <c r="U118" s="4">
        <v>0</v>
      </c>
      <c r="V118" s="4">
        <f>U118*20%</f>
      </c>
      <c r="W118" s="4">
        <v>1</v>
      </c>
      <c r="X118" s="4">
        <f>Q118+T118+V118</f>
      </c>
      <c r="Y118" s="4">
        <f>L118-M118-R118-S118-T118-U118-V118-W118</f>
      </c>
      <c r="Z118" s="4">
        <f>(Y118-AB118)/J118*100</f>
      </c>
      <c r="AA118" s="4">
        <f>M118-X118</f>
      </c>
      <c r="AC118" s="4">
        <f>Y118-AB118</f>
      </c>
      <c r="AH118" t="s">
        <v>1</v>
      </c>
    </row>
    <row r="119" spans="1:34" x14ac:dyDescent="0.25">
      <c r="A119" s="8">
        <v>46219.5</v>
      </c>
      <c r="B119" t="s">
        <v>1700</v>
      </c>
      <c r="C119" t="s">
        <v>1</v>
      </c>
      <c r="D119" s="9" t="s">
        <v>1701</v>
      </c>
      <c r="E119" t="s">
        <v>73</v>
      </c>
      <c r="F119" t="s">
        <v>88</v>
      </c>
      <c r="G119" t="s">
        <v>60</v>
      </c>
      <c r="H119" t="s">
        <v>66</v>
      </c>
      <c r="I119">
        <v>1</v>
      </c>
      <c r="J119" s="4">
        <v>367</v>
      </c>
      <c r="K119" s="4">
        <v>455.08</v>
      </c>
      <c r="L119" s="4">
        <f>K119-J119</f>
      </c>
      <c r="M119" s="4">
        <f>L119*16.67%</f>
      </c>
      <c r="N119" s="4">
        <f>(K119*6.9%)-(K119*6.9%)*10%</f>
      </c>
      <c r="O119" s="4">
        <f>K119*0.35%</f>
      </c>
      <c r="P119" s="4">
        <v>0.4</v>
      </c>
      <c r="Q119" s="4">
        <f>(N119+O119+P119)*20%</f>
      </c>
      <c r="R119" s="4">
        <f>N119+O119+P119+Q119</f>
      </c>
      <c r="S119" s="4">
        <v>0</v>
      </c>
      <c r="T119" s="4">
        <v>0</v>
      </c>
      <c r="U119" s="4">
        <v>0</v>
      </c>
      <c r="V119" s="4">
        <f>U119*20%</f>
      </c>
      <c r="W119" s="4">
        <v>1</v>
      </c>
      <c r="X119" s="4">
        <f>Q119+T119+V119</f>
      </c>
      <c r="Y119" s="4">
        <f>L119-M119-R119-S119-T119-U119-V119-W119</f>
      </c>
      <c r="Z119" s="4">
        <f>(Y119-AB119)/J119*100</f>
      </c>
      <c r="AA119" s="4">
        <f>M119-X119</f>
      </c>
      <c r="AC119" s="4">
        <f>Y119-AB119</f>
      </c>
      <c r="AH119" t="s">
        <v>1</v>
      </c>
    </row>
    <row r="120" spans="1:34" x14ac:dyDescent="0.25">
      <c r="A120" s="8">
        <v>46219.5</v>
      </c>
      <c r="B120" t="s">
        <v>1702</v>
      </c>
      <c r="C120" t="s">
        <v>1</v>
      </c>
      <c r="D120" s="9" t="s">
        <v>1703</v>
      </c>
      <c r="E120" t="s">
        <v>131</v>
      </c>
      <c r="F120" t="s">
        <v>74</v>
      </c>
      <c r="G120" t="s">
        <v>65</v>
      </c>
      <c r="H120" t="s">
        <v>75</v>
      </c>
      <c r="I120">
        <v>1</v>
      </c>
      <c r="J120" s="4">
        <v>303</v>
      </c>
      <c r="K120" s="4">
        <v>378.75</v>
      </c>
      <c r="L120" s="4">
        <f>K120-J120</f>
      </c>
      <c r="M120" s="4">
        <f>L120*16.67%</f>
      </c>
      <c r="N120" s="4">
        <f>(K120*6.9%)-(K120*6.9%)*10%</f>
      </c>
      <c r="O120" s="4">
        <f>K120*0.35%</f>
      </c>
      <c r="P120" s="4">
        <v>0.4</v>
      </c>
      <c r="Q120" s="4">
        <f>(N120+O120+P120)*20%</f>
      </c>
      <c r="R120" s="4">
        <f>N120+O120+P120+Q120</f>
      </c>
      <c r="S120" s="4">
        <v>0</v>
      </c>
      <c r="T120" s="4">
        <v>0</v>
      </c>
      <c r="U120" s="4">
        <v>0</v>
      </c>
      <c r="V120" s="4">
        <f>U120*20%</f>
      </c>
      <c r="W120" s="4">
        <v>1</v>
      </c>
      <c r="X120" s="4">
        <f>Q120+T120+V120</f>
      </c>
      <c r="Y120" s="4">
        <f>L120-M120-R120-S120-T120-U120-V120-W120</f>
      </c>
      <c r="Z120" s="4">
        <f>(Y120-AB120)/J120*100</f>
      </c>
      <c r="AA120" s="4">
        <f>M120-X120</f>
      </c>
      <c r="AC120" s="4">
        <f>Y120-AB120</f>
      </c>
      <c r="AH120" t="s">
        <v>1</v>
      </c>
    </row>
    <row r="121" spans="1:34" x14ac:dyDescent="0.25">
      <c r="A121" s="8">
        <v>46219.5</v>
      </c>
      <c r="B121" t="s">
        <v>1704</v>
      </c>
      <c r="C121" t="s">
        <v>189</v>
      </c>
      <c r="D121" s="9" t="s">
        <v>1</v>
      </c>
      <c r="E121" t="s">
        <v>189</v>
      </c>
      <c r="F121" t="s">
        <v>1</v>
      </c>
      <c r="G121" t="s">
        <v>1</v>
      </c>
      <c r="H121" t="s">
        <v>66</v>
      </c>
      <c r="I121">
        <v>4</v>
      </c>
      <c r="J121" s="4">
        <v>14</v>
      </c>
      <c r="K121" s="4">
        <v>16.1</v>
      </c>
      <c r="L121" s="4">
        <f>K121-J121</f>
      </c>
      <c r="M121" s="4">
        <f>L121*16.67%</f>
      </c>
      <c r="N121" s="4">
        <f>(K121*6.9%)-(K121*6.9%)*10%</f>
      </c>
      <c r="O121" s="4">
        <f>K121*0.35%</f>
      </c>
      <c r="P121" s="4">
        <v>0.4</v>
      </c>
      <c r="Q121" s="4">
        <f>(N121+O121+P121)*20%</f>
      </c>
      <c r="R121" s="4">
        <f>N121+O121+P121+Q121</f>
      </c>
      <c r="S121" s="4">
        <v>0</v>
      </c>
      <c r="T121" s="4">
        <v>0</v>
      </c>
      <c r="U121" s="4">
        <v>0</v>
      </c>
      <c r="V121" s="4">
        <f>U121*20%</f>
      </c>
      <c r="W121" s="4">
        <v>0</v>
      </c>
      <c r="X121" s="4">
        <f>Q121+T121+V121</f>
      </c>
      <c r="Y121" s="4">
        <f>L121-M121-R121-S121-T121-U121-V121-W121</f>
      </c>
      <c r="Z121" s="4">
        <f>(Y121-AB121)/J121*100</f>
      </c>
      <c r="AA121" s="4">
        <f>M121-X121</f>
      </c>
      <c r="AC121" s="4">
        <f>Y121-AB121</f>
      </c>
      <c r="AH121" t="s">
        <v>1</v>
      </c>
    </row>
    <row r="122" spans="1:34" x14ac:dyDescent="0.25">
      <c r="A122" s="8">
        <v>46219.5</v>
      </c>
      <c r="B122" t="s">
        <v>1705</v>
      </c>
      <c r="C122" t="s">
        <v>254</v>
      </c>
      <c r="D122" s="9" t="s">
        <v>1</v>
      </c>
      <c r="E122" t="s">
        <v>254</v>
      </c>
      <c r="F122" t="s">
        <v>1</v>
      </c>
      <c r="G122" t="s">
        <v>1</v>
      </c>
      <c r="H122" t="s">
        <v>61</v>
      </c>
      <c r="I122">
        <v>1</v>
      </c>
      <c r="J122" s="4">
        <v>0.8</v>
      </c>
      <c r="K122" s="4">
        <v>1.14</v>
      </c>
      <c r="L122" s="4">
        <f>K122-J122</f>
      </c>
      <c r="M122" s="4">
        <f>L122*16.67%</f>
      </c>
      <c r="N122" s="4">
        <f>(K122*6.9%)-(K122*6.9%)*10%</f>
      </c>
      <c r="O122" s="4">
        <f>K122*0.35%</f>
      </c>
      <c r="P122" s="4">
        <v>0.4</v>
      </c>
      <c r="Q122" s="4">
        <f>(N122+O122+P122)*20%</f>
      </c>
      <c r="R122" s="4">
        <f>N122+O122+P122+Q122</f>
      </c>
      <c r="S122" s="4">
        <v>0</v>
      </c>
      <c r="T122" s="4">
        <v>0</v>
      </c>
      <c r="U122" s="4">
        <v>0</v>
      </c>
      <c r="V122" s="4">
        <f>U122*20%</f>
      </c>
      <c r="W122" s="4">
        <v>0</v>
      </c>
      <c r="X122" s="4">
        <f>Q122+T122+V122</f>
      </c>
      <c r="Y122" s="4">
        <f>L122-M122-R122-S122-T122-U122-V122-W122</f>
      </c>
      <c r="Z122" s="4">
        <f>(Y122-AB122)/J122*100</f>
      </c>
      <c r="AA122" s="4">
        <f>M122-X122</f>
      </c>
      <c r="AC122" s="4">
        <f>Y122-AB122</f>
      </c>
      <c r="AH122" t="s">
        <v>1</v>
      </c>
    </row>
    <row r="123" spans="1:34" x14ac:dyDescent="0.25">
      <c r="A123" s="8">
        <v>46219.5</v>
      </c>
      <c r="B123" t="s">
        <v>1706</v>
      </c>
      <c r="C123" t="s">
        <v>182</v>
      </c>
      <c r="D123" s="9" t="s">
        <v>1</v>
      </c>
      <c r="E123" t="s">
        <v>182</v>
      </c>
      <c r="F123" t="s">
        <v>1</v>
      </c>
      <c r="G123" t="s">
        <v>1</v>
      </c>
      <c r="H123" t="s">
        <v>75</v>
      </c>
      <c r="I123">
        <v>2</v>
      </c>
      <c r="J123" s="4">
        <v>3.8</v>
      </c>
      <c r="K123" s="4">
        <v>4.94</v>
      </c>
      <c r="L123" s="4">
        <f>K123-J123</f>
      </c>
      <c r="M123" s="4">
        <f>L123*16.67%</f>
      </c>
      <c r="N123" s="4">
        <f>(K123*6.9%)-(K123*6.9%)*10%</f>
      </c>
      <c r="O123" s="4">
        <f>K123*0.35%</f>
      </c>
      <c r="P123" s="4">
        <v>0.4</v>
      </c>
      <c r="Q123" s="4">
        <f>(N123+O123+P123)*20%</f>
      </c>
      <c r="R123" s="4">
        <f>N123+O123+P123+Q123</f>
      </c>
      <c r="S123" s="4">
        <v>0</v>
      </c>
      <c r="T123" s="4">
        <v>0</v>
      </c>
      <c r="U123" s="4">
        <v>0</v>
      </c>
      <c r="V123" s="4">
        <f>U123*20%</f>
      </c>
      <c r="W123" s="4">
        <v>0</v>
      </c>
      <c r="X123" s="4">
        <f>Q123+T123+V123</f>
      </c>
      <c r="Y123" s="4">
        <f>L123-M123-R123-S123-T123-U123-V123-W123</f>
      </c>
      <c r="Z123" s="4">
        <f>(Y123-AB123)/J123*100</f>
      </c>
      <c r="AA123" s="4">
        <f>M123-X123</f>
      </c>
      <c r="AC123" s="4">
        <f>Y123-AB123</f>
      </c>
      <c r="AH123" t="s">
        <v>1</v>
      </c>
    </row>
    <row r="124" spans="1:34" x14ac:dyDescent="0.25">
      <c r="A124" s="8">
        <v>46218.5</v>
      </c>
      <c r="B124" t="s">
        <v>1707</v>
      </c>
      <c r="C124" t="s">
        <v>1</v>
      </c>
      <c r="D124" s="9" t="s">
        <v>1708</v>
      </c>
      <c r="E124" t="s">
        <v>134</v>
      </c>
      <c r="F124" t="s">
        <v>88</v>
      </c>
      <c r="G124" t="s">
        <v>65</v>
      </c>
      <c r="H124" t="s">
        <v>66</v>
      </c>
      <c r="I124">
        <v>1</v>
      </c>
      <c r="J124" s="4">
        <v>108</v>
      </c>
      <c r="K124" s="4">
        <v>131.76</v>
      </c>
      <c r="L124" s="4">
        <f>K124-J124</f>
      </c>
      <c r="M124" s="4">
        <f>L124*16.67%</f>
      </c>
      <c r="N124" s="4">
        <f>(K124*6.9%)-(K124*6.9%)*10%</f>
      </c>
      <c r="O124" s="4">
        <f>K124*0.35%</f>
      </c>
      <c r="P124" s="4">
        <v>0.4</v>
      </c>
      <c r="Q124" s="4">
        <f>(N124+O124+P124)*20%</f>
      </c>
      <c r="R124" s="4">
        <f>N124+O124+P124+Q124</f>
      </c>
      <c r="S124" s="4">
        <v>0</v>
      </c>
      <c r="T124" s="4">
        <v>0</v>
      </c>
      <c r="U124" s="4">
        <v>0</v>
      </c>
      <c r="V124" s="4">
        <f>U124*20%</f>
      </c>
      <c r="W124" s="4">
        <v>1</v>
      </c>
      <c r="X124" s="4">
        <f>Q124+T124+V124</f>
      </c>
      <c r="Y124" s="4">
        <f>L124-M124-R124-S124-T124-U124-V124-W124</f>
      </c>
      <c r="Z124" s="4">
        <f>(Y124-AB124)/J124*100</f>
      </c>
      <c r="AA124" s="4">
        <f>M124-X124</f>
      </c>
      <c r="AC124" s="4">
        <f>Y124-AB124</f>
      </c>
      <c r="AH124" t="s">
        <v>1</v>
      </c>
    </row>
    <row r="125" spans="1:34" x14ac:dyDescent="0.25">
      <c r="A125" s="8">
        <v>46218.5</v>
      </c>
      <c r="B125" t="s">
        <v>1709</v>
      </c>
      <c r="C125" t="s">
        <v>1</v>
      </c>
      <c r="D125" s="9" t="s">
        <v>1710</v>
      </c>
      <c r="E125" t="s">
        <v>81</v>
      </c>
      <c r="F125" t="s">
        <v>70</v>
      </c>
      <c r="G125" t="s">
        <v>60</v>
      </c>
      <c r="H125" t="s">
        <v>75</v>
      </c>
      <c r="I125">
        <v>1</v>
      </c>
      <c r="J125" s="4">
        <v>588</v>
      </c>
      <c r="K125" s="4">
        <v>717.36</v>
      </c>
      <c r="L125" s="4">
        <f>K125-J125</f>
      </c>
      <c r="M125" s="4">
        <f>L125*16.67%</f>
      </c>
      <c r="N125" s="4">
        <f>(K125*6.9%)-(K125*6.9%)*10%</f>
      </c>
      <c r="O125" s="4">
        <f>K125*0.35%</f>
      </c>
      <c r="P125" s="4">
        <v>0.4</v>
      </c>
      <c r="Q125" s="4">
        <f>(N125+O125+P125)*20%</f>
      </c>
      <c r="R125" s="4">
        <f>N125+O125+P125+Q125</f>
      </c>
      <c r="S125" s="4">
        <v>0</v>
      </c>
      <c r="T125" s="4">
        <v>0</v>
      </c>
      <c r="U125" s="4">
        <v>0</v>
      </c>
      <c r="V125" s="4">
        <f>U125*20%</f>
      </c>
      <c r="W125" s="4">
        <v>1</v>
      </c>
      <c r="X125" s="4">
        <f>Q125+T125+V125</f>
      </c>
      <c r="Y125" s="4">
        <f>L125-M125-R125-S125-T125-U125-V125-W125</f>
      </c>
      <c r="Z125" s="4">
        <f>(Y125-AB125)/J125*100</f>
      </c>
      <c r="AA125" s="4">
        <f>M125-X125</f>
      </c>
      <c r="AC125" s="4">
        <f>Y125-AB125</f>
      </c>
      <c r="AH125" t="s">
        <v>1</v>
      </c>
    </row>
    <row r="126" spans="1:34" x14ac:dyDescent="0.25">
      <c r="A126" s="8">
        <v>46218.5</v>
      </c>
      <c r="B126" t="s">
        <v>1711</v>
      </c>
      <c r="C126" t="s">
        <v>1</v>
      </c>
      <c r="D126" s="9" t="s">
        <v>1712</v>
      </c>
      <c r="E126" t="s">
        <v>139</v>
      </c>
      <c r="F126" t="s">
        <v>70</v>
      </c>
      <c r="G126" t="s">
        <v>65</v>
      </c>
      <c r="H126" t="s">
        <v>78</v>
      </c>
      <c r="I126">
        <v>1</v>
      </c>
      <c r="J126" s="4">
        <v>306</v>
      </c>
      <c r="K126" s="4">
        <v>410.04</v>
      </c>
      <c r="L126" s="4">
        <f>K126-J126</f>
      </c>
      <c r="M126" s="4">
        <f>L126*16.67%</f>
      </c>
      <c r="N126" s="4">
        <f>(K126*6.9%)-(K126*6.9%)*10%</f>
      </c>
      <c r="O126" s="4">
        <f>K126*0.35%</f>
      </c>
      <c r="P126" s="4">
        <v>0.4</v>
      </c>
      <c r="Q126" s="4">
        <f>(N126+O126+P126)*20%</f>
      </c>
      <c r="R126" s="4">
        <f>N126+O126+P126+Q126</f>
      </c>
      <c r="S126" s="4">
        <v>0</v>
      </c>
      <c r="T126" s="4">
        <v>0</v>
      </c>
      <c r="U126" s="4">
        <v>0</v>
      </c>
      <c r="V126" s="4">
        <f>U126*20%</f>
      </c>
      <c r="W126" s="4">
        <v>1</v>
      </c>
      <c r="X126" s="4">
        <f>Q126+T126+V126</f>
      </c>
      <c r="Y126" s="4">
        <f>L126-M126-R126-S126-T126-U126-V126-W126</f>
      </c>
      <c r="Z126" s="4">
        <f>(Y126-AB126)/J126*100</f>
      </c>
      <c r="AA126" s="4">
        <f>M126-X126</f>
      </c>
      <c r="AC126" s="4">
        <f>Y126-AB126</f>
      </c>
      <c r="AH126" t="s">
        <v>1</v>
      </c>
    </row>
    <row r="127" spans="1:34" x14ac:dyDescent="0.25">
      <c r="A127" s="8">
        <v>46218.5</v>
      </c>
      <c r="B127" t="s">
        <v>1713</v>
      </c>
      <c r="C127" t="s">
        <v>1</v>
      </c>
      <c r="D127" s="9" t="s">
        <v>1714</v>
      </c>
      <c r="E127" t="s">
        <v>84</v>
      </c>
      <c r="F127" t="s">
        <v>99</v>
      </c>
      <c r="G127" t="s">
        <v>60</v>
      </c>
      <c r="H127" t="s">
        <v>66</v>
      </c>
      <c r="I127">
        <v>1</v>
      </c>
      <c r="J127" s="4">
        <v>690</v>
      </c>
      <c r="K127" s="4">
        <v>931.5</v>
      </c>
      <c r="L127" s="4">
        <f>K127-J127</f>
      </c>
      <c r="M127" s="4">
        <f>L127*16.67%</f>
      </c>
      <c r="N127" s="4">
        <f>(K127*6.9%)-(K127*6.9%)*10%</f>
      </c>
      <c r="O127" s="4">
        <f>K127*0.35%</f>
      </c>
      <c r="P127" s="4">
        <v>0.4</v>
      </c>
      <c r="Q127" s="4">
        <f>(N127+O127+P127)*20%</f>
      </c>
      <c r="R127" s="4">
        <f>N127+O127+P127+Q127</f>
      </c>
      <c r="S127" s="4">
        <v>0</v>
      </c>
      <c r="T127" s="4">
        <v>0</v>
      </c>
      <c r="U127" s="4">
        <v>0</v>
      </c>
      <c r="V127" s="4">
        <f>U127*20%</f>
      </c>
      <c r="W127" s="4">
        <v>1</v>
      </c>
      <c r="X127" s="4">
        <f>Q127+T127+V127</f>
      </c>
      <c r="Y127" s="4">
        <f>L127-M127-R127-S127-T127-U127-V127-W127</f>
      </c>
      <c r="Z127" s="4">
        <f>(Y127-AB127)/J127*100</f>
      </c>
      <c r="AA127" s="4">
        <f>M127-X127</f>
      </c>
      <c r="AC127" s="4">
        <f>Y127-AB127</f>
      </c>
      <c r="AH127" t="s">
        <v>1</v>
      </c>
    </row>
    <row r="128" spans="1:34" x14ac:dyDescent="0.25">
      <c r="A128" s="8">
        <v>46218.5</v>
      </c>
      <c r="B128" t="s">
        <v>1715</v>
      </c>
      <c r="C128" t="s">
        <v>1</v>
      </c>
      <c r="D128" s="9" t="s">
        <v>1716</v>
      </c>
      <c r="E128" t="s">
        <v>64</v>
      </c>
      <c r="F128" t="s">
        <v>88</v>
      </c>
      <c r="G128" t="s">
        <v>65</v>
      </c>
      <c r="H128" t="s">
        <v>61</v>
      </c>
      <c r="I128">
        <v>1</v>
      </c>
      <c r="J128" s="4">
        <v>221</v>
      </c>
      <c r="K128" s="4">
        <v>287.3</v>
      </c>
      <c r="L128" s="4">
        <f>K128-J128</f>
      </c>
      <c r="M128" s="4">
        <f>L128*16.67%</f>
      </c>
      <c r="N128" s="4">
        <f>(K128*6.9%)-(K128*6.9%)*10%</f>
      </c>
      <c r="O128" s="4">
        <f>K128*0.35%</f>
      </c>
      <c r="P128" s="4">
        <v>0.4</v>
      </c>
      <c r="Q128" s="4">
        <f>(N128+O128+P128)*20%</f>
      </c>
      <c r="R128" s="4">
        <f>N128+O128+P128+Q128</f>
      </c>
      <c r="S128" s="4">
        <v>0</v>
      </c>
      <c r="T128" s="4">
        <v>0</v>
      </c>
      <c r="U128" s="4">
        <v>0</v>
      </c>
      <c r="V128" s="4">
        <f>U128*20%</f>
      </c>
      <c r="W128" s="4">
        <v>1</v>
      </c>
      <c r="X128" s="4">
        <f>Q128+T128+V128</f>
      </c>
      <c r="Y128" s="4">
        <f>L128-M128-R128-S128-T128-U128-V128-W128</f>
      </c>
      <c r="Z128" s="4">
        <f>(Y128-AB128)/J128*100</f>
      </c>
      <c r="AA128" s="4">
        <f>M128-X128</f>
      </c>
      <c r="AC128" s="4">
        <f>Y128-AB128</f>
      </c>
      <c r="AH128" t="s">
        <v>1</v>
      </c>
    </row>
    <row r="129" spans="1:34" x14ac:dyDescent="0.25">
      <c r="A129" s="8">
        <v>46218.5</v>
      </c>
      <c r="B129" t="s">
        <v>1717</v>
      </c>
      <c r="C129" t="s">
        <v>189</v>
      </c>
      <c r="D129" s="9" t="s">
        <v>1</v>
      </c>
      <c r="E129" t="s">
        <v>189</v>
      </c>
      <c r="F129" t="s">
        <v>1</v>
      </c>
      <c r="G129" t="s">
        <v>1</v>
      </c>
      <c r="H129" t="s">
        <v>66</v>
      </c>
      <c r="I129">
        <v>1</v>
      </c>
      <c r="J129" s="4">
        <v>3.5</v>
      </c>
      <c r="K129" s="4">
        <v>5</v>
      </c>
      <c r="L129" s="4">
        <f>K129-J129</f>
      </c>
      <c r="M129" s="4">
        <f>L129*16.67%</f>
      </c>
      <c r="N129" s="4">
        <f>(K129*6.9%)-(K129*6.9%)*10%</f>
      </c>
      <c r="O129" s="4">
        <f>K129*0.35%</f>
      </c>
      <c r="P129" s="4">
        <v>0.4</v>
      </c>
      <c r="Q129" s="4">
        <f>(N129+O129+P129)*20%</f>
      </c>
      <c r="R129" s="4">
        <f>N129+O129+P129+Q129</f>
      </c>
      <c r="S129" s="4">
        <v>0</v>
      </c>
      <c r="T129" s="4">
        <v>0</v>
      </c>
      <c r="U129" s="4">
        <v>0</v>
      </c>
      <c r="V129" s="4">
        <f>U129*20%</f>
      </c>
      <c r="W129" s="4">
        <v>0</v>
      </c>
      <c r="X129" s="4">
        <f>Q129+T129+V129</f>
      </c>
      <c r="Y129" s="4">
        <f>L129-M129-R129-S129-T129-U129-V129-W129</f>
      </c>
      <c r="Z129" s="4">
        <f>(Y129-AB129)/J129*100</f>
      </c>
      <c r="AA129" s="4">
        <f>M129-X129</f>
      </c>
      <c r="AC129" s="4">
        <f>Y129-AB129</f>
      </c>
      <c r="AH129" t="s">
        <v>1</v>
      </c>
    </row>
    <row r="130" spans="1:34" x14ac:dyDescent="0.25">
      <c r="A130" s="8">
        <v>46218.5</v>
      </c>
      <c r="B130" t="s">
        <v>1718</v>
      </c>
      <c r="C130" t="s">
        <v>254</v>
      </c>
      <c r="D130" s="9" t="s">
        <v>1</v>
      </c>
      <c r="E130" t="s">
        <v>254</v>
      </c>
      <c r="F130" t="s">
        <v>1</v>
      </c>
      <c r="G130" t="s">
        <v>1</v>
      </c>
      <c r="H130" t="s">
        <v>61</v>
      </c>
      <c r="I130">
        <v>3</v>
      </c>
      <c r="J130" s="4">
        <v>2.4</v>
      </c>
      <c r="K130" s="4">
        <v>3.48</v>
      </c>
      <c r="L130" s="4">
        <f>K130-J130</f>
      </c>
      <c r="M130" s="4">
        <f>L130*16.67%</f>
      </c>
      <c r="N130" s="4">
        <f>(K130*6.9%)-(K130*6.9%)*10%</f>
      </c>
      <c r="O130" s="4">
        <f>K130*0.35%</f>
      </c>
      <c r="P130" s="4">
        <v>0.4</v>
      </c>
      <c r="Q130" s="4">
        <f>(N130+O130+P130)*20%</f>
      </c>
      <c r="R130" s="4">
        <f>N130+O130+P130+Q130</f>
      </c>
      <c r="S130" s="4">
        <v>0</v>
      </c>
      <c r="T130" s="4">
        <v>0</v>
      </c>
      <c r="U130" s="4">
        <v>0</v>
      </c>
      <c r="V130" s="4">
        <f>U130*20%</f>
      </c>
      <c r="W130" s="4">
        <v>0</v>
      </c>
      <c r="X130" s="4">
        <f>Q130+T130+V130</f>
      </c>
      <c r="Y130" s="4">
        <f>L130-M130-R130-S130-T130-U130-V130-W130</f>
      </c>
      <c r="Z130" s="4">
        <f>(Y130-AB130)/J130*100</f>
      </c>
      <c r="AA130" s="4">
        <f>M130-X130</f>
      </c>
      <c r="AC130" s="4">
        <f>Y130-AB130</f>
      </c>
      <c r="AH130" t="s">
        <v>1</v>
      </c>
    </row>
    <row r="131" spans="1:34" x14ac:dyDescent="0.25">
      <c r="A131" s="8">
        <v>46217.5</v>
      </c>
      <c r="B131" t="s">
        <v>1719</v>
      </c>
      <c r="C131" t="s">
        <v>1</v>
      </c>
      <c r="D131" s="9" t="s">
        <v>1720</v>
      </c>
      <c r="E131" t="s">
        <v>69</v>
      </c>
      <c r="F131" t="s">
        <v>74</v>
      </c>
      <c r="G131" t="s">
        <v>60</v>
      </c>
      <c r="H131" t="s">
        <v>75</v>
      </c>
      <c r="I131">
        <v>1</v>
      </c>
      <c r="J131" s="4">
        <v>504</v>
      </c>
      <c r="K131" s="4">
        <v>665.28</v>
      </c>
      <c r="L131" s="4">
        <f>K131-J131</f>
      </c>
      <c r="M131" s="4">
        <f>L131*16.67%</f>
      </c>
      <c r="N131" s="4">
        <f>(K131*6.9%)-(K131*6.9%)*10%</f>
      </c>
      <c r="O131" s="4">
        <f>K131*0.35%</f>
      </c>
      <c r="P131" s="4">
        <v>0.4</v>
      </c>
      <c r="Q131" s="4">
        <f>(N131+O131+P131)*20%</f>
      </c>
      <c r="R131" s="4">
        <f>N131+O131+P131+Q131</f>
      </c>
      <c r="S131" s="4">
        <v>0</v>
      </c>
      <c r="T131" s="4">
        <v>0</v>
      </c>
      <c r="U131" s="4">
        <v>0</v>
      </c>
      <c r="V131" s="4">
        <f>U131*20%</f>
      </c>
      <c r="W131" s="4">
        <v>1</v>
      </c>
      <c r="X131" s="4">
        <f>Q131+T131+V131</f>
      </c>
      <c r="Y131" s="4">
        <f>L131-M131-R131-S131-T131-U131-V131-W131</f>
      </c>
      <c r="Z131" s="4">
        <f>(Y131-AB131)/J131*100</f>
      </c>
      <c r="AA131" s="4">
        <f>M131-X131</f>
      </c>
      <c r="AC131" s="4">
        <f>Y131-AB131</f>
      </c>
      <c r="AH131" t="s">
        <v>1</v>
      </c>
    </row>
    <row r="132" spans="1:34" x14ac:dyDescent="0.25">
      <c r="A132" s="8">
        <v>46217.5</v>
      </c>
      <c r="B132" t="s">
        <v>1721</v>
      </c>
      <c r="C132" t="s">
        <v>1</v>
      </c>
      <c r="D132" s="9" t="s">
        <v>1722</v>
      </c>
      <c r="E132" t="s">
        <v>139</v>
      </c>
      <c r="F132" t="s">
        <v>70</v>
      </c>
      <c r="G132" t="s">
        <v>60</v>
      </c>
      <c r="H132" t="s">
        <v>75</v>
      </c>
      <c r="I132">
        <v>1</v>
      </c>
      <c r="J132" s="4">
        <v>379</v>
      </c>
      <c r="K132" s="4">
        <v>458.59</v>
      </c>
      <c r="L132" s="4">
        <f>K132-J132</f>
      </c>
      <c r="M132" s="4">
        <f>L132*16.67%</f>
      </c>
      <c r="N132" s="4">
        <f>(K132*6.9%)-(K132*6.9%)*10%</f>
      </c>
      <c r="O132" s="4">
        <f>K132*0.35%</f>
      </c>
      <c r="P132" s="4">
        <v>0.4</v>
      </c>
      <c r="Q132" s="4">
        <f>(N132+O132+P132)*20%</f>
      </c>
      <c r="R132" s="4">
        <f>N132+O132+P132+Q132</f>
      </c>
      <c r="S132" s="4">
        <v>0</v>
      </c>
      <c r="T132" s="4">
        <v>0</v>
      </c>
      <c r="U132" s="4">
        <v>0</v>
      </c>
      <c r="V132" s="4">
        <f>U132*20%</f>
      </c>
      <c r="W132" s="4">
        <v>1</v>
      </c>
      <c r="X132" s="4">
        <f>Q132+T132+V132</f>
      </c>
      <c r="Y132" s="4">
        <f>L132-M132-R132-S132-T132-U132-V132-W132</f>
      </c>
      <c r="Z132" s="4">
        <f>(Y132-AB132)/J132*100</f>
      </c>
      <c r="AA132" s="4">
        <f>M132-X132</f>
      </c>
      <c r="AC132" s="4">
        <f>Y132-AB132</f>
      </c>
      <c r="AH132" t="s">
        <v>1</v>
      </c>
    </row>
    <row r="133" spans="1:34" x14ac:dyDescent="0.25">
      <c r="A133" s="8">
        <v>46217.5</v>
      </c>
      <c r="B133" t="s">
        <v>1723</v>
      </c>
      <c r="C133" t="s">
        <v>254</v>
      </c>
      <c r="D133" s="9" t="s">
        <v>1</v>
      </c>
      <c r="E133" t="s">
        <v>254</v>
      </c>
      <c r="F133" t="s">
        <v>1</v>
      </c>
      <c r="G133" t="s">
        <v>1</v>
      </c>
      <c r="H133" t="s">
        <v>61</v>
      </c>
      <c r="I133">
        <v>1</v>
      </c>
      <c r="J133" s="4">
        <v>0.8</v>
      </c>
      <c r="K133" s="4">
        <v>0.95</v>
      </c>
      <c r="L133" s="4">
        <f>K133-J133</f>
      </c>
      <c r="M133" s="4">
        <f>L133*16.67%</f>
      </c>
      <c r="N133" s="4">
        <f>(K133*6.9%)-(K133*6.9%)*10%</f>
      </c>
      <c r="O133" s="4">
        <f>K133*0.35%</f>
      </c>
      <c r="P133" s="4">
        <v>0.4</v>
      </c>
      <c r="Q133" s="4">
        <f>(N133+O133+P133)*20%</f>
      </c>
      <c r="R133" s="4">
        <f>N133+O133+P133+Q133</f>
      </c>
      <c r="S133" s="4">
        <v>0</v>
      </c>
      <c r="T133" s="4">
        <v>0</v>
      </c>
      <c r="U133" s="4">
        <v>0</v>
      </c>
      <c r="V133" s="4">
        <f>U133*20%</f>
      </c>
      <c r="W133" s="4">
        <v>0</v>
      </c>
      <c r="X133" s="4">
        <f>Q133+T133+V133</f>
      </c>
      <c r="Y133" s="4">
        <f>L133-M133-R133-S133-T133-U133-V133-W133</f>
      </c>
      <c r="Z133" s="4">
        <f>(Y133-AB133)/J133*100</f>
      </c>
      <c r="AA133" s="4">
        <f>M133-X133</f>
      </c>
      <c r="AC133" s="4">
        <f>Y133-AB133</f>
      </c>
      <c r="AH133" t="s">
        <v>1</v>
      </c>
    </row>
    <row r="134" spans="1:34" x14ac:dyDescent="0.25">
      <c r="A134" s="8">
        <v>46216.5</v>
      </c>
      <c r="B134" t="s">
        <v>1724</v>
      </c>
      <c r="C134" t="s">
        <v>1</v>
      </c>
      <c r="D134" s="9" t="s">
        <v>1725</v>
      </c>
      <c r="E134" t="s">
        <v>131</v>
      </c>
      <c r="F134" t="s">
        <v>99</v>
      </c>
      <c r="G134" t="s">
        <v>65</v>
      </c>
      <c r="H134" t="s">
        <v>61</v>
      </c>
      <c r="I134">
        <v>1</v>
      </c>
      <c r="J134" s="4">
        <v>332</v>
      </c>
      <c r="K134" s="4">
        <v>415</v>
      </c>
      <c r="L134" s="4">
        <f>K134-J134</f>
      </c>
      <c r="M134" s="4">
        <f>L134*16.67%</f>
      </c>
      <c r="N134" s="4">
        <f>(K134*6.9%)-(K134*6.9%)*10%</f>
      </c>
      <c r="O134" s="4">
        <f>K134*0.35%</f>
      </c>
      <c r="P134" s="4">
        <v>0.4</v>
      </c>
      <c r="Q134" s="4">
        <f>(N134+O134+P134)*20%</f>
      </c>
      <c r="R134" s="4">
        <f>N134+O134+P134+Q134</f>
      </c>
      <c r="S134" s="4">
        <v>0</v>
      </c>
      <c r="T134" s="4">
        <v>0</v>
      </c>
      <c r="U134" s="4">
        <v>0</v>
      </c>
      <c r="V134" s="4">
        <f>U134*20%</f>
      </c>
      <c r="W134" s="4">
        <v>1</v>
      </c>
      <c r="X134" s="4">
        <f>Q134+T134+V134</f>
      </c>
      <c r="Y134" s="4">
        <f>L134-M134-R134-S134-T134-U134-V134-W134</f>
      </c>
      <c r="Z134" s="4">
        <f>(Y134-AB134)/J134*100</f>
      </c>
      <c r="AA134" s="4">
        <f>M134-X134</f>
      </c>
      <c r="AC134" s="4">
        <f>Y134-AB134</f>
      </c>
      <c r="AH134" t="s">
        <v>1</v>
      </c>
    </row>
    <row r="135" spans="1:34" x14ac:dyDescent="0.25">
      <c r="A135" s="8">
        <v>46216.5</v>
      </c>
      <c r="B135" t="s">
        <v>1726</v>
      </c>
      <c r="C135" t="s">
        <v>1</v>
      </c>
      <c r="D135" s="9" t="s">
        <v>1727</v>
      </c>
      <c r="E135" t="s">
        <v>64</v>
      </c>
      <c r="F135" t="s">
        <v>85</v>
      </c>
      <c r="G135" t="s">
        <v>65</v>
      </c>
      <c r="H135" t="s">
        <v>61</v>
      </c>
      <c r="I135">
        <v>1</v>
      </c>
      <c r="J135" s="4">
        <v>250</v>
      </c>
      <c r="K135" s="4">
        <v>355</v>
      </c>
      <c r="L135" s="4">
        <f>K135-J135</f>
      </c>
      <c r="M135" s="4">
        <f>L135*16.67%</f>
      </c>
      <c r="N135" s="4">
        <f>(K135*6.9%)-(K135*6.9%)*10%</f>
      </c>
      <c r="O135" s="4">
        <f>K135*0.35%</f>
      </c>
      <c r="P135" s="4">
        <v>0.4</v>
      </c>
      <c r="Q135" s="4">
        <f>(N135+O135+P135)*20%</f>
      </c>
      <c r="R135" s="4">
        <f>N135+O135+P135+Q135</f>
      </c>
      <c r="S135" s="4">
        <v>0</v>
      </c>
      <c r="T135" s="4">
        <v>0</v>
      </c>
      <c r="U135" s="4">
        <v>0</v>
      </c>
      <c r="V135" s="4">
        <f>U135*20%</f>
      </c>
      <c r="W135" s="4">
        <v>1</v>
      </c>
      <c r="X135" s="4">
        <f>Q135+T135+V135</f>
      </c>
      <c r="Y135" s="4">
        <f>L135-M135-R135-S135-T135-U135-V135-W135</f>
      </c>
      <c r="Z135" s="4">
        <f>(Y135-AB135)/J135*100</f>
      </c>
      <c r="AA135" s="4">
        <f>M135-X135</f>
      </c>
      <c r="AC135" s="4">
        <f>Y135-AB135</f>
      </c>
      <c r="AH135" t="s">
        <v>1</v>
      </c>
    </row>
    <row r="136" spans="1:34" x14ac:dyDescent="0.25">
      <c r="A136" s="8">
        <v>46216.5</v>
      </c>
      <c r="B136" t="s">
        <v>1728</v>
      </c>
      <c r="C136" t="s">
        <v>1</v>
      </c>
      <c r="D136" s="9" t="s">
        <v>1729</v>
      </c>
      <c r="E136" t="s">
        <v>114</v>
      </c>
      <c r="F136" t="s">
        <v>99</v>
      </c>
      <c r="G136" t="s">
        <v>60</v>
      </c>
      <c r="H136" t="s">
        <v>61</v>
      </c>
      <c r="I136">
        <v>1</v>
      </c>
      <c r="J136" s="4">
        <v>202</v>
      </c>
      <c r="K136" s="4">
        <v>232.3</v>
      </c>
      <c r="L136" s="4">
        <f>K136-J136</f>
      </c>
      <c r="M136" s="4">
        <f>L136*16.67%</f>
      </c>
      <c r="N136" s="4">
        <f>(K136*6.9%)-(K136*6.9%)*10%</f>
      </c>
      <c r="O136" s="4">
        <f>K136*0.35%</f>
      </c>
      <c r="P136" s="4">
        <v>0.4</v>
      </c>
      <c r="Q136" s="4">
        <f>(N136+O136+P136)*20%</f>
      </c>
      <c r="R136" s="4">
        <f>N136+O136+P136+Q136</f>
      </c>
      <c r="S136" s="4">
        <v>0</v>
      </c>
      <c r="T136" s="4">
        <v>0</v>
      </c>
      <c r="U136" s="4">
        <v>0</v>
      </c>
      <c r="V136" s="4">
        <f>U136*20%</f>
      </c>
      <c r="W136" s="4">
        <v>1</v>
      </c>
      <c r="X136" s="4">
        <f>Q136+T136+V136</f>
      </c>
      <c r="Y136" s="4">
        <f>L136-M136-R136-S136-T136-U136-V136-W136</f>
      </c>
      <c r="Z136" s="4">
        <f>(Y136-AB136)/J136*100</f>
      </c>
      <c r="AA136" s="4">
        <f>M136-X136</f>
      </c>
      <c r="AC136" s="4">
        <f>Y136-AB136</f>
      </c>
      <c r="AH136" t="s">
        <v>1</v>
      </c>
    </row>
    <row r="137" spans="1:34" x14ac:dyDescent="0.25">
      <c r="A137" s="8">
        <v>46216.5</v>
      </c>
      <c r="B137" t="s">
        <v>1730</v>
      </c>
      <c r="C137" t="s">
        <v>1</v>
      </c>
      <c r="D137" s="9" t="s">
        <v>1731</v>
      </c>
      <c r="E137" t="s">
        <v>58</v>
      </c>
      <c r="F137" t="s">
        <v>99</v>
      </c>
      <c r="G137" t="s">
        <v>60</v>
      </c>
      <c r="H137" t="s">
        <v>61</v>
      </c>
      <c r="I137">
        <v>1</v>
      </c>
      <c r="J137" s="4">
        <v>453</v>
      </c>
      <c r="K137" s="4">
        <v>616.08</v>
      </c>
      <c r="L137" s="4">
        <f>K137-J137</f>
      </c>
      <c r="M137" s="4">
        <f>L137*16.67%</f>
      </c>
      <c r="N137" s="4">
        <f>(K137*6.9%)-(K137*6.9%)*10%</f>
      </c>
      <c r="O137" s="4">
        <f>K137*0.35%</f>
      </c>
      <c r="P137" s="4">
        <v>0.4</v>
      </c>
      <c r="Q137" s="4">
        <f>(N137+O137+P137)*20%</f>
      </c>
      <c r="R137" s="4">
        <f>N137+O137+P137+Q137</f>
      </c>
      <c r="S137" s="4">
        <v>0</v>
      </c>
      <c r="T137" s="4">
        <v>0</v>
      </c>
      <c r="U137" s="4">
        <v>0</v>
      </c>
      <c r="V137" s="4">
        <f>U137*20%</f>
      </c>
      <c r="W137" s="4">
        <v>1</v>
      </c>
      <c r="X137" s="4">
        <f>Q137+T137+V137</f>
      </c>
      <c r="Y137" s="4">
        <f>L137-M137-R137-S137-T137-U137-V137-W137</f>
      </c>
      <c r="Z137" s="4">
        <f>(Y137-AB137)/J137*100</f>
      </c>
      <c r="AA137" s="4">
        <f>M137-X137</f>
      </c>
      <c r="AC137" s="4">
        <f>Y137-AB137</f>
      </c>
      <c r="AH137" t="s">
        <v>1</v>
      </c>
    </row>
    <row r="138" spans="1:34" x14ac:dyDescent="0.25">
      <c r="A138" s="8">
        <v>46216.5</v>
      </c>
      <c r="B138" t="s">
        <v>1732</v>
      </c>
      <c r="C138" t="s">
        <v>1</v>
      </c>
      <c r="D138" s="9" t="s">
        <v>1733</v>
      </c>
      <c r="E138" t="s">
        <v>64</v>
      </c>
      <c r="F138" t="s">
        <v>88</v>
      </c>
      <c r="G138" t="s">
        <v>65</v>
      </c>
      <c r="H138" t="s">
        <v>61</v>
      </c>
      <c r="I138">
        <v>1</v>
      </c>
      <c r="J138" s="4">
        <v>233</v>
      </c>
      <c r="K138" s="4">
        <v>286.59</v>
      </c>
      <c r="L138" s="4">
        <f>K138-J138</f>
      </c>
      <c r="M138" s="4">
        <f>L138*16.67%</f>
      </c>
      <c r="N138" s="4">
        <f>(K138*6.9%)-(K138*6.9%)*10%</f>
      </c>
      <c r="O138" s="4">
        <f>K138*0.35%</f>
      </c>
      <c r="P138" s="4">
        <v>0.4</v>
      </c>
      <c r="Q138" s="4">
        <f>(N138+O138+P138)*20%</f>
      </c>
      <c r="R138" s="4">
        <f>N138+O138+P138+Q138</f>
      </c>
      <c r="S138" s="4">
        <v>0</v>
      </c>
      <c r="T138" s="4">
        <v>0</v>
      </c>
      <c r="U138" s="4">
        <v>0</v>
      </c>
      <c r="V138" s="4">
        <f>U138*20%</f>
      </c>
      <c r="W138" s="4">
        <v>1</v>
      </c>
      <c r="X138" s="4">
        <f>Q138+T138+V138</f>
      </c>
      <c r="Y138" s="4">
        <f>L138-M138-R138-S138-T138-U138-V138-W138</f>
      </c>
      <c r="Z138" s="4">
        <f>(Y138-AB138)/J138*100</f>
      </c>
      <c r="AA138" s="4">
        <f>M138-X138</f>
      </c>
      <c r="AC138" s="4">
        <f>Y138-AB138</f>
      </c>
      <c r="AH138" t="s">
        <v>1</v>
      </c>
    </row>
    <row r="139" spans="1:34" x14ac:dyDescent="0.25">
      <c r="A139" s="8">
        <v>46216.5</v>
      </c>
      <c r="B139" t="s">
        <v>1734</v>
      </c>
      <c r="C139" t="s">
        <v>1</v>
      </c>
      <c r="D139" s="9" t="s">
        <v>1735</v>
      </c>
      <c r="E139" t="s">
        <v>69</v>
      </c>
      <c r="F139" t="s">
        <v>85</v>
      </c>
      <c r="G139" t="s">
        <v>60</v>
      </c>
      <c r="H139" t="s">
        <v>66</v>
      </c>
      <c r="I139">
        <v>1</v>
      </c>
      <c r="J139" s="4">
        <v>491</v>
      </c>
      <c r="K139" s="4">
        <v>589.2</v>
      </c>
      <c r="L139" s="4">
        <f>K139-J139</f>
      </c>
      <c r="M139" s="4">
        <f>L139*16.67%</f>
      </c>
      <c r="N139" s="4">
        <f>(K139*6.9%)-(K139*6.9%)*10%</f>
      </c>
      <c r="O139" s="4">
        <f>K139*0.35%</f>
      </c>
      <c r="P139" s="4">
        <v>0.4</v>
      </c>
      <c r="Q139" s="4">
        <f>(N139+O139+P139)*20%</f>
      </c>
      <c r="R139" s="4">
        <f>N139+O139+P139+Q139</f>
      </c>
      <c r="S139" s="4">
        <v>0</v>
      </c>
      <c r="T139" s="4">
        <v>0</v>
      </c>
      <c r="U139" s="4">
        <v>0</v>
      </c>
      <c r="V139" s="4">
        <f>U139*20%</f>
      </c>
      <c r="W139" s="4">
        <v>1</v>
      </c>
      <c r="X139" s="4">
        <f>Q139+T139+V139</f>
      </c>
      <c r="Y139" s="4">
        <f>L139-M139-R139-S139-T139-U139-V139-W139</f>
      </c>
      <c r="Z139" s="4">
        <f>(Y139-AB139)/J139*100</f>
      </c>
      <c r="AA139" s="4">
        <f>M139-X139</f>
      </c>
      <c r="AC139" s="4">
        <f>Y139-AB139</f>
      </c>
      <c r="AH139" t="s">
        <v>1</v>
      </c>
    </row>
    <row r="140" spans="1:34" x14ac:dyDescent="0.25">
      <c r="A140" s="8">
        <v>46216.5</v>
      </c>
      <c r="B140" t="s">
        <v>1736</v>
      </c>
      <c r="C140" t="s">
        <v>1</v>
      </c>
      <c r="D140" s="9" t="s">
        <v>1737</v>
      </c>
      <c r="E140" t="s">
        <v>172</v>
      </c>
      <c r="F140" t="s">
        <v>105</v>
      </c>
      <c r="G140" t="s">
        <v>65</v>
      </c>
      <c r="H140" t="s">
        <v>66</v>
      </c>
      <c r="I140">
        <v>1</v>
      </c>
      <c r="J140" s="4">
        <v>164</v>
      </c>
      <c r="K140" s="4">
        <v>190.24</v>
      </c>
      <c r="L140" s="4">
        <f>K140-J140</f>
      </c>
      <c r="M140" s="4">
        <f>L140*16.67%</f>
      </c>
      <c r="N140" s="4">
        <f>(K140*6.9%)-(K140*6.9%)*10%</f>
      </c>
      <c r="O140" s="4">
        <f>K140*0.35%</f>
      </c>
      <c r="P140" s="4">
        <v>0.4</v>
      </c>
      <c r="Q140" s="4">
        <f>(N140+O140+P140)*20%</f>
      </c>
      <c r="R140" s="4">
        <f>N140+O140+P140+Q140</f>
      </c>
      <c r="S140" s="4">
        <v>0</v>
      </c>
      <c r="T140" s="4">
        <v>0</v>
      </c>
      <c r="U140" s="4">
        <v>0</v>
      </c>
      <c r="V140" s="4">
        <f>U140*20%</f>
      </c>
      <c r="W140" s="4">
        <v>1</v>
      </c>
      <c r="X140" s="4">
        <f>Q140+T140+V140</f>
      </c>
      <c r="Y140" s="4">
        <f>L140-M140-R140-S140-T140-U140-V140-W140</f>
      </c>
      <c r="Z140" s="4">
        <f>(Y140-AB140)/J140*100</f>
      </c>
      <c r="AA140" s="4">
        <f>M140-X140</f>
      </c>
      <c r="AC140" s="4">
        <f>Y140-AB140</f>
      </c>
      <c r="AH140" t="s">
        <v>1</v>
      </c>
    </row>
    <row r="141" spans="1:34" x14ac:dyDescent="0.25">
      <c r="A141" s="8">
        <v>46216.5</v>
      </c>
      <c r="B141" t="s">
        <v>1738</v>
      </c>
      <c r="C141" t="s">
        <v>1</v>
      </c>
      <c r="D141" s="9" t="s">
        <v>1739</v>
      </c>
      <c r="E141" t="s">
        <v>94</v>
      </c>
      <c r="F141" t="s">
        <v>105</v>
      </c>
      <c r="G141" t="s">
        <v>95</v>
      </c>
      <c r="H141" t="s">
        <v>75</v>
      </c>
      <c r="I141">
        <v>1</v>
      </c>
      <c r="J141" s="4">
        <v>77</v>
      </c>
      <c r="K141" s="4">
        <v>92.4</v>
      </c>
      <c r="L141" s="4">
        <f>K141-J141</f>
      </c>
      <c r="M141" s="4">
        <f>L141*16.67%</f>
      </c>
      <c r="N141" s="4">
        <f>(K141*6.9%)-(K141*6.9%)*10%</f>
      </c>
      <c r="O141" s="4">
        <f>K141*0.35%</f>
      </c>
      <c r="P141" s="4">
        <v>0.4</v>
      </c>
      <c r="Q141" s="4">
        <f>(N141+O141+P141)*20%</f>
      </c>
      <c r="R141" s="4">
        <f>N141+O141+P141+Q141</f>
      </c>
      <c r="S141" s="4">
        <v>0</v>
      </c>
      <c r="T141" s="4">
        <v>0</v>
      </c>
      <c r="U141" s="4">
        <v>0</v>
      </c>
      <c r="V141" s="4">
        <f>U141*20%</f>
      </c>
      <c r="W141" s="4">
        <v>1</v>
      </c>
      <c r="X141" s="4">
        <f>Q141+T141+V141</f>
      </c>
      <c r="Y141" s="4">
        <f>L141-M141-R141-S141-T141-U141-V141-W141</f>
      </c>
      <c r="Z141" s="4">
        <f>(Y141-AB141)/J141*100</f>
      </c>
      <c r="AA141" s="4">
        <f>M141-X141</f>
      </c>
      <c r="AC141" s="4">
        <f>Y141-AB141</f>
      </c>
      <c r="AH141" t="s">
        <v>1</v>
      </c>
    </row>
    <row r="142" spans="1:34" x14ac:dyDescent="0.25">
      <c r="A142" s="8">
        <v>46216.5</v>
      </c>
      <c r="B142" t="s">
        <v>1740</v>
      </c>
      <c r="C142" t="s">
        <v>1</v>
      </c>
      <c r="D142" s="9" t="s">
        <v>1741</v>
      </c>
      <c r="E142" t="s">
        <v>139</v>
      </c>
      <c r="F142" t="s">
        <v>105</v>
      </c>
      <c r="G142" t="s">
        <v>60</v>
      </c>
      <c r="H142" t="s">
        <v>78</v>
      </c>
      <c r="I142">
        <v>1</v>
      </c>
      <c r="J142" s="4">
        <v>321</v>
      </c>
      <c r="K142" s="4">
        <v>417.3</v>
      </c>
      <c r="L142" s="4">
        <f>K142-J142</f>
      </c>
      <c r="M142" s="4">
        <f>L142*16.67%</f>
      </c>
      <c r="N142" s="4">
        <f>(K142*6.9%)-(K142*6.9%)*10%</f>
      </c>
      <c r="O142" s="4">
        <f>K142*0.35%</f>
      </c>
      <c r="P142" s="4">
        <v>0.4</v>
      </c>
      <c r="Q142" s="4">
        <f>(N142+O142+P142)*20%</f>
      </c>
      <c r="R142" s="4">
        <f>N142+O142+P142+Q142</f>
      </c>
      <c r="S142" s="4">
        <v>0</v>
      </c>
      <c r="T142" s="4">
        <v>0</v>
      </c>
      <c r="U142" s="4">
        <v>0</v>
      </c>
      <c r="V142" s="4">
        <f>U142*20%</f>
      </c>
      <c r="W142" s="4">
        <v>1</v>
      </c>
      <c r="X142" s="4">
        <f>Q142+T142+V142</f>
      </c>
      <c r="Y142" s="4">
        <f>L142-M142-R142-S142-T142-U142-V142-W142</f>
      </c>
      <c r="Z142" s="4">
        <f>(Y142-AB142)/J142*100</f>
      </c>
      <c r="AA142" s="4">
        <f>M142-X142</f>
      </c>
      <c r="AC142" s="4">
        <f>Y142-AB142</f>
      </c>
      <c r="AH142" t="s">
        <v>1</v>
      </c>
    </row>
    <row r="143" spans="1:34" x14ac:dyDescent="0.25">
      <c r="A143" s="8">
        <v>46216.5</v>
      </c>
      <c r="B143" t="s">
        <v>1742</v>
      </c>
      <c r="C143" t="s">
        <v>189</v>
      </c>
      <c r="D143" s="9" t="s">
        <v>1</v>
      </c>
      <c r="E143" t="s">
        <v>189</v>
      </c>
      <c r="F143" t="s">
        <v>1</v>
      </c>
      <c r="G143" t="s">
        <v>1</v>
      </c>
      <c r="H143" t="s">
        <v>66</v>
      </c>
      <c r="I143">
        <v>1</v>
      </c>
      <c r="J143" s="4">
        <v>3.5</v>
      </c>
      <c r="K143" s="4">
        <v>4.06</v>
      </c>
      <c r="L143" s="4">
        <f>K143-J143</f>
      </c>
      <c r="M143" s="4">
        <f>L143*16.67%</f>
      </c>
      <c r="N143" s="4">
        <f>(K143*6.9%)-(K143*6.9%)*10%</f>
      </c>
      <c r="O143" s="4">
        <f>K143*0.35%</f>
      </c>
      <c r="P143" s="4">
        <v>0.4</v>
      </c>
      <c r="Q143" s="4">
        <f>(N143+O143+P143)*20%</f>
      </c>
      <c r="R143" s="4">
        <f>N143+O143+P143+Q143</f>
      </c>
      <c r="S143" s="4">
        <v>0</v>
      </c>
      <c r="T143" s="4">
        <v>0</v>
      </c>
      <c r="U143" s="4">
        <v>0</v>
      </c>
      <c r="V143" s="4">
        <f>U143*20%</f>
      </c>
      <c r="W143" s="4">
        <v>0</v>
      </c>
      <c r="X143" s="4">
        <f>Q143+T143+V143</f>
      </c>
      <c r="Y143" s="4">
        <f>L143-M143-R143-S143-T143-U143-V143-W143</f>
      </c>
      <c r="Z143" s="4">
        <f>(Y143-AB143)/J143*100</f>
      </c>
      <c r="AA143" s="4">
        <f>M143-X143</f>
      </c>
      <c r="AC143" s="4">
        <f>Y143-AB143</f>
      </c>
      <c r="AH143" t="s">
        <v>1</v>
      </c>
    </row>
    <row r="144" spans="1:34" x14ac:dyDescent="0.25">
      <c r="A144" s="8">
        <v>46216.5</v>
      </c>
      <c r="B144" t="s">
        <v>1743</v>
      </c>
      <c r="C144" t="s">
        <v>177</v>
      </c>
      <c r="D144" s="9" t="s">
        <v>1</v>
      </c>
      <c r="E144" t="s">
        <v>177</v>
      </c>
      <c r="F144" t="s">
        <v>1</v>
      </c>
      <c r="G144" t="s">
        <v>1</v>
      </c>
      <c r="H144" t="s">
        <v>78</v>
      </c>
      <c r="I144">
        <v>4</v>
      </c>
      <c r="J144" s="4">
        <v>0.6</v>
      </c>
      <c r="K144" s="4">
        <v>0.79</v>
      </c>
      <c r="L144" s="4">
        <f>K144-J144</f>
      </c>
      <c r="M144" s="4">
        <f>L144*16.67%</f>
      </c>
      <c r="N144" s="4">
        <f>(K144*6.9%)-(K144*6.9%)*10%</f>
      </c>
      <c r="O144" s="4">
        <f>K144*0.35%</f>
      </c>
      <c r="P144" s="4">
        <v>0.4</v>
      </c>
      <c r="Q144" s="4">
        <f>(N144+O144+P144)*20%</f>
      </c>
      <c r="R144" s="4">
        <f>N144+O144+P144+Q144</f>
      </c>
      <c r="S144" s="4">
        <v>0</v>
      </c>
      <c r="T144" s="4">
        <v>0</v>
      </c>
      <c r="U144" s="4">
        <v>0</v>
      </c>
      <c r="V144" s="4">
        <f>U144*20%</f>
      </c>
      <c r="W144" s="4">
        <v>0</v>
      </c>
      <c r="X144" s="4">
        <f>Q144+T144+V144</f>
      </c>
      <c r="Y144" s="4">
        <f>L144-M144-R144-S144-T144-U144-V144-W144</f>
      </c>
      <c r="Z144" s="4">
        <f>(Y144-AB144)/J144*100</f>
      </c>
      <c r="AA144" s="4">
        <f>M144-X144</f>
      </c>
      <c r="AC144" s="4">
        <f>Y144-AB144</f>
      </c>
      <c r="AH144" t="s">
        <v>1</v>
      </c>
    </row>
    <row r="145" spans="1:34" x14ac:dyDescent="0.25">
      <c r="A145" s="8">
        <v>46216.5</v>
      </c>
      <c r="B145" t="s">
        <v>1744</v>
      </c>
      <c r="C145" t="s">
        <v>177</v>
      </c>
      <c r="D145" s="9" t="s">
        <v>1</v>
      </c>
      <c r="E145" t="s">
        <v>177</v>
      </c>
      <c r="F145" t="s">
        <v>1</v>
      </c>
      <c r="G145" t="s">
        <v>1</v>
      </c>
      <c r="H145" t="s">
        <v>78</v>
      </c>
      <c r="I145">
        <v>1</v>
      </c>
      <c r="J145" s="4">
        <v>0.15</v>
      </c>
      <c r="K145" s="4">
        <v>0.19</v>
      </c>
      <c r="L145" s="4">
        <f>K145-J145</f>
      </c>
      <c r="M145" s="4">
        <f>L145*16.67%</f>
      </c>
      <c r="N145" s="4">
        <f>(K145*6.9%)-(K145*6.9%)*10%</f>
      </c>
      <c r="O145" s="4">
        <f>K145*0.35%</f>
      </c>
      <c r="P145" s="4">
        <v>0.4</v>
      </c>
      <c r="Q145" s="4">
        <f>(N145+O145+P145)*20%</f>
      </c>
      <c r="R145" s="4">
        <f>N145+O145+P145+Q145</f>
      </c>
      <c r="S145" s="4">
        <v>0</v>
      </c>
      <c r="T145" s="4">
        <v>0</v>
      </c>
      <c r="U145" s="4">
        <v>0</v>
      </c>
      <c r="V145" s="4">
        <f>U145*20%</f>
      </c>
      <c r="W145" s="4">
        <v>0</v>
      </c>
      <c r="X145" s="4">
        <f>Q145+T145+V145</f>
      </c>
      <c r="Y145" s="4">
        <f>L145-M145-R145-S145-T145-U145-V145-W145</f>
      </c>
      <c r="Z145" s="4">
        <f>(Y145-AB145)/J145*100</f>
      </c>
      <c r="AA145" s="4">
        <f>M145-X145</f>
      </c>
      <c r="AC145" s="4">
        <f>Y145-AB145</f>
      </c>
      <c r="AH145" t="s">
        <v>1</v>
      </c>
    </row>
    <row r="146" spans="1:34" x14ac:dyDescent="0.25">
      <c r="A146" s="8">
        <v>46215.5</v>
      </c>
      <c r="B146" t="s">
        <v>1745</v>
      </c>
      <c r="C146" t="s">
        <v>1</v>
      </c>
      <c r="D146" s="9" t="s">
        <v>1746</v>
      </c>
      <c r="E146" t="s">
        <v>94</v>
      </c>
      <c r="F146" t="s">
        <v>70</v>
      </c>
      <c r="G146" t="s">
        <v>95</v>
      </c>
      <c r="H146" t="s">
        <v>75</v>
      </c>
      <c r="I146">
        <v>1</v>
      </c>
      <c r="J146" s="4">
        <v>65</v>
      </c>
      <c r="K146" s="4">
        <v>81.9</v>
      </c>
      <c r="L146" s="4">
        <f>K146-J146</f>
      </c>
      <c r="M146" s="4">
        <f>L146*16.67%</f>
      </c>
      <c r="N146" s="4">
        <f>(K146*6.9%)-(K146*6.9%)*10%</f>
      </c>
      <c r="O146" s="4">
        <f>K146*0.35%</f>
      </c>
      <c r="P146" s="4">
        <v>0.4</v>
      </c>
      <c r="Q146" s="4">
        <f>(N146+O146+P146)*20%</f>
      </c>
      <c r="R146" s="4">
        <f>N146+O146+P146+Q146</f>
      </c>
      <c r="S146" s="4">
        <v>0</v>
      </c>
      <c r="T146" s="4">
        <v>0</v>
      </c>
      <c r="U146" s="4">
        <v>0</v>
      </c>
      <c r="V146" s="4">
        <f>U146*20%</f>
      </c>
      <c r="W146" s="4">
        <v>1</v>
      </c>
      <c r="X146" s="4">
        <f>Q146+T146+V146</f>
      </c>
      <c r="Y146" s="4">
        <f>L146-M146-R146-S146-T146-U146-V146-W146</f>
      </c>
      <c r="Z146" s="4">
        <f>(Y146-AB146)/J146*100</f>
      </c>
      <c r="AA146" s="4">
        <f>M146-X146</f>
      </c>
      <c r="AC146" s="4">
        <f>Y146-AB146</f>
      </c>
      <c r="AH146" t="s">
        <v>1</v>
      </c>
    </row>
    <row r="147" spans="1:34" x14ac:dyDescent="0.25">
      <c r="A147" s="8">
        <v>46215.5</v>
      </c>
      <c r="B147" t="s">
        <v>1747</v>
      </c>
      <c r="C147" t="s">
        <v>1</v>
      </c>
      <c r="D147" s="9" t="s">
        <v>1748</v>
      </c>
      <c r="E147" t="s">
        <v>131</v>
      </c>
      <c r="F147" t="s">
        <v>59</v>
      </c>
      <c r="G147" t="s">
        <v>65</v>
      </c>
      <c r="H147" t="s">
        <v>61</v>
      </c>
      <c r="I147">
        <v>1</v>
      </c>
      <c r="J147" s="4">
        <v>323</v>
      </c>
      <c r="K147" s="4">
        <v>442.51</v>
      </c>
      <c r="L147" s="4">
        <f>K147-J147</f>
      </c>
      <c r="M147" s="4">
        <f>L147*16.67%</f>
      </c>
      <c r="N147" s="4">
        <f>(K147*6.9%)-(K147*6.9%)*10%</f>
      </c>
      <c r="O147" s="4">
        <f>K147*0.35%</f>
      </c>
      <c r="P147" s="4">
        <v>0.4</v>
      </c>
      <c r="Q147" s="4">
        <f>(N147+O147+P147)*20%</f>
      </c>
      <c r="R147" s="4">
        <f>N147+O147+P147+Q147</f>
      </c>
      <c r="S147" s="4">
        <v>0</v>
      </c>
      <c r="T147" s="4">
        <v>0</v>
      </c>
      <c r="U147" s="4">
        <v>0</v>
      </c>
      <c r="V147" s="4">
        <f>U147*20%</f>
      </c>
      <c r="W147" s="4">
        <v>1</v>
      </c>
      <c r="X147" s="4">
        <f>Q147+T147+V147</f>
      </c>
      <c r="Y147" s="4">
        <f>L147-M147-R147-S147-T147-U147-V147-W147</f>
      </c>
      <c r="Z147" s="4">
        <f>(Y147-AB147)/J147*100</f>
      </c>
      <c r="AA147" s="4">
        <f>M147-X147</f>
      </c>
      <c r="AC147" s="4">
        <f>Y147-AB147</f>
      </c>
      <c r="AH147" t="s">
        <v>1</v>
      </c>
    </row>
    <row r="148" spans="1:34" x14ac:dyDescent="0.25">
      <c r="A148" s="8">
        <v>46215.5</v>
      </c>
      <c r="B148" t="s">
        <v>1749</v>
      </c>
      <c r="C148" t="s">
        <v>1</v>
      </c>
      <c r="D148" s="9" t="s">
        <v>1750</v>
      </c>
      <c r="E148" t="s">
        <v>114</v>
      </c>
      <c r="F148" t="s">
        <v>88</v>
      </c>
      <c r="G148" t="s">
        <v>95</v>
      </c>
      <c r="H148" t="s">
        <v>78</v>
      </c>
      <c r="I148">
        <v>1</v>
      </c>
      <c r="J148" s="4">
        <v>214</v>
      </c>
      <c r="K148" s="4">
        <v>265.36</v>
      </c>
      <c r="L148" s="4">
        <f>K148-J148</f>
      </c>
      <c r="M148" s="4">
        <f>L148*16.67%</f>
      </c>
      <c r="N148" s="4">
        <f>(K148*6.9%)-(K148*6.9%)*10%</f>
      </c>
      <c r="O148" s="4">
        <f>K148*0.35%</f>
      </c>
      <c r="P148" s="4">
        <v>0.4</v>
      </c>
      <c r="Q148" s="4">
        <f>(N148+O148+P148)*20%</f>
      </c>
      <c r="R148" s="4">
        <f>N148+O148+P148+Q148</f>
      </c>
      <c r="S148" s="4">
        <v>0</v>
      </c>
      <c r="T148" s="4">
        <v>0</v>
      </c>
      <c r="U148" s="4">
        <v>0</v>
      </c>
      <c r="V148" s="4">
        <f>U148*20%</f>
      </c>
      <c r="W148" s="4">
        <v>1</v>
      </c>
      <c r="X148" s="4">
        <f>Q148+T148+V148</f>
      </c>
      <c r="Y148" s="4">
        <f>L148-M148-R148-S148-T148-U148-V148-W148</f>
      </c>
      <c r="Z148" s="4">
        <f>(Y148-AB148)/J148*100</f>
      </c>
      <c r="AA148" s="4">
        <f>M148-X148</f>
      </c>
      <c r="AC148" s="4">
        <f>Y148-AB148</f>
      </c>
      <c r="AH148" t="s">
        <v>1</v>
      </c>
    </row>
    <row r="149" spans="1:34" x14ac:dyDescent="0.25">
      <c r="A149" s="8">
        <v>46215.5</v>
      </c>
      <c r="B149" t="s">
        <v>1751</v>
      </c>
      <c r="C149" t="s">
        <v>1</v>
      </c>
      <c r="D149" s="9" t="s">
        <v>1</v>
      </c>
      <c r="E149" t="s">
        <v>1</v>
      </c>
      <c r="F149" t="s">
        <v>1</v>
      </c>
      <c r="G149" t="s">
        <v>1</v>
      </c>
      <c r="H149" t="s">
        <v>75</v>
      </c>
      <c r="I149">
        <v>1</v>
      </c>
      <c r="J149" s="4">
        <v>189</v>
      </c>
      <c r="K149" s="4">
        <v>245.7</v>
      </c>
      <c r="L149" s="4">
        <f>K149-J149</f>
      </c>
      <c r="M149" s="4">
        <f>L149*16.67%</f>
      </c>
      <c r="N149" s="4">
        <f>(K149*6.9%)-(K149*6.9%)*10%</f>
      </c>
      <c r="O149" s="4">
        <f>K149*0.35%</f>
      </c>
      <c r="P149" s="4">
        <v>0.4</v>
      </c>
      <c r="Q149" s="4">
        <f>(N149+O149+P149)*20%</f>
      </c>
      <c r="R149" s="4">
        <f>N149+O149+P149+Q149</f>
      </c>
      <c r="S149" s="4">
        <v>0</v>
      </c>
      <c r="T149" s="4">
        <v>0</v>
      </c>
      <c r="U149" s="4">
        <v>0</v>
      </c>
      <c r="V149" s="4">
        <f>U149*20%</f>
      </c>
      <c r="W149" s="4">
        <v>1</v>
      </c>
      <c r="X149" s="4">
        <f>Q149+T149+V149</f>
      </c>
      <c r="Y149" s="4">
        <f>L149-M149-R149-S149-T149-U149-V149-W149</f>
      </c>
      <c r="Z149" s="4">
        <f>(Y149-AB149)/J149*100</f>
      </c>
      <c r="AA149" s="4">
        <f>M149-X149</f>
      </c>
      <c r="AC149" s="4">
        <f>Y149-AB149</f>
      </c>
      <c r="AH149" t="s">
        <v>1</v>
      </c>
    </row>
    <row r="150" spans="1:34" x14ac:dyDescent="0.25">
      <c r="A150" s="8">
        <v>46214.5</v>
      </c>
      <c r="B150" t="s">
        <v>1752</v>
      </c>
      <c r="C150" t="s">
        <v>1</v>
      </c>
      <c r="D150" s="9" t="s">
        <v>1753</v>
      </c>
      <c r="E150" t="s">
        <v>64</v>
      </c>
      <c r="F150" t="s">
        <v>74</v>
      </c>
      <c r="G150" t="s">
        <v>65</v>
      </c>
      <c r="H150" t="s">
        <v>61</v>
      </c>
      <c r="I150">
        <v>1</v>
      </c>
      <c r="J150" s="4">
        <v>234</v>
      </c>
      <c r="K150" s="4">
        <v>287.82</v>
      </c>
      <c r="L150" s="4">
        <f>K150-J150</f>
      </c>
      <c r="M150" s="4">
        <f>L150*16.67%</f>
      </c>
      <c r="N150" s="4">
        <f>(K150*6.9%)-(K150*6.9%)*10%</f>
      </c>
      <c r="O150" s="4">
        <f>K150*0.35%</f>
      </c>
      <c r="P150" s="4">
        <v>0.4</v>
      </c>
      <c r="Q150" s="4">
        <f>(N150+O150+P150)*20%</f>
      </c>
      <c r="R150" s="4">
        <f>N150+O150+P150+Q150</f>
      </c>
      <c r="S150" s="4">
        <v>0</v>
      </c>
      <c r="T150" s="4">
        <v>0</v>
      </c>
      <c r="U150" s="4">
        <v>0</v>
      </c>
      <c r="V150" s="4">
        <f>U150*20%</f>
      </c>
      <c r="W150" s="4">
        <v>1</v>
      </c>
      <c r="X150" s="4">
        <f>Q150+T150+V150</f>
      </c>
      <c r="Y150" s="4">
        <f>L150-M150-R150-S150-T150-U150-V150-W150</f>
      </c>
      <c r="Z150" s="4">
        <f>(Y150-AB150)/J150*100</f>
      </c>
      <c r="AA150" s="4">
        <f>M150-X150</f>
      </c>
      <c r="AC150" s="4">
        <f>Y150-AB150</f>
      </c>
      <c r="AH150" t="s">
        <v>1</v>
      </c>
    </row>
    <row r="151" spans="1:34" x14ac:dyDescent="0.25">
      <c r="A151" s="8">
        <v>46214.5</v>
      </c>
      <c r="B151" t="s">
        <v>1754</v>
      </c>
      <c r="C151" t="s">
        <v>1</v>
      </c>
      <c r="D151" s="9" t="s">
        <v>1755</v>
      </c>
      <c r="E151" t="s">
        <v>69</v>
      </c>
      <c r="F151" t="s">
        <v>85</v>
      </c>
      <c r="G151" t="s">
        <v>60</v>
      </c>
      <c r="H151" t="s">
        <v>66</v>
      </c>
      <c r="I151">
        <v>1</v>
      </c>
      <c r="J151" s="4">
        <v>540</v>
      </c>
      <c r="K151" s="4">
        <v>761.4</v>
      </c>
      <c r="L151" s="4">
        <f>K151-J151</f>
      </c>
      <c r="M151" s="4">
        <f>L151*16.67%</f>
      </c>
      <c r="N151" s="4">
        <f>(K151*6.9%)-(K151*6.9%)*10%</f>
      </c>
      <c r="O151" s="4">
        <f>K151*0.35%</f>
      </c>
      <c r="P151" s="4">
        <v>0.4</v>
      </c>
      <c r="Q151" s="4">
        <f>(N151+O151+P151)*20%</f>
      </c>
      <c r="R151" s="4">
        <f>N151+O151+P151+Q151</f>
      </c>
      <c r="S151" s="4">
        <v>0</v>
      </c>
      <c r="T151" s="4">
        <v>0</v>
      </c>
      <c r="U151" s="4">
        <v>0</v>
      </c>
      <c r="V151" s="4">
        <f>U151*20%</f>
      </c>
      <c r="W151" s="4">
        <v>1</v>
      </c>
      <c r="X151" s="4">
        <f>Q151+T151+V151</f>
      </c>
      <c r="Y151" s="4">
        <f>L151-M151-R151-S151-T151-U151-V151-W151</f>
      </c>
      <c r="Z151" s="4">
        <f>(Y151-AB151)/J151*100</f>
      </c>
      <c r="AA151" s="4">
        <f>M151-X151</f>
      </c>
      <c r="AC151" s="4">
        <f>Y151-AB151</f>
      </c>
      <c r="AH151" t="s">
        <v>1</v>
      </c>
    </row>
    <row r="152" spans="1:34" x14ac:dyDescent="0.25">
      <c r="A152" s="8">
        <v>46214.5</v>
      </c>
      <c r="B152" t="s">
        <v>1756</v>
      </c>
      <c r="C152" t="s">
        <v>1</v>
      </c>
      <c r="D152" s="9" t="s">
        <v>1757</v>
      </c>
      <c r="E152" t="s">
        <v>73</v>
      </c>
      <c r="F152" t="s">
        <v>85</v>
      </c>
      <c r="G152" t="s">
        <v>60</v>
      </c>
      <c r="H152" t="s">
        <v>102</v>
      </c>
      <c r="I152">
        <v>1</v>
      </c>
      <c r="J152" s="4">
        <v>334</v>
      </c>
      <c r="K152" s="4">
        <v>474.28</v>
      </c>
      <c r="L152" s="4">
        <f>K152-J152</f>
      </c>
      <c r="M152" s="4">
        <f>L152*16.67%</f>
      </c>
      <c r="N152" s="4">
        <f>(K152*6.9%)-(K152*6.9%)*10%</f>
      </c>
      <c r="O152" s="4">
        <f>K152*0.35%</f>
      </c>
      <c r="P152" s="4">
        <v>0.4</v>
      </c>
      <c r="Q152" s="4">
        <f>(N152+O152+P152)*20%</f>
      </c>
      <c r="R152" s="4">
        <f>N152+O152+P152+Q152</f>
      </c>
      <c r="S152" s="4">
        <v>0</v>
      </c>
      <c r="T152" s="4">
        <v>0</v>
      </c>
      <c r="U152" s="4">
        <v>0</v>
      </c>
      <c r="V152" s="4">
        <f>U152*20%</f>
      </c>
      <c r="W152" s="4">
        <v>1</v>
      </c>
      <c r="X152" s="4">
        <f>Q152+T152+V152</f>
      </c>
      <c r="Y152" s="4">
        <f>L152-M152-R152-S152-T152-U152-V152-W152</f>
      </c>
      <c r="Z152" s="4">
        <f>(Y152-AB152)/J152*100</f>
      </c>
      <c r="AA152" s="4">
        <f>M152-X152</f>
      </c>
      <c r="AC152" s="4">
        <f>Y152-AB152</f>
      </c>
      <c r="AH152" t="s">
        <v>1</v>
      </c>
    </row>
    <row r="153" spans="1:34" x14ac:dyDescent="0.25">
      <c r="A153" s="8">
        <v>46214.5</v>
      </c>
      <c r="B153" t="s">
        <v>1758</v>
      </c>
      <c r="C153" t="s">
        <v>1</v>
      </c>
      <c r="D153" s="9" t="s">
        <v>1759</v>
      </c>
      <c r="E153" t="s">
        <v>69</v>
      </c>
      <c r="F153" t="s">
        <v>85</v>
      </c>
      <c r="G153" t="s">
        <v>60</v>
      </c>
      <c r="H153" t="s">
        <v>102</v>
      </c>
      <c r="I153">
        <v>1</v>
      </c>
      <c r="J153" s="4">
        <v>524</v>
      </c>
      <c r="K153" s="4">
        <v>639.28</v>
      </c>
      <c r="L153" s="4">
        <f>K153-J153</f>
      </c>
      <c r="M153" s="4">
        <f>L153*16.67%</f>
      </c>
      <c r="N153" s="4">
        <f>(K153*6.9%)-(K153*6.9%)*10%</f>
      </c>
      <c r="O153" s="4">
        <f>K153*0.35%</f>
      </c>
      <c r="P153" s="4">
        <v>0.4</v>
      </c>
      <c r="Q153" s="4">
        <f>(N153+O153+P153)*20%</f>
      </c>
      <c r="R153" s="4">
        <f>N153+O153+P153+Q153</f>
      </c>
      <c r="S153" s="4">
        <v>0</v>
      </c>
      <c r="T153" s="4">
        <v>0</v>
      </c>
      <c r="U153" s="4">
        <v>0</v>
      </c>
      <c r="V153" s="4">
        <f>U153*20%</f>
      </c>
      <c r="W153" s="4">
        <v>1</v>
      </c>
      <c r="X153" s="4">
        <f>Q153+T153+V153</f>
      </c>
      <c r="Y153" s="4">
        <f>L153-M153-R153-S153-T153-U153-V153-W153</f>
      </c>
      <c r="Z153" s="4">
        <f>(Y153-AB153)/J153*100</f>
      </c>
      <c r="AA153" s="4">
        <f>M153-X153</f>
      </c>
      <c r="AC153" s="4">
        <f>Y153-AB153</f>
      </c>
      <c r="AH153" t="s">
        <v>1</v>
      </c>
    </row>
    <row r="154" spans="1:34" x14ac:dyDescent="0.25">
      <c r="A154" s="8">
        <v>46214.5</v>
      </c>
      <c r="B154" t="s">
        <v>1760</v>
      </c>
      <c r="C154" t="s">
        <v>189</v>
      </c>
      <c r="D154" s="9" t="s">
        <v>1</v>
      </c>
      <c r="E154" t="s">
        <v>189</v>
      </c>
      <c r="F154" t="s">
        <v>1</v>
      </c>
      <c r="G154" t="s">
        <v>1</v>
      </c>
      <c r="H154" t="s">
        <v>66</v>
      </c>
      <c r="I154">
        <v>4</v>
      </c>
      <c r="J154" s="4">
        <v>14</v>
      </c>
      <c r="K154" s="4">
        <v>17.5</v>
      </c>
      <c r="L154" s="4">
        <f>K154-J154</f>
      </c>
      <c r="M154" s="4">
        <f>L154*16.67%</f>
      </c>
      <c r="N154" s="4">
        <f>(K154*6.9%)-(K154*6.9%)*10%</f>
      </c>
      <c r="O154" s="4">
        <f>K154*0.35%</f>
      </c>
      <c r="P154" s="4">
        <v>0.4</v>
      </c>
      <c r="Q154" s="4">
        <f>(N154+O154+P154)*20%</f>
      </c>
      <c r="R154" s="4">
        <f>N154+O154+P154+Q154</f>
      </c>
      <c r="S154" s="4">
        <v>0</v>
      </c>
      <c r="T154" s="4">
        <v>0</v>
      </c>
      <c r="U154" s="4">
        <v>0</v>
      </c>
      <c r="V154" s="4">
        <f>U154*20%</f>
      </c>
      <c r="W154" s="4">
        <v>0</v>
      </c>
      <c r="X154" s="4">
        <f>Q154+T154+V154</f>
      </c>
      <c r="Y154" s="4">
        <f>L154-M154-R154-S154-T154-U154-V154-W154</f>
      </c>
      <c r="Z154" s="4">
        <f>(Y154-AB154)/J154*100</f>
      </c>
      <c r="AA154" s="4">
        <f>M154-X154</f>
      </c>
      <c r="AC154" s="4">
        <f>Y154-AB154</f>
      </c>
      <c r="AH154" t="s">
        <v>1</v>
      </c>
    </row>
    <row r="155" spans="1:34" x14ac:dyDescent="0.25">
      <c r="A155" s="8">
        <v>46214.5</v>
      </c>
      <c r="B155" t="s">
        <v>1761</v>
      </c>
      <c r="C155" t="s">
        <v>174</v>
      </c>
      <c r="D155" s="9" t="s">
        <v>1</v>
      </c>
      <c r="E155" t="s">
        <v>174</v>
      </c>
      <c r="F155" t="s">
        <v>1</v>
      </c>
      <c r="G155" t="s">
        <v>1</v>
      </c>
      <c r="H155" t="s">
        <v>66</v>
      </c>
      <c r="I155">
        <v>4</v>
      </c>
      <c r="J155" s="4">
        <v>17</v>
      </c>
      <c r="K155" s="4">
        <v>24.65</v>
      </c>
      <c r="L155" s="4">
        <f>K155-J155</f>
      </c>
      <c r="M155" s="4">
        <f>L155*16.67%</f>
      </c>
      <c r="N155" s="4">
        <f>(K155*6.9%)-(K155*6.9%)*10%</f>
      </c>
      <c r="O155" s="4">
        <f>K155*0.35%</f>
      </c>
      <c r="P155" s="4">
        <v>0.4</v>
      </c>
      <c r="Q155" s="4">
        <f>(N155+O155+P155)*20%</f>
      </c>
      <c r="R155" s="4">
        <f>N155+O155+P155+Q155</f>
      </c>
      <c r="S155" s="4">
        <v>0</v>
      </c>
      <c r="T155" s="4">
        <v>0</v>
      </c>
      <c r="U155" s="4">
        <v>0</v>
      </c>
      <c r="V155" s="4">
        <f>U155*20%</f>
      </c>
      <c r="W155" s="4">
        <v>0</v>
      </c>
      <c r="X155" s="4">
        <f>Q155+T155+V155</f>
      </c>
      <c r="Y155" s="4">
        <f>L155-M155-R155-S155-T155-U155-V155-W155</f>
      </c>
      <c r="Z155" s="4">
        <f>(Y155-AB155)/J155*100</f>
      </c>
      <c r="AA155" s="4">
        <f>M155-X155</f>
      </c>
      <c r="AC155" s="4">
        <f>Y155-AB155</f>
      </c>
      <c r="AH155" t="s">
        <v>1</v>
      </c>
    </row>
    <row r="156" spans="1:34" x14ac:dyDescent="0.25">
      <c r="A156" s="8">
        <v>46214.5</v>
      </c>
      <c r="B156" t="s">
        <v>1762</v>
      </c>
      <c r="C156" t="s">
        <v>182</v>
      </c>
      <c r="D156" s="9" t="s">
        <v>1</v>
      </c>
      <c r="E156" t="s">
        <v>182</v>
      </c>
      <c r="F156" t="s">
        <v>1</v>
      </c>
      <c r="G156" t="s">
        <v>1</v>
      </c>
      <c r="H156" t="s">
        <v>75</v>
      </c>
      <c r="I156">
        <v>2</v>
      </c>
      <c r="J156" s="4">
        <v>3.8</v>
      </c>
      <c r="K156" s="4">
        <v>4.83</v>
      </c>
      <c r="L156" s="4">
        <f>K156-J156</f>
      </c>
      <c r="M156" s="4">
        <f>L156*16.67%</f>
      </c>
      <c r="N156" s="4">
        <f>(K156*6.9%)-(K156*6.9%)*10%</f>
      </c>
      <c r="O156" s="4">
        <f>K156*0.35%</f>
      </c>
      <c r="P156" s="4">
        <v>0.4</v>
      </c>
      <c r="Q156" s="4">
        <f>(N156+O156+P156)*20%</f>
      </c>
      <c r="R156" s="4">
        <f>N156+O156+P156+Q156</f>
      </c>
      <c r="S156" s="4">
        <v>0</v>
      </c>
      <c r="T156" s="4">
        <v>0</v>
      </c>
      <c r="U156" s="4">
        <v>0</v>
      </c>
      <c r="V156" s="4">
        <f>U156*20%</f>
      </c>
      <c r="W156" s="4">
        <v>0</v>
      </c>
      <c r="X156" s="4">
        <f>Q156+T156+V156</f>
      </c>
      <c r="Y156" s="4">
        <f>L156-M156-R156-S156-T156-U156-V156-W156</f>
      </c>
      <c r="Z156" s="4">
        <f>(Y156-AB156)/J156*100</f>
      </c>
      <c r="AA156" s="4">
        <f>M156-X156</f>
      </c>
      <c r="AC156" s="4">
        <f>Y156-AB156</f>
      </c>
      <c r="AH156" t="s">
        <v>1</v>
      </c>
    </row>
    <row r="157" spans="1:34" x14ac:dyDescent="0.25">
      <c r="A157" s="8">
        <v>46213.5</v>
      </c>
      <c r="B157" t="s">
        <v>1763</v>
      </c>
      <c r="C157" t="s">
        <v>1</v>
      </c>
      <c r="D157" s="9" t="s">
        <v>1764</v>
      </c>
      <c r="E157" t="s">
        <v>125</v>
      </c>
      <c r="F157" t="s">
        <v>70</v>
      </c>
      <c r="G157" t="s">
        <v>126</v>
      </c>
      <c r="H157" t="s">
        <v>66</v>
      </c>
      <c r="I157">
        <v>1</v>
      </c>
      <c r="J157" s="4">
        <v>291</v>
      </c>
      <c r="K157" s="4">
        <v>346.29</v>
      </c>
      <c r="L157" s="4">
        <f>K157-J157</f>
      </c>
      <c r="M157" s="4">
        <f>L157*16.67%</f>
      </c>
      <c r="N157" s="4">
        <f>(K157*6.9%)-(K157*6.9%)*10%</f>
      </c>
      <c r="O157" s="4">
        <f>K157*0.35%</f>
      </c>
      <c r="P157" s="4">
        <v>0.4</v>
      </c>
      <c r="Q157" s="4">
        <f>(N157+O157+P157)*20%</f>
      </c>
      <c r="R157" s="4">
        <f>N157+O157+P157+Q157</f>
      </c>
      <c r="S157" s="4">
        <v>0</v>
      </c>
      <c r="T157" s="4">
        <v>0</v>
      </c>
      <c r="U157" s="4">
        <v>0</v>
      </c>
      <c r="V157" s="4">
        <f>U157*20%</f>
      </c>
      <c r="W157" s="4">
        <v>1</v>
      </c>
      <c r="X157" s="4">
        <f>Q157+T157+V157</f>
      </c>
      <c r="Y157" s="4">
        <f>L157-M157-R157-S157-T157-U157-V157-W157</f>
      </c>
      <c r="Z157" s="4">
        <f>(Y157-AB157)/J157*100</f>
      </c>
      <c r="AA157" s="4">
        <f>M157-X157</f>
      </c>
      <c r="AC157" s="4">
        <f>Y157-AB157</f>
      </c>
      <c r="AH157" t="s">
        <v>1</v>
      </c>
    </row>
    <row r="158" spans="1:34" x14ac:dyDescent="0.25">
      <c r="A158" s="8">
        <v>46213.5</v>
      </c>
      <c r="B158" t="s">
        <v>1765</v>
      </c>
      <c r="C158" t="s">
        <v>1</v>
      </c>
      <c r="D158" s="9" t="s">
        <v>1766</v>
      </c>
      <c r="E158" t="s">
        <v>98</v>
      </c>
      <c r="F158" t="s">
        <v>59</v>
      </c>
      <c r="G158" t="s">
        <v>60</v>
      </c>
      <c r="H158" t="s">
        <v>66</v>
      </c>
      <c r="I158">
        <v>1</v>
      </c>
      <c r="J158" s="4">
        <v>312</v>
      </c>
      <c r="K158" s="4">
        <v>402.48</v>
      </c>
      <c r="L158" s="4">
        <f>K158-J158</f>
      </c>
      <c r="M158" s="4">
        <f>L158*16.67%</f>
      </c>
      <c r="N158" s="4">
        <f>(K158*6.9%)-(K158*6.9%)*10%</f>
      </c>
      <c r="O158" s="4">
        <f>K158*0.35%</f>
      </c>
      <c r="P158" s="4">
        <v>0.4</v>
      </c>
      <c r="Q158" s="4">
        <f>(N158+O158+P158)*20%</f>
      </c>
      <c r="R158" s="4">
        <f>N158+O158+P158+Q158</f>
      </c>
      <c r="S158" s="4">
        <v>0</v>
      </c>
      <c r="T158" s="4">
        <v>0</v>
      </c>
      <c r="U158" s="4">
        <v>0</v>
      </c>
      <c r="V158" s="4">
        <f>U158*20%</f>
      </c>
      <c r="W158" s="4">
        <v>1</v>
      </c>
      <c r="X158" s="4">
        <f>Q158+T158+V158</f>
      </c>
      <c r="Y158" s="4">
        <f>L158-M158-R158-S158-T158-U158-V158-W158</f>
      </c>
      <c r="Z158" s="4">
        <f>(Y158-AB158)/J158*100</f>
      </c>
      <c r="AA158" s="4">
        <f>M158-X158</f>
      </c>
      <c r="AC158" s="4">
        <f>Y158-AB158</f>
      </c>
      <c r="AH158" t="s">
        <v>1</v>
      </c>
    </row>
    <row r="159" spans="1:34" x14ac:dyDescent="0.25">
      <c r="A159" s="8">
        <v>46212.5</v>
      </c>
      <c r="B159" t="s">
        <v>1767</v>
      </c>
      <c r="C159" t="s">
        <v>1</v>
      </c>
      <c r="D159" s="9" t="s">
        <v>1768</v>
      </c>
      <c r="E159" t="s">
        <v>81</v>
      </c>
      <c r="F159" t="s">
        <v>70</v>
      </c>
      <c r="G159" t="s">
        <v>65</v>
      </c>
      <c r="H159" t="s">
        <v>66</v>
      </c>
      <c r="I159">
        <v>1</v>
      </c>
      <c r="J159" s="4">
        <v>535</v>
      </c>
      <c r="K159" s="4">
        <v>615.25</v>
      </c>
      <c r="L159" s="4">
        <f>K159-J159</f>
      </c>
      <c r="M159" s="4">
        <f>L159*16.67%</f>
      </c>
      <c r="N159" s="4">
        <f>(K159*6.9%)-(K159*6.9%)*10%</f>
      </c>
      <c r="O159" s="4">
        <f>K159*0.35%</f>
      </c>
      <c r="P159" s="4">
        <v>0.4</v>
      </c>
      <c r="Q159" s="4">
        <f>(N159+O159+P159)*20%</f>
      </c>
      <c r="R159" s="4">
        <f>N159+O159+P159+Q159</f>
      </c>
      <c r="S159" s="4">
        <v>0</v>
      </c>
      <c r="T159" s="4">
        <v>0</v>
      </c>
      <c r="U159" s="4">
        <v>0</v>
      </c>
      <c r="V159" s="4">
        <f>U159*20%</f>
      </c>
      <c r="W159" s="4">
        <v>1</v>
      </c>
      <c r="X159" s="4">
        <f>Q159+T159+V159</f>
      </c>
      <c r="Y159" s="4">
        <f>L159-M159-R159-S159-T159-U159-V159-W159</f>
      </c>
      <c r="Z159" s="4">
        <f>(Y159-AB159)/J159*100</f>
      </c>
      <c r="AA159" s="4">
        <f>M159-X159</f>
      </c>
      <c r="AC159" s="4">
        <f>Y159-AB159</f>
      </c>
      <c r="AH159" t="s">
        <v>1</v>
      </c>
    </row>
    <row r="160" spans="1:34" x14ac:dyDescent="0.25">
      <c r="A160" s="8">
        <v>46212.5</v>
      </c>
      <c r="B160" t="s">
        <v>1769</v>
      </c>
      <c r="C160" t="s">
        <v>1</v>
      </c>
      <c r="D160" s="9" t="s">
        <v>1770</v>
      </c>
      <c r="E160" t="s">
        <v>131</v>
      </c>
      <c r="F160" t="s">
        <v>70</v>
      </c>
      <c r="G160" t="s">
        <v>60</v>
      </c>
      <c r="H160" t="s">
        <v>78</v>
      </c>
      <c r="I160">
        <v>1</v>
      </c>
      <c r="J160" s="4">
        <v>330</v>
      </c>
      <c r="K160" s="4">
        <v>425.7</v>
      </c>
      <c r="L160" s="4">
        <f>K160-J160</f>
      </c>
      <c r="M160" s="4">
        <f>L160*16.67%</f>
      </c>
      <c r="N160" s="4">
        <f>(K160*6.9%)-(K160*6.9%)*10%</f>
      </c>
      <c r="O160" s="4">
        <f>K160*0.35%</f>
      </c>
      <c r="P160" s="4">
        <v>0.4</v>
      </c>
      <c r="Q160" s="4">
        <f>(N160+O160+P160)*20%</f>
      </c>
      <c r="R160" s="4">
        <f>N160+O160+P160+Q160</f>
      </c>
      <c r="S160" s="4">
        <v>0</v>
      </c>
      <c r="T160" s="4">
        <v>0</v>
      </c>
      <c r="U160" s="4">
        <v>0</v>
      </c>
      <c r="V160" s="4">
        <f>U160*20%</f>
      </c>
      <c r="W160" s="4">
        <v>1</v>
      </c>
      <c r="X160" s="4">
        <f>Q160+T160+V160</f>
      </c>
      <c r="Y160" s="4">
        <f>L160-M160-R160-S160-T160-U160-V160-W160</f>
      </c>
      <c r="Z160" s="4">
        <f>(Y160-AB160)/J160*100</f>
      </c>
      <c r="AA160" s="4">
        <f>M160-X160</f>
      </c>
      <c r="AC160" s="4">
        <f>Y160-AB160</f>
      </c>
      <c r="AH160" t="s">
        <v>1</v>
      </c>
    </row>
    <row r="161" spans="1:34" x14ac:dyDescent="0.25">
      <c r="A161" s="8">
        <v>46212.5</v>
      </c>
      <c r="B161" t="s">
        <v>1771</v>
      </c>
      <c r="C161" t="s">
        <v>1</v>
      </c>
      <c r="D161" s="9" t="s">
        <v>1772</v>
      </c>
      <c r="E161" t="s">
        <v>234</v>
      </c>
      <c r="F161" t="s">
        <v>70</v>
      </c>
      <c r="G161" t="s">
        <v>65</v>
      </c>
      <c r="H161" t="s">
        <v>75</v>
      </c>
      <c r="I161">
        <v>1</v>
      </c>
      <c r="J161" s="4">
        <v>186</v>
      </c>
      <c r="K161" s="4">
        <v>223.2</v>
      </c>
      <c r="L161" s="4">
        <f>K161-J161</f>
      </c>
      <c r="M161" s="4">
        <f>L161*16.67%</f>
      </c>
      <c r="N161" s="4">
        <f>(K161*6.9%)-(K161*6.9%)*10%</f>
      </c>
      <c r="O161" s="4">
        <f>K161*0.35%</f>
      </c>
      <c r="P161" s="4">
        <v>0.4</v>
      </c>
      <c r="Q161" s="4">
        <f>(N161+O161+P161)*20%</f>
      </c>
      <c r="R161" s="4">
        <f>N161+O161+P161+Q161</f>
      </c>
      <c r="S161" s="4">
        <v>0</v>
      </c>
      <c r="T161" s="4">
        <v>0</v>
      </c>
      <c r="U161" s="4">
        <v>0</v>
      </c>
      <c r="V161" s="4">
        <f>U161*20%</f>
      </c>
      <c r="W161" s="4">
        <v>1</v>
      </c>
      <c r="X161" s="4">
        <f>Q161+T161+V161</f>
      </c>
      <c r="Y161" s="4">
        <f>L161-M161-R161-S161-T161-U161-V161-W161</f>
      </c>
      <c r="Z161" s="4">
        <f>(Y161-AB161)/J161*100</f>
      </c>
      <c r="AA161" s="4">
        <f>M161-X161</f>
      </c>
      <c r="AC161" s="4">
        <f>Y161-AB161</f>
      </c>
      <c r="AH161" t="s">
        <v>1</v>
      </c>
    </row>
    <row r="162" spans="1:34" x14ac:dyDescent="0.25">
      <c r="A162" s="8">
        <v>46211.5</v>
      </c>
      <c r="B162" t="s">
        <v>1773</v>
      </c>
      <c r="C162" t="s">
        <v>1</v>
      </c>
      <c r="D162" s="9" t="s">
        <v>1774</v>
      </c>
      <c r="E162" t="s">
        <v>134</v>
      </c>
      <c r="F162" t="s">
        <v>85</v>
      </c>
      <c r="G162" t="s">
        <v>65</v>
      </c>
      <c r="H162" t="s">
        <v>66</v>
      </c>
      <c r="I162">
        <v>1</v>
      </c>
      <c r="J162" s="4">
        <v>137</v>
      </c>
      <c r="K162" s="4">
        <v>161.66</v>
      </c>
      <c r="L162" s="4">
        <f>K162-J162</f>
      </c>
      <c r="M162" s="4">
        <f>L162*16.67%</f>
      </c>
      <c r="N162" s="4">
        <f>(K162*6.9%)-(K162*6.9%)*10%</f>
      </c>
      <c r="O162" s="4">
        <f>K162*0.35%</f>
      </c>
      <c r="P162" s="4">
        <v>0.4</v>
      </c>
      <c r="Q162" s="4">
        <f>(N162+O162+P162)*20%</f>
      </c>
      <c r="R162" s="4">
        <f>N162+O162+P162+Q162</f>
      </c>
      <c r="S162" s="4">
        <v>0</v>
      </c>
      <c r="T162" s="4">
        <v>0</v>
      </c>
      <c r="U162" s="4">
        <v>0</v>
      </c>
      <c r="V162" s="4">
        <f>U162*20%</f>
      </c>
      <c r="W162" s="4">
        <v>1</v>
      </c>
      <c r="X162" s="4">
        <f>Q162+T162+V162</f>
      </c>
      <c r="Y162" s="4">
        <f>L162-M162-R162-S162-T162-U162-V162-W162</f>
      </c>
      <c r="Z162" s="4">
        <f>(Y162-AB162)/J162*100</f>
      </c>
      <c r="AA162" s="4">
        <f>M162-X162</f>
      </c>
      <c r="AC162" s="4">
        <f>Y162-AB162</f>
      </c>
      <c r="AH162" t="s">
        <v>1</v>
      </c>
    </row>
    <row r="163" spans="1:34" x14ac:dyDescent="0.25">
      <c r="A163" s="8">
        <v>46211.5</v>
      </c>
      <c r="B163" t="s">
        <v>1775</v>
      </c>
      <c r="C163" t="s">
        <v>1</v>
      </c>
      <c r="D163" s="9" t="s">
        <v>1776</v>
      </c>
      <c r="E163" t="s">
        <v>114</v>
      </c>
      <c r="F163" t="s">
        <v>99</v>
      </c>
      <c r="G163" t="s">
        <v>95</v>
      </c>
      <c r="H163" t="s">
        <v>66</v>
      </c>
      <c r="I163">
        <v>1</v>
      </c>
      <c r="J163" s="4">
        <v>219</v>
      </c>
      <c r="K163" s="4">
        <v>284.7</v>
      </c>
      <c r="L163" s="4">
        <f>K163-J163</f>
      </c>
      <c r="M163" s="4">
        <f>L163*16.67%</f>
      </c>
      <c r="N163" s="4">
        <f>(K163*6.9%)-(K163*6.9%)*10%</f>
      </c>
      <c r="O163" s="4">
        <f>K163*0.35%</f>
      </c>
      <c r="P163" s="4">
        <v>0.4</v>
      </c>
      <c r="Q163" s="4">
        <f>(N163+O163+P163)*20%</f>
      </c>
      <c r="R163" s="4">
        <f>N163+O163+P163+Q163</f>
      </c>
      <c r="S163" s="4">
        <v>0</v>
      </c>
      <c r="T163" s="4">
        <v>0</v>
      </c>
      <c r="U163" s="4">
        <v>0</v>
      </c>
      <c r="V163" s="4">
        <f>U163*20%</f>
      </c>
      <c r="W163" s="4">
        <v>1</v>
      </c>
      <c r="X163" s="4">
        <f>Q163+T163+V163</f>
      </c>
      <c r="Y163" s="4">
        <f>L163-M163-R163-S163-T163-U163-V163-W163</f>
      </c>
      <c r="Z163" s="4">
        <f>(Y163-AB163)/J163*100</f>
      </c>
      <c r="AA163" s="4">
        <f>M163-X163</f>
      </c>
      <c r="AC163" s="4">
        <f>Y163-AB163</f>
      </c>
      <c r="AH163" t="s">
        <v>1</v>
      </c>
    </row>
    <row r="164" spans="1:34" x14ac:dyDescent="0.25">
      <c r="A164" s="8">
        <v>46211.5</v>
      </c>
      <c r="B164" t="s">
        <v>1777</v>
      </c>
      <c r="C164" t="s">
        <v>254</v>
      </c>
      <c r="D164" s="9" t="s">
        <v>1</v>
      </c>
      <c r="E164" t="s">
        <v>254</v>
      </c>
      <c r="F164" t="s">
        <v>1</v>
      </c>
      <c r="G164" t="s">
        <v>1</v>
      </c>
      <c r="H164" t="s">
        <v>61</v>
      </c>
      <c r="I164">
        <v>3</v>
      </c>
      <c r="J164" s="4">
        <v>2.4</v>
      </c>
      <c r="K164" s="4">
        <v>2.83</v>
      </c>
      <c r="L164" s="4">
        <f>K164-J164</f>
      </c>
      <c r="M164" s="4">
        <f>L164*16.67%</f>
      </c>
      <c r="N164" s="4">
        <f>(K164*6.9%)-(K164*6.9%)*10%</f>
      </c>
      <c r="O164" s="4">
        <f>K164*0.35%</f>
      </c>
      <c r="P164" s="4">
        <v>0.4</v>
      </c>
      <c r="Q164" s="4">
        <f>(N164+O164+P164)*20%</f>
      </c>
      <c r="R164" s="4">
        <f>N164+O164+P164+Q164</f>
      </c>
      <c r="S164" s="4">
        <v>0</v>
      </c>
      <c r="T164" s="4">
        <v>0</v>
      </c>
      <c r="U164" s="4">
        <v>0</v>
      </c>
      <c r="V164" s="4">
        <f>U164*20%</f>
      </c>
      <c r="W164" s="4">
        <v>0</v>
      </c>
      <c r="X164" s="4">
        <f>Q164+T164+V164</f>
      </c>
      <c r="Y164" s="4">
        <f>L164-M164-R164-S164-T164-U164-V164-W164</f>
      </c>
      <c r="Z164" s="4">
        <f>(Y164-AB164)/J164*100</f>
      </c>
      <c r="AA164" s="4">
        <f>M164-X164</f>
      </c>
      <c r="AC164" s="4">
        <f>Y164-AB164</f>
      </c>
      <c r="AH164" t="s">
        <v>1</v>
      </c>
    </row>
    <row r="165" spans="1:34" x14ac:dyDescent="0.25">
      <c r="A165" s="8">
        <v>46211.5</v>
      </c>
      <c r="B165" t="s">
        <v>1778</v>
      </c>
      <c r="C165" t="s">
        <v>182</v>
      </c>
      <c r="D165" s="9" t="s">
        <v>1</v>
      </c>
      <c r="E165" t="s">
        <v>182</v>
      </c>
      <c r="F165" t="s">
        <v>1</v>
      </c>
      <c r="G165" t="s">
        <v>1</v>
      </c>
      <c r="H165" t="s">
        <v>75</v>
      </c>
      <c r="I165">
        <v>1</v>
      </c>
      <c r="J165" s="4">
        <v>1.9</v>
      </c>
      <c r="K165" s="4">
        <v>2.55</v>
      </c>
      <c r="L165" s="4">
        <f>K165-J165</f>
      </c>
      <c r="M165" s="4">
        <f>L165*16.67%</f>
      </c>
      <c r="N165" s="4">
        <f>(K165*6.9%)-(K165*6.9%)*10%</f>
      </c>
      <c r="O165" s="4">
        <f>K165*0.35%</f>
      </c>
      <c r="P165" s="4">
        <v>0.4</v>
      </c>
      <c r="Q165" s="4">
        <f>(N165+O165+P165)*20%</f>
      </c>
      <c r="R165" s="4">
        <f>N165+O165+P165+Q165</f>
      </c>
      <c r="S165" s="4">
        <v>0</v>
      </c>
      <c r="T165" s="4">
        <v>0</v>
      </c>
      <c r="U165" s="4">
        <v>0</v>
      </c>
      <c r="V165" s="4">
        <f>U165*20%</f>
      </c>
      <c r="W165" s="4">
        <v>0</v>
      </c>
      <c r="X165" s="4">
        <f>Q165+T165+V165</f>
      </c>
      <c r="Y165" s="4">
        <f>L165-M165-R165-S165-T165-U165-V165-W165</f>
      </c>
      <c r="Z165" s="4">
        <f>(Y165-AB165)/J165*100</f>
      </c>
      <c r="AA165" s="4">
        <f>M165-X165</f>
      </c>
      <c r="AC165" s="4">
        <f>Y165-AB165</f>
      </c>
      <c r="AH165" t="s">
        <v>1</v>
      </c>
    </row>
    <row r="166" spans="1:34" x14ac:dyDescent="0.25">
      <c r="A166" s="8">
        <v>46210.5</v>
      </c>
      <c r="B166" t="s">
        <v>1779</v>
      </c>
      <c r="C166" t="s">
        <v>1</v>
      </c>
      <c r="D166" s="9" t="s">
        <v>1780</v>
      </c>
      <c r="E166" t="s">
        <v>114</v>
      </c>
      <c r="F166" t="s">
        <v>88</v>
      </c>
      <c r="G166" t="s">
        <v>95</v>
      </c>
      <c r="H166" t="s">
        <v>102</v>
      </c>
      <c r="I166">
        <v>1</v>
      </c>
      <c r="J166" s="4">
        <v>257</v>
      </c>
      <c r="K166" s="4">
        <v>339.24</v>
      </c>
      <c r="L166" s="4">
        <f>K166-J166</f>
      </c>
      <c r="M166" s="4">
        <f>L166*16.67%</f>
      </c>
      <c r="N166" s="4">
        <f>(K166*6.9%)-(K166*6.9%)*10%</f>
      </c>
      <c r="O166" s="4">
        <f>K166*0.35%</f>
      </c>
      <c r="P166" s="4">
        <v>0.4</v>
      </c>
      <c r="Q166" s="4">
        <f>(N166+O166+P166)*20%</f>
      </c>
      <c r="R166" s="4">
        <f>N166+O166+P166+Q166</f>
      </c>
      <c r="S166" s="4">
        <v>0</v>
      </c>
      <c r="T166" s="4">
        <v>0</v>
      </c>
      <c r="U166" s="4">
        <v>0</v>
      </c>
      <c r="V166" s="4">
        <f>U166*20%</f>
      </c>
      <c r="W166" s="4">
        <v>1</v>
      </c>
      <c r="X166" s="4">
        <f>Q166+T166+V166</f>
      </c>
      <c r="Y166" s="4">
        <f>L166-M166-R166-S166-T166-U166-V166-W166</f>
      </c>
      <c r="Z166" s="4">
        <f>(Y166-AB166)/J166*100</f>
      </c>
      <c r="AA166" s="4">
        <f>M166-X166</f>
      </c>
      <c r="AC166" s="4">
        <f>Y166-AB166</f>
      </c>
      <c r="AH166" t="s">
        <v>1</v>
      </c>
    </row>
    <row r="167" spans="1:34" x14ac:dyDescent="0.25">
      <c r="A167" s="8">
        <v>46210.5</v>
      </c>
      <c r="B167" t="s">
        <v>1781</v>
      </c>
      <c r="C167" t="s">
        <v>1</v>
      </c>
      <c r="D167" s="9" t="s">
        <v>1782</v>
      </c>
      <c r="E167" t="s">
        <v>125</v>
      </c>
      <c r="F167" t="s">
        <v>99</v>
      </c>
      <c r="G167" t="s">
        <v>126</v>
      </c>
      <c r="H167" t="s">
        <v>78</v>
      </c>
      <c r="I167">
        <v>1</v>
      </c>
      <c r="J167" s="4">
        <v>236</v>
      </c>
      <c r="K167" s="4">
        <v>292.64</v>
      </c>
      <c r="L167" s="4">
        <f>K167-J167</f>
      </c>
      <c r="M167" s="4">
        <f>L167*16.67%</f>
      </c>
      <c r="N167" s="4">
        <f>(K167*6.9%)-(K167*6.9%)*10%</f>
      </c>
      <c r="O167" s="4">
        <f>K167*0.35%</f>
      </c>
      <c r="P167" s="4">
        <v>0.4</v>
      </c>
      <c r="Q167" s="4">
        <f>(N167+O167+P167)*20%</f>
      </c>
      <c r="R167" s="4">
        <f>N167+O167+P167+Q167</f>
      </c>
      <c r="S167" s="4">
        <v>0</v>
      </c>
      <c r="T167" s="4">
        <v>0</v>
      </c>
      <c r="U167" s="4">
        <v>0</v>
      </c>
      <c r="V167" s="4">
        <f>U167*20%</f>
      </c>
      <c r="W167" s="4">
        <v>1</v>
      </c>
      <c r="X167" s="4">
        <f>Q167+T167+V167</f>
      </c>
      <c r="Y167" s="4">
        <f>L167-M167-R167-S167-T167-U167-V167-W167</f>
      </c>
      <c r="Z167" s="4">
        <f>(Y167-AB167)/J167*100</f>
      </c>
      <c r="AA167" s="4">
        <f>M167-X167</f>
      </c>
      <c r="AC167" s="4">
        <f>Y167-AB167</f>
      </c>
      <c r="AH167" t="s">
        <v>1</v>
      </c>
    </row>
    <row r="168" spans="1:34" x14ac:dyDescent="0.25">
      <c r="A168" s="8">
        <v>46210.5</v>
      </c>
      <c r="B168" t="s">
        <v>1783</v>
      </c>
      <c r="C168" t="s">
        <v>1</v>
      </c>
      <c r="D168" s="9" t="s">
        <v>1784</v>
      </c>
      <c r="E168" t="s">
        <v>91</v>
      </c>
      <c r="F168" t="s">
        <v>85</v>
      </c>
      <c r="G168" t="s">
        <v>65</v>
      </c>
      <c r="H168" t="s">
        <v>78</v>
      </c>
      <c r="I168">
        <v>1</v>
      </c>
      <c r="J168" s="4">
        <v>111</v>
      </c>
      <c r="K168" s="4">
        <v>128.76</v>
      </c>
      <c r="L168" s="4">
        <f>K168-J168</f>
      </c>
      <c r="M168" s="4">
        <f>L168*16.67%</f>
      </c>
      <c r="N168" s="4">
        <f>(K168*6.9%)-(K168*6.9%)*10%</f>
      </c>
      <c r="O168" s="4">
        <f>K168*0.35%</f>
      </c>
      <c r="P168" s="4">
        <v>0.4</v>
      </c>
      <c r="Q168" s="4">
        <f>(N168+O168+P168)*20%</f>
      </c>
      <c r="R168" s="4">
        <f>N168+O168+P168+Q168</f>
      </c>
      <c r="S168" s="4">
        <v>0</v>
      </c>
      <c r="T168" s="4">
        <v>0</v>
      </c>
      <c r="U168" s="4">
        <v>0</v>
      </c>
      <c r="V168" s="4">
        <f>U168*20%</f>
      </c>
      <c r="W168" s="4">
        <v>1</v>
      </c>
      <c r="X168" s="4">
        <f>Q168+T168+V168</f>
      </c>
      <c r="Y168" s="4">
        <f>L168-M168-R168-S168-T168-U168-V168-W168</f>
      </c>
      <c r="Z168" s="4">
        <f>(Y168-AB168)/J168*100</f>
      </c>
      <c r="AA168" s="4">
        <f>M168-X168</f>
      </c>
      <c r="AC168" s="4">
        <f>Y168-AB168</f>
      </c>
      <c r="AH168" t="s">
        <v>1</v>
      </c>
    </row>
    <row r="169" spans="1:34" x14ac:dyDescent="0.25">
      <c r="A169" s="8">
        <v>46210.5</v>
      </c>
      <c r="B169" t="s">
        <v>1785</v>
      </c>
      <c r="C169" t="s">
        <v>1</v>
      </c>
      <c r="D169" s="9" t="s">
        <v>1786</v>
      </c>
      <c r="E169" t="s">
        <v>94</v>
      </c>
      <c r="F169" t="s">
        <v>105</v>
      </c>
      <c r="G169" t="s">
        <v>95</v>
      </c>
      <c r="H169" t="s">
        <v>75</v>
      </c>
      <c r="I169">
        <v>1</v>
      </c>
      <c r="J169" s="4">
        <v>83</v>
      </c>
      <c r="K169" s="4">
        <v>98.77</v>
      </c>
      <c r="L169" s="4">
        <f>K169-J169</f>
      </c>
      <c r="M169" s="4">
        <f>L169*16.67%</f>
      </c>
      <c r="N169" s="4">
        <f>(K169*6.9%)-(K169*6.9%)*10%</f>
      </c>
      <c r="O169" s="4">
        <f>K169*0.35%</f>
      </c>
      <c r="P169" s="4">
        <v>0.4</v>
      </c>
      <c r="Q169" s="4">
        <f>(N169+O169+P169)*20%</f>
      </c>
      <c r="R169" s="4">
        <f>N169+O169+P169+Q169</f>
      </c>
      <c r="S169" s="4">
        <v>0</v>
      </c>
      <c r="T169" s="4">
        <v>0</v>
      </c>
      <c r="U169" s="4">
        <v>0</v>
      </c>
      <c r="V169" s="4">
        <f>U169*20%</f>
      </c>
      <c r="W169" s="4">
        <v>1</v>
      </c>
      <c r="X169" s="4">
        <f>Q169+T169+V169</f>
      </c>
      <c r="Y169" s="4">
        <f>L169-M169-R169-S169-T169-U169-V169-W169</f>
      </c>
      <c r="Z169" s="4">
        <f>(Y169-AB169)/J169*100</f>
      </c>
      <c r="AA169" s="4">
        <f>M169-X169</f>
      </c>
      <c r="AC169" s="4">
        <f>Y169-AB169</f>
      </c>
      <c r="AH169" t="s">
        <v>1</v>
      </c>
    </row>
    <row r="170" spans="1:34" x14ac:dyDescent="0.25">
      <c r="A170" s="8">
        <v>46210.5</v>
      </c>
      <c r="B170" t="s">
        <v>1787</v>
      </c>
      <c r="C170" t="s">
        <v>189</v>
      </c>
      <c r="D170" s="9" t="s">
        <v>1</v>
      </c>
      <c r="E170" t="s">
        <v>189</v>
      </c>
      <c r="F170" t="s">
        <v>1</v>
      </c>
      <c r="G170" t="s">
        <v>1</v>
      </c>
      <c r="H170" t="s">
        <v>66</v>
      </c>
      <c r="I170">
        <v>4</v>
      </c>
      <c r="J170" s="4">
        <v>14</v>
      </c>
      <c r="K170" s="4">
        <v>19.18</v>
      </c>
      <c r="L170" s="4">
        <f>K170-J170</f>
      </c>
      <c r="M170" s="4">
        <f>L170*16.67%</f>
      </c>
      <c r="N170" s="4">
        <f>(K170*6.9%)-(K170*6.9%)*10%</f>
      </c>
      <c r="O170" s="4">
        <f>K170*0.35%</f>
      </c>
      <c r="P170" s="4">
        <v>0.4</v>
      </c>
      <c r="Q170" s="4">
        <f>(N170+O170+P170)*20%</f>
      </c>
      <c r="R170" s="4">
        <f>N170+O170+P170+Q170</f>
      </c>
      <c r="S170" s="4">
        <v>0</v>
      </c>
      <c r="T170" s="4">
        <v>0</v>
      </c>
      <c r="U170" s="4">
        <v>0</v>
      </c>
      <c r="V170" s="4">
        <f>U170*20%</f>
      </c>
      <c r="W170" s="4">
        <v>0</v>
      </c>
      <c r="X170" s="4">
        <f>Q170+T170+V170</f>
      </c>
      <c r="Y170" s="4">
        <f>L170-M170-R170-S170-T170-U170-V170-W170</f>
      </c>
      <c r="Z170" s="4">
        <f>(Y170-AB170)/J170*100</f>
      </c>
      <c r="AA170" s="4">
        <f>M170-X170</f>
      </c>
      <c r="AC170" s="4">
        <f>Y170-AB170</f>
      </c>
      <c r="AH170" t="s">
        <v>1</v>
      </c>
    </row>
    <row r="171" spans="1:34" x14ac:dyDescent="0.25">
      <c r="A171" s="8">
        <v>46209.5</v>
      </c>
      <c r="B171" t="s">
        <v>1788</v>
      </c>
      <c r="C171" t="s">
        <v>1</v>
      </c>
      <c r="D171" s="9" t="s">
        <v>1789</v>
      </c>
      <c r="E171" t="s">
        <v>172</v>
      </c>
      <c r="F171" t="s">
        <v>70</v>
      </c>
      <c r="G171" t="s">
        <v>65</v>
      </c>
      <c r="H171" t="s">
        <v>75</v>
      </c>
      <c r="I171">
        <v>1</v>
      </c>
      <c r="J171" s="4">
        <v>152</v>
      </c>
      <c r="K171" s="4">
        <v>202.16</v>
      </c>
      <c r="L171" s="4">
        <f>K171-J171</f>
      </c>
      <c r="M171" s="4">
        <f>L171*16.67%</f>
      </c>
      <c r="N171" s="4">
        <f>(K171*6.9%)-(K171*6.9%)*10%</f>
      </c>
      <c r="O171" s="4">
        <f>K171*0.35%</f>
      </c>
      <c r="P171" s="4">
        <v>0.4</v>
      </c>
      <c r="Q171" s="4">
        <f>(N171+O171+P171)*20%</f>
      </c>
      <c r="R171" s="4">
        <f>N171+O171+P171+Q171</f>
      </c>
      <c r="S171" s="4">
        <v>0</v>
      </c>
      <c r="T171" s="4">
        <v>0</v>
      </c>
      <c r="U171" s="4">
        <v>0</v>
      </c>
      <c r="V171" s="4">
        <f>U171*20%</f>
      </c>
      <c r="W171" s="4">
        <v>1</v>
      </c>
      <c r="X171" s="4">
        <f>Q171+T171+V171</f>
      </c>
      <c r="Y171" s="4">
        <f>L171-M171-R171-S171-T171-U171-V171-W171</f>
      </c>
      <c r="Z171" s="4">
        <f>(Y171-AB171)/J171*100</f>
      </c>
      <c r="AA171" s="4">
        <f>M171-X171</f>
      </c>
      <c r="AC171" s="4">
        <f>Y171-AB171</f>
      </c>
      <c r="AH171" t="s">
        <v>1</v>
      </c>
    </row>
    <row r="172" spans="1:34" x14ac:dyDescent="0.25">
      <c r="A172" s="8">
        <v>46209.5</v>
      </c>
      <c r="B172" t="s">
        <v>1790</v>
      </c>
      <c r="C172" t="s">
        <v>1</v>
      </c>
      <c r="D172" s="9" t="s">
        <v>1</v>
      </c>
      <c r="E172" t="s">
        <v>1</v>
      </c>
      <c r="F172" t="s">
        <v>1</v>
      </c>
      <c r="G172" t="s">
        <v>1</v>
      </c>
      <c r="H172" t="s">
        <v>66</v>
      </c>
      <c r="I172">
        <v>1</v>
      </c>
      <c r="J172" s="4">
        <v>129</v>
      </c>
      <c r="K172" s="4">
        <v>184.47</v>
      </c>
      <c r="L172" s="4">
        <f>K172-J172</f>
      </c>
      <c r="M172" s="4">
        <f>L172*16.67%</f>
      </c>
      <c r="N172" s="4">
        <f>(K172*6.9%)-(K172*6.9%)*10%</f>
      </c>
      <c r="O172" s="4">
        <f>K172*0.35%</f>
      </c>
      <c r="P172" s="4">
        <v>0.4</v>
      </c>
      <c r="Q172" s="4">
        <f>(N172+O172+P172)*20%</f>
      </c>
      <c r="R172" s="4">
        <f>N172+O172+P172+Q172</f>
      </c>
      <c r="S172" s="4">
        <v>0</v>
      </c>
      <c r="T172" s="4">
        <v>0</v>
      </c>
      <c r="U172" s="4">
        <v>0</v>
      </c>
      <c r="V172" s="4">
        <f>U172*20%</f>
      </c>
      <c r="W172" s="4">
        <v>1</v>
      </c>
      <c r="X172" s="4">
        <f>Q172+T172+V172</f>
      </c>
      <c r="Y172" s="4">
        <f>L172-M172-R172-S172-T172-U172-V172-W172</f>
      </c>
      <c r="Z172" s="4">
        <f>(Y172-AB172)/J172*100</f>
      </c>
      <c r="AA172" s="4">
        <f>M172-X172</f>
      </c>
      <c r="AC172" s="4">
        <f>Y172-AB172</f>
      </c>
      <c r="AH172" t="s">
        <v>1</v>
      </c>
    </row>
    <row r="173" spans="1:34" x14ac:dyDescent="0.25">
      <c r="A173" s="8">
        <v>46208.5</v>
      </c>
      <c r="B173" t="s">
        <v>1791</v>
      </c>
      <c r="C173" t="s">
        <v>1</v>
      </c>
      <c r="D173" s="9" t="s">
        <v>1792</v>
      </c>
      <c r="E173" t="s">
        <v>134</v>
      </c>
      <c r="F173" t="s">
        <v>59</v>
      </c>
      <c r="G173" t="s">
        <v>65</v>
      </c>
      <c r="H173" t="s">
        <v>66</v>
      </c>
      <c r="I173">
        <v>1</v>
      </c>
      <c r="J173" s="4">
        <v>127</v>
      </c>
      <c r="K173" s="4">
        <v>165.1</v>
      </c>
      <c r="L173" s="4">
        <f>K173-J173</f>
      </c>
      <c r="M173" s="4">
        <f>L173*16.67%</f>
      </c>
      <c r="N173" s="4">
        <f>(K173*6.9%)-(K173*6.9%)*10%</f>
      </c>
      <c r="O173" s="4">
        <f>K173*0.35%</f>
      </c>
      <c r="P173" s="4">
        <v>0.4</v>
      </c>
      <c r="Q173" s="4">
        <f>(N173+O173+P173)*20%</f>
      </c>
      <c r="R173" s="4">
        <f>N173+O173+P173+Q173</f>
      </c>
      <c r="S173" s="4">
        <v>0</v>
      </c>
      <c r="T173" s="4">
        <v>0</v>
      </c>
      <c r="U173" s="4">
        <v>0</v>
      </c>
      <c r="V173" s="4">
        <f>U173*20%</f>
      </c>
      <c r="W173" s="4">
        <v>1</v>
      </c>
      <c r="X173" s="4">
        <f>Q173+T173+V173</f>
      </c>
      <c r="Y173" s="4">
        <f>L173-M173-R173-S173-T173-U173-V173-W173</f>
      </c>
      <c r="Z173" s="4">
        <f>(Y173-AB173)/J173*100</f>
      </c>
      <c r="AA173" s="4">
        <f>M173-X173</f>
      </c>
      <c r="AC173" s="4">
        <f>Y173-AB173</f>
      </c>
      <c r="AH173" t="s">
        <v>1</v>
      </c>
    </row>
    <row r="174" spans="1:34" x14ac:dyDescent="0.25">
      <c r="A174" s="8">
        <v>46208.5</v>
      </c>
      <c r="B174" t="s">
        <v>1793</v>
      </c>
      <c r="C174" t="s">
        <v>1</v>
      </c>
      <c r="D174" s="9" t="s">
        <v>1794</v>
      </c>
      <c r="E174" t="s">
        <v>131</v>
      </c>
      <c r="F174" t="s">
        <v>85</v>
      </c>
      <c r="G174" t="s">
        <v>65</v>
      </c>
      <c r="H174" t="s">
        <v>78</v>
      </c>
      <c r="I174">
        <v>1</v>
      </c>
      <c r="J174" s="4">
        <v>318</v>
      </c>
      <c r="K174" s="4">
        <v>432.48</v>
      </c>
      <c r="L174" s="4">
        <f>K174-J174</f>
      </c>
      <c r="M174" s="4">
        <f>L174*16.67%</f>
      </c>
      <c r="N174" s="4">
        <f>(K174*6.9%)-(K174*6.9%)*10%</f>
      </c>
      <c r="O174" s="4">
        <f>K174*0.35%</f>
      </c>
      <c r="P174" s="4">
        <v>0.4</v>
      </c>
      <c r="Q174" s="4">
        <f>(N174+O174+P174)*20%</f>
      </c>
      <c r="R174" s="4">
        <f>N174+O174+P174+Q174</f>
      </c>
      <c r="S174" s="4">
        <v>0</v>
      </c>
      <c r="T174" s="4">
        <v>0</v>
      </c>
      <c r="U174" s="4">
        <v>0</v>
      </c>
      <c r="V174" s="4">
        <f>U174*20%</f>
      </c>
      <c r="W174" s="4">
        <v>1</v>
      </c>
      <c r="X174" s="4">
        <f>Q174+T174+V174</f>
      </c>
      <c r="Y174" s="4">
        <f>L174-M174-R174-S174-T174-U174-V174-W174</f>
      </c>
      <c r="Z174" s="4">
        <f>(Y174-AB174)/J174*100</f>
      </c>
      <c r="AA174" s="4">
        <f>M174-X174</f>
      </c>
      <c r="AC174" s="4">
        <f>Y174-AB174</f>
      </c>
      <c r="AH174" t="s">
        <v>1</v>
      </c>
    </row>
    <row r="175" spans="1:34" x14ac:dyDescent="0.25">
      <c r="A175" s="8">
        <v>46208.5</v>
      </c>
      <c r="B175" t="s">
        <v>1795</v>
      </c>
      <c r="C175" t="s">
        <v>189</v>
      </c>
      <c r="D175" s="9" t="s">
        <v>1</v>
      </c>
      <c r="E175" t="s">
        <v>189</v>
      </c>
      <c r="F175" t="s">
        <v>1</v>
      </c>
      <c r="G175" t="s">
        <v>1</v>
      </c>
      <c r="H175" t="s">
        <v>66</v>
      </c>
      <c r="I175">
        <v>2</v>
      </c>
      <c r="J175" s="4">
        <v>7</v>
      </c>
      <c r="K175" s="4">
        <v>8.75</v>
      </c>
      <c r="L175" s="4">
        <f>K175-J175</f>
      </c>
      <c r="M175" s="4">
        <f>L175*16.67%</f>
      </c>
      <c r="N175" s="4">
        <f>(K175*6.9%)-(K175*6.9%)*10%</f>
      </c>
      <c r="O175" s="4">
        <f>K175*0.35%</f>
      </c>
      <c r="P175" s="4">
        <v>0.4</v>
      </c>
      <c r="Q175" s="4">
        <f>(N175+O175+P175)*20%</f>
      </c>
      <c r="R175" s="4">
        <f>N175+O175+P175+Q175</f>
      </c>
      <c r="S175" s="4">
        <v>0</v>
      </c>
      <c r="T175" s="4">
        <v>0</v>
      </c>
      <c r="U175" s="4">
        <v>0</v>
      </c>
      <c r="V175" s="4">
        <f>U175*20%</f>
      </c>
      <c r="W175" s="4">
        <v>0</v>
      </c>
      <c r="X175" s="4">
        <f>Q175+T175+V175</f>
      </c>
      <c r="Y175" s="4">
        <f>L175-M175-R175-S175-T175-U175-V175-W175</f>
      </c>
      <c r="Z175" s="4">
        <f>(Y175-AB175)/J175*100</f>
      </c>
      <c r="AA175" s="4">
        <f>M175-X175</f>
      </c>
      <c r="AC175" s="4">
        <f>Y175-AB175</f>
      </c>
      <c r="AH175" t="s">
        <v>1</v>
      </c>
    </row>
    <row r="176" spans="1:34" x14ac:dyDescent="0.25">
      <c r="A176" s="8">
        <v>46208.5</v>
      </c>
      <c r="B176" t="s">
        <v>1796</v>
      </c>
      <c r="C176" t="s">
        <v>189</v>
      </c>
      <c r="D176" s="9" t="s">
        <v>1</v>
      </c>
      <c r="E176" t="s">
        <v>189</v>
      </c>
      <c r="F176" t="s">
        <v>1</v>
      </c>
      <c r="G176" t="s">
        <v>1</v>
      </c>
      <c r="H176" t="s">
        <v>66</v>
      </c>
      <c r="I176">
        <v>4</v>
      </c>
      <c r="J176" s="4">
        <v>14</v>
      </c>
      <c r="K176" s="4">
        <v>16.8</v>
      </c>
      <c r="L176" s="4">
        <f>K176-J176</f>
      </c>
      <c r="M176" s="4">
        <f>L176*16.67%</f>
      </c>
      <c r="N176" s="4">
        <f>(K176*6.9%)-(K176*6.9%)*10%</f>
      </c>
      <c r="O176" s="4">
        <f>K176*0.35%</f>
      </c>
      <c r="P176" s="4">
        <v>0.4</v>
      </c>
      <c r="Q176" s="4">
        <f>(N176+O176+P176)*20%</f>
      </c>
      <c r="R176" s="4">
        <f>N176+O176+P176+Q176</f>
      </c>
      <c r="S176" s="4">
        <v>0</v>
      </c>
      <c r="T176" s="4">
        <v>0</v>
      </c>
      <c r="U176" s="4">
        <v>0</v>
      </c>
      <c r="V176" s="4">
        <f>U176*20%</f>
      </c>
      <c r="W176" s="4">
        <v>0</v>
      </c>
      <c r="X176" s="4">
        <f>Q176+T176+V176</f>
      </c>
      <c r="Y176" s="4">
        <f>L176-M176-R176-S176-T176-U176-V176-W176</f>
      </c>
      <c r="Z176" s="4">
        <f>(Y176-AB176)/J176*100</f>
      </c>
      <c r="AA176" s="4">
        <f>M176-X176</f>
      </c>
      <c r="AC176" s="4">
        <f>Y176-AB176</f>
      </c>
      <c r="AH176" t="s">
        <v>1</v>
      </c>
    </row>
    <row r="177" spans="1:34" x14ac:dyDescent="0.25">
      <c r="A177" s="8">
        <v>46208.5</v>
      </c>
      <c r="B177" t="s">
        <v>1797</v>
      </c>
      <c r="C177" t="s">
        <v>174</v>
      </c>
      <c r="D177" s="9" t="s">
        <v>1</v>
      </c>
      <c r="E177" t="s">
        <v>174</v>
      </c>
      <c r="F177" t="s">
        <v>1</v>
      </c>
      <c r="G177" t="s">
        <v>1</v>
      </c>
      <c r="H177" t="s">
        <v>66</v>
      </c>
      <c r="I177">
        <v>2</v>
      </c>
      <c r="J177" s="4">
        <v>8.5</v>
      </c>
      <c r="K177" s="4">
        <v>11.73</v>
      </c>
      <c r="L177" s="4">
        <f>K177-J177</f>
      </c>
      <c r="M177" s="4">
        <f>L177*16.67%</f>
      </c>
      <c r="N177" s="4">
        <f>(K177*6.9%)-(K177*6.9%)*10%</f>
      </c>
      <c r="O177" s="4">
        <f>K177*0.35%</f>
      </c>
      <c r="P177" s="4">
        <v>0.4</v>
      </c>
      <c r="Q177" s="4">
        <f>(N177+O177+P177)*20%</f>
      </c>
      <c r="R177" s="4">
        <f>N177+O177+P177+Q177</f>
      </c>
      <c r="S177" s="4">
        <v>0</v>
      </c>
      <c r="T177" s="4">
        <v>0</v>
      </c>
      <c r="U177" s="4">
        <v>0</v>
      </c>
      <c r="V177" s="4">
        <f>U177*20%</f>
      </c>
      <c r="W177" s="4">
        <v>0</v>
      </c>
      <c r="X177" s="4">
        <f>Q177+T177+V177</f>
      </c>
      <c r="Y177" s="4">
        <f>L177-M177-R177-S177-T177-U177-V177-W177</f>
      </c>
      <c r="Z177" s="4">
        <f>(Y177-AB177)/J177*100</f>
      </c>
      <c r="AA177" s="4">
        <f>M177-X177</f>
      </c>
      <c r="AC177" s="4">
        <f>Y177-AB177</f>
      </c>
      <c r="AH177" t="s">
        <v>1</v>
      </c>
    </row>
    <row r="178" spans="1:34" x14ac:dyDescent="0.25">
      <c r="A178" s="8">
        <v>46208.5</v>
      </c>
      <c r="B178" t="s">
        <v>1798</v>
      </c>
      <c r="C178" t="s">
        <v>177</v>
      </c>
      <c r="D178" s="9" t="s">
        <v>1</v>
      </c>
      <c r="E178" t="s">
        <v>177</v>
      </c>
      <c r="F178" t="s">
        <v>1</v>
      </c>
      <c r="G178" t="s">
        <v>1</v>
      </c>
      <c r="H178" t="s">
        <v>78</v>
      </c>
      <c r="I178">
        <v>4</v>
      </c>
      <c r="J178" s="4">
        <v>0.6</v>
      </c>
      <c r="K178" s="4">
        <v>0.7</v>
      </c>
      <c r="L178" s="4">
        <f>K178-J178</f>
      </c>
      <c r="M178" s="4">
        <f>L178*16.67%</f>
      </c>
      <c r="N178" s="4">
        <f>(K178*6.9%)-(K178*6.9%)*10%</f>
      </c>
      <c r="O178" s="4">
        <f>K178*0.35%</f>
      </c>
      <c r="P178" s="4">
        <v>0.4</v>
      </c>
      <c r="Q178" s="4">
        <f>(N178+O178+P178)*20%</f>
      </c>
      <c r="R178" s="4">
        <f>N178+O178+P178+Q178</f>
      </c>
      <c r="S178" s="4">
        <v>0</v>
      </c>
      <c r="T178" s="4">
        <v>0</v>
      </c>
      <c r="U178" s="4">
        <v>0</v>
      </c>
      <c r="V178" s="4">
        <f>U178*20%</f>
      </c>
      <c r="W178" s="4">
        <v>0</v>
      </c>
      <c r="X178" s="4">
        <f>Q178+T178+V178</f>
      </c>
      <c r="Y178" s="4">
        <f>L178-M178-R178-S178-T178-U178-V178-W178</f>
      </c>
      <c r="Z178" s="4">
        <f>(Y178-AB178)/J178*100</f>
      </c>
      <c r="AA178" s="4">
        <f>M178-X178</f>
      </c>
      <c r="AC178" s="4">
        <f>Y178-AB178</f>
      </c>
      <c r="AH178" t="s">
        <v>1</v>
      </c>
    </row>
    <row r="179" spans="1:34" x14ac:dyDescent="0.25">
      <c r="A179" s="8">
        <v>46207.5</v>
      </c>
      <c r="B179" t="s">
        <v>1799</v>
      </c>
      <c r="C179" t="s">
        <v>1</v>
      </c>
      <c r="D179" s="9" t="s">
        <v>1800</v>
      </c>
      <c r="E179" t="s">
        <v>94</v>
      </c>
      <c r="F179" t="s">
        <v>59</v>
      </c>
      <c r="G179" t="s">
        <v>95</v>
      </c>
      <c r="H179" t="s">
        <v>61</v>
      </c>
      <c r="I179">
        <v>1</v>
      </c>
      <c r="J179" s="4">
        <v>75</v>
      </c>
      <c r="K179" s="4">
        <v>93</v>
      </c>
      <c r="L179" s="4">
        <f>K179-J179</f>
      </c>
      <c r="M179" s="4">
        <f>L179*16.67%</f>
      </c>
      <c r="N179" s="4">
        <f>(K179*6.9%)-(K179*6.9%)*10%</f>
      </c>
      <c r="O179" s="4">
        <f>K179*0.35%</f>
      </c>
      <c r="P179" s="4">
        <v>0.4</v>
      </c>
      <c r="Q179" s="4">
        <f>(N179+O179+P179)*20%</f>
      </c>
      <c r="R179" s="4">
        <f>N179+O179+P179+Q179</f>
      </c>
      <c r="S179" s="4">
        <v>0</v>
      </c>
      <c r="T179" s="4">
        <v>0</v>
      </c>
      <c r="U179" s="4">
        <v>0</v>
      </c>
      <c r="V179" s="4">
        <f>U179*20%</f>
      </c>
      <c r="W179" s="4">
        <v>1</v>
      </c>
      <c r="X179" s="4">
        <f>Q179+T179+V179</f>
      </c>
      <c r="Y179" s="4">
        <f>L179-M179-R179-S179-T179-U179-V179-W179</f>
      </c>
      <c r="Z179" s="4">
        <f>(Y179-AB179)/J179*100</f>
      </c>
      <c r="AA179" s="4">
        <f>M179-X179</f>
      </c>
      <c r="AC179" s="4">
        <f>Y179-AB179</f>
      </c>
      <c r="AH179" t="s">
        <v>1</v>
      </c>
    </row>
    <row r="180" spans="1:34" x14ac:dyDescent="0.25">
      <c r="A180" s="8">
        <v>46207.5</v>
      </c>
      <c r="B180" t="s">
        <v>1801</v>
      </c>
      <c r="C180" t="s">
        <v>1</v>
      </c>
      <c r="D180" s="9" t="s">
        <v>1802</v>
      </c>
      <c r="E180" t="s">
        <v>134</v>
      </c>
      <c r="F180" t="s">
        <v>59</v>
      </c>
      <c r="G180" t="s">
        <v>95</v>
      </c>
      <c r="H180" t="s">
        <v>66</v>
      </c>
      <c r="I180">
        <v>1</v>
      </c>
      <c r="J180" s="4">
        <v>133</v>
      </c>
      <c r="K180" s="4">
        <v>188.86</v>
      </c>
      <c r="L180" s="4">
        <f>K180-J180</f>
      </c>
      <c r="M180" s="4">
        <f>L180*16.67%</f>
      </c>
      <c r="N180" s="4">
        <f>(K180*6.9%)-(K180*6.9%)*10%</f>
      </c>
      <c r="O180" s="4">
        <f>K180*0.35%</f>
      </c>
      <c r="P180" s="4">
        <v>0.4</v>
      </c>
      <c r="Q180" s="4">
        <f>(N180+O180+P180)*20%</f>
      </c>
      <c r="R180" s="4">
        <f>N180+O180+P180+Q180</f>
      </c>
      <c r="S180" s="4">
        <v>0</v>
      </c>
      <c r="T180" s="4">
        <v>0</v>
      </c>
      <c r="U180" s="4">
        <v>0</v>
      </c>
      <c r="V180" s="4">
        <f>U180*20%</f>
      </c>
      <c r="W180" s="4">
        <v>1</v>
      </c>
      <c r="X180" s="4">
        <f>Q180+T180+V180</f>
      </c>
      <c r="Y180" s="4">
        <f>L180-M180-R180-S180-T180-U180-V180-W180</f>
      </c>
      <c r="Z180" s="4">
        <f>(Y180-AB180)/J180*100</f>
      </c>
      <c r="AA180" s="4">
        <f>M180-X180</f>
      </c>
      <c r="AC180" s="4">
        <f>Y180-AB180</f>
      </c>
      <c r="AH180" t="s">
        <v>1</v>
      </c>
    </row>
    <row r="181" spans="1:34" x14ac:dyDescent="0.25">
      <c r="A181" s="8">
        <v>46207.5</v>
      </c>
      <c r="B181" t="s">
        <v>1803</v>
      </c>
      <c r="C181" t="s">
        <v>1</v>
      </c>
      <c r="D181" s="9" t="s">
        <v>1804</v>
      </c>
      <c r="E181" t="s">
        <v>114</v>
      </c>
      <c r="F181" t="s">
        <v>70</v>
      </c>
      <c r="G181" t="s">
        <v>60</v>
      </c>
      <c r="H181" t="s">
        <v>78</v>
      </c>
      <c r="I181">
        <v>1</v>
      </c>
      <c r="J181" s="4">
        <v>236</v>
      </c>
      <c r="K181" s="4">
        <v>280.84</v>
      </c>
      <c r="L181" s="4">
        <f>K181-J181</f>
      </c>
      <c r="M181" s="4">
        <f>L181*16.67%</f>
      </c>
      <c r="N181" s="4">
        <f>(K181*6.9%)-(K181*6.9%)*10%</f>
      </c>
      <c r="O181" s="4">
        <f>K181*0.35%</f>
      </c>
      <c r="P181" s="4">
        <v>0.4</v>
      </c>
      <c r="Q181" s="4">
        <f>(N181+O181+P181)*20%</f>
      </c>
      <c r="R181" s="4">
        <f>N181+O181+P181+Q181</f>
      </c>
      <c r="S181" s="4">
        <v>0</v>
      </c>
      <c r="T181" s="4">
        <v>0</v>
      </c>
      <c r="U181" s="4">
        <v>0</v>
      </c>
      <c r="V181" s="4">
        <f>U181*20%</f>
      </c>
      <c r="W181" s="4">
        <v>1</v>
      </c>
      <c r="X181" s="4">
        <f>Q181+T181+V181</f>
      </c>
      <c r="Y181" s="4">
        <f>L181-M181-R181-S181-T181-U181-V181-W181</f>
      </c>
      <c r="Z181" s="4">
        <f>(Y181-AB181)/J181*100</f>
      </c>
      <c r="AA181" s="4">
        <f>M181-X181</f>
      </c>
      <c r="AC181" s="4">
        <f>Y181-AB181</f>
      </c>
      <c r="AH181" t="s">
        <v>1</v>
      </c>
    </row>
    <row r="182" spans="1:34" x14ac:dyDescent="0.25">
      <c r="A182" s="8">
        <v>46206.5</v>
      </c>
      <c r="B182" t="s">
        <v>1805</v>
      </c>
      <c r="C182" t="s">
        <v>1</v>
      </c>
      <c r="D182" s="9" t="s">
        <v>1806</v>
      </c>
      <c r="E182" t="s">
        <v>73</v>
      </c>
      <c r="F182" t="s">
        <v>59</v>
      </c>
      <c r="G182" t="s">
        <v>60</v>
      </c>
      <c r="H182" t="s">
        <v>78</v>
      </c>
      <c r="I182">
        <v>1</v>
      </c>
      <c r="J182" s="4">
        <v>361</v>
      </c>
      <c r="K182" s="4">
        <v>465.69</v>
      </c>
      <c r="L182" s="4">
        <f>K182-J182</f>
      </c>
      <c r="M182" s="4">
        <f>L182*16.67%</f>
      </c>
      <c r="N182" s="4">
        <f>(K182*6.9%)-(K182*6.9%)*10%</f>
      </c>
      <c r="O182" s="4">
        <f>K182*0.35%</f>
      </c>
      <c r="P182" s="4">
        <v>0.4</v>
      </c>
      <c r="Q182" s="4">
        <f>(N182+O182+P182)*20%</f>
      </c>
      <c r="R182" s="4">
        <f>N182+O182+P182+Q182</f>
      </c>
      <c r="S182" s="4">
        <v>0</v>
      </c>
      <c r="T182" s="4">
        <v>0</v>
      </c>
      <c r="U182" s="4">
        <v>0</v>
      </c>
      <c r="V182" s="4">
        <f>U182*20%</f>
      </c>
      <c r="W182" s="4">
        <v>1</v>
      </c>
      <c r="X182" s="4">
        <f>Q182+T182+V182</f>
      </c>
      <c r="Y182" s="4">
        <f>L182-M182-R182-S182-T182-U182-V182-W182</f>
      </c>
      <c r="Z182" s="4">
        <f>(Y182-AB182)/J182*100</f>
      </c>
      <c r="AA182" s="4">
        <f>M182-X182</f>
      </c>
      <c r="AC182" s="4">
        <f>Y182-AB182</f>
      </c>
      <c r="AH182" t="s">
        <v>1</v>
      </c>
    </row>
    <row r="183" spans="1:34" x14ac:dyDescent="0.25">
      <c r="A183" s="8">
        <v>46206.5</v>
      </c>
      <c r="B183" t="s">
        <v>1807</v>
      </c>
      <c r="C183" t="s">
        <v>1</v>
      </c>
      <c r="D183" s="9" t="s">
        <v>1808</v>
      </c>
      <c r="E183" t="s">
        <v>292</v>
      </c>
      <c r="F183" t="s">
        <v>99</v>
      </c>
      <c r="G183" t="s">
        <v>126</v>
      </c>
      <c r="H183" t="s">
        <v>66</v>
      </c>
      <c r="I183">
        <v>1</v>
      </c>
      <c r="J183" s="4">
        <v>181</v>
      </c>
      <c r="K183" s="4">
        <v>242.54</v>
      </c>
      <c r="L183" s="4">
        <f>K183-J183</f>
      </c>
      <c r="M183" s="4">
        <f>L183*16.67%</f>
      </c>
      <c r="N183" s="4">
        <f>(K183*6.9%)-(K183*6.9%)*10%</f>
      </c>
      <c r="O183" s="4">
        <f>K183*0.35%</f>
      </c>
      <c r="P183" s="4">
        <v>0.4</v>
      </c>
      <c r="Q183" s="4">
        <f>(N183+O183+P183)*20%</f>
      </c>
      <c r="R183" s="4">
        <f>N183+O183+P183+Q183</f>
      </c>
      <c r="S183" s="4">
        <v>0</v>
      </c>
      <c r="T183" s="4">
        <v>0</v>
      </c>
      <c r="U183" s="4">
        <v>0</v>
      </c>
      <c r="V183" s="4">
        <f>U183*20%</f>
      </c>
      <c r="W183" s="4">
        <v>1</v>
      </c>
      <c r="X183" s="4">
        <f>Q183+T183+V183</f>
      </c>
      <c r="Y183" s="4">
        <f>L183-M183-R183-S183-T183-U183-V183-W183</f>
      </c>
      <c r="Z183" s="4">
        <f>(Y183-AB183)/J183*100</f>
      </c>
      <c r="AA183" s="4">
        <f>M183-X183</f>
      </c>
      <c r="AC183" s="4">
        <f>Y183-AB183</f>
      </c>
      <c r="AH183" t="s">
        <v>1</v>
      </c>
    </row>
    <row r="184" spans="1:34" x14ac:dyDescent="0.25">
      <c r="A184" s="8">
        <v>46206.5</v>
      </c>
      <c r="B184" t="s">
        <v>1809</v>
      </c>
      <c r="C184" t="s">
        <v>1</v>
      </c>
      <c r="D184" s="9" t="s">
        <v>1810</v>
      </c>
      <c r="E184" t="s">
        <v>134</v>
      </c>
      <c r="F184" t="s">
        <v>88</v>
      </c>
      <c r="G184" t="s">
        <v>95</v>
      </c>
      <c r="H184" t="s">
        <v>66</v>
      </c>
      <c r="I184">
        <v>1</v>
      </c>
      <c r="J184" s="4">
        <v>116</v>
      </c>
      <c r="K184" s="4">
        <v>134.56</v>
      </c>
      <c r="L184" s="4">
        <f>K184-J184</f>
      </c>
      <c r="M184" s="4">
        <f>L184*16.67%</f>
      </c>
      <c r="N184" s="4">
        <f>(K184*6.9%)-(K184*6.9%)*10%</f>
      </c>
      <c r="O184" s="4">
        <f>K184*0.35%</f>
      </c>
      <c r="P184" s="4">
        <v>0.4</v>
      </c>
      <c r="Q184" s="4">
        <f>(N184+O184+P184)*20%</f>
      </c>
      <c r="R184" s="4">
        <f>N184+O184+P184+Q184</f>
      </c>
      <c r="S184" s="4">
        <v>0</v>
      </c>
      <c r="T184" s="4">
        <v>0</v>
      </c>
      <c r="U184" s="4">
        <v>0</v>
      </c>
      <c r="V184" s="4">
        <f>U184*20%</f>
      </c>
      <c r="W184" s="4">
        <v>1</v>
      </c>
      <c r="X184" s="4">
        <f>Q184+T184+V184</f>
      </c>
      <c r="Y184" s="4">
        <f>L184-M184-R184-S184-T184-U184-V184-W184</f>
      </c>
      <c r="Z184" s="4">
        <f>(Y184-AB184)/J184*100</f>
      </c>
      <c r="AA184" s="4">
        <f>M184-X184</f>
      </c>
      <c r="AC184" s="4">
        <f>Y184-AB184</f>
      </c>
      <c r="AH184" t="s">
        <v>1</v>
      </c>
    </row>
    <row r="185" spans="1:34" x14ac:dyDescent="0.25">
      <c r="A185" s="8">
        <v>46206.5</v>
      </c>
      <c r="B185" t="s">
        <v>1811</v>
      </c>
      <c r="C185" t="s">
        <v>254</v>
      </c>
      <c r="D185" s="9" t="s">
        <v>1</v>
      </c>
      <c r="E185" t="s">
        <v>254</v>
      </c>
      <c r="F185" t="s">
        <v>1</v>
      </c>
      <c r="G185" t="s">
        <v>1</v>
      </c>
      <c r="H185" t="s">
        <v>61</v>
      </c>
      <c r="I185">
        <v>4</v>
      </c>
      <c r="J185" s="4">
        <v>3.2</v>
      </c>
      <c r="K185" s="4">
        <v>4.16</v>
      </c>
      <c r="L185" s="4">
        <f>K185-J185</f>
      </c>
      <c r="M185" s="4">
        <f>L185*16.67%</f>
      </c>
      <c r="N185" s="4">
        <f>(K185*6.9%)-(K185*6.9%)*10%</f>
      </c>
      <c r="O185" s="4">
        <f>K185*0.35%</f>
      </c>
      <c r="P185" s="4">
        <v>0.4</v>
      </c>
      <c r="Q185" s="4">
        <f>(N185+O185+P185)*20%</f>
      </c>
      <c r="R185" s="4">
        <f>N185+O185+P185+Q185</f>
      </c>
      <c r="S185" s="4">
        <v>0</v>
      </c>
      <c r="T185" s="4">
        <v>0</v>
      </c>
      <c r="U185" s="4">
        <v>0</v>
      </c>
      <c r="V185" s="4">
        <f>U185*20%</f>
      </c>
      <c r="W185" s="4">
        <v>0</v>
      </c>
      <c r="X185" s="4">
        <f>Q185+T185+V185</f>
      </c>
      <c r="Y185" s="4">
        <f>L185-M185-R185-S185-T185-U185-V185-W185</f>
      </c>
      <c r="Z185" s="4">
        <f>(Y185-AB185)/J185*100</f>
      </c>
      <c r="AA185" s="4">
        <f>M185-X185</f>
      </c>
      <c r="AC185" s="4">
        <f>Y185-AB185</f>
      </c>
      <c r="AH185" t="s">
        <v>1</v>
      </c>
    </row>
    <row r="186" spans="1:34" x14ac:dyDescent="0.25">
      <c r="A186" s="8">
        <v>46206.5</v>
      </c>
      <c r="B186" t="s">
        <v>1812</v>
      </c>
      <c r="C186" t="s">
        <v>254</v>
      </c>
      <c r="D186" s="9" t="s">
        <v>1</v>
      </c>
      <c r="E186" t="s">
        <v>254</v>
      </c>
      <c r="F186" t="s">
        <v>1</v>
      </c>
      <c r="G186" t="s">
        <v>1</v>
      </c>
      <c r="H186" t="s">
        <v>61</v>
      </c>
      <c r="I186">
        <v>1</v>
      </c>
      <c r="J186" s="4">
        <v>0.8</v>
      </c>
      <c r="K186" s="4">
        <v>0.92</v>
      </c>
      <c r="L186" s="4">
        <f>K186-J186</f>
      </c>
      <c r="M186" s="4">
        <f>L186*16.67%</f>
      </c>
      <c r="N186" s="4">
        <f>(K186*6.9%)-(K186*6.9%)*10%</f>
      </c>
      <c r="O186" s="4">
        <f>K186*0.35%</f>
      </c>
      <c r="P186" s="4">
        <v>0.4</v>
      </c>
      <c r="Q186" s="4">
        <f>(N186+O186+P186)*20%</f>
      </c>
      <c r="R186" s="4">
        <f>N186+O186+P186+Q186</f>
      </c>
      <c r="S186" s="4">
        <v>0</v>
      </c>
      <c r="T186" s="4">
        <v>0</v>
      </c>
      <c r="U186" s="4">
        <v>0</v>
      </c>
      <c r="V186" s="4">
        <f>U186*20%</f>
      </c>
      <c r="W186" s="4">
        <v>0</v>
      </c>
      <c r="X186" s="4">
        <f>Q186+T186+V186</f>
      </c>
      <c r="Y186" s="4">
        <f>L186-M186-R186-S186-T186-U186-V186-W186</f>
      </c>
      <c r="Z186" s="4">
        <f>(Y186-AB186)/J186*100</f>
      </c>
      <c r="AA186" s="4">
        <f>M186-X186</f>
      </c>
      <c r="AC186" s="4">
        <f>Y186-AB186</f>
      </c>
      <c r="AH186" t="s">
        <v>1</v>
      </c>
    </row>
    <row r="187" spans="1:34" x14ac:dyDescent="0.25">
      <c r="A187" s="8">
        <v>46206.5</v>
      </c>
      <c r="B187" t="s">
        <v>1813</v>
      </c>
      <c r="C187" t="s">
        <v>182</v>
      </c>
      <c r="D187" s="9" t="s">
        <v>1</v>
      </c>
      <c r="E187" t="s">
        <v>182</v>
      </c>
      <c r="F187" t="s">
        <v>1</v>
      </c>
      <c r="G187" t="s">
        <v>1</v>
      </c>
      <c r="H187" t="s">
        <v>75</v>
      </c>
      <c r="I187">
        <v>4</v>
      </c>
      <c r="J187" s="4">
        <v>7.6</v>
      </c>
      <c r="K187" s="4">
        <v>9.35</v>
      </c>
      <c r="L187" s="4">
        <f>K187-J187</f>
      </c>
      <c r="M187" s="4">
        <f>L187*16.67%</f>
      </c>
      <c r="N187" s="4">
        <f>(K187*6.9%)-(K187*6.9%)*10%</f>
      </c>
      <c r="O187" s="4">
        <f>K187*0.35%</f>
      </c>
      <c r="P187" s="4">
        <v>0.4</v>
      </c>
      <c r="Q187" s="4">
        <f>(N187+O187+P187)*20%</f>
      </c>
      <c r="R187" s="4">
        <f>N187+O187+P187+Q187</f>
      </c>
      <c r="S187" s="4">
        <v>0</v>
      </c>
      <c r="T187" s="4">
        <v>0</v>
      </c>
      <c r="U187" s="4">
        <v>0</v>
      </c>
      <c r="V187" s="4">
        <f>U187*20%</f>
      </c>
      <c r="W187" s="4">
        <v>0</v>
      </c>
      <c r="X187" s="4">
        <f>Q187+T187+V187</f>
      </c>
      <c r="Y187" s="4">
        <f>L187-M187-R187-S187-T187-U187-V187-W187</f>
      </c>
      <c r="Z187" s="4">
        <f>(Y187-AB187)/J187*100</f>
      </c>
      <c r="AA187" s="4">
        <f>M187-X187</f>
      </c>
      <c r="AC187" s="4">
        <f>Y187-AB187</f>
      </c>
      <c r="AH187" t="s">
        <v>1</v>
      </c>
    </row>
    <row r="188" spans="1:34" x14ac:dyDescent="0.25">
      <c r="A188" s="8">
        <v>46206.5</v>
      </c>
      <c r="B188" t="s">
        <v>1814</v>
      </c>
      <c r="C188" t="s">
        <v>182</v>
      </c>
      <c r="D188" s="9" t="s">
        <v>1</v>
      </c>
      <c r="E188" t="s">
        <v>182</v>
      </c>
      <c r="F188" t="s">
        <v>1</v>
      </c>
      <c r="G188" t="s">
        <v>1</v>
      </c>
      <c r="H188" t="s">
        <v>75</v>
      </c>
      <c r="I188">
        <v>4</v>
      </c>
      <c r="J188" s="4">
        <v>7.6</v>
      </c>
      <c r="K188" s="4">
        <v>9.65</v>
      </c>
      <c r="L188" s="4">
        <f>K188-J188</f>
      </c>
      <c r="M188" s="4">
        <f>L188*16.67%</f>
      </c>
      <c r="N188" s="4">
        <f>(K188*6.9%)-(K188*6.9%)*10%</f>
      </c>
      <c r="O188" s="4">
        <f>K188*0.35%</f>
      </c>
      <c r="P188" s="4">
        <v>0.4</v>
      </c>
      <c r="Q188" s="4">
        <f>(N188+O188+P188)*20%</f>
      </c>
      <c r="R188" s="4">
        <f>N188+O188+P188+Q188</f>
      </c>
      <c r="S188" s="4">
        <v>0</v>
      </c>
      <c r="T188" s="4">
        <v>0</v>
      </c>
      <c r="U188" s="4">
        <v>0</v>
      </c>
      <c r="V188" s="4">
        <f>U188*20%</f>
      </c>
      <c r="W188" s="4">
        <v>0</v>
      </c>
      <c r="X188" s="4">
        <f>Q188+T188+V188</f>
      </c>
      <c r="Y188" s="4">
        <f>L188-M188-R188-S188-T188-U188-V188-W188</f>
      </c>
      <c r="Z188" s="4">
        <f>(Y188-AB188)/J188*100</f>
      </c>
      <c r="AA188" s="4">
        <f>M188-X188</f>
      </c>
      <c r="AC188" s="4">
        <f>Y188-AB188</f>
      </c>
      <c r="AH188" t="s">
        <v>1</v>
      </c>
    </row>
    <row r="189" spans="1:34" x14ac:dyDescent="0.25">
      <c r="A189" s="8">
        <v>46206.5</v>
      </c>
      <c r="B189" t="s">
        <v>1815</v>
      </c>
      <c r="C189" t="s">
        <v>182</v>
      </c>
      <c r="D189" s="9" t="s">
        <v>1</v>
      </c>
      <c r="E189" t="s">
        <v>182</v>
      </c>
      <c r="F189" t="s">
        <v>1</v>
      </c>
      <c r="G189" t="s">
        <v>1</v>
      </c>
      <c r="H189" t="s">
        <v>75</v>
      </c>
      <c r="I189">
        <v>4</v>
      </c>
      <c r="J189" s="4">
        <v>7.6</v>
      </c>
      <c r="K189" s="4">
        <v>10.64</v>
      </c>
      <c r="L189" s="4">
        <f>K189-J189</f>
      </c>
      <c r="M189" s="4">
        <f>L189*16.67%</f>
      </c>
      <c r="N189" s="4">
        <f>(K189*6.9%)-(K189*6.9%)*10%</f>
      </c>
      <c r="O189" s="4">
        <f>K189*0.35%</f>
      </c>
      <c r="P189" s="4">
        <v>0.4</v>
      </c>
      <c r="Q189" s="4">
        <f>(N189+O189+P189)*20%</f>
      </c>
      <c r="R189" s="4">
        <f>N189+O189+P189+Q189</f>
      </c>
      <c r="S189" s="4">
        <v>0</v>
      </c>
      <c r="T189" s="4">
        <v>0</v>
      </c>
      <c r="U189" s="4">
        <v>0</v>
      </c>
      <c r="V189" s="4">
        <f>U189*20%</f>
      </c>
      <c r="W189" s="4">
        <v>0</v>
      </c>
      <c r="X189" s="4">
        <f>Q189+T189+V189</f>
      </c>
      <c r="Y189" s="4">
        <f>L189-M189-R189-S189-T189-U189-V189-W189</f>
      </c>
      <c r="Z189" s="4">
        <f>(Y189-AB189)/J189*100</f>
      </c>
      <c r="AA189" s="4">
        <f>M189-X189</f>
      </c>
      <c r="AC189" s="4">
        <f>Y189-AB189</f>
      </c>
      <c r="AH189" t="s">
        <v>1</v>
      </c>
    </row>
    <row r="190" spans="1:34" x14ac:dyDescent="0.25">
      <c r="A190" s="8">
        <v>46205.5</v>
      </c>
      <c r="B190" t="s">
        <v>1816</v>
      </c>
      <c r="C190" t="s">
        <v>1</v>
      </c>
      <c r="D190" s="9" t="s">
        <v>1817</v>
      </c>
      <c r="E190" t="s">
        <v>234</v>
      </c>
      <c r="F190" t="s">
        <v>70</v>
      </c>
      <c r="G190" t="s">
        <v>65</v>
      </c>
      <c r="H190" t="s">
        <v>102</v>
      </c>
      <c r="I190">
        <v>1</v>
      </c>
      <c r="J190" s="4">
        <v>162</v>
      </c>
      <c r="K190" s="4">
        <v>231.66</v>
      </c>
      <c r="L190" s="4">
        <f>K190-J190</f>
      </c>
      <c r="M190" s="4">
        <f>L190*16.67%</f>
      </c>
      <c r="N190" s="4">
        <f>(K190*6.9%)-(K190*6.9%)*10%</f>
      </c>
      <c r="O190" s="4">
        <f>K190*0.35%</f>
      </c>
      <c r="P190" s="4">
        <v>0.4</v>
      </c>
      <c r="Q190" s="4">
        <f>(N190+O190+P190)*20%</f>
      </c>
      <c r="R190" s="4">
        <f>N190+O190+P190+Q190</f>
      </c>
      <c r="S190" s="4">
        <v>0</v>
      </c>
      <c r="T190" s="4">
        <v>0</v>
      </c>
      <c r="U190" s="4">
        <v>0</v>
      </c>
      <c r="V190" s="4">
        <f>U190*20%</f>
      </c>
      <c r="W190" s="4">
        <v>1</v>
      </c>
      <c r="X190" s="4">
        <f>Q190+T190+V190</f>
      </c>
      <c r="Y190" s="4">
        <f>L190-M190-R190-S190-T190-U190-V190-W190</f>
      </c>
      <c r="Z190" s="4">
        <f>(Y190-AB190)/J190*100</f>
      </c>
      <c r="AA190" s="4">
        <f>M190-X190</f>
      </c>
      <c r="AC190" s="4">
        <f>Y190-AB190</f>
      </c>
      <c r="AH190" t="s">
        <v>1</v>
      </c>
    </row>
    <row r="191" spans="1:34" x14ac:dyDescent="0.25">
      <c r="A191" s="8">
        <v>46205.5</v>
      </c>
      <c r="B191" t="s">
        <v>1818</v>
      </c>
      <c r="C191" t="s">
        <v>1</v>
      </c>
      <c r="D191" s="9" t="s">
        <v>1819</v>
      </c>
      <c r="E191" t="s">
        <v>73</v>
      </c>
      <c r="F191" t="s">
        <v>88</v>
      </c>
      <c r="G191" t="s">
        <v>60</v>
      </c>
      <c r="H191" t="s">
        <v>78</v>
      </c>
      <c r="I191">
        <v>1</v>
      </c>
      <c r="J191" s="4">
        <v>370</v>
      </c>
      <c r="K191" s="4">
        <v>436.6</v>
      </c>
      <c r="L191" s="4">
        <f>K191-J191</f>
      </c>
      <c r="M191" s="4">
        <f>L191*16.67%</f>
      </c>
      <c r="N191" s="4">
        <f>(K191*6.9%)-(K191*6.9%)*10%</f>
      </c>
      <c r="O191" s="4">
        <f>K191*0.35%</f>
      </c>
      <c r="P191" s="4">
        <v>0.4</v>
      </c>
      <c r="Q191" s="4">
        <f>(N191+O191+P191)*20%</f>
      </c>
      <c r="R191" s="4">
        <f>N191+O191+P191+Q191</f>
      </c>
      <c r="S191" s="4">
        <v>0</v>
      </c>
      <c r="T191" s="4">
        <v>0</v>
      </c>
      <c r="U191" s="4">
        <v>0</v>
      </c>
      <c r="V191" s="4">
        <f>U191*20%</f>
      </c>
      <c r="W191" s="4">
        <v>1</v>
      </c>
      <c r="X191" s="4">
        <f>Q191+T191+V191</f>
      </c>
      <c r="Y191" s="4">
        <f>L191-M191-R191-S191-T191-U191-V191-W191</f>
      </c>
      <c r="Z191" s="4">
        <f>(Y191-AB191)/J191*100</f>
      </c>
      <c r="AA191" s="4">
        <f>M191-X191</f>
      </c>
      <c r="AC191" s="4">
        <f>Y191-AB191</f>
      </c>
      <c r="AH191" t="s">
        <v>1</v>
      </c>
    </row>
    <row r="192" spans="1:34" x14ac:dyDescent="0.25">
      <c r="A192" s="8">
        <v>46205.5</v>
      </c>
      <c r="B192" t="s">
        <v>1820</v>
      </c>
      <c r="C192" t="s">
        <v>1</v>
      </c>
      <c r="D192" s="9" t="s">
        <v>1821</v>
      </c>
      <c r="E192" t="s">
        <v>114</v>
      </c>
      <c r="F192" t="s">
        <v>99</v>
      </c>
      <c r="G192" t="s">
        <v>60</v>
      </c>
      <c r="H192" t="s">
        <v>78</v>
      </c>
      <c r="I192">
        <v>1</v>
      </c>
      <c r="J192" s="4">
        <v>210</v>
      </c>
      <c r="K192" s="4">
        <v>268.8</v>
      </c>
      <c r="L192" s="4">
        <f>K192-J192</f>
      </c>
      <c r="M192" s="4">
        <f>L192*16.67%</f>
      </c>
      <c r="N192" s="4">
        <f>(K192*6.9%)-(K192*6.9%)*10%</f>
      </c>
      <c r="O192" s="4">
        <f>K192*0.35%</f>
      </c>
      <c r="P192" s="4">
        <v>0.4</v>
      </c>
      <c r="Q192" s="4">
        <f>(N192+O192+P192)*20%</f>
      </c>
      <c r="R192" s="4">
        <f>N192+O192+P192+Q192</f>
      </c>
      <c r="S192" s="4">
        <v>0</v>
      </c>
      <c r="T192" s="4">
        <v>0</v>
      </c>
      <c r="U192" s="4">
        <v>0</v>
      </c>
      <c r="V192" s="4">
        <f>U192*20%</f>
      </c>
      <c r="W192" s="4">
        <v>1</v>
      </c>
      <c r="X192" s="4">
        <f>Q192+T192+V192</f>
      </c>
      <c r="Y192" s="4">
        <f>L192-M192-R192-S192-T192-U192-V192-W192</f>
      </c>
      <c r="Z192" s="4">
        <f>(Y192-AB192)/J192*100</f>
      </c>
      <c r="AA192" s="4">
        <f>M192-X192</f>
      </c>
      <c r="AC192" s="4">
        <f>Y192-AB192</f>
      </c>
      <c r="AH192" t="s">
        <v>1</v>
      </c>
    </row>
    <row r="193" spans="1:34" x14ac:dyDescent="0.25">
      <c r="A193" s="8">
        <v>46205.5</v>
      </c>
      <c r="B193" t="s">
        <v>1822</v>
      </c>
      <c r="C193" t="s">
        <v>1</v>
      </c>
      <c r="D193" s="9" t="s">
        <v>1823</v>
      </c>
      <c r="E193" t="s">
        <v>125</v>
      </c>
      <c r="F193" t="s">
        <v>70</v>
      </c>
      <c r="G193" t="s">
        <v>126</v>
      </c>
      <c r="H193" t="s">
        <v>78</v>
      </c>
      <c r="I193">
        <v>1</v>
      </c>
      <c r="J193" s="4">
        <v>263</v>
      </c>
      <c r="K193" s="4">
        <v>355.05</v>
      </c>
      <c r="L193" s="4">
        <f>K193-J193</f>
      </c>
      <c r="M193" s="4">
        <f>L193*16.67%</f>
      </c>
      <c r="N193" s="4">
        <f>(K193*6.9%)-(K193*6.9%)*10%</f>
      </c>
      <c r="O193" s="4">
        <f>K193*0.35%</f>
      </c>
      <c r="P193" s="4">
        <v>0.4</v>
      </c>
      <c r="Q193" s="4">
        <f>(N193+O193+P193)*20%</f>
      </c>
      <c r="R193" s="4">
        <f>N193+O193+P193+Q193</f>
      </c>
      <c r="S193" s="4">
        <v>0</v>
      </c>
      <c r="T193" s="4">
        <v>0</v>
      </c>
      <c r="U193" s="4">
        <v>0</v>
      </c>
      <c r="V193" s="4">
        <f>U193*20%</f>
      </c>
      <c r="W193" s="4">
        <v>1</v>
      </c>
      <c r="X193" s="4">
        <f>Q193+T193+V193</f>
      </c>
      <c r="Y193" s="4">
        <f>L193-M193-R193-S193-T193-U193-V193-W193</f>
      </c>
      <c r="Z193" s="4">
        <f>(Y193-AB193)/J193*100</f>
      </c>
      <c r="AA193" s="4">
        <f>M193-X193</f>
      </c>
      <c r="AC193" s="4">
        <f>Y193-AB193</f>
      </c>
      <c r="AH193" t="s">
        <v>1</v>
      </c>
    </row>
    <row r="194" spans="1:34" x14ac:dyDescent="0.25">
      <c r="A194" s="8">
        <v>46205.5</v>
      </c>
      <c r="B194" t="s">
        <v>1824</v>
      </c>
      <c r="C194" t="s">
        <v>1</v>
      </c>
      <c r="D194" s="9" t="s">
        <v>1825</v>
      </c>
      <c r="E194" t="s">
        <v>58</v>
      </c>
      <c r="F194" t="s">
        <v>85</v>
      </c>
      <c r="G194" t="s">
        <v>60</v>
      </c>
      <c r="H194" t="s">
        <v>66</v>
      </c>
      <c r="I194">
        <v>1</v>
      </c>
      <c r="J194" s="4">
        <v>468</v>
      </c>
      <c r="K194" s="4">
        <v>650.52</v>
      </c>
      <c r="L194" s="4">
        <f>K194-J194</f>
      </c>
      <c r="M194" s="4">
        <f>L194*16.67%</f>
      </c>
      <c r="N194" s="4">
        <f>(K194*6.9%)-(K194*6.9%)*10%</f>
      </c>
      <c r="O194" s="4">
        <f>K194*0.35%</f>
      </c>
      <c r="P194" s="4">
        <v>0.4</v>
      </c>
      <c r="Q194" s="4">
        <f>(N194+O194+P194)*20%</f>
      </c>
      <c r="R194" s="4">
        <f>N194+O194+P194+Q194</f>
      </c>
      <c r="S194" s="4">
        <v>0</v>
      </c>
      <c r="T194" s="4">
        <v>0</v>
      </c>
      <c r="U194" s="4">
        <v>0</v>
      </c>
      <c r="V194" s="4">
        <f>U194*20%</f>
      </c>
      <c r="W194" s="4">
        <v>1</v>
      </c>
      <c r="X194" s="4">
        <f>Q194+T194+V194</f>
      </c>
      <c r="Y194" s="4">
        <f>L194-M194-R194-S194-T194-U194-V194-W194</f>
      </c>
      <c r="Z194" s="4">
        <f>(Y194-AB194)/J194*100</f>
      </c>
      <c r="AA194" s="4">
        <f>M194-X194</f>
      </c>
      <c r="AC194" s="4">
        <f>Y194-AB194</f>
      </c>
      <c r="AH194" t="s">
        <v>1</v>
      </c>
    </row>
    <row r="195" spans="1:34" x14ac:dyDescent="0.25">
      <c r="A195" s="8">
        <v>46205.5</v>
      </c>
      <c r="B195" t="s">
        <v>1826</v>
      </c>
      <c r="C195" t="s">
        <v>177</v>
      </c>
      <c r="D195" s="9" t="s">
        <v>1</v>
      </c>
      <c r="E195" t="s">
        <v>177</v>
      </c>
      <c r="F195" t="s">
        <v>1</v>
      </c>
      <c r="G195" t="s">
        <v>1</v>
      </c>
      <c r="H195" t="s">
        <v>78</v>
      </c>
      <c r="I195">
        <v>1</v>
      </c>
      <c r="J195" s="4">
        <v>0.15</v>
      </c>
      <c r="K195" s="4">
        <v>0.2</v>
      </c>
      <c r="L195" s="4">
        <f>K195-J195</f>
      </c>
      <c r="M195" s="4">
        <f>L195*16.67%</f>
      </c>
      <c r="N195" s="4">
        <f>(K195*6.9%)-(K195*6.9%)*10%</f>
      </c>
      <c r="O195" s="4">
        <f>K195*0.35%</f>
      </c>
      <c r="P195" s="4">
        <v>0.4</v>
      </c>
      <c r="Q195" s="4">
        <f>(N195+O195+P195)*20%</f>
      </c>
      <c r="R195" s="4">
        <f>N195+O195+P195+Q195</f>
      </c>
      <c r="S195" s="4">
        <v>0</v>
      </c>
      <c r="T195" s="4">
        <v>0</v>
      </c>
      <c r="U195" s="4">
        <v>0</v>
      </c>
      <c r="V195" s="4">
        <f>U195*20%</f>
      </c>
      <c r="W195" s="4">
        <v>0</v>
      </c>
      <c r="X195" s="4">
        <f>Q195+T195+V195</f>
      </c>
      <c r="Y195" s="4">
        <f>L195-M195-R195-S195-T195-U195-V195-W195</f>
      </c>
      <c r="Z195" s="4">
        <f>(Y195-AB195)/J195*100</f>
      </c>
      <c r="AA195" s="4">
        <f>M195-X195</f>
      </c>
      <c r="AC195" s="4">
        <f>Y195-AB195</f>
      </c>
      <c r="AH195" t="s">
        <v>1</v>
      </c>
    </row>
    <row r="196" spans="1:34" x14ac:dyDescent="0.25">
      <c r="A196" s="8">
        <v>46204.5</v>
      </c>
      <c r="B196" t="s">
        <v>1827</v>
      </c>
      <c r="C196" t="s">
        <v>1</v>
      </c>
      <c r="D196" s="9" t="s">
        <v>1828</v>
      </c>
      <c r="E196" t="s">
        <v>134</v>
      </c>
      <c r="F196" t="s">
        <v>85</v>
      </c>
      <c r="G196" t="s">
        <v>65</v>
      </c>
      <c r="H196" t="s">
        <v>78</v>
      </c>
      <c r="I196">
        <v>1</v>
      </c>
      <c r="J196" s="4">
        <v>107</v>
      </c>
      <c r="K196" s="4">
        <v>147.66</v>
      </c>
      <c r="L196" s="4">
        <f>K196-J196</f>
      </c>
      <c r="M196" s="4">
        <f>L196*16.67%</f>
      </c>
      <c r="N196" s="4">
        <f>(K196*6.9%)-(K196*6.9%)*10%</f>
      </c>
      <c r="O196" s="4">
        <f>K196*0.35%</f>
      </c>
      <c r="P196" s="4">
        <v>0.4</v>
      </c>
      <c r="Q196" s="4">
        <f>(N196+O196+P196)*20%</f>
      </c>
      <c r="R196" s="4">
        <f>N196+O196+P196+Q196</f>
      </c>
      <c r="S196" s="4">
        <v>0</v>
      </c>
      <c r="T196" s="4">
        <v>0</v>
      </c>
      <c r="U196" s="4">
        <v>0</v>
      </c>
      <c r="V196" s="4">
        <f>U196*20%</f>
      </c>
      <c r="W196" s="4">
        <v>1</v>
      </c>
      <c r="X196" s="4">
        <f>Q196+T196+V196</f>
      </c>
      <c r="Y196" s="4">
        <f>L196-M196-R196-S196-T196-U196-V196-W196</f>
      </c>
      <c r="Z196" s="4">
        <f>(Y196-AB196)/J196*100</f>
      </c>
      <c r="AA196" s="4">
        <f>M196-X196</f>
      </c>
      <c r="AC196" s="4">
        <f>Y196-AB196</f>
      </c>
      <c r="AH196" t="s">
        <v>1</v>
      </c>
    </row>
    <row r="197" spans="1:34" x14ac:dyDescent="0.25">
      <c r="A197" s="8">
        <v>46204.5</v>
      </c>
      <c r="B197" t="s">
        <v>1829</v>
      </c>
      <c r="C197" t="s">
        <v>1</v>
      </c>
      <c r="D197" s="9" t="s">
        <v>1830</v>
      </c>
      <c r="E197" t="s">
        <v>139</v>
      </c>
      <c r="F197" t="s">
        <v>59</v>
      </c>
      <c r="G197" t="s">
        <v>65</v>
      </c>
      <c r="H197" t="s">
        <v>66</v>
      </c>
      <c r="I197">
        <v>1</v>
      </c>
      <c r="J197" s="4">
        <v>322</v>
      </c>
      <c r="K197" s="4">
        <v>415.38</v>
      </c>
      <c r="L197" s="4">
        <f>K197-J197</f>
      </c>
      <c r="M197" s="4">
        <f>L197*16.67%</f>
      </c>
      <c r="N197" s="4">
        <f>(K197*6.9%)-(K197*6.9%)*10%</f>
      </c>
      <c r="O197" s="4">
        <f>K197*0.35%</f>
      </c>
      <c r="P197" s="4">
        <v>0.4</v>
      </c>
      <c r="Q197" s="4">
        <f>(N197+O197+P197)*20%</f>
      </c>
      <c r="R197" s="4">
        <f>N197+O197+P197+Q197</f>
      </c>
      <c r="S197" s="4">
        <v>0</v>
      </c>
      <c r="T197" s="4">
        <v>0</v>
      </c>
      <c r="U197" s="4">
        <v>0</v>
      </c>
      <c r="V197" s="4">
        <f>U197*20%</f>
      </c>
      <c r="W197" s="4">
        <v>1</v>
      </c>
      <c r="X197" s="4">
        <f>Q197+T197+V197</f>
      </c>
      <c r="Y197" s="4">
        <f>L197-M197-R197-S197-T197-U197-V197-W197</f>
      </c>
      <c r="Z197" s="4">
        <f>(Y197-AB197)/J197*100</f>
      </c>
      <c r="AA197" s="4">
        <f>M197-X197</f>
      </c>
      <c r="AC197" s="4">
        <f>Y197-AB197</f>
      </c>
      <c r="AH197" t="s">
        <v>1</v>
      </c>
    </row>
    <row r="198" spans="1:34" x14ac:dyDescent="0.25">
      <c r="A198" s="8">
        <v>46204.5</v>
      </c>
      <c r="B198" t="s">
        <v>1831</v>
      </c>
      <c r="C198" t="s">
        <v>1</v>
      </c>
      <c r="D198" s="9" t="s">
        <v>1832</v>
      </c>
      <c r="E198" t="s">
        <v>134</v>
      </c>
      <c r="F198" t="s">
        <v>99</v>
      </c>
      <c r="G198" t="s">
        <v>65</v>
      </c>
      <c r="H198" t="s">
        <v>66</v>
      </c>
      <c r="I198">
        <v>1</v>
      </c>
      <c r="J198" s="4">
        <v>107</v>
      </c>
      <c r="K198" s="4">
        <v>130.54</v>
      </c>
      <c r="L198" s="4">
        <f>K198-J198</f>
      </c>
      <c r="M198" s="4">
        <f>L198*16.67%</f>
      </c>
      <c r="N198" s="4">
        <f>(K198*6.9%)-(K198*6.9%)*10%</f>
      </c>
      <c r="O198" s="4">
        <f>K198*0.35%</f>
      </c>
      <c r="P198" s="4">
        <v>0.4</v>
      </c>
      <c r="Q198" s="4">
        <f>(N198+O198+P198)*20%</f>
      </c>
      <c r="R198" s="4">
        <f>N198+O198+P198+Q198</f>
      </c>
      <c r="S198" s="4">
        <v>0</v>
      </c>
      <c r="T198" s="4">
        <v>0</v>
      </c>
      <c r="U198" s="4">
        <v>0</v>
      </c>
      <c r="V198" s="4">
        <f>U198*20%</f>
      </c>
      <c r="W198" s="4">
        <v>1</v>
      </c>
      <c r="X198" s="4">
        <f>Q198+T198+V198</f>
      </c>
      <c r="Y198" s="4">
        <f>L198-M198-R198-S198-T198-U198-V198-W198</f>
      </c>
      <c r="Z198" s="4">
        <f>(Y198-AB198)/J198*100</f>
      </c>
      <c r="AA198" s="4">
        <f>M198-X198</f>
      </c>
      <c r="AC198" s="4">
        <f>Y198-AB198</f>
      </c>
      <c r="AH198" t="s">
        <v>1</v>
      </c>
    </row>
    <row r="199" spans="1:34" x14ac:dyDescent="0.25">
      <c r="A199" s="8">
        <v>46204.5</v>
      </c>
      <c r="B199" t="s">
        <v>1833</v>
      </c>
      <c r="C199" t="s">
        <v>177</v>
      </c>
      <c r="D199" s="9" t="s">
        <v>1</v>
      </c>
      <c r="E199" t="s">
        <v>177</v>
      </c>
      <c r="F199" t="s">
        <v>1</v>
      </c>
      <c r="G199" t="s">
        <v>1</v>
      </c>
      <c r="H199" t="s">
        <v>78</v>
      </c>
      <c r="I199">
        <v>3</v>
      </c>
      <c r="J199" s="4">
        <v>0.45</v>
      </c>
      <c r="K199" s="4">
        <v>0.6</v>
      </c>
      <c r="L199" s="4">
        <f>K199-J199</f>
      </c>
      <c r="M199" s="4">
        <f>L199*16.67%</f>
      </c>
      <c r="N199" s="4">
        <f>(K199*6.9%)-(K199*6.9%)*10%</f>
      </c>
      <c r="O199" s="4">
        <f>K199*0.35%</f>
      </c>
      <c r="P199" s="4">
        <v>0.4</v>
      </c>
      <c r="Q199" s="4">
        <f>(N199+O199+P199)*20%</f>
      </c>
      <c r="R199" s="4">
        <f>N199+O199+P199+Q199</f>
      </c>
      <c r="S199" s="4">
        <v>0</v>
      </c>
      <c r="T199" s="4">
        <v>0</v>
      </c>
      <c r="U199" s="4">
        <v>0</v>
      </c>
      <c r="V199" s="4">
        <f>U199*20%</f>
      </c>
      <c r="W199" s="4">
        <v>0</v>
      </c>
      <c r="X199" s="4">
        <f>Q199+T199+V199</f>
      </c>
      <c r="Y199" s="4">
        <f>L199-M199-R199-S199-T199-U199-V199-W199</f>
      </c>
      <c r="Z199" s="4">
        <f>(Y199-AB199)/J199*100</f>
      </c>
      <c r="AA199" s="4">
        <f>M199-X199</f>
      </c>
      <c r="AC199" s="4">
        <f>Y199-AB199</f>
      </c>
      <c r="AH199" t="s">
        <v>1</v>
      </c>
    </row>
    <row r="200" spans="1:34" x14ac:dyDescent="0.25">
      <c r="A200" s="8">
        <v>46203.5</v>
      </c>
      <c r="B200" t="s">
        <v>1834</v>
      </c>
      <c r="C200" t="s">
        <v>1</v>
      </c>
      <c r="D200" s="9" t="s">
        <v>1835</v>
      </c>
      <c r="E200" t="s">
        <v>114</v>
      </c>
      <c r="F200" t="s">
        <v>105</v>
      </c>
      <c r="G200" t="s">
        <v>95</v>
      </c>
      <c r="H200" t="s">
        <v>66</v>
      </c>
      <c r="I200">
        <v>1</v>
      </c>
      <c r="J200" s="4">
        <v>185</v>
      </c>
      <c r="K200" s="4">
        <v>234.95</v>
      </c>
      <c r="L200" s="4">
        <f>K200-J200</f>
      </c>
      <c r="M200" s="4">
        <f>L200*16.67%</f>
      </c>
      <c r="N200" s="4">
        <f>(K200*6.9%)-(K200*6.9%)*10%</f>
      </c>
      <c r="O200" s="4">
        <f>K200*0.35%</f>
      </c>
      <c r="P200" s="4">
        <v>0.4</v>
      </c>
      <c r="Q200" s="4">
        <f>(N200+O200+P200)*20%</f>
      </c>
      <c r="R200" s="4">
        <f>N200+O200+P200+Q200</f>
      </c>
      <c r="S200" s="4">
        <v>0</v>
      </c>
      <c r="T200" s="4">
        <v>0</v>
      </c>
      <c r="U200" s="4">
        <v>0</v>
      </c>
      <c r="V200" s="4">
        <f>U200*20%</f>
      </c>
      <c r="W200" s="4">
        <v>1</v>
      </c>
      <c r="X200" s="4">
        <f>Q200+T200+V200</f>
      </c>
      <c r="Y200" s="4">
        <f>L200-M200-R200-S200-T200-U200-V200-W200</f>
      </c>
      <c r="Z200" s="4">
        <f>(Y200-AB200)/J200*100</f>
      </c>
      <c r="AA200" s="4">
        <f>M200-X200</f>
      </c>
      <c r="AC200" s="4">
        <f>Y200-AB200</f>
      </c>
      <c r="AH200" t="s">
        <v>1</v>
      </c>
    </row>
    <row r="201" spans="1:34" x14ac:dyDescent="0.25">
      <c r="A201" s="8">
        <v>46203.5</v>
      </c>
      <c r="B201" t="s">
        <v>1836</v>
      </c>
      <c r="C201" t="s">
        <v>1</v>
      </c>
      <c r="D201" s="9" t="s">
        <v>1837</v>
      </c>
      <c r="E201" t="s">
        <v>125</v>
      </c>
      <c r="F201" t="s">
        <v>99</v>
      </c>
      <c r="G201" t="s">
        <v>126</v>
      </c>
      <c r="H201" t="s">
        <v>61</v>
      </c>
      <c r="I201">
        <v>1</v>
      </c>
      <c r="J201" s="4">
        <v>246</v>
      </c>
      <c r="K201" s="4">
        <v>290.28</v>
      </c>
      <c r="L201" s="4">
        <f>K201-J201</f>
      </c>
      <c r="M201" s="4">
        <f>L201*16.67%</f>
      </c>
      <c r="N201" s="4">
        <f>(K201*6.9%)-(K201*6.9%)*10%</f>
      </c>
      <c r="O201" s="4">
        <f>K201*0.35%</f>
      </c>
      <c r="P201" s="4">
        <v>0.4</v>
      </c>
      <c r="Q201" s="4">
        <f>(N201+O201+P201)*20%</f>
      </c>
      <c r="R201" s="4">
        <f>N201+O201+P201+Q201</f>
      </c>
      <c r="S201" s="4">
        <v>0</v>
      </c>
      <c r="T201" s="4">
        <v>0</v>
      </c>
      <c r="U201" s="4">
        <v>0</v>
      </c>
      <c r="V201" s="4">
        <f>U201*20%</f>
      </c>
      <c r="W201" s="4">
        <v>1</v>
      </c>
      <c r="X201" s="4">
        <f>Q201+T201+V201</f>
      </c>
      <c r="Y201" s="4">
        <f>L201-M201-R201-S201-T201-U201-V201-W201</f>
      </c>
      <c r="Z201" s="4">
        <f>(Y201-AB201)/J201*100</f>
      </c>
      <c r="AA201" s="4">
        <f>M201-X201</f>
      </c>
      <c r="AC201" s="4">
        <f>Y201-AB201</f>
      </c>
      <c r="AH201" t="s">
        <v>1</v>
      </c>
    </row>
    <row r="202" spans="1:34" x14ac:dyDescent="0.25">
      <c r="A202" s="8">
        <v>46203.5</v>
      </c>
      <c r="B202" t="s">
        <v>1838</v>
      </c>
      <c r="C202" t="s">
        <v>1</v>
      </c>
      <c r="D202" s="9" t="s">
        <v>1839</v>
      </c>
      <c r="E202" t="s">
        <v>125</v>
      </c>
      <c r="F202" t="s">
        <v>99</v>
      </c>
      <c r="G202" t="s">
        <v>126</v>
      </c>
      <c r="H202" t="s">
        <v>66</v>
      </c>
      <c r="I202">
        <v>1</v>
      </c>
      <c r="J202" s="4">
        <v>246</v>
      </c>
      <c r="K202" s="4">
        <v>341.94</v>
      </c>
      <c r="L202" s="4">
        <f>K202-J202</f>
      </c>
      <c r="M202" s="4">
        <f>L202*16.67%</f>
      </c>
      <c r="N202" s="4">
        <f>(K202*6.9%)-(K202*6.9%)*10%</f>
      </c>
      <c r="O202" s="4">
        <f>K202*0.35%</f>
      </c>
      <c r="P202" s="4">
        <v>0.4</v>
      </c>
      <c r="Q202" s="4">
        <f>(N202+O202+P202)*20%</f>
      </c>
      <c r="R202" s="4">
        <f>N202+O202+P202+Q202</f>
      </c>
      <c r="S202" s="4">
        <v>0</v>
      </c>
      <c r="T202" s="4">
        <v>0</v>
      </c>
      <c r="U202" s="4">
        <v>0</v>
      </c>
      <c r="V202" s="4">
        <f>U202*20%</f>
      </c>
      <c r="W202" s="4">
        <v>1</v>
      </c>
      <c r="X202" s="4">
        <f>Q202+T202+V202</f>
      </c>
      <c r="Y202" s="4">
        <f>L202-M202-R202-S202-T202-U202-V202-W202</f>
      </c>
      <c r="Z202" s="4">
        <f>(Y202-AB202)/J202*100</f>
      </c>
      <c r="AA202" s="4">
        <f>M202-X202</f>
      </c>
      <c r="AC202" s="4">
        <f>Y202-AB202</f>
      </c>
      <c r="AH202" t="s">
        <v>1</v>
      </c>
    </row>
    <row r="203" spans="1:34" x14ac:dyDescent="0.25">
      <c r="A203" s="8">
        <v>46203.5</v>
      </c>
      <c r="B203" t="s">
        <v>1840</v>
      </c>
      <c r="C203" t="s">
        <v>1</v>
      </c>
      <c r="D203" s="9" t="s">
        <v>1841</v>
      </c>
      <c r="E203" t="s">
        <v>125</v>
      </c>
      <c r="F203" t="s">
        <v>70</v>
      </c>
      <c r="G203" t="s">
        <v>126</v>
      </c>
      <c r="H203" t="s">
        <v>102</v>
      </c>
      <c r="I203">
        <v>1</v>
      </c>
      <c r="J203" s="4">
        <v>284</v>
      </c>
      <c r="K203" s="4">
        <v>386.24</v>
      </c>
      <c r="L203" s="4">
        <f>K203-J203</f>
      </c>
      <c r="M203" s="4">
        <f>L203*16.67%</f>
      </c>
      <c r="N203" s="4">
        <f>(K203*6.9%)-(K203*6.9%)*10%</f>
      </c>
      <c r="O203" s="4">
        <f>K203*0.35%</f>
      </c>
      <c r="P203" s="4">
        <v>0.4</v>
      </c>
      <c r="Q203" s="4">
        <f>(N203+O203+P203)*20%</f>
      </c>
      <c r="R203" s="4">
        <f>N203+O203+P203+Q203</f>
      </c>
      <c r="S203" s="4">
        <v>0</v>
      </c>
      <c r="T203" s="4">
        <v>0</v>
      </c>
      <c r="U203" s="4">
        <v>0</v>
      </c>
      <c r="V203" s="4">
        <f>U203*20%</f>
      </c>
      <c r="W203" s="4">
        <v>1</v>
      </c>
      <c r="X203" s="4">
        <f>Q203+T203+V203</f>
      </c>
      <c r="Y203" s="4">
        <f>L203-M203-R203-S203-T203-U203-V203-W203</f>
      </c>
      <c r="Z203" s="4">
        <f>(Y203-AB203)/J203*100</f>
      </c>
      <c r="AA203" s="4">
        <f>M203-X203</f>
      </c>
      <c r="AC203" s="4">
        <f>Y203-AB203</f>
      </c>
      <c r="AH203" t="s">
        <v>1</v>
      </c>
    </row>
    <row r="204" spans="1:34" x14ac:dyDescent="0.25">
      <c r="A204" s="8">
        <v>46203.5</v>
      </c>
      <c r="B204" t="s">
        <v>1842</v>
      </c>
      <c r="C204" t="s">
        <v>1</v>
      </c>
      <c r="D204" s="9" t="s">
        <v>1843</v>
      </c>
      <c r="E204" t="s">
        <v>84</v>
      </c>
      <c r="F204" t="s">
        <v>85</v>
      </c>
      <c r="G204" t="s">
        <v>60</v>
      </c>
      <c r="H204" t="s">
        <v>75</v>
      </c>
      <c r="I204">
        <v>1</v>
      </c>
      <c r="J204" s="4">
        <v>707</v>
      </c>
      <c r="K204" s="4">
        <v>834.26</v>
      </c>
      <c r="L204" s="4">
        <f>K204-J204</f>
      </c>
      <c r="M204" s="4">
        <f>L204*16.67%</f>
      </c>
      <c r="N204" s="4">
        <f>(K204*6.9%)-(K204*6.9%)*10%</f>
      </c>
      <c r="O204" s="4">
        <f>K204*0.35%</f>
      </c>
      <c r="P204" s="4">
        <v>0.4</v>
      </c>
      <c r="Q204" s="4">
        <f>(N204+O204+P204)*20%</f>
      </c>
      <c r="R204" s="4">
        <f>N204+O204+P204+Q204</f>
      </c>
      <c r="S204" s="4">
        <v>0</v>
      </c>
      <c r="T204" s="4">
        <v>0</v>
      </c>
      <c r="U204" s="4">
        <v>0</v>
      </c>
      <c r="V204" s="4">
        <f>U204*20%</f>
      </c>
      <c r="W204" s="4">
        <v>1</v>
      </c>
      <c r="X204" s="4">
        <f>Q204+T204+V204</f>
      </c>
      <c r="Y204" s="4">
        <f>L204-M204-R204-S204-T204-U204-V204-W204</f>
      </c>
      <c r="Z204" s="4">
        <f>(Y204-AB204)/J204*100</f>
      </c>
      <c r="AA204" s="4">
        <f>M204-X204</f>
      </c>
      <c r="AC204" s="4">
        <f>Y204-AB204</f>
      </c>
      <c r="AH204" t="s">
        <v>1</v>
      </c>
    </row>
    <row r="205" spans="1:34" x14ac:dyDescent="0.25">
      <c r="A205" s="8">
        <v>46202.5</v>
      </c>
      <c r="B205" t="s">
        <v>1844</v>
      </c>
      <c r="C205" t="s">
        <v>1</v>
      </c>
      <c r="D205" s="9" t="s">
        <v>1845</v>
      </c>
      <c r="E205" t="s">
        <v>84</v>
      </c>
      <c r="F205" t="s">
        <v>85</v>
      </c>
      <c r="G205" t="s">
        <v>60</v>
      </c>
      <c r="H205" t="s">
        <v>75</v>
      </c>
      <c r="I205">
        <v>1</v>
      </c>
      <c r="J205" s="4">
        <v>715</v>
      </c>
      <c r="K205" s="4">
        <v>900.9</v>
      </c>
      <c r="L205" s="4">
        <f>K205-J205</f>
      </c>
      <c r="M205" s="4">
        <f>L205*16.67%</f>
      </c>
      <c r="N205" s="4">
        <f>(K205*6.9%)-(K205*6.9%)*10%</f>
      </c>
      <c r="O205" s="4">
        <f>K205*0.35%</f>
      </c>
      <c r="P205" s="4">
        <v>0.4</v>
      </c>
      <c r="Q205" s="4">
        <f>(N205+O205+P205)*20%</f>
      </c>
      <c r="R205" s="4">
        <f>N205+O205+P205+Q205</f>
      </c>
      <c r="S205" s="4">
        <v>0</v>
      </c>
      <c r="T205" s="4">
        <v>0</v>
      </c>
      <c r="U205" s="4">
        <v>0</v>
      </c>
      <c r="V205" s="4">
        <f>U205*20%</f>
      </c>
      <c r="W205" s="4">
        <v>1</v>
      </c>
      <c r="X205" s="4">
        <f>Q205+T205+V205</f>
      </c>
      <c r="Y205" s="4">
        <f>L205-M205-R205-S205-T205-U205-V205-W205</f>
      </c>
      <c r="Z205" s="4">
        <f>(Y205-AB205)/J205*100</f>
      </c>
      <c r="AA205" s="4">
        <f>M205-X205</f>
      </c>
      <c r="AC205" s="4">
        <f>Y205-AB205</f>
      </c>
      <c r="AH205" t="s">
        <v>1</v>
      </c>
    </row>
    <row r="206" spans="1:34" x14ac:dyDescent="0.25">
      <c r="A206" s="8">
        <v>46202.5</v>
      </c>
      <c r="B206" t="s">
        <v>1846</v>
      </c>
      <c r="C206" t="s">
        <v>1</v>
      </c>
      <c r="D206" s="9" t="s">
        <v>1847</v>
      </c>
      <c r="E206" t="s">
        <v>81</v>
      </c>
      <c r="F206" t="s">
        <v>74</v>
      </c>
      <c r="G206" t="s">
        <v>60</v>
      </c>
      <c r="H206" t="s">
        <v>66</v>
      </c>
      <c r="I206">
        <v>1</v>
      </c>
      <c r="J206" s="4">
        <v>616</v>
      </c>
      <c r="K206" s="4">
        <v>843.92</v>
      </c>
      <c r="L206" s="4">
        <f>K206-J206</f>
      </c>
      <c r="M206" s="4">
        <f>L206*16.67%</f>
      </c>
      <c r="N206" s="4">
        <f>(K206*6.9%)-(K206*6.9%)*10%</f>
      </c>
      <c r="O206" s="4">
        <f>K206*0.35%</f>
      </c>
      <c r="P206" s="4">
        <v>0.4</v>
      </c>
      <c r="Q206" s="4">
        <f>(N206+O206+P206)*20%</f>
      </c>
      <c r="R206" s="4">
        <f>N206+O206+P206+Q206</f>
      </c>
      <c r="S206" s="4">
        <v>0</v>
      </c>
      <c r="T206" s="4">
        <v>0</v>
      </c>
      <c r="U206" s="4">
        <v>0</v>
      </c>
      <c r="V206" s="4">
        <f>U206*20%</f>
      </c>
      <c r="W206" s="4">
        <v>1</v>
      </c>
      <c r="X206" s="4">
        <f>Q206+T206+V206</f>
      </c>
      <c r="Y206" s="4">
        <f>L206-M206-R206-S206-T206-U206-V206-W206</f>
      </c>
      <c r="Z206" s="4">
        <f>(Y206-AB206)/J206*100</f>
      </c>
      <c r="AA206" s="4">
        <f>M206-X206</f>
      </c>
      <c r="AC206" s="4">
        <f>Y206-AB206</f>
      </c>
      <c r="AH206" t="s">
        <v>1</v>
      </c>
    </row>
    <row r="207" spans="1:34" x14ac:dyDescent="0.25">
      <c r="A207" s="8">
        <v>46202.5</v>
      </c>
      <c r="B207" t="s">
        <v>1848</v>
      </c>
      <c r="C207" t="s">
        <v>1</v>
      </c>
      <c r="D207" s="9" t="s">
        <v>1849</v>
      </c>
      <c r="E207" t="s">
        <v>131</v>
      </c>
      <c r="F207" t="s">
        <v>70</v>
      </c>
      <c r="G207" t="s">
        <v>60</v>
      </c>
      <c r="H207" t="s">
        <v>78</v>
      </c>
      <c r="I207">
        <v>1</v>
      </c>
      <c r="J207" s="4">
        <v>331</v>
      </c>
      <c r="K207" s="4">
        <v>463.4</v>
      </c>
      <c r="L207" s="4">
        <f>K207-J207</f>
      </c>
      <c r="M207" s="4">
        <f>L207*16.67%</f>
      </c>
      <c r="N207" s="4">
        <f>(K207*6.9%)-(K207*6.9%)*10%</f>
      </c>
      <c r="O207" s="4">
        <f>K207*0.35%</f>
      </c>
      <c r="P207" s="4">
        <v>0.4</v>
      </c>
      <c r="Q207" s="4">
        <f>(N207+O207+P207)*20%</f>
      </c>
      <c r="R207" s="4">
        <f>N207+O207+P207+Q207</f>
      </c>
      <c r="S207" s="4">
        <v>0</v>
      </c>
      <c r="T207" s="4">
        <v>0</v>
      </c>
      <c r="U207" s="4">
        <v>0</v>
      </c>
      <c r="V207" s="4">
        <f>U207*20%</f>
      </c>
      <c r="W207" s="4">
        <v>1</v>
      </c>
      <c r="X207" s="4">
        <f>Q207+T207+V207</f>
      </c>
      <c r="Y207" s="4">
        <f>L207-M207-R207-S207-T207-U207-V207-W207</f>
      </c>
      <c r="Z207" s="4">
        <f>(Y207-AB207)/J207*100</f>
      </c>
      <c r="AA207" s="4">
        <f>M207-X207</f>
      </c>
      <c r="AC207" s="4">
        <f>Y207-AB207</f>
      </c>
      <c r="AH207" t="s">
        <v>1</v>
      </c>
    </row>
    <row r="208" spans="1:34" x14ac:dyDescent="0.25">
      <c r="A208" s="8">
        <v>46202.5</v>
      </c>
      <c r="B208" t="s">
        <v>1850</v>
      </c>
      <c r="C208" t="s">
        <v>254</v>
      </c>
      <c r="D208" s="9" t="s">
        <v>1</v>
      </c>
      <c r="E208" t="s">
        <v>254</v>
      </c>
      <c r="F208" t="s">
        <v>1</v>
      </c>
      <c r="G208" t="s">
        <v>1</v>
      </c>
      <c r="H208" t="s">
        <v>61</v>
      </c>
      <c r="I208">
        <v>2</v>
      </c>
      <c r="J208" s="4">
        <v>1.6</v>
      </c>
      <c r="K208" s="4">
        <v>2.18</v>
      </c>
      <c r="L208" s="4">
        <f>K208-J208</f>
      </c>
      <c r="M208" s="4">
        <f>L208*16.67%</f>
      </c>
      <c r="N208" s="4">
        <f>(K208*6.9%)-(K208*6.9%)*10%</f>
      </c>
      <c r="O208" s="4">
        <f>K208*0.35%</f>
      </c>
      <c r="P208" s="4">
        <v>0.4</v>
      </c>
      <c r="Q208" s="4">
        <f>(N208+O208+P208)*20%</f>
      </c>
      <c r="R208" s="4">
        <f>N208+O208+P208+Q208</f>
      </c>
      <c r="S208" s="4">
        <v>0</v>
      </c>
      <c r="T208" s="4">
        <v>0</v>
      </c>
      <c r="U208" s="4">
        <v>0</v>
      </c>
      <c r="V208" s="4">
        <f>U208*20%</f>
      </c>
      <c r="W208" s="4">
        <v>0</v>
      </c>
      <c r="X208" s="4">
        <f>Q208+T208+V208</f>
      </c>
      <c r="Y208" s="4">
        <f>L208-M208-R208-S208-T208-U208-V208-W208</f>
      </c>
      <c r="Z208" s="4">
        <f>(Y208-AB208)/J208*100</f>
      </c>
      <c r="AA208" s="4">
        <f>M208-X208</f>
      </c>
      <c r="AC208" s="4">
        <f>Y208-AB208</f>
      </c>
      <c r="AH208" t="s">
        <v>1</v>
      </c>
    </row>
    <row r="209" spans="1:34" x14ac:dyDescent="0.25">
      <c r="A209" s="8">
        <v>46201.5</v>
      </c>
      <c r="B209" t="s">
        <v>1851</v>
      </c>
      <c r="C209" t="s">
        <v>1</v>
      </c>
      <c r="D209" s="9" t="s">
        <v>1852</v>
      </c>
      <c r="E209" t="s">
        <v>84</v>
      </c>
      <c r="F209" t="s">
        <v>105</v>
      </c>
      <c r="G209" t="s">
        <v>60</v>
      </c>
      <c r="H209" t="s">
        <v>61</v>
      </c>
      <c r="I209">
        <v>1</v>
      </c>
      <c r="J209" s="4">
        <v>727</v>
      </c>
      <c r="K209" s="4">
        <v>886.94</v>
      </c>
      <c r="L209" s="4">
        <f>K209-J209</f>
      </c>
      <c r="M209" s="4">
        <f>L209*16.67%</f>
      </c>
      <c r="N209" s="4">
        <f>(K209*6.9%)-(K209*6.9%)*10%</f>
      </c>
      <c r="O209" s="4">
        <f>K209*0.35%</f>
      </c>
      <c r="P209" s="4">
        <v>0.4</v>
      </c>
      <c r="Q209" s="4">
        <f>(N209+O209+P209)*20%</f>
      </c>
      <c r="R209" s="4">
        <f>N209+O209+P209+Q209</f>
      </c>
      <c r="S209" s="4">
        <v>0</v>
      </c>
      <c r="T209" s="4">
        <v>0</v>
      </c>
      <c r="U209" s="4">
        <v>0</v>
      </c>
      <c r="V209" s="4">
        <f>U209*20%</f>
      </c>
      <c r="W209" s="4">
        <v>1</v>
      </c>
      <c r="X209" s="4">
        <f>Q209+T209+V209</f>
      </c>
      <c r="Y209" s="4">
        <f>L209-M209-R209-S209-T209-U209-V209-W209</f>
      </c>
      <c r="Z209" s="4">
        <f>(Y209-AB209)/J209*100</f>
      </c>
      <c r="AA209" s="4">
        <f>M209-X209</f>
      </c>
      <c r="AC209" s="4">
        <f>Y209-AB209</f>
      </c>
      <c r="AH209" t="s">
        <v>1</v>
      </c>
    </row>
    <row r="210" spans="1:34" x14ac:dyDescent="0.25">
      <c r="A210" s="8">
        <v>46201.5</v>
      </c>
      <c r="B210" t="s">
        <v>1853</v>
      </c>
      <c r="C210" t="s">
        <v>1</v>
      </c>
      <c r="D210" s="9" t="s">
        <v>1854</v>
      </c>
      <c r="E210" t="s">
        <v>125</v>
      </c>
      <c r="F210" t="s">
        <v>74</v>
      </c>
      <c r="G210" t="s">
        <v>126</v>
      </c>
      <c r="H210" t="s">
        <v>102</v>
      </c>
      <c r="I210">
        <v>1</v>
      </c>
      <c r="J210" s="4">
        <v>284</v>
      </c>
      <c r="K210" s="4">
        <v>400.44</v>
      </c>
      <c r="L210" s="4">
        <f>K210-J210</f>
      </c>
      <c r="M210" s="4">
        <f>L210*16.67%</f>
      </c>
      <c r="N210" s="4">
        <f>(K210*6.9%)-(K210*6.9%)*10%</f>
      </c>
      <c r="O210" s="4">
        <f>K210*0.35%</f>
      </c>
      <c r="P210" s="4">
        <v>0.4</v>
      </c>
      <c r="Q210" s="4">
        <f>(N210+O210+P210)*20%</f>
      </c>
      <c r="R210" s="4">
        <f>N210+O210+P210+Q210</f>
      </c>
      <c r="S210" s="4">
        <v>0</v>
      </c>
      <c r="T210" s="4">
        <v>0</v>
      </c>
      <c r="U210" s="4">
        <v>0</v>
      </c>
      <c r="V210" s="4">
        <f>U210*20%</f>
      </c>
      <c r="W210" s="4">
        <v>1</v>
      </c>
      <c r="X210" s="4">
        <f>Q210+T210+V210</f>
      </c>
      <c r="Y210" s="4">
        <f>L210-M210-R210-S210-T210-U210-V210-W210</f>
      </c>
      <c r="Z210" s="4">
        <f>(Y210-AB210)/J210*100</f>
      </c>
      <c r="AA210" s="4">
        <f>M210-X210</f>
      </c>
      <c r="AC210" s="4">
        <f>Y210-AB210</f>
      </c>
      <c r="AH210" t="s">
        <v>1</v>
      </c>
    </row>
    <row r="211" spans="1:34" x14ac:dyDescent="0.25">
      <c r="A211" s="8">
        <v>46200.5</v>
      </c>
      <c r="B211" t="s">
        <v>1855</v>
      </c>
      <c r="C211" t="s">
        <v>1</v>
      </c>
      <c r="D211" s="9" t="s">
        <v>1856</v>
      </c>
      <c r="E211" t="s">
        <v>131</v>
      </c>
      <c r="F211" t="s">
        <v>99</v>
      </c>
      <c r="G211" t="s">
        <v>65</v>
      </c>
      <c r="H211" t="s">
        <v>66</v>
      </c>
      <c r="I211">
        <v>1</v>
      </c>
      <c r="J211" s="4">
        <v>278</v>
      </c>
      <c r="K211" s="4">
        <v>361.4</v>
      </c>
      <c r="L211" s="4">
        <f>K211-J211</f>
      </c>
      <c r="M211" s="4">
        <f>L211*16.67%</f>
      </c>
      <c r="N211" s="4">
        <f>(K211*6.9%)-(K211*6.9%)*10%</f>
      </c>
      <c r="O211" s="4">
        <f>K211*0.35%</f>
      </c>
      <c r="P211" s="4">
        <v>0.4</v>
      </c>
      <c r="Q211" s="4">
        <f>(N211+O211+P211)*20%</f>
      </c>
      <c r="R211" s="4">
        <f>N211+O211+P211+Q211</f>
      </c>
      <c r="S211" s="4">
        <v>0</v>
      </c>
      <c r="T211" s="4">
        <v>0</v>
      </c>
      <c r="U211" s="4">
        <v>0</v>
      </c>
      <c r="V211" s="4">
        <f>U211*20%</f>
      </c>
      <c r="W211" s="4">
        <v>1</v>
      </c>
      <c r="X211" s="4">
        <f>Q211+T211+V211</f>
      </c>
      <c r="Y211" s="4">
        <f>L211-M211-R211-S211-T211-U211-V211-W211</f>
      </c>
      <c r="Z211" s="4">
        <f>(Y211-AB211)/J211*100</f>
      </c>
      <c r="AA211" s="4">
        <f>M211-X211</f>
      </c>
      <c r="AC211" s="4">
        <f>Y211-AB211</f>
      </c>
      <c r="AH211" t="s">
        <v>1</v>
      </c>
    </row>
    <row r="212" spans="1:34" x14ac:dyDescent="0.25">
      <c r="A212" s="8">
        <v>46200.5</v>
      </c>
      <c r="B212" t="s">
        <v>1857</v>
      </c>
      <c r="C212" t="s">
        <v>1</v>
      </c>
      <c r="D212" s="9" t="s">
        <v>1858</v>
      </c>
      <c r="E212" t="s">
        <v>98</v>
      </c>
      <c r="F212" t="s">
        <v>88</v>
      </c>
      <c r="G212" t="s">
        <v>65</v>
      </c>
      <c r="H212" t="s">
        <v>75</v>
      </c>
      <c r="I212">
        <v>1</v>
      </c>
      <c r="J212" s="4">
        <v>335</v>
      </c>
      <c r="K212" s="4">
        <v>435.5</v>
      </c>
      <c r="L212" s="4">
        <f>K212-J212</f>
      </c>
      <c r="M212" s="4">
        <f>L212*16.67%</f>
      </c>
      <c r="N212" s="4">
        <f>(K212*6.9%)-(K212*6.9%)*10%</f>
      </c>
      <c r="O212" s="4">
        <f>K212*0.35%</f>
      </c>
      <c r="P212" s="4">
        <v>0.4</v>
      </c>
      <c r="Q212" s="4">
        <f>(N212+O212+P212)*20%</f>
      </c>
      <c r="R212" s="4">
        <f>N212+O212+P212+Q212</f>
      </c>
      <c r="S212" s="4">
        <v>0</v>
      </c>
      <c r="T212" s="4">
        <v>0</v>
      </c>
      <c r="U212" s="4">
        <v>0</v>
      </c>
      <c r="V212" s="4">
        <f>U212*20%</f>
      </c>
      <c r="W212" s="4">
        <v>1</v>
      </c>
      <c r="X212" s="4">
        <f>Q212+T212+V212</f>
      </c>
      <c r="Y212" s="4">
        <f>L212-M212-R212-S212-T212-U212-V212-W212</f>
      </c>
      <c r="Z212" s="4">
        <f>(Y212-AB212)/J212*100</f>
      </c>
      <c r="AA212" s="4">
        <f>M212-X212</f>
      </c>
      <c r="AC212" s="4">
        <f>Y212-AB212</f>
      </c>
      <c r="AH212" t="s">
        <v>1</v>
      </c>
    </row>
    <row r="213" spans="1:34" x14ac:dyDescent="0.25">
      <c r="A213" s="8">
        <v>46200.5</v>
      </c>
      <c r="B213" t="s">
        <v>1859</v>
      </c>
      <c r="C213" t="s">
        <v>174</v>
      </c>
      <c r="D213" s="9" t="s">
        <v>1</v>
      </c>
      <c r="E213" t="s">
        <v>174</v>
      </c>
      <c r="F213" t="s">
        <v>1</v>
      </c>
      <c r="G213" t="s">
        <v>1</v>
      </c>
      <c r="H213" t="s">
        <v>66</v>
      </c>
      <c r="I213">
        <v>3</v>
      </c>
      <c r="J213" s="4">
        <v>12.75</v>
      </c>
      <c r="K213" s="4">
        <v>17.85</v>
      </c>
      <c r="L213" s="4">
        <f>K213-J213</f>
      </c>
      <c r="M213" s="4">
        <f>L213*16.67%</f>
      </c>
      <c r="N213" s="4">
        <f>(K213*6.9%)-(K213*6.9%)*10%</f>
      </c>
      <c r="O213" s="4">
        <f>K213*0.35%</f>
      </c>
      <c r="P213" s="4">
        <v>0.4</v>
      </c>
      <c r="Q213" s="4">
        <f>(N213+O213+P213)*20%</f>
      </c>
      <c r="R213" s="4">
        <f>N213+O213+P213+Q213</f>
      </c>
      <c r="S213" s="4">
        <v>0</v>
      </c>
      <c r="T213" s="4">
        <v>0</v>
      </c>
      <c r="U213" s="4">
        <v>0</v>
      </c>
      <c r="V213" s="4">
        <f>U213*20%</f>
      </c>
      <c r="W213" s="4">
        <v>0</v>
      </c>
      <c r="X213" s="4">
        <f>Q213+T213+V213</f>
      </c>
      <c r="Y213" s="4">
        <f>L213-M213-R213-S213-T213-U213-V213-W213</f>
      </c>
      <c r="Z213" s="4">
        <f>(Y213-AB213)/J213*100</f>
      </c>
      <c r="AA213" s="4">
        <f>M213-X213</f>
      </c>
      <c r="AC213" s="4">
        <f>Y213-AB213</f>
      </c>
      <c r="AH213" t="s">
        <v>1</v>
      </c>
    </row>
    <row r="214" spans="1:34" x14ac:dyDescent="0.25">
      <c r="A214" s="8">
        <v>46200.5</v>
      </c>
      <c r="B214" t="s">
        <v>1860</v>
      </c>
      <c r="C214" t="s">
        <v>1</v>
      </c>
      <c r="D214" s="9" t="s">
        <v>1</v>
      </c>
      <c r="E214" t="s">
        <v>1</v>
      </c>
      <c r="F214" t="s">
        <v>1</v>
      </c>
      <c r="G214" t="s">
        <v>1</v>
      </c>
      <c r="H214" t="s">
        <v>66</v>
      </c>
      <c r="I214">
        <v>1</v>
      </c>
      <c r="J214" s="4">
        <v>445</v>
      </c>
      <c r="K214" s="4">
        <v>587.4</v>
      </c>
      <c r="L214" s="4">
        <f>K214-J214</f>
      </c>
      <c r="M214" s="4">
        <f>L214*16.67%</f>
      </c>
      <c r="N214" s="4">
        <f>(K214*6.9%)-(K214*6.9%)*10%</f>
      </c>
      <c r="O214" s="4">
        <f>K214*0.35%</f>
      </c>
      <c r="P214" s="4">
        <v>0.4</v>
      </c>
      <c r="Q214" s="4">
        <f>(N214+O214+P214)*20%</f>
      </c>
      <c r="R214" s="4">
        <f>N214+O214+P214+Q214</f>
      </c>
      <c r="S214" s="4">
        <v>0</v>
      </c>
      <c r="T214" s="4">
        <v>0</v>
      </c>
      <c r="U214" s="4">
        <v>0</v>
      </c>
      <c r="V214" s="4">
        <f>U214*20%</f>
      </c>
      <c r="W214" s="4">
        <v>1</v>
      </c>
      <c r="X214" s="4">
        <f>Q214+T214+V214</f>
      </c>
      <c r="Y214" s="4">
        <f>L214-M214-R214-S214-T214-U214-V214-W214</f>
      </c>
      <c r="Z214" s="4">
        <f>(Y214-AB214)/J214*100</f>
      </c>
      <c r="AA214" s="4">
        <f>M214-X214</f>
      </c>
      <c r="AC214" s="4">
        <f>Y214-AB214</f>
      </c>
      <c r="AH214" t="s">
        <v>1</v>
      </c>
    </row>
    <row r="215" spans="1:34" x14ac:dyDescent="0.25">
      <c r="A215" s="8">
        <v>46200.5</v>
      </c>
      <c r="B215" t="s">
        <v>1861</v>
      </c>
      <c r="C215" t="s">
        <v>1</v>
      </c>
      <c r="D215" s="9" t="s">
        <v>1</v>
      </c>
      <c r="E215" t="s">
        <v>1</v>
      </c>
      <c r="F215" t="s">
        <v>1</v>
      </c>
      <c r="G215" t="s">
        <v>1</v>
      </c>
      <c r="H215" t="s">
        <v>75</v>
      </c>
      <c r="I215">
        <v>1</v>
      </c>
      <c r="J215" s="4">
        <v>263</v>
      </c>
      <c r="K215" s="4">
        <v>370.83</v>
      </c>
      <c r="L215" s="4">
        <f>K215-J215</f>
      </c>
      <c r="M215" s="4">
        <f>L215*16.67%</f>
      </c>
      <c r="N215" s="4">
        <f>(K215*6.9%)-(K215*6.9%)*10%</f>
      </c>
      <c r="O215" s="4">
        <f>K215*0.35%</f>
      </c>
      <c r="P215" s="4">
        <v>0.4</v>
      </c>
      <c r="Q215" s="4">
        <f>(N215+O215+P215)*20%</f>
      </c>
      <c r="R215" s="4">
        <f>N215+O215+P215+Q215</f>
      </c>
      <c r="S215" s="4">
        <v>0</v>
      </c>
      <c r="T215" s="4">
        <v>0</v>
      </c>
      <c r="U215" s="4">
        <v>0</v>
      </c>
      <c r="V215" s="4">
        <f>U215*20%</f>
      </c>
      <c r="W215" s="4">
        <v>1</v>
      </c>
      <c r="X215" s="4">
        <f>Q215+T215+V215</f>
      </c>
      <c r="Y215" s="4">
        <f>L215-M215-R215-S215-T215-U215-V215-W215</f>
      </c>
      <c r="Z215" s="4">
        <f>(Y215-AB215)/J215*100</f>
      </c>
      <c r="AA215" s="4">
        <f>M215-X215</f>
      </c>
      <c r="AC215" s="4">
        <f>Y215-AB215</f>
      </c>
      <c r="AH215" t="s">
        <v>1</v>
      </c>
    </row>
    <row r="216" spans="1:34" x14ac:dyDescent="0.25">
      <c r="A216" s="8">
        <v>46199.5</v>
      </c>
      <c r="B216" t="s">
        <v>1862</v>
      </c>
      <c r="C216" t="s">
        <v>1</v>
      </c>
      <c r="D216" s="9" t="s">
        <v>1863</v>
      </c>
      <c r="E216" t="s">
        <v>64</v>
      </c>
      <c r="F216" t="s">
        <v>99</v>
      </c>
      <c r="G216" t="s">
        <v>65</v>
      </c>
      <c r="H216" t="s">
        <v>102</v>
      </c>
      <c r="I216">
        <v>1</v>
      </c>
      <c r="J216" s="4">
        <v>252</v>
      </c>
      <c r="K216" s="4">
        <v>340.2</v>
      </c>
      <c r="L216" s="4">
        <f>K216-J216</f>
      </c>
      <c r="M216" s="4">
        <f>L216*16.67%</f>
      </c>
      <c r="N216" s="4">
        <f>(K216*6.9%)-(K216*6.9%)*10%</f>
      </c>
      <c r="O216" s="4">
        <f>K216*0.35%</f>
      </c>
      <c r="P216" s="4">
        <v>0.4</v>
      </c>
      <c r="Q216" s="4">
        <f>(N216+O216+P216)*20%</f>
      </c>
      <c r="R216" s="4">
        <f>N216+O216+P216+Q216</f>
      </c>
      <c r="S216" s="4">
        <v>0</v>
      </c>
      <c r="T216" s="4">
        <v>0</v>
      </c>
      <c r="U216" s="4">
        <v>0</v>
      </c>
      <c r="V216" s="4">
        <f>U216*20%</f>
      </c>
      <c r="W216" s="4">
        <v>1</v>
      </c>
      <c r="X216" s="4">
        <f>Q216+T216+V216</f>
      </c>
      <c r="Y216" s="4">
        <f>L216-M216-R216-S216-T216-U216-V216-W216</f>
      </c>
      <c r="Z216" s="4">
        <f>(Y216-AB216)/J216*100</f>
      </c>
      <c r="AA216" s="4">
        <f>M216-X216</f>
      </c>
      <c r="AC216" s="4">
        <f>Y216-AB216</f>
      </c>
      <c r="AH216" t="s">
        <v>1</v>
      </c>
    </row>
    <row r="217" spans="1:34" x14ac:dyDescent="0.25">
      <c r="A217" s="8">
        <v>46199.5</v>
      </c>
      <c r="B217" t="s">
        <v>1864</v>
      </c>
      <c r="C217" t="s">
        <v>1</v>
      </c>
      <c r="D217" s="9" t="s">
        <v>1865</v>
      </c>
      <c r="E217" t="s">
        <v>139</v>
      </c>
      <c r="F217" t="s">
        <v>88</v>
      </c>
      <c r="G217" t="s">
        <v>60</v>
      </c>
      <c r="H217" t="s">
        <v>78</v>
      </c>
      <c r="I217">
        <v>1</v>
      </c>
      <c r="J217" s="4">
        <v>349</v>
      </c>
      <c r="K217" s="4">
        <v>488.6</v>
      </c>
      <c r="L217" s="4">
        <f>K217-J217</f>
      </c>
      <c r="M217" s="4">
        <f>L217*16.67%</f>
      </c>
      <c r="N217" s="4">
        <f>(K217*6.9%)-(K217*6.9%)*10%</f>
      </c>
      <c r="O217" s="4">
        <f>K217*0.35%</f>
      </c>
      <c r="P217" s="4">
        <v>0.4</v>
      </c>
      <c r="Q217" s="4">
        <f>(N217+O217+P217)*20%</f>
      </c>
      <c r="R217" s="4">
        <f>N217+O217+P217+Q217</f>
      </c>
      <c r="S217" s="4">
        <v>0</v>
      </c>
      <c r="T217" s="4">
        <v>0</v>
      </c>
      <c r="U217" s="4">
        <v>0</v>
      </c>
      <c r="V217" s="4">
        <f>U217*20%</f>
      </c>
      <c r="W217" s="4">
        <v>1</v>
      </c>
      <c r="X217" s="4">
        <f>Q217+T217+V217</f>
      </c>
      <c r="Y217" s="4">
        <f>L217-M217-R217-S217-T217-U217-V217-W217</f>
      </c>
      <c r="Z217" s="4">
        <f>(Y217-AB217)/J217*100</f>
      </c>
      <c r="AA217" s="4">
        <f>M217-X217</f>
      </c>
      <c r="AC217" s="4">
        <f>Y217-AB217</f>
      </c>
      <c r="AH217" t="s">
        <v>1</v>
      </c>
    </row>
    <row r="218" spans="1:34" x14ac:dyDescent="0.25">
      <c r="A218" s="8">
        <v>46199.5</v>
      </c>
      <c r="B218" t="s">
        <v>1866</v>
      </c>
      <c r="C218" t="s">
        <v>1</v>
      </c>
      <c r="D218" s="9" t="s">
        <v>1867</v>
      </c>
      <c r="E218" t="s">
        <v>94</v>
      </c>
      <c r="F218" t="s">
        <v>88</v>
      </c>
      <c r="G218" t="s">
        <v>95</v>
      </c>
      <c r="H218" t="s">
        <v>61</v>
      </c>
      <c r="I218">
        <v>1</v>
      </c>
      <c r="J218" s="4">
        <v>62</v>
      </c>
      <c r="K218" s="4">
        <v>81.84</v>
      </c>
      <c r="L218" s="4">
        <f>K218-J218</f>
      </c>
      <c r="M218" s="4">
        <f>L218*16.67%</f>
      </c>
      <c r="N218" s="4">
        <f>(K218*6.9%)-(K218*6.9%)*10%</f>
      </c>
      <c r="O218" s="4">
        <f>K218*0.35%</f>
      </c>
      <c r="P218" s="4">
        <v>0.4</v>
      </c>
      <c r="Q218" s="4">
        <f>(N218+O218+P218)*20%</f>
      </c>
      <c r="R218" s="4">
        <f>N218+O218+P218+Q218</f>
      </c>
      <c r="S218" s="4">
        <v>0</v>
      </c>
      <c r="T218" s="4">
        <v>0</v>
      </c>
      <c r="U218" s="4">
        <v>0</v>
      </c>
      <c r="V218" s="4">
        <f>U218*20%</f>
      </c>
      <c r="W218" s="4">
        <v>1</v>
      </c>
      <c r="X218" s="4">
        <f>Q218+T218+V218</f>
      </c>
      <c r="Y218" s="4">
        <f>L218-M218-R218-S218-T218-U218-V218-W218</f>
      </c>
      <c r="Z218" s="4">
        <f>(Y218-AB218)/J218*100</f>
      </c>
      <c r="AA218" s="4">
        <f>M218-X218</f>
      </c>
      <c r="AC218" s="4">
        <f>Y218-AB218</f>
      </c>
      <c r="AH218" t="s">
        <v>1</v>
      </c>
    </row>
    <row r="219" spans="1:34" x14ac:dyDescent="0.25">
      <c r="A219" s="8">
        <v>46199.5</v>
      </c>
      <c r="B219" t="s">
        <v>1868</v>
      </c>
      <c r="C219" t="s">
        <v>1</v>
      </c>
      <c r="D219" s="9" t="s">
        <v>1869</v>
      </c>
      <c r="E219" t="s">
        <v>114</v>
      </c>
      <c r="F219" t="s">
        <v>105</v>
      </c>
      <c r="G219" t="s">
        <v>95</v>
      </c>
      <c r="H219" t="s">
        <v>75</v>
      </c>
      <c r="I219">
        <v>1</v>
      </c>
      <c r="J219" s="4">
        <v>216</v>
      </c>
      <c r="K219" s="4">
        <v>308.88</v>
      </c>
      <c r="L219" s="4">
        <f>K219-J219</f>
      </c>
      <c r="M219" s="4">
        <f>L219*16.67%</f>
      </c>
      <c r="N219" s="4">
        <f>(K219*6.9%)-(K219*6.9%)*10%</f>
      </c>
      <c r="O219" s="4">
        <f>K219*0.35%</f>
      </c>
      <c r="P219" s="4">
        <v>0.4</v>
      </c>
      <c r="Q219" s="4">
        <f>(N219+O219+P219)*20%</f>
      </c>
      <c r="R219" s="4">
        <f>N219+O219+P219+Q219</f>
      </c>
      <c r="S219" s="4">
        <v>0</v>
      </c>
      <c r="T219" s="4">
        <v>0</v>
      </c>
      <c r="U219" s="4">
        <v>0</v>
      </c>
      <c r="V219" s="4">
        <f>U219*20%</f>
      </c>
      <c r="W219" s="4">
        <v>1</v>
      </c>
      <c r="X219" s="4">
        <f>Q219+T219+V219</f>
      </c>
      <c r="Y219" s="4">
        <f>L219-M219-R219-S219-T219-U219-V219-W219</f>
      </c>
      <c r="Z219" s="4">
        <f>(Y219-AB219)/J219*100</f>
      </c>
      <c r="AA219" s="4">
        <f>M219-X219</f>
      </c>
      <c r="AC219" s="4">
        <f>Y219-AB219</f>
      </c>
      <c r="AH219" t="s">
        <v>1</v>
      </c>
    </row>
    <row r="220" spans="1:34" x14ac:dyDescent="0.25">
      <c r="A220" s="8">
        <v>46199.5</v>
      </c>
      <c r="B220" t="s">
        <v>1870</v>
      </c>
      <c r="C220" t="s">
        <v>1</v>
      </c>
      <c r="D220" s="9" t="s">
        <v>1871</v>
      </c>
      <c r="E220" t="s">
        <v>58</v>
      </c>
      <c r="F220" t="s">
        <v>105</v>
      </c>
      <c r="G220" t="s">
        <v>60</v>
      </c>
      <c r="H220" t="s">
        <v>102</v>
      </c>
      <c r="I220">
        <v>1</v>
      </c>
      <c r="J220" s="4">
        <v>451</v>
      </c>
      <c r="K220" s="4">
        <v>527.67</v>
      </c>
      <c r="L220" s="4">
        <f>K220-J220</f>
      </c>
      <c r="M220" s="4">
        <f>L220*16.67%</f>
      </c>
      <c r="N220" s="4">
        <f>(K220*6.9%)-(K220*6.9%)*10%</f>
      </c>
      <c r="O220" s="4">
        <f>K220*0.35%</f>
      </c>
      <c r="P220" s="4">
        <v>0.4</v>
      </c>
      <c r="Q220" s="4">
        <f>(N220+O220+P220)*20%</f>
      </c>
      <c r="R220" s="4">
        <f>N220+O220+P220+Q220</f>
      </c>
      <c r="S220" s="4">
        <v>0</v>
      </c>
      <c r="T220" s="4">
        <v>0</v>
      </c>
      <c r="U220" s="4">
        <v>0</v>
      </c>
      <c r="V220" s="4">
        <f>U220*20%</f>
      </c>
      <c r="W220" s="4">
        <v>1</v>
      </c>
      <c r="X220" s="4">
        <f>Q220+T220+V220</f>
      </c>
      <c r="Y220" s="4">
        <f>L220-M220-R220-S220-T220-U220-V220-W220</f>
      </c>
      <c r="Z220" s="4">
        <f>(Y220-AB220)/J220*100</f>
      </c>
      <c r="AA220" s="4">
        <f>M220-X220</f>
      </c>
      <c r="AC220" s="4">
        <f>Y220-AB220</f>
      </c>
      <c r="AH220" t="s">
        <v>1</v>
      </c>
    </row>
    <row r="221" spans="1:34" x14ac:dyDescent="0.25">
      <c r="A221" s="8">
        <v>46199.5</v>
      </c>
      <c r="B221" t="s">
        <v>1872</v>
      </c>
      <c r="C221" t="s">
        <v>174</v>
      </c>
      <c r="D221" s="9" t="s">
        <v>1</v>
      </c>
      <c r="E221" t="s">
        <v>174</v>
      </c>
      <c r="F221" t="s">
        <v>1</v>
      </c>
      <c r="G221" t="s">
        <v>1</v>
      </c>
      <c r="H221" t="s">
        <v>66</v>
      </c>
      <c r="I221">
        <v>2</v>
      </c>
      <c r="J221" s="4">
        <v>8.5</v>
      </c>
      <c r="K221" s="4">
        <v>11.13</v>
      </c>
      <c r="L221" s="4">
        <f>K221-J221</f>
      </c>
      <c r="M221" s="4">
        <f>L221*16.67%</f>
      </c>
      <c r="N221" s="4">
        <f>(K221*6.9%)-(K221*6.9%)*10%</f>
      </c>
      <c r="O221" s="4">
        <f>K221*0.35%</f>
      </c>
      <c r="P221" s="4">
        <v>0.4</v>
      </c>
      <c r="Q221" s="4">
        <f>(N221+O221+P221)*20%</f>
      </c>
      <c r="R221" s="4">
        <f>N221+O221+P221+Q221</f>
      </c>
      <c r="S221" s="4">
        <v>0</v>
      </c>
      <c r="T221" s="4">
        <v>0</v>
      </c>
      <c r="U221" s="4">
        <v>0</v>
      </c>
      <c r="V221" s="4">
        <f>U221*20%</f>
      </c>
      <c r="W221" s="4">
        <v>0</v>
      </c>
      <c r="X221" s="4">
        <f>Q221+T221+V221</f>
      </c>
      <c r="Y221" s="4">
        <f>L221-M221-R221-S221-T221-U221-V221-W221</f>
      </c>
      <c r="Z221" s="4">
        <f>(Y221-AB221)/J221*100</f>
      </c>
      <c r="AA221" s="4">
        <f>M221-X221</f>
      </c>
      <c r="AC221" s="4">
        <f>Y221-AB221</f>
      </c>
      <c r="AH221" t="s">
        <v>1</v>
      </c>
    </row>
    <row r="222" spans="1:34" x14ac:dyDescent="0.25">
      <c r="A222" s="8">
        <v>46199.5</v>
      </c>
      <c r="B222" t="s">
        <v>1873</v>
      </c>
      <c r="C222" t="s">
        <v>174</v>
      </c>
      <c r="D222" s="9" t="s">
        <v>1</v>
      </c>
      <c r="E222" t="s">
        <v>174</v>
      </c>
      <c r="F222" t="s">
        <v>1</v>
      </c>
      <c r="G222" t="s">
        <v>1</v>
      </c>
      <c r="H222" t="s">
        <v>66</v>
      </c>
      <c r="I222">
        <v>3</v>
      </c>
      <c r="J222" s="4">
        <v>12.75</v>
      </c>
      <c r="K222" s="4">
        <v>16.57</v>
      </c>
      <c r="L222" s="4">
        <f>K222-J222</f>
      </c>
      <c r="M222" s="4">
        <f>L222*16.67%</f>
      </c>
      <c r="N222" s="4">
        <f>(K222*6.9%)-(K222*6.9%)*10%</f>
      </c>
      <c r="O222" s="4">
        <f>K222*0.35%</f>
      </c>
      <c r="P222" s="4">
        <v>0.4</v>
      </c>
      <c r="Q222" s="4">
        <f>(N222+O222+P222)*20%</f>
      </c>
      <c r="R222" s="4">
        <f>N222+O222+P222+Q222</f>
      </c>
      <c r="S222" s="4">
        <v>0</v>
      </c>
      <c r="T222" s="4">
        <v>0</v>
      </c>
      <c r="U222" s="4">
        <v>0</v>
      </c>
      <c r="V222" s="4">
        <f>U222*20%</f>
      </c>
      <c r="W222" s="4">
        <v>0</v>
      </c>
      <c r="X222" s="4">
        <f>Q222+T222+V222</f>
      </c>
      <c r="Y222" s="4">
        <f>L222-M222-R222-S222-T222-U222-V222-W222</f>
      </c>
      <c r="Z222" s="4">
        <f>(Y222-AB222)/J222*100</f>
      </c>
      <c r="AA222" s="4">
        <f>M222-X222</f>
      </c>
      <c r="AC222" s="4">
        <f>Y222-AB222</f>
      </c>
      <c r="AH222" t="s">
        <v>1</v>
      </c>
    </row>
    <row r="223" spans="1:34" x14ac:dyDescent="0.25">
      <c r="A223" s="8">
        <v>46198.5</v>
      </c>
      <c r="B223" t="s">
        <v>1874</v>
      </c>
      <c r="C223" t="s">
        <v>1</v>
      </c>
      <c r="D223" s="9" t="s">
        <v>1875</v>
      </c>
      <c r="E223" t="s">
        <v>125</v>
      </c>
      <c r="F223" t="s">
        <v>85</v>
      </c>
      <c r="G223" t="s">
        <v>126</v>
      </c>
      <c r="H223" t="s">
        <v>75</v>
      </c>
      <c r="I223">
        <v>1</v>
      </c>
      <c r="J223" s="4">
        <v>233</v>
      </c>
      <c r="K223" s="4">
        <v>281.93</v>
      </c>
      <c r="L223" s="4">
        <f>K223-J223</f>
      </c>
      <c r="M223" s="4">
        <f>L223*16.67%</f>
      </c>
      <c r="N223" s="4">
        <f>(K223*6.9%)-(K223*6.9%)*10%</f>
      </c>
      <c r="O223" s="4">
        <f>K223*0.35%</f>
      </c>
      <c r="P223" s="4">
        <v>0.4</v>
      </c>
      <c r="Q223" s="4">
        <f>(N223+O223+P223)*20%</f>
      </c>
      <c r="R223" s="4">
        <f>N223+O223+P223+Q223</f>
      </c>
      <c r="S223" s="4">
        <v>0</v>
      </c>
      <c r="T223" s="4">
        <v>0</v>
      </c>
      <c r="U223" s="4">
        <v>0</v>
      </c>
      <c r="V223" s="4">
        <f>U223*20%</f>
      </c>
      <c r="W223" s="4">
        <v>1</v>
      </c>
      <c r="X223" s="4">
        <f>Q223+T223+V223</f>
      </c>
      <c r="Y223" s="4">
        <f>L223-M223-R223-S223-T223-U223-V223-W223</f>
      </c>
      <c r="Z223" s="4">
        <f>(Y223-AB223)/J223*100</f>
      </c>
      <c r="AA223" s="4">
        <f>M223-X223</f>
      </c>
      <c r="AC223" s="4">
        <f>Y223-AB223</f>
      </c>
      <c r="AH223" t="s">
        <v>1</v>
      </c>
    </row>
    <row r="224" spans="1:34" x14ac:dyDescent="0.25">
      <c r="A224" s="8">
        <v>46198.5</v>
      </c>
      <c r="B224" t="s">
        <v>1876</v>
      </c>
      <c r="C224" t="s">
        <v>1</v>
      </c>
      <c r="D224" s="9" t="s">
        <v>1877</v>
      </c>
      <c r="E224" t="s">
        <v>73</v>
      </c>
      <c r="F224" t="s">
        <v>88</v>
      </c>
      <c r="G224" t="s">
        <v>60</v>
      </c>
      <c r="H224" t="s">
        <v>66</v>
      </c>
      <c r="I224">
        <v>1</v>
      </c>
      <c r="J224" s="4">
        <v>334</v>
      </c>
      <c r="K224" s="4">
        <v>460.92</v>
      </c>
      <c r="L224" s="4">
        <f>K224-J224</f>
      </c>
      <c r="M224" s="4">
        <f>L224*16.67%</f>
      </c>
      <c r="N224" s="4">
        <f>(K224*6.9%)-(K224*6.9%)*10%</f>
      </c>
      <c r="O224" s="4">
        <f>K224*0.35%</f>
      </c>
      <c r="P224" s="4">
        <v>0.4</v>
      </c>
      <c r="Q224" s="4">
        <f>(N224+O224+P224)*20%</f>
      </c>
      <c r="R224" s="4">
        <f>N224+O224+P224+Q224</f>
      </c>
      <c r="S224" s="4">
        <v>0</v>
      </c>
      <c r="T224" s="4">
        <v>0</v>
      </c>
      <c r="U224" s="4">
        <v>0</v>
      </c>
      <c r="V224" s="4">
        <f>U224*20%</f>
      </c>
      <c r="W224" s="4">
        <v>1</v>
      </c>
      <c r="X224" s="4">
        <f>Q224+T224+V224</f>
      </c>
      <c r="Y224" s="4">
        <f>L224-M224-R224-S224-T224-U224-V224-W224</f>
      </c>
      <c r="Z224" s="4">
        <f>(Y224-AB224)/J224*100</f>
      </c>
      <c r="AA224" s="4">
        <f>M224-X224</f>
      </c>
      <c r="AC224" s="4">
        <f>Y224-AB224</f>
      </c>
      <c r="AH224" t="s">
        <v>1</v>
      </c>
    </row>
    <row r="225" spans="1:34" x14ac:dyDescent="0.25">
      <c r="A225" s="8">
        <v>46198.5</v>
      </c>
      <c r="B225" t="s">
        <v>1878</v>
      </c>
      <c r="C225" t="s">
        <v>1</v>
      </c>
      <c r="D225" s="9" t="s">
        <v>1879</v>
      </c>
      <c r="E225" t="s">
        <v>172</v>
      </c>
      <c r="F225" t="s">
        <v>59</v>
      </c>
      <c r="G225" t="s">
        <v>65</v>
      </c>
      <c r="H225" t="s">
        <v>61</v>
      </c>
      <c r="I225">
        <v>1</v>
      </c>
      <c r="J225" s="4">
        <v>179</v>
      </c>
      <c r="K225" s="4">
        <v>245.23</v>
      </c>
      <c r="L225" s="4">
        <f>K225-J225</f>
      </c>
      <c r="M225" s="4">
        <f>L225*16.67%</f>
      </c>
      <c r="N225" s="4">
        <f>(K225*6.9%)-(K225*6.9%)*10%</f>
      </c>
      <c r="O225" s="4">
        <f>K225*0.35%</f>
      </c>
      <c r="P225" s="4">
        <v>0.4</v>
      </c>
      <c r="Q225" s="4">
        <f>(N225+O225+P225)*20%</f>
      </c>
      <c r="R225" s="4">
        <f>N225+O225+P225+Q225</f>
      </c>
      <c r="S225" s="4">
        <v>0</v>
      </c>
      <c r="T225" s="4">
        <v>0</v>
      </c>
      <c r="U225" s="4">
        <v>0</v>
      </c>
      <c r="V225" s="4">
        <f>U225*20%</f>
      </c>
      <c r="W225" s="4">
        <v>1</v>
      </c>
      <c r="X225" s="4">
        <f>Q225+T225+V225</f>
      </c>
      <c r="Y225" s="4">
        <f>L225-M225-R225-S225-T225-U225-V225-W225</f>
      </c>
      <c r="Z225" s="4">
        <f>(Y225-AB225)/J225*100</f>
      </c>
      <c r="AA225" s="4">
        <f>M225-X225</f>
      </c>
      <c r="AC225" s="4">
        <f>Y225-AB225</f>
      </c>
      <c r="AH225" t="s">
        <v>1</v>
      </c>
    </row>
    <row r="226" spans="1:34" x14ac:dyDescent="0.25">
      <c r="A226" s="8">
        <v>46198.5</v>
      </c>
      <c r="B226" t="s">
        <v>1880</v>
      </c>
      <c r="C226" t="s">
        <v>1</v>
      </c>
      <c r="D226" s="9" t="s">
        <v>1881</v>
      </c>
      <c r="E226" t="s">
        <v>81</v>
      </c>
      <c r="F226" t="s">
        <v>105</v>
      </c>
      <c r="G226" t="s">
        <v>65</v>
      </c>
      <c r="H226" t="s">
        <v>61</v>
      </c>
      <c r="I226">
        <v>1</v>
      </c>
      <c r="J226" s="4">
        <v>616</v>
      </c>
      <c r="K226" s="4">
        <v>757.68</v>
      </c>
      <c r="L226" s="4">
        <f>K226-J226</f>
      </c>
      <c r="M226" s="4">
        <f>L226*16.67%</f>
      </c>
      <c r="N226" s="4">
        <f>(K226*6.9%)-(K226*6.9%)*10%</f>
      </c>
      <c r="O226" s="4">
        <f>K226*0.35%</f>
      </c>
      <c r="P226" s="4">
        <v>0.4</v>
      </c>
      <c r="Q226" s="4">
        <f>(N226+O226+P226)*20%</f>
      </c>
      <c r="R226" s="4">
        <f>N226+O226+P226+Q226</f>
      </c>
      <c r="S226" s="4">
        <v>0</v>
      </c>
      <c r="T226" s="4">
        <v>0</v>
      </c>
      <c r="U226" s="4">
        <v>0</v>
      </c>
      <c r="V226" s="4">
        <f>U226*20%</f>
      </c>
      <c r="W226" s="4">
        <v>1</v>
      </c>
      <c r="X226" s="4">
        <f>Q226+T226+V226</f>
      </c>
      <c r="Y226" s="4">
        <f>L226-M226-R226-S226-T226-U226-V226-W226</f>
      </c>
      <c r="Z226" s="4">
        <f>(Y226-AB226)/J226*100</f>
      </c>
      <c r="AA226" s="4">
        <f>M226-X226</f>
      </c>
      <c r="AC226" s="4">
        <f>Y226-AB226</f>
      </c>
      <c r="AH226" t="s">
        <v>1</v>
      </c>
    </row>
    <row r="227" spans="1:34" x14ac:dyDescent="0.25">
      <c r="A227" s="8">
        <v>46198.5</v>
      </c>
      <c r="B227" t="s">
        <v>1882</v>
      </c>
      <c r="C227" t="s">
        <v>1</v>
      </c>
      <c r="D227" s="9" t="s">
        <v>1883</v>
      </c>
      <c r="E227" t="s">
        <v>234</v>
      </c>
      <c r="F227" t="s">
        <v>59</v>
      </c>
      <c r="G227" t="s">
        <v>65</v>
      </c>
      <c r="H227" t="s">
        <v>66</v>
      </c>
      <c r="I227">
        <v>1</v>
      </c>
      <c r="J227" s="4">
        <v>155</v>
      </c>
      <c r="K227" s="4">
        <v>181.35</v>
      </c>
      <c r="L227" s="4">
        <f>K227-J227</f>
      </c>
      <c r="M227" s="4">
        <f>L227*16.67%</f>
      </c>
      <c r="N227" s="4">
        <f>(K227*6.9%)-(K227*6.9%)*10%</f>
      </c>
      <c r="O227" s="4">
        <f>K227*0.35%</f>
      </c>
      <c r="P227" s="4">
        <v>0.4</v>
      </c>
      <c r="Q227" s="4">
        <f>(N227+O227+P227)*20%</f>
      </c>
      <c r="R227" s="4">
        <f>N227+O227+P227+Q227</f>
      </c>
      <c r="S227" s="4">
        <v>0</v>
      </c>
      <c r="T227" s="4">
        <v>0</v>
      </c>
      <c r="U227" s="4">
        <v>0</v>
      </c>
      <c r="V227" s="4">
        <f>U227*20%</f>
      </c>
      <c r="W227" s="4">
        <v>1</v>
      </c>
      <c r="X227" s="4">
        <f>Q227+T227+V227</f>
      </c>
      <c r="Y227" s="4">
        <f>L227-M227-R227-S227-T227-U227-V227-W227</f>
      </c>
      <c r="Z227" s="4">
        <f>(Y227-AB227)/J227*100</f>
      </c>
      <c r="AA227" s="4">
        <f>M227-X227</f>
      </c>
      <c r="AC227" s="4">
        <f>Y227-AB227</f>
      </c>
      <c r="AH227" t="s">
        <v>1</v>
      </c>
    </row>
    <row r="228" spans="1:34" x14ac:dyDescent="0.25">
      <c r="A228" s="8">
        <v>46198.5</v>
      </c>
      <c r="B228" t="s">
        <v>1884</v>
      </c>
      <c r="C228" t="s">
        <v>177</v>
      </c>
      <c r="D228" s="9" t="s">
        <v>1</v>
      </c>
      <c r="E228" t="s">
        <v>177</v>
      </c>
      <c r="F228" t="s">
        <v>1</v>
      </c>
      <c r="G228" t="s">
        <v>1</v>
      </c>
      <c r="H228" t="s">
        <v>78</v>
      </c>
      <c r="I228">
        <v>4</v>
      </c>
      <c r="J228" s="4">
        <v>0.6</v>
      </c>
      <c r="K228" s="4">
        <v>0.73</v>
      </c>
      <c r="L228" s="4">
        <f>K228-J228</f>
      </c>
      <c r="M228" s="4">
        <f>L228*16.67%</f>
      </c>
      <c r="N228" s="4">
        <f>(K228*6.9%)-(K228*6.9%)*10%</f>
      </c>
      <c r="O228" s="4">
        <f>K228*0.35%</f>
      </c>
      <c r="P228" s="4">
        <v>0.4</v>
      </c>
      <c r="Q228" s="4">
        <f>(N228+O228+P228)*20%</f>
      </c>
      <c r="R228" s="4">
        <f>N228+O228+P228+Q228</f>
      </c>
      <c r="S228" s="4">
        <v>0</v>
      </c>
      <c r="T228" s="4">
        <v>0</v>
      </c>
      <c r="U228" s="4">
        <v>0</v>
      </c>
      <c r="V228" s="4">
        <f>U228*20%</f>
      </c>
      <c r="W228" s="4">
        <v>0</v>
      </c>
      <c r="X228" s="4">
        <f>Q228+T228+V228</f>
      </c>
      <c r="Y228" s="4">
        <f>L228-M228-R228-S228-T228-U228-V228-W228</f>
      </c>
      <c r="Z228" s="4">
        <f>(Y228-AB228)/J228*100</f>
      </c>
      <c r="AA228" s="4">
        <f>M228-X228</f>
      </c>
      <c r="AC228" s="4">
        <f>Y228-AB228</f>
      </c>
      <c r="AH228" t="s">
        <v>1</v>
      </c>
    </row>
    <row r="229" spans="1:34" x14ac:dyDescent="0.25">
      <c r="A229" s="8">
        <v>46197.5</v>
      </c>
      <c r="B229" t="s">
        <v>1885</v>
      </c>
      <c r="C229" t="s">
        <v>1</v>
      </c>
      <c r="D229" s="9" t="s">
        <v>1886</v>
      </c>
      <c r="E229" t="s">
        <v>69</v>
      </c>
      <c r="F229" t="s">
        <v>88</v>
      </c>
      <c r="G229" t="s">
        <v>60</v>
      </c>
      <c r="H229" t="s">
        <v>102</v>
      </c>
      <c r="I229">
        <v>1</v>
      </c>
      <c r="J229" s="4">
        <v>544</v>
      </c>
      <c r="K229" s="4">
        <v>636.48</v>
      </c>
      <c r="L229" s="4">
        <f>K229-J229</f>
      </c>
      <c r="M229" s="4">
        <f>L229*16.67%</f>
      </c>
      <c r="N229" s="4">
        <f>(K229*6.9%)-(K229*6.9%)*10%</f>
      </c>
      <c r="O229" s="4">
        <f>K229*0.35%</f>
      </c>
      <c r="P229" s="4">
        <v>0.4</v>
      </c>
      <c r="Q229" s="4">
        <f>(N229+O229+P229)*20%</f>
      </c>
      <c r="R229" s="4">
        <f>N229+O229+P229+Q229</f>
      </c>
      <c r="S229" s="4">
        <v>0</v>
      </c>
      <c r="T229" s="4">
        <v>0</v>
      </c>
      <c r="U229" s="4">
        <v>0</v>
      </c>
      <c r="V229" s="4">
        <f>U229*20%</f>
      </c>
      <c r="W229" s="4">
        <v>1</v>
      </c>
      <c r="X229" s="4">
        <f>Q229+T229+V229</f>
      </c>
      <c r="Y229" s="4">
        <f>L229-M229-R229-S229-T229-U229-V229-W229</f>
      </c>
      <c r="Z229" s="4">
        <f>(Y229-AB229)/J229*100</f>
      </c>
      <c r="AA229" s="4">
        <f>M229-X229</f>
      </c>
      <c r="AC229" s="4">
        <f>Y229-AB229</f>
      </c>
      <c r="AH229" t="s">
        <v>1</v>
      </c>
    </row>
    <row r="230" spans="1:34" x14ac:dyDescent="0.25">
      <c r="A230" s="8">
        <v>46197.5</v>
      </c>
      <c r="B230" t="s">
        <v>1887</v>
      </c>
      <c r="C230" t="s">
        <v>1</v>
      </c>
      <c r="D230" s="9" t="s">
        <v>1888</v>
      </c>
      <c r="E230" t="s">
        <v>94</v>
      </c>
      <c r="F230" t="s">
        <v>85</v>
      </c>
      <c r="G230" t="s">
        <v>95</v>
      </c>
      <c r="H230" t="s">
        <v>78</v>
      </c>
      <c r="I230">
        <v>1</v>
      </c>
      <c r="J230" s="4">
        <v>77</v>
      </c>
      <c r="K230" s="4">
        <v>105.49</v>
      </c>
      <c r="L230" s="4">
        <f>K230-J230</f>
      </c>
      <c r="M230" s="4">
        <f>L230*16.67%</f>
      </c>
      <c r="N230" s="4">
        <f>(K230*6.9%)-(K230*6.9%)*10%</f>
      </c>
      <c r="O230" s="4">
        <f>K230*0.35%</f>
      </c>
      <c r="P230" s="4">
        <v>0.4</v>
      </c>
      <c r="Q230" s="4">
        <f>(N230+O230+P230)*20%</f>
      </c>
      <c r="R230" s="4">
        <f>N230+O230+P230+Q230</f>
      </c>
      <c r="S230" s="4">
        <v>0</v>
      </c>
      <c r="T230" s="4">
        <v>0</v>
      </c>
      <c r="U230" s="4">
        <v>0</v>
      </c>
      <c r="V230" s="4">
        <f>U230*20%</f>
      </c>
      <c r="W230" s="4">
        <v>1</v>
      </c>
      <c r="X230" s="4">
        <f>Q230+T230+V230</f>
      </c>
      <c r="Y230" s="4">
        <f>L230-M230-R230-S230-T230-U230-V230-W230</f>
      </c>
      <c r="Z230" s="4">
        <f>(Y230-AB230)/J230*100</f>
      </c>
      <c r="AA230" s="4">
        <f>M230-X230</f>
      </c>
      <c r="AC230" s="4">
        <f>Y230-AB230</f>
      </c>
      <c r="AH230" t="s">
        <v>1</v>
      </c>
    </row>
    <row r="231" spans="1:34" x14ac:dyDescent="0.25">
      <c r="A231" s="8">
        <v>46197.5</v>
      </c>
      <c r="B231" t="s">
        <v>1889</v>
      </c>
      <c r="C231" t="s">
        <v>1</v>
      </c>
      <c r="D231" s="9" t="s">
        <v>1890</v>
      </c>
      <c r="E231" t="s">
        <v>114</v>
      </c>
      <c r="F231" t="s">
        <v>88</v>
      </c>
      <c r="G231" t="s">
        <v>95</v>
      </c>
      <c r="H231" t="s">
        <v>78</v>
      </c>
      <c r="I231">
        <v>1</v>
      </c>
      <c r="J231" s="4">
        <v>194</v>
      </c>
      <c r="K231" s="4">
        <v>254.14</v>
      </c>
      <c r="L231" s="4">
        <f>K231-J231</f>
      </c>
      <c r="M231" s="4">
        <f>L231*16.67%</f>
      </c>
      <c r="N231" s="4">
        <f>(K231*6.9%)-(K231*6.9%)*10%</f>
      </c>
      <c r="O231" s="4">
        <f>K231*0.35%</f>
      </c>
      <c r="P231" s="4">
        <v>0.4</v>
      </c>
      <c r="Q231" s="4">
        <f>(N231+O231+P231)*20%</f>
      </c>
      <c r="R231" s="4">
        <f>N231+O231+P231+Q231</f>
      </c>
      <c r="S231" s="4">
        <v>0</v>
      </c>
      <c r="T231" s="4">
        <v>0</v>
      </c>
      <c r="U231" s="4">
        <v>0</v>
      </c>
      <c r="V231" s="4">
        <f>U231*20%</f>
      </c>
      <c r="W231" s="4">
        <v>1</v>
      </c>
      <c r="X231" s="4">
        <f>Q231+T231+V231</f>
      </c>
      <c r="Y231" s="4">
        <f>L231-M231-R231-S231-T231-U231-V231-W231</f>
      </c>
      <c r="Z231" s="4">
        <f>(Y231-AB231)/J231*100</f>
      </c>
      <c r="AA231" s="4">
        <f>M231-X231</f>
      </c>
      <c r="AC231" s="4">
        <f>Y231-AB231</f>
      </c>
      <c r="AH231" t="s">
        <v>1</v>
      </c>
    </row>
    <row r="232" spans="1:34" x14ac:dyDescent="0.25">
      <c r="A232" s="8">
        <v>46197.5</v>
      </c>
      <c r="B232" t="s">
        <v>1891</v>
      </c>
      <c r="C232" t="s">
        <v>1</v>
      </c>
      <c r="D232" s="9" t="s">
        <v>1892</v>
      </c>
      <c r="E232" t="s">
        <v>131</v>
      </c>
      <c r="F232" t="s">
        <v>74</v>
      </c>
      <c r="G232" t="s">
        <v>65</v>
      </c>
      <c r="H232" t="s">
        <v>75</v>
      </c>
      <c r="I232">
        <v>1</v>
      </c>
      <c r="J232" s="4">
        <v>271</v>
      </c>
      <c r="K232" s="4">
        <v>371.27</v>
      </c>
      <c r="L232" s="4">
        <f>K232-J232</f>
      </c>
      <c r="M232" s="4">
        <f>L232*16.67%</f>
      </c>
      <c r="N232" s="4">
        <f>(K232*6.9%)-(K232*6.9%)*10%</f>
      </c>
      <c r="O232" s="4">
        <f>K232*0.35%</f>
      </c>
      <c r="P232" s="4">
        <v>0.4</v>
      </c>
      <c r="Q232" s="4">
        <f>(N232+O232+P232)*20%</f>
      </c>
      <c r="R232" s="4">
        <f>N232+O232+P232+Q232</f>
      </c>
      <c r="S232" s="4">
        <v>0</v>
      </c>
      <c r="T232" s="4">
        <v>0</v>
      </c>
      <c r="U232" s="4">
        <v>0</v>
      </c>
      <c r="V232" s="4">
        <f>U232*20%</f>
      </c>
      <c r="W232" s="4">
        <v>1</v>
      </c>
      <c r="X232" s="4">
        <f>Q232+T232+V232</f>
      </c>
      <c r="Y232" s="4">
        <f>L232-M232-R232-S232-T232-U232-V232-W232</f>
      </c>
      <c r="Z232" s="4">
        <f>(Y232-AB232)/J232*100</f>
      </c>
      <c r="AA232" s="4">
        <f>M232-X232</f>
      </c>
      <c r="AC232" s="4">
        <f>Y232-AB232</f>
      </c>
      <c r="AH232" t="s">
        <v>1</v>
      </c>
    </row>
    <row r="233" spans="1:34" x14ac:dyDescent="0.25">
      <c r="A233" s="8">
        <v>46197.5</v>
      </c>
      <c r="B233" t="s">
        <v>1893</v>
      </c>
      <c r="C233" t="s">
        <v>1</v>
      </c>
      <c r="D233" s="9" t="s">
        <v>1894</v>
      </c>
      <c r="E233" t="s">
        <v>131</v>
      </c>
      <c r="F233" t="s">
        <v>70</v>
      </c>
      <c r="G233" t="s">
        <v>60</v>
      </c>
      <c r="H233" t="s">
        <v>61</v>
      </c>
      <c r="I233">
        <v>1</v>
      </c>
      <c r="J233" s="4">
        <v>265</v>
      </c>
      <c r="K233" s="4">
        <v>304.75</v>
      </c>
      <c r="L233" s="4">
        <f>K233-J233</f>
      </c>
      <c r="M233" s="4">
        <f>L233*16.67%</f>
      </c>
      <c r="N233" s="4">
        <f>(K233*6.9%)-(K233*6.9%)*10%</f>
      </c>
      <c r="O233" s="4">
        <f>K233*0.35%</f>
      </c>
      <c r="P233" s="4">
        <v>0.4</v>
      </c>
      <c r="Q233" s="4">
        <f>(N233+O233+P233)*20%</f>
      </c>
      <c r="R233" s="4">
        <f>N233+O233+P233+Q233</f>
      </c>
      <c r="S233" s="4">
        <v>0</v>
      </c>
      <c r="T233" s="4">
        <v>0</v>
      </c>
      <c r="U233" s="4">
        <v>0</v>
      </c>
      <c r="V233" s="4">
        <f>U233*20%</f>
      </c>
      <c r="W233" s="4">
        <v>1</v>
      </c>
      <c r="X233" s="4">
        <f>Q233+T233+V233</f>
      </c>
      <c r="Y233" s="4">
        <f>L233-M233-R233-S233-T233-U233-V233-W233</f>
      </c>
      <c r="Z233" s="4">
        <f>(Y233-AB233)/J233*100</f>
      </c>
      <c r="AA233" s="4">
        <f>M233-X233</f>
      </c>
      <c r="AC233" s="4">
        <f>Y233-AB233</f>
      </c>
      <c r="AH233" t="s">
        <v>1</v>
      </c>
    </row>
    <row r="234" spans="1:34" x14ac:dyDescent="0.25">
      <c r="A234" s="8">
        <v>46197.5</v>
      </c>
      <c r="B234" t="s">
        <v>1895</v>
      </c>
      <c r="C234" t="s">
        <v>1</v>
      </c>
      <c r="D234" s="9" t="s">
        <v>1896</v>
      </c>
      <c r="E234" t="s">
        <v>172</v>
      </c>
      <c r="F234" t="s">
        <v>99</v>
      </c>
      <c r="G234" t="s">
        <v>65</v>
      </c>
      <c r="H234" t="s">
        <v>61</v>
      </c>
      <c r="I234">
        <v>1</v>
      </c>
      <c r="J234" s="4">
        <v>175</v>
      </c>
      <c r="K234" s="4">
        <v>234.5</v>
      </c>
      <c r="L234" s="4">
        <f>K234-J234</f>
      </c>
      <c r="M234" s="4">
        <f>L234*16.67%</f>
      </c>
      <c r="N234" s="4">
        <f>(K234*6.9%)-(K234*6.9%)*10%</f>
      </c>
      <c r="O234" s="4">
        <f>K234*0.35%</f>
      </c>
      <c r="P234" s="4">
        <v>0.4</v>
      </c>
      <c r="Q234" s="4">
        <f>(N234+O234+P234)*20%</f>
      </c>
      <c r="R234" s="4">
        <f>N234+O234+P234+Q234</f>
      </c>
      <c r="S234" s="4">
        <v>0</v>
      </c>
      <c r="T234" s="4">
        <v>0</v>
      </c>
      <c r="U234" s="4">
        <v>0</v>
      </c>
      <c r="V234" s="4">
        <f>U234*20%</f>
      </c>
      <c r="W234" s="4">
        <v>1</v>
      </c>
      <c r="X234" s="4">
        <f>Q234+T234+V234</f>
      </c>
      <c r="Y234" s="4">
        <f>L234-M234-R234-S234-T234-U234-V234-W234</f>
      </c>
      <c r="Z234" s="4">
        <f>(Y234-AB234)/J234*100</f>
      </c>
      <c r="AA234" s="4">
        <f>M234-X234</f>
      </c>
      <c r="AC234" s="4">
        <f>Y234-AB234</f>
      </c>
      <c r="AH234" t="s">
        <v>1</v>
      </c>
    </row>
    <row r="235" spans="1:34" x14ac:dyDescent="0.25">
      <c r="A235" s="8">
        <v>46197.5</v>
      </c>
      <c r="B235" t="s">
        <v>1897</v>
      </c>
      <c r="C235" t="s">
        <v>1</v>
      </c>
      <c r="D235" s="9" t="s">
        <v>1898</v>
      </c>
      <c r="E235" t="s">
        <v>73</v>
      </c>
      <c r="F235" t="s">
        <v>85</v>
      </c>
      <c r="G235" t="s">
        <v>60</v>
      </c>
      <c r="H235" t="s">
        <v>75</v>
      </c>
      <c r="I235">
        <v>1</v>
      </c>
      <c r="J235" s="4">
        <v>327</v>
      </c>
      <c r="K235" s="4">
        <v>395.67</v>
      </c>
      <c r="L235" s="4">
        <f>K235-J235</f>
      </c>
      <c r="M235" s="4">
        <f>L235*16.67%</f>
      </c>
      <c r="N235" s="4">
        <f>(K235*6.9%)-(K235*6.9%)*10%</f>
      </c>
      <c r="O235" s="4">
        <f>K235*0.35%</f>
      </c>
      <c r="P235" s="4">
        <v>0.4</v>
      </c>
      <c r="Q235" s="4">
        <f>(N235+O235+P235)*20%</f>
      </c>
      <c r="R235" s="4">
        <f>N235+O235+P235+Q235</f>
      </c>
      <c r="S235" s="4">
        <v>0</v>
      </c>
      <c r="T235" s="4">
        <v>0</v>
      </c>
      <c r="U235" s="4">
        <v>0</v>
      </c>
      <c r="V235" s="4">
        <f>U235*20%</f>
      </c>
      <c r="W235" s="4">
        <v>1</v>
      </c>
      <c r="X235" s="4">
        <f>Q235+T235+V235</f>
      </c>
      <c r="Y235" s="4">
        <f>L235-M235-R235-S235-T235-U235-V235-W235</f>
      </c>
      <c r="Z235" s="4">
        <f>(Y235-AB235)/J235*100</f>
      </c>
      <c r="AA235" s="4">
        <f>M235-X235</f>
      </c>
      <c r="AC235" s="4">
        <f>Y235-AB235</f>
      </c>
      <c r="AH235" t="s">
        <v>1</v>
      </c>
    </row>
    <row r="236" spans="1:34" x14ac:dyDescent="0.25">
      <c r="A236" s="8">
        <v>46197.5</v>
      </c>
      <c r="B236" t="s">
        <v>1899</v>
      </c>
      <c r="C236" t="s">
        <v>189</v>
      </c>
      <c r="D236" s="9" t="s">
        <v>1</v>
      </c>
      <c r="E236" t="s">
        <v>189</v>
      </c>
      <c r="F236" t="s">
        <v>1</v>
      </c>
      <c r="G236" t="s">
        <v>1</v>
      </c>
      <c r="H236" t="s">
        <v>66</v>
      </c>
      <c r="I236">
        <v>2</v>
      </c>
      <c r="J236" s="4">
        <v>7</v>
      </c>
      <c r="K236" s="4">
        <v>9.31</v>
      </c>
      <c r="L236" s="4">
        <f>K236-J236</f>
      </c>
      <c r="M236" s="4">
        <f>L236*16.67%</f>
      </c>
      <c r="N236" s="4">
        <f>(K236*6.9%)-(K236*6.9%)*10%</f>
      </c>
      <c r="O236" s="4">
        <f>K236*0.35%</f>
      </c>
      <c r="P236" s="4">
        <v>0.4</v>
      </c>
      <c r="Q236" s="4">
        <f>(N236+O236+P236)*20%</f>
      </c>
      <c r="R236" s="4">
        <f>N236+O236+P236+Q236</f>
      </c>
      <c r="S236" s="4">
        <v>0</v>
      </c>
      <c r="T236" s="4">
        <v>0</v>
      </c>
      <c r="U236" s="4">
        <v>0</v>
      </c>
      <c r="V236" s="4">
        <f>U236*20%</f>
      </c>
      <c r="W236" s="4">
        <v>0</v>
      </c>
      <c r="X236" s="4">
        <f>Q236+T236+V236</f>
      </c>
      <c r="Y236" s="4">
        <f>L236-M236-R236-S236-T236-U236-V236-W236</f>
      </c>
      <c r="Z236" s="4">
        <f>(Y236-AB236)/J236*100</f>
      </c>
      <c r="AA236" s="4">
        <f>M236-X236</f>
      </c>
      <c r="AC236" s="4">
        <f>Y236-AB236</f>
      </c>
      <c r="AH236" t="s">
        <v>1</v>
      </c>
    </row>
    <row r="237" spans="1:34" x14ac:dyDescent="0.25">
      <c r="A237" s="8">
        <v>46197.5</v>
      </c>
      <c r="B237" t="s">
        <v>1900</v>
      </c>
      <c r="C237" t="s">
        <v>177</v>
      </c>
      <c r="D237" s="9" t="s">
        <v>1</v>
      </c>
      <c r="E237" t="s">
        <v>177</v>
      </c>
      <c r="F237" t="s">
        <v>1</v>
      </c>
      <c r="G237" t="s">
        <v>1</v>
      </c>
      <c r="H237" t="s">
        <v>78</v>
      </c>
      <c r="I237">
        <v>4</v>
      </c>
      <c r="J237" s="4">
        <v>0.6</v>
      </c>
      <c r="K237" s="4">
        <v>0.71</v>
      </c>
      <c r="L237" s="4">
        <f>K237-J237</f>
      </c>
      <c r="M237" s="4">
        <f>L237*16.67%</f>
      </c>
      <c r="N237" s="4">
        <f>(K237*6.9%)-(K237*6.9%)*10%</f>
      </c>
      <c r="O237" s="4">
        <f>K237*0.35%</f>
      </c>
      <c r="P237" s="4">
        <v>0.4</v>
      </c>
      <c r="Q237" s="4">
        <f>(N237+O237+P237)*20%</f>
      </c>
      <c r="R237" s="4">
        <f>N237+O237+P237+Q237</f>
      </c>
      <c r="S237" s="4">
        <v>0</v>
      </c>
      <c r="T237" s="4">
        <v>0</v>
      </c>
      <c r="U237" s="4">
        <v>0</v>
      </c>
      <c r="V237" s="4">
        <f>U237*20%</f>
      </c>
      <c r="W237" s="4">
        <v>0</v>
      </c>
      <c r="X237" s="4">
        <f>Q237+T237+V237</f>
      </c>
      <c r="Y237" s="4">
        <f>L237-M237-R237-S237-T237-U237-V237-W237</f>
      </c>
      <c r="Z237" s="4">
        <f>(Y237-AB237)/J237*100</f>
      </c>
      <c r="AA237" s="4">
        <f>M237-X237</f>
      </c>
      <c r="AC237" s="4">
        <f>Y237-AB237</f>
      </c>
      <c r="AH237" t="s">
        <v>1</v>
      </c>
    </row>
    <row r="238" spans="1:34" x14ac:dyDescent="0.25">
      <c r="A238" s="8">
        <v>46197.5</v>
      </c>
      <c r="B238" t="s">
        <v>1901</v>
      </c>
      <c r="C238" t="s">
        <v>1</v>
      </c>
      <c r="D238" s="9" t="s">
        <v>1</v>
      </c>
      <c r="E238" t="s">
        <v>1</v>
      </c>
      <c r="F238" t="s">
        <v>1</v>
      </c>
      <c r="G238" t="s">
        <v>1</v>
      </c>
      <c r="H238" t="s">
        <v>66</v>
      </c>
      <c r="I238">
        <v>1</v>
      </c>
      <c r="J238" s="4">
        <v>701</v>
      </c>
      <c r="K238" s="4">
        <v>813.16</v>
      </c>
      <c r="L238" s="4">
        <f>K238-J238</f>
      </c>
      <c r="M238" s="4">
        <f>L238*16.67%</f>
      </c>
      <c r="N238" s="4">
        <f>(K238*6.9%)-(K238*6.9%)*10%</f>
      </c>
      <c r="O238" s="4">
        <f>K238*0.35%</f>
      </c>
      <c r="P238" s="4">
        <v>0.4</v>
      </c>
      <c r="Q238" s="4">
        <f>(N238+O238+P238)*20%</f>
      </c>
      <c r="R238" s="4">
        <f>N238+O238+P238+Q238</f>
      </c>
      <c r="S238" s="4">
        <v>0</v>
      </c>
      <c r="T238" s="4">
        <v>0</v>
      </c>
      <c r="U238" s="4">
        <v>0</v>
      </c>
      <c r="V238" s="4">
        <f>U238*20%</f>
      </c>
      <c r="W238" s="4">
        <v>1</v>
      </c>
      <c r="X238" s="4">
        <f>Q238+T238+V238</f>
      </c>
      <c r="Y238" s="4">
        <f>L238-M238-R238-S238-T238-U238-V238-W238</f>
      </c>
      <c r="Z238" s="4">
        <f>(Y238-AB238)/J238*100</f>
      </c>
      <c r="AA238" s="4">
        <f>M238-X238</f>
      </c>
      <c r="AC238" s="4">
        <f>Y238-AB238</f>
      </c>
      <c r="AH238" t="s">
        <v>1</v>
      </c>
    </row>
    <row r="239" spans="1:34" x14ac:dyDescent="0.25">
      <c r="A239" s="8">
        <v>46197.5</v>
      </c>
      <c r="B239" t="s">
        <v>1902</v>
      </c>
      <c r="C239" t="s">
        <v>1</v>
      </c>
      <c r="D239" s="9" t="s">
        <v>1</v>
      </c>
      <c r="E239" t="s">
        <v>1</v>
      </c>
      <c r="F239" t="s">
        <v>1</v>
      </c>
      <c r="G239" t="s">
        <v>1</v>
      </c>
      <c r="H239" t="s">
        <v>78</v>
      </c>
      <c r="I239">
        <v>1</v>
      </c>
      <c r="J239" s="4">
        <v>180</v>
      </c>
      <c r="K239" s="4">
        <v>212.4</v>
      </c>
      <c r="L239" s="4">
        <f>K239-J239</f>
      </c>
      <c r="M239" s="4">
        <f>L239*16.67%</f>
      </c>
      <c r="N239" s="4">
        <f>(K239*6.9%)-(K239*6.9%)*10%</f>
      </c>
      <c r="O239" s="4">
        <f>K239*0.35%</f>
      </c>
      <c r="P239" s="4">
        <v>0.4</v>
      </c>
      <c r="Q239" s="4">
        <f>(N239+O239+P239)*20%</f>
      </c>
      <c r="R239" s="4">
        <f>N239+O239+P239+Q239</f>
      </c>
      <c r="S239" s="4">
        <v>0</v>
      </c>
      <c r="T239" s="4">
        <v>0</v>
      </c>
      <c r="U239" s="4">
        <v>0</v>
      </c>
      <c r="V239" s="4">
        <f>U239*20%</f>
      </c>
      <c r="W239" s="4">
        <v>1</v>
      </c>
      <c r="X239" s="4">
        <f>Q239+T239+V239</f>
      </c>
      <c r="Y239" s="4">
        <f>L239-M239-R239-S239-T239-U239-V239-W239</f>
      </c>
      <c r="Z239" s="4">
        <f>(Y239-AB239)/J239*100</f>
      </c>
      <c r="AA239" s="4">
        <f>M239-X239</f>
      </c>
      <c r="AC239" s="4">
        <f>Y239-AB239</f>
      </c>
      <c r="AH239" t="s">
        <v>1</v>
      </c>
    </row>
    <row r="240" spans="1:34" x14ac:dyDescent="0.25">
      <c r="A240" s="8">
        <v>46196.5</v>
      </c>
      <c r="B240" t="s">
        <v>1903</v>
      </c>
      <c r="C240" t="s">
        <v>1</v>
      </c>
      <c r="D240" s="9" t="s">
        <v>1904</v>
      </c>
      <c r="E240" t="s">
        <v>98</v>
      </c>
      <c r="F240" t="s">
        <v>59</v>
      </c>
      <c r="G240" t="s">
        <v>65</v>
      </c>
      <c r="H240" t="s">
        <v>78</v>
      </c>
      <c r="I240">
        <v>1</v>
      </c>
      <c r="J240" s="4">
        <v>337</v>
      </c>
      <c r="K240" s="4">
        <v>471.8</v>
      </c>
      <c r="L240" s="4">
        <f>K240-J240</f>
      </c>
      <c r="M240" s="4">
        <f>L240*16.67%</f>
      </c>
      <c r="N240" s="4">
        <f>(K240*6.9%)-(K240*6.9%)*10%</f>
      </c>
      <c r="O240" s="4">
        <f>K240*0.35%</f>
      </c>
      <c r="P240" s="4">
        <v>0.4</v>
      </c>
      <c r="Q240" s="4">
        <f>(N240+O240+P240)*20%</f>
      </c>
      <c r="R240" s="4">
        <f>N240+O240+P240+Q240</f>
      </c>
      <c r="S240" s="4">
        <v>0</v>
      </c>
      <c r="T240" s="4">
        <v>0</v>
      </c>
      <c r="U240" s="4">
        <v>0</v>
      </c>
      <c r="V240" s="4">
        <f>U240*20%</f>
      </c>
      <c r="W240" s="4">
        <v>1</v>
      </c>
      <c r="X240" s="4">
        <f>Q240+T240+V240</f>
      </c>
      <c r="Y240" s="4">
        <f>L240-M240-R240-S240-T240-U240-V240-W240</f>
      </c>
      <c r="Z240" s="4">
        <f>(Y240-AB240)/J240*100</f>
      </c>
      <c r="AA240" s="4">
        <f>M240-X240</f>
      </c>
      <c r="AC240" s="4">
        <f>Y240-AB240</f>
      </c>
      <c r="AH240" t="s">
        <v>1</v>
      </c>
    </row>
    <row r="241" spans="1:34" x14ac:dyDescent="0.25">
      <c r="A241" s="8">
        <v>46196.5</v>
      </c>
      <c r="B241" t="s">
        <v>1905</v>
      </c>
      <c r="C241" t="s">
        <v>1</v>
      </c>
      <c r="D241" s="9" t="s">
        <v>1906</v>
      </c>
      <c r="E241" t="s">
        <v>114</v>
      </c>
      <c r="F241" t="s">
        <v>85</v>
      </c>
      <c r="G241" t="s">
        <v>60</v>
      </c>
      <c r="H241" t="s">
        <v>61</v>
      </c>
      <c r="I241">
        <v>1</v>
      </c>
      <c r="J241" s="4">
        <v>201</v>
      </c>
      <c r="K241" s="4">
        <v>283.41</v>
      </c>
      <c r="L241" s="4">
        <f>K241-J241</f>
      </c>
      <c r="M241" s="4">
        <f>L241*16.67%</f>
      </c>
      <c r="N241" s="4">
        <f>(K241*6.9%)-(K241*6.9%)*10%</f>
      </c>
      <c r="O241" s="4">
        <f>K241*0.35%</f>
      </c>
      <c r="P241" s="4">
        <v>0.4</v>
      </c>
      <c r="Q241" s="4">
        <f>(N241+O241+P241)*20%</f>
      </c>
      <c r="R241" s="4">
        <f>N241+O241+P241+Q241</f>
      </c>
      <c r="S241" s="4">
        <v>0</v>
      </c>
      <c r="T241" s="4">
        <v>0</v>
      </c>
      <c r="U241" s="4">
        <v>0</v>
      </c>
      <c r="V241" s="4">
        <f>U241*20%</f>
      </c>
      <c r="W241" s="4">
        <v>1</v>
      </c>
      <c r="X241" s="4">
        <f>Q241+T241+V241</f>
      </c>
      <c r="Y241" s="4">
        <f>L241-M241-R241-S241-T241-U241-V241-W241</f>
      </c>
      <c r="Z241" s="4">
        <f>(Y241-AB241)/J241*100</f>
      </c>
      <c r="AA241" s="4">
        <f>M241-X241</f>
      </c>
      <c r="AC241" s="4">
        <f>Y241-AB241</f>
      </c>
      <c r="AH241" t="s">
        <v>1</v>
      </c>
    </row>
    <row r="242" spans="1:34" x14ac:dyDescent="0.25">
      <c r="A242" s="8">
        <v>46196.5</v>
      </c>
      <c r="B242" t="s">
        <v>1907</v>
      </c>
      <c r="C242" t="s">
        <v>1</v>
      </c>
      <c r="D242" s="9" t="s">
        <v>1908</v>
      </c>
      <c r="E242" t="s">
        <v>94</v>
      </c>
      <c r="F242" t="s">
        <v>70</v>
      </c>
      <c r="G242" t="s">
        <v>95</v>
      </c>
      <c r="H242" t="s">
        <v>78</v>
      </c>
      <c r="I242">
        <v>1</v>
      </c>
      <c r="J242" s="4">
        <v>64</v>
      </c>
      <c r="K242" s="4">
        <v>83.2</v>
      </c>
      <c r="L242" s="4">
        <f>K242-J242</f>
      </c>
      <c r="M242" s="4">
        <f>L242*16.67%</f>
      </c>
      <c r="N242" s="4">
        <f>(K242*6.9%)-(K242*6.9%)*10%</f>
      </c>
      <c r="O242" s="4">
        <f>K242*0.35%</f>
      </c>
      <c r="P242" s="4">
        <v>0.4</v>
      </c>
      <c r="Q242" s="4">
        <f>(N242+O242+P242)*20%</f>
      </c>
      <c r="R242" s="4">
        <f>N242+O242+P242+Q242</f>
      </c>
      <c r="S242" s="4">
        <v>0</v>
      </c>
      <c r="T242" s="4">
        <v>0</v>
      </c>
      <c r="U242" s="4">
        <v>0</v>
      </c>
      <c r="V242" s="4">
        <f>U242*20%</f>
      </c>
      <c r="W242" s="4">
        <v>1</v>
      </c>
      <c r="X242" s="4">
        <f>Q242+T242+V242</f>
      </c>
      <c r="Y242" s="4">
        <f>L242-M242-R242-S242-T242-U242-V242-W242</f>
      </c>
      <c r="Z242" s="4">
        <f>(Y242-AB242)/J242*100</f>
      </c>
      <c r="AA242" s="4">
        <f>M242-X242</f>
      </c>
      <c r="AC242" s="4">
        <f>Y242-AB242</f>
      </c>
      <c r="AH242" t="s">
        <v>1</v>
      </c>
    </row>
    <row r="243" spans="1:34" x14ac:dyDescent="0.25">
      <c r="A243" s="8">
        <v>46196.5</v>
      </c>
      <c r="B243" t="s">
        <v>1909</v>
      </c>
      <c r="C243" t="s">
        <v>189</v>
      </c>
      <c r="D243" s="9" t="s">
        <v>1</v>
      </c>
      <c r="E243" t="s">
        <v>189</v>
      </c>
      <c r="F243" t="s">
        <v>1</v>
      </c>
      <c r="G243" t="s">
        <v>1</v>
      </c>
      <c r="H243" t="s">
        <v>66</v>
      </c>
      <c r="I243">
        <v>1</v>
      </c>
      <c r="J243" s="4">
        <v>3.5</v>
      </c>
      <c r="K243" s="4">
        <v>4.87</v>
      </c>
      <c r="L243" s="4">
        <f>K243-J243</f>
      </c>
      <c r="M243" s="4">
        <f>L243*16.67%</f>
      </c>
      <c r="N243" s="4">
        <f>(K243*6.9%)-(K243*6.9%)*10%</f>
      </c>
      <c r="O243" s="4">
        <f>K243*0.35%</f>
      </c>
      <c r="P243" s="4">
        <v>0.4</v>
      </c>
      <c r="Q243" s="4">
        <f>(N243+O243+P243)*20%</f>
      </c>
      <c r="R243" s="4">
        <f>N243+O243+P243+Q243</f>
      </c>
      <c r="S243" s="4">
        <v>0</v>
      </c>
      <c r="T243" s="4">
        <v>0</v>
      </c>
      <c r="U243" s="4">
        <v>0</v>
      </c>
      <c r="V243" s="4">
        <f>U243*20%</f>
      </c>
      <c r="W243" s="4">
        <v>0</v>
      </c>
      <c r="X243" s="4">
        <f>Q243+T243+V243</f>
      </c>
      <c r="Y243" s="4">
        <f>L243-M243-R243-S243-T243-U243-V243-W243</f>
      </c>
      <c r="Z243" s="4">
        <f>(Y243-AB243)/J243*100</f>
      </c>
      <c r="AA243" s="4">
        <f>M243-X243</f>
      </c>
      <c r="AC243" s="4">
        <f>Y243-AB243</f>
      </c>
      <c r="AH243" t="s">
        <v>1</v>
      </c>
    </row>
    <row r="244" spans="1:34" x14ac:dyDescent="0.25">
      <c r="A244" s="8">
        <v>46196.5</v>
      </c>
      <c r="B244" t="s">
        <v>1910</v>
      </c>
      <c r="C244" t="s">
        <v>254</v>
      </c>
      <c r="D244" s="9" t="s">
        <v>1</v>
      </c>
      <c r="E244" t="s">
        <v>254</v>
      </c>
      <c r="F244" t="s">
        <v>1</v>
      </c>
      <c r="G244" t="s">
        <v>1</v>
      </c>
      <c r="H244" t="s">
        <v>61</v>
      </c>
      <c r="I244">
        <v>2</v>
      </c>
      <c r="J244" s="4">
        <v>1.6</v>
      </c>
      <c r="K244" s="4">
        <v>2.14</v>
      </c>
      <c r="L244" s="4">
        <f>K244-J244</f>
      </c>
      <c r="M244" s="4">
        <f>L244*16.67%</f>
      </c>
      <c r="N244" s="4">
        <f>(K244*6.9%)-(K244*6.9%)*10%</f>
      </c>
      <c r="O244" s="4">
        <f>K244*0.35%</f>
      </c>
      <c r="P244" s="4">
        <v>0.4</v>
      </c>
      <c r="Q244" s="4">
        <f>(N244+O244+P244)*20%</f>
      </c>
      <c r="R244" s="4">
        <f>N244+O244+P244+Q244</f>
      </c>
      <c r="S244" s="4">
        <v>0</v>
      </c>
      <c r="T244" s="4">
        <v>0</v>
      </c>
      <c r="U244" s="4">
        <v>0</v>
      </c>
      <c r="V244" s="4">
        <f>U244*20%</f>
      </c>
      <c r="W244" s="4">
        <v>0</v>
      </c>
      <c r="X244" s="4">
        <f>Q244+T244+V244</f>
      </c>
      <c r="Y244" s="4">
        <f>L244-M244-R244-S244-T244-U244-V244-W244</f>
      </c>
      <c r="Z244" s="4">
        <f>(Y244-AB244)/J244*100</f>
      </c>
      <c r="AA244" s="4">
        <f>M244-X244</f>
      </c>
      <c r="AC244" s="4">
        <f>Y244-AB244</f>
      </c>
      <c r="AH244" t="s">
        <v>1</v>
      </c>
    </row>
    <row r="245" spans="1:34" x14ac:dyDescent="0.25">
      <c r="A245" s="8">
        <v>46195.5</v>
      </c>
      <c r="B245" t="s">
        <v>1911</v>
      </c>
      <c r="C245" t="s">
        <v>1</v>
      </c>
      <c r="D245" s="9" t="s">
        <v>1912</v>
      </c>
      <c r="E245" t="s">
        <v>131</v>
      </c>
      <c r="F245" t="s">
        <v>74</v>
      </c>
      <c r="G245" t="s">
        <v>60</v>
      </c>
      <c r="H245" t="s">
        <v>61</v>
      </c>
      <c r="I245">
        <v>1</v>
      </c>
      <c r="J245" s="4">
        <v>265</v>
      </c>
      <c r="K245" s="4">
        <v>365.7</v>
      </c>
      <c r="L245" s="4">
        <f>K245-J245</f>
      </c>
      <c r="M245" s="4">
        <f>L245*16.67%</f>
      </c>
      <c r="N245" s="4">
        <f>(K245*6.9%)-(K245*6.9%)*10%</f>
      </c>
      <c r="O245" s="4">
        <f>K245*0.35%</f>
      </c>
      <c r="P245" s="4">
        <v>0.4</v>
      </c>
      <c r="Q245" s="4">
        <f>(N245+O245+P245)*20%</f>
      </c>
      <c r="R245" s="4">
        <f>N245+O245+P245+Q245</f>
      </c>
      <c r="S245" s="4">
        <v>0</v>
      </c>
      <c r="T245" s="4">
        <v>0</v>
      </c>
      <c r="U245" s="4">
        <v>0</v>
      </c>
      <c r="V245" s="4">
        <f>U245*20%</f>
      </c>
      <c r="W245" s="4">
        <v>1</v>
      </c>
      <c r="X245" s="4">
        <f>Q245+T245+V245</f>
      </c>
      <c r="Y245" s="4">
        <f>L245-M245-R245-S245-T245-U245-V245-W245</f>
      </c>
      <c r="Z245" s="4">
        <f>(Y245-AB245)/J245*100</f>
      </c>
      <c r="AA245" s="4">
        <f>M245-X245</f>
      </c>
      <c r="AC245" s="4">
        <f>Y245-AB245</f>
      </c>
      <c r="AH245" t="s">
        <v>1</v>
      </c>
    </row>
    <row r="246" spans="1:34" x14ac:dyDescent="0.25">
      <c r="A246" s="8">
        <v>46195.5</v>
      </c>
      <c r="B246" t="s">
        <v>1913</v>
      </c>
      <c r="C246" t="s">
        <v>1</v>
      </c>
      <c r="D246" s="9" t="s">
        <v>1914</v>
      </c>
      <c r="E246" t="s">
        <v>125</v>
      </c>
      <c r="F246" t="s">
        <v>59</v>
      </c>
      <c r="G246" t="s">
        <v>126</v>
      </c>
      <c r="H246" t="s">
        <v>61</v>
      </c>
      <c r="I246">
        <v>1</v>
      </c>
      <c r="J246" s="4">
        <v>225</v>
      </c>
      <c r="K246" s="4">
        <v>288</v>
      </c>
      <c r="L246" s="4">
        <f>K246-J246</f>
      </c>
      <c r="M246" s="4">
        <f>L246*16.67%</f>
      </c>
      <c r="N246" s="4">
        <f>(K246*6.9%)-(K246*6.9%)*10%</f>
      </c>
      <c r="O246" s="4">
        <f>K246*0.35%</f>
      </c>
      <c r="P246" s="4">
        <v>0.4</v>
      </c>
      <c r="Q246" s="4">
        <f>(N246+O246+P246)*20%</f>
      </c>
      <c r="R246" s="4">
        <f>N246+O246+P246+Q246</f>
      </c>
      <c r="S246" s="4">
        <v>0</v>
      </c>
      <c r="T246" s="4">
        <v>0</v>
      </c>
      <c r="U246" s="4">
        <v>0</v>
      </c>
      <c r="V246" s="4">
        <f>U246*20%</f>
      </c>
      <c r="W246" s="4">
        <v>1</v>
      </c>
      <c r="X246" s="4">
        <f>Q246+T246+V246</f>
      </c>
      <c r="Y246" s="4">
        <f>L246-M246-R246-S246-T246-U246-V246-W246</f>
      </c>
      <c r="Z246" s="4">
        <f>(Y246-AB246)/J246*100</f>
      </c>
      <c r="AA246" s="4">
        <f>M246-X246</f>
      </c>
      <c r="AC246" s="4">
        <f>Y246-AB246</f>
      </c>
      <c r="AH246" t="s">
        <v>1</v>
      </c>
    </row>
    <row r="247" spans="1:34" x14ac:dyDescent="0.25">
      <c r="A247" s="8">
        <v>46195.5</v>
      </c>
      <c r="B247" t="s">
        <v>1915</v>
      </c>
      <c r="C247" t="s">
        <v>1</v>
      </c>
      <c r="D247" s="9" t="s">
        <v>1</v>
      </c>
      <c r="E247" t="s">
        <v>1</v>
      </c>
      <c r="F247" t="s">
        <v>1</v>
      </c>
      <c r="G247" t="s">
        <v>1</v>
      </c>
      <c r="H247" t="s">
        <v>75</v>
      </c>
      <c r="I247">
        <v>1</v>
      </c>
      <c r="J247" s="4">
        <v>305</v>
      </c>
      <c r="K247" s="4">
        <v>399.55</v>
      </c>
      <c r="L247" s="4">
        <f>K247-J247</f>
      </c>
      <c r="M247" s="4">
        <f>L247*16.67%</f>
      </c>
      <c r="N247" s="4">
        <f>(K247*6.9%)-(K247*6.9%)*10%</f>
      </c>
      <c r="O247" s="4">
        <f>K247*0.35%</f>
      </c>
      <c r="P247" s="4">
        <v>0.4</v>
      </c>
      <c r="Q247" s="4">
        <f>(N247+O247+P247)*20%</f>
      </c>
      <c r="R247" s="4">
        <f>N247+O247+P247+Q247</f>
      </c>
      <c r="S247" s="4">
        <v>0</v>
      </c>
      <c r="T247" s="4">
        <v>0</v>
      </c>
      <c r="U247" s="4">
        <v>0</v>
      </c>
      <c r="V247" s="4">
        <f>U247*20%</f>
      </c>
      <c r="W247" s="4">
        <v>1</v>
      </c>
      <c r="X247" s="4">
        <f>Q247+T247+V247</f>
      </c>
      <c r="Y247" s="4">
        <f>L247-M247-R247-S247-T247-U247-V247-W247</f>
      </c>
      <c r="Z247" s="4">
        <f>(Y247-AB247)/J247*100</f>
      </c>
      <c r="AA247" s="4">
        <f>M247-X247</f>
      </c>
      <c r="AC247" s="4">
        <f>Y247-AB247</f>
      </c>
      <c r="AH247" t="s">
        <v>1</v>
      </c>
    </row>
    <row r="248" spans="1:34" x14ac:dyDescent="0.25">
      <c r="A248" s="8">
        <v>46194.5</v>
      </c>
      <c r="B248" t="s">
        <v>1916</v>
      </c>
      <c r="C248" t="s">
        <v>1</v>
      </c>
      <c r="D248" s="9" t="s">
        <v>1917</v>
      </c>
      <c r="E248" t="s">
        <v>69</v>
      </c>
      <c r="F248" t="s">
        <v>105</v>
      </c>
      <c r="G248" t="s">
        <v>60</v>
      </c>
      <c r="H248" t="s">
        <v>61</v>
      </c>
      <c r="I248">
        <v>1</v>
      </c>
      <c r="J248" s="4">
        <v>495</v>
      </c>
      <c r="K248" s="4">
        <v>707.85</v>
      </c>
      <c r="L248" s="4">
        <f>K248-J248</f>
      </c>
      <c r="M248" s="4">
        <f>L248*16.67%</f>
      </c>
      <c r="N248" s="4">
        <f>(K248*6.9%)-(K248*6.9%)*10%</f>
      </c>
      <c r="O248" s="4">
        <f>K248*0.35%</f>
      </c>
      <c r="P248" s="4">
        <v>0.4</v>
      </c>
      <c r="Q248" s="4">
        <f>(N248+O248+P248)*20%</f>
      </c>
      <c r="R248" s="4">
        <f>N248+O248+P248+Q248</f>
      </c>
      <c r="S248" s="4">
        <v>0</v>
      </c>
      <c r="T248" s="4">
        <v>0</v>
      </c>
      <c r="U248" s="4">
        <v>0</v>
      </c>
      <c r="V248" s="4">
        <f>U248*20%</f>
      </c>
      <c r="W248" s="4">
        <v>1</v>
      </c>
      <c r="X248" s="4">
        <f>Q248+T248+V248</f>
      </c>
      <c r="Y248" s="4">
        <f>L248-M248-R248-S248-T248-U248-V248-W248</f>
      </c>
      <c r="Z248" s="4">
        <f>(Y248-AB248)/J248*100</f>
      </c>
      <c r="AA248" s="4">
        <f>M248-X248</f>
      </c>
      <c r="AC248" s="4">
        <f>Y248-AB248</f>
      </c>
      <c r="AH248" t="s">
        <v>1</v>
      </c>
    </row>
    <row r="249" spans="1:34" x14ac:dyDescent="0.25">
      <c r="A249" s="8">
        <v>46194.5</v>
      </c>
      <c r="B249" t="s">
        <v>1918</v>
      </c>
      <c r="C249" t="s">
        <v>1</v>
      </c>
      <c r="D249" s="9" t="s">
        <v>1919</v>
      </c>
      <c r="E249" t="s">
        <v>58</v>
      </c>
      <c r="F249" t="s">
        <v>99</v>
      </c>
      <c r="G249" t="s">
        <v>60</v>
      </c>
      <c r="H249" t="s">
        <v>78</v>
      </c>
      <c r="I249">
        <v>1</v>
      </c>
      <c r="J249" s="4">
        <v>456</v>
      </c>
      <c r="K249" s="4">
        <v>533.52</v>
      </c>
      <c r="L249" s="4">
        <f>K249-J249</f>
      </c>
      <c r="M249" s="4">
        <f>L249*16.67%</f>
      </c>
      <c r="N249" s="4">
        <f>(K249*6.9%)-(K249*6.9%)*10%</f>
      </c>
      <c r="O249" s="4">
        <f>K249*0.35%</f>
      </c>
      <c r="P249" s="4">
        <v>0.4</v>
      </c>
      <c r="Q249" s="4">
        <f>(N249+O249+P249)*20%</f>
      </c>
      <c r="R249" s="4">
        <f>N249+O249+P249+Q249</f>
      </c>
      <c r="S249" s="4">
        <v>0</v>
      </c>
      <c r="T249" s="4">
        <v>0</v>
      </c>
      <c r="U249" s="4">
        <v>0</v>
      </c>
      <c r="V249" s="4">
        <f>U249*20%</f>
      </c>
      <c r="W249" s="4">
        <v>1</v>
      </c>
      <c r="X249" s="4">
        <f>Q249+T249+V249</f>
      </c>
      <c r="Y249" s="4">
        <f>L249-M249-R249-S249-T249-U249-V249-W249</f>
      </c>
      <c r="Z249" s="4">
        <f>(Y249-AB249)/J249*100</f>
      </c>
      <c r="AA249" s="4">
        <f>M249-X249</f>
      </c>
      <c r="AC249" s="4">
        <f>Y249-AB249</f>
      </c>
      <c r="AH249" t="s">
        <v>1</v>
      </c>
    </row>
    <row r="250" spans="1:34" x14ac:dyDescent="0.25">
      <c r="A250" s="8">
        <v>46194.5</v>
      </c>
      <c r="B250" t="s">
        <v>1920</v>
      </c>
      <c r="C250" t="s">
        <v>1</v>
      </c>
      <c r="D250" s="9" t="s">
        <v>1921</v>
      </c>
      <c r="E250" t="s">
        <v>94</v>
      </c>
      <c r="F250" t="s">
        <v>88</v>
      </c>
      <c r="G250" t="s">
        <v>95</v>
      </c>
      <c r="H250" t="s">
        <v>102</v>
      </c>
      <c r="I250">
        <v>1</v>
      </c>
      <c r="J250" s="4">
        <v>61</v>
      </c>
      <c r="K250" s="4">
        <v>87.23</v>
      </c>
      <c r="L250" s="4">
        <f>K250-J250</f>
      </c>
      <c r="M250" s="4">
        <f>L250*16.67%</f>
      </c>
      <c r="N250" s="4">
        <f>(K250*6.9%)-(K250*6.9%)*10%</f>
      </c>
      <c r="O250" s="4">
        <f>K250*0.35%</f>
      </c>
      <c r="P250" s="4">
        <v>0.4</v>
      </c>
      <c r="Q250" s="4">
        <f>(N250+O250+P250)*20%</f>
      </c>
      <c r="R250" s="4">
        <f>N250+O250+P250+Q250</f>
      </c>
      <c r="S250" s="4">
        <v>0</v>
      </c>
      <c r="T250" s="4">
        <v>0</v>
      </c>
      <c r="U250" s="4">
        <v>0</v>
      </c>
      <c r="V250" s="4">
        <f>U250*20%</f>
      </c>
      <c r="W250" s="4">
        <v>1</v>
      </c>
      <c r="X250" s="4">
        <f>Q250+T250+V250</f>
      </c>
      <c r="Y250" s="4">
        <f>L250-M250-R250-S250-T250-U250-V250-W250</f>
      </c>
      <c r="Z250" s="4">
        <f>(Y250-AB250)/J250*100</f>
      </c>
      <c r="AA250" s="4">
        <f>M250-X250</f>
      </c>
      <c r="AC250" s="4">
        <f>Y250-AB250</f>
      </c>
      <c r="AH250" t="s">
        <v>1</v>
      </c>
    </row>
    <row r="251" spans="1:34" x14ac:dyDescent="0.25">
      <c r="A251" s="8">
        <v>46193.5</v>
      </c>
      <c r="B251" t="s">
        <v>1922</v>
      </c>
      <c r="C251" t="s">
        <v>1</v>
      </c>
      <c r="D251" s="9" t="s">
        <v>1923</v>
      </c>
      <c r="E251" t="s">
        <v>234</v>
      </c>
      <c r="F251" t="s">
        <v>88</v>
      </c>
      <c r="G251" t="s">
        <v>65</v>
      </c>
      <c r="H251" t="s">
        <v>78</v>
      </c>
      <c r="I251">
        <v>1</v>
      </c>
      <c r="J251" s="4">
        <v>187</v>
      </c>
      <c r="K251" s="4">
        <v>224.4</v>
      </c>
      <c r="L251" s="4">
        <f>K251-J251</f>
      </c>
      <c r="M251" s="4">
        <f>L251*16.67%</f>
      </c>
      <c r="N251" s="4">
        <f>(K251*6.9%)-(K251*6.9%)*10%</f>
      </c>
      <c r="O251" s="4">
        <f>K251*0.35%</f>
      </c>
      <c r="P251" s="4">
        <v>0.4</v>
      </c>
      <c r="Q251" s="4">
        <f>(N251+O251+P251)*20%</f>
      </c>
      <c r="R251" s="4">
        <f>N251+O251+P251+Q251</f>
      </c>
      <c r="S251" s="4">
        <v>0</v>
      </c>
      <c r="T251" s="4">
        <v>0</v>
      </c>
      <c r="U251" s="4">
        <v>0</v>
      </c>
      <c r="V251" s="4">
        <f>U251*20%</f>
      </c>
      <c r="W251" s="4">
        <v>1</v>
      </c>
      <c r="X251" s="4">
        <f>Q251+T251+V251</f>
      </c>
      <c r="Y251" s="4">
        <f>L251-M251-R251-S251-T251-U251-V251-W251</f>
      </c>
      <c r="Z251" s="4">
        <f>(Y251-AB251)/J251*100</f>
      </c>
      <c r="AA251" s="4">
        <f>M251-X251</f>
      </c>
      <c r="AC251" s="4">
        <f>Y251-AB251</f>
      </c>
      <c r="AH251" t="s">
        <v>1</v>
      </c>
    </row>
    <row r="252" spans="1:34" x14ac:dyDescent="0.25">
      <c r="A252" s="8">
        <v>46193.5</v>
      </c>
      <c r="B252" t="s">
        <v>1924</v>
      </c>
      <c r="C252" t="s">
        <v>1</v>
      </c>
      <c r="D252" s="9" t="s">
        <v>1925</v>
      </c>
      <c r="E252" t="s">
        <v>84</v>
      </c>
      <c r="F252" t="s">
        <v>88</v>
      </c>
      <c r="G252" t="s">
        <v>60</v>
      </c>
      <c r="H252" t="s">
        <v>78</v>
      </c>
      <c r="I252">
        <v>1</v>
      </c>
      <c r="J252" s="4">
        <v>677</v>
      </c>
      <c r="K252" s="4">
        <v>866.56</v>
      </c>
      <c r="L252" s="4">
        <f>K252-J252</f>
      </c>
      <c r="M252" s="4">
        <f>L252*16.67%</f>
      </c>
      <c r="N252" s="4">
        <f>(K252*6.9%)-(K252*6.9%)*10%</f>
      </c>
      <c r="O252" s="4">
        <f>K252*0.35%</f>
      </c>
      <c r="P252" s="4">
        <v>0.4</v>
      </c>
      <c r="Q252" s="4">
        <f>(N252+O252+P252)*20%</f>
      </c>
      <c r="R252" s="4">
        <f>N252+O252+P252+Q252</f>
      </c>
      <c r="S252" s="4">
        <v>0</v>
      </c>
      <c r="T252" s="4">
        <v>0</v>
      </c>
      <c r="U252" s="4">
        <v>0</v>
      </c>
      <c r="V252" s="4">
        <f>U252*20%</f>
      </c>
      <c r="W252" s="4">
        <v>1</v>
      </c>
      <c r="X252" s="4">
        <f>Q252+T252+V252</f>
      </c>
      <c r="Y252" s="4">
        <f>L252-M252-R252-S252-T252-U252-V252-W252</f>
      </c>
      <c r="Z252" s="4">
        <f>(Y252-AB252)/J252*100</f>
      </c>
      <c r="AA252" s="4">
        <f>M252-X252</f>
      </c>
      <c r="AC252" s="4">
        <f>Y252-AB252</f>
      </c>
      <c r="AH252" t="s">
        <v>1</v>
      </c>
    </row>
    <row r="253" spans="1:34" x14ac:dyDescent="0.25">
      <c r="A253" s="8">
        <v>46193.5</v>
      </c>
      <c r="B253" t="s">
        <v>1926</v>
      </c>
      <c r="C253" t="s">
        <v>177</v>
      </c>
      <c r="D253" s="9" t="s">
        <v>1</v>
      </c>
      <c r="E253" t="s">
        <v>177</v>
      </c>
      <c r="F253" t="s">
        <v>1</v>
      </c>
      <c r="G253" t="s">
        <v>1</v>
      </c>
      <c r="H253" t="s">
        <v>78</v>
      </c>
      <c r="I253">
        <v>3</v>
      </c>
      <c r="J253" s="4">
        <v>0.45</v>
      </c>
      <c r="K253" s="4">
        <v>0.54</v>
      </c>
      <c r="L253" s="4">
        <f>K253-J253</f>
      </c>
      <c r="M253" s="4">
        <f>L253*16.67%</f>
      </c>
      <c r="N253" s="4">
        <f>(K253*6.9%)-(K253*6.9%)*10%</f>
      </c>
      <c r="O253" s="4">
        <f>K253*0.35%</f>
      </c>
      <c r="P253" s="4">
        <v>0.4</v>
      </c>
      <c r="Q253" s="4">
        <f>(N253+O253+P253)*20%</f>
      </c>
      <c r="R253" s="4">
        <f>N253+O253+P253+Q253</f>
      </c>
      <c r="S253" s="4">
        <v>0</v>
      </c>
      <c r="T253" s="4">
        <v>0</v>
      </c>
      <c r="U253" s="4">
        <v>0</v>
      </c>
      <c r="V253" s="4">
        <f>U253*20%</f>
      </c>
      <c r="W253" s="4">
        <v>0</v>
      </c>
      <c r="X253" s="4">
        <f>Q253+T253+V253</f>
      </c>
      <c r="Y253" s="4">
        <f>L253-M253-R253-S253-T253-U253-V253-W253</f>
      </c>
      <c r="Z253" s="4">
        <f>(Y253-AB253)/J253*100</f>
      </c>
      <c r="AA253" s="4">
        <f>M253-X253</f>
      </c>
      <c r="AC253" s="4">
        <f>Y253-AB253</f>
      </c>
      <c r="AH253" t="s">
        <v>1</v>
      </c>
    </row>
    <row r="254" spans="1:34" x14ac:dyDescent="0.25">
      <c r="A254" s="8">
        <v>46193.5</v>
      </c>
      <c r="B254" t="s">
        <v>1927</v>
      </c>
      <c r="C254" t="s">
        <v>185</v>
      </c>
      <c r="D254" s="9" t="s">
        <v>1</v>
      </c>
      <c r="E254" t="s">
        <v>185</v>
      </c>
      <c r="F254" t="s">
        <v>1</v>
      </c>
      <c r="G254" t="s">
        <v>1</v>
      </c>
      <c r="H254" t="s">
        <v>102</v>
      </c>
      <c r="I254">
        <v>2</v>
      </c>
      <c r="J254" s="4">
        <v>2.4</v>
      </c>
      <c r="K254" s="4">
        <v>2.86</v>
      </c>
      <c r="L254" s="4">
        <f>K254-J254</f>
      </c>
      <c r="M254" s="4">
        <f>L254*16.67%</f>
      </c>
      <c r="N254" s="4">
        <f>(K254*6.9%)-(K254*6.9%)*10%</f>
      </c>
      <c r="O254" s="4">
        <f>K254*0.35%</f>
      </c>
      <c r="P254" s="4">
        <v>0.4</v>
      </c>
      <c r="Q254" s="4">
        <f>(N254+O254+P254)*20%</f>
      </c>
      <c r="R254" s="4">
        <f>N254+O254+P254+Q254</f>
      </c>
      <c r="S254" s="4">
        <v>0</v>
      </c>
      <c r="T254" s="4">
        <v>0</v>
      </c>
      <c r="U254" s="4">
        <v>0</v>
      </c>
      <c r="V254" s="4">
        <f>U254*20%</f>
      </c>
      <c r="W254" s="4">
        <v>0</v>
      </c>
      <c r="X254" s="4">
        <f>Q254+T254+V254</f>
      </c>
      <c r="Y254" s="4">
        <f>L254-M254-R254-S254-T254-U254-V254-W254</f>
      </c>
      <c r="Z254" s="4">
        <f>(Y254-AB254)/J254*100</f>
      </c>
      <c r="AA254" s="4">
        <f>M254-X254</f>
      </c>
      <c r="AC254" s="4">
        <f>Y254-AB254</f>
      </c>
      <c r="AH254" t="s">
        <v>1</v>
      </c>
    </row>
    <row r="255" spans="1:34" x14ac:dyDescent="0.25">
      <c r="A255" s="8">
        <v>46192.5</v>
      </c>
      <c r="B255" t="s">
        <v>1928</v>
      </c>
      <c r="C255" t="s">
        <v>1</v>
      </c>
      <c r="D255" s="9" t="s">
        <v>1929</v>
      </c>
      <c r="E255" t="s">
        <v>64</v>
      </c>
      <c r="F255" t="s">
        <v>105</v>
      </c>
      <c r="G255" t="s">
        <v>65</v>
      </c>
      <c r="H255" t="s">
        <v>75</v>
      </c>
      <c r="I255">
        <v>1</v>
      </c>
      <c r="J255" s="4">
        <v>229</v>
      </c>
      <c r="K255" s="4">
        <v>325.18</v>
      </c>
      <c r="L255" s="4">
        <f>K255-J255</f>
      </c>
      <c r="M255" s="4">
        <f>L255*16.67%</f>
      </c>
      <c r="N255" s="4">
        <f>(K255*6.9%)-(K255*6.9%)*10%</f>
      </c>
      <c r="O255" s="4">
        <f>K255*0.35%</f>
      </c>
      <c r="P255" s="4">
        <v>0.4</v>
      </c>
      <c r="Q255" s="4">
        <f>(N255+O255+P255)*20%</f>
      </c>
      <c r="R255" s="4">
        <f>N255+O255+P255+Q255</f>
      </c>
      <c r="S255" s="4">
        <v>0</v>
      </c>
      <c r="T255" s="4">
        <v>0</v>
      </c>
      <c r="U255" s="4">
        <v>0</v>
      </c>
      <c r="V255" s="4">
        <f>U255*20%</f>
      </c>
      <c r="W255" s="4">
        <v>1</v>
      </c>
      <c r="X255" s="4">
        <f>Q255+T255+V255</f>
      </c>
      <c r="Y255" s="4">
        <f>L255-M255-R255-S255-T255-U255-V255-W255</f>
      </c>
      <c r="Z255" s="4">
        <f>(Y255-AB255)/J255*100</f>
      </c>
      <c r="AA255" s="4">
        <f>M255-X255</f>
      </c>
      <c r="AC255" s="4">
        <f>Y255-AB255</f>
      </c>
      <c r="AH255" t="s">
        <v>1</v>
      </c>
    </row>
    <row r="256" spans="1:34" x14ac:dyDescent="0.25">
      <c r="A256" s="8">
        <v>46192.5</v>
      </c>
      <c r="B256" t="s">
        <v>1930</v>
      </c>
      <c r="C256" t="s">
        <v>1</v>
      </c>
      <c r="D256" s="9" t="s">
        <v>1931</v>
      </c>
      <c r="E256" t="s">
        <v>125</v>
      </c>
      <c r="F256" t="s">
        <v>70</v>
      </c>
      <c r="G256" t="s">
        <v>126</v>
      </c>
      <c r="H256" t="s">
        <v>75</v>
      </c>
      <c r="I256">
        <v>1</v>
      </c>
      <c r="J256" s="4">
        <v>241</v>
      </c>
      <c r="K256" s="4">
        <v>284.38</v>
      </c>
      <c r="L256" s="4">
        <f>K256-J256</f>
      </c>
      <c r="M256" s="4">
        <f>L256*16.67%</f>
      </c>
      <c r="N256" s="4">
        <f>(K256*6.9%)-(K256*6.9%)*10%</f>
      </c>
      <c r="O256" s="4">
        <f>K256*0.35%</f>
      </c>
      <c r="P256" s="4">
        <v>0.4</v>
      </c>
      <c r="Q256" s="4">
        <f>(N256+O256+P256)*20%</f>
      </c>
      <c r="R256" s="4">
        <f>N256+O256+P256+Q256</f>
      </c>
      <c r="S256" s="4">
        <v>0</v>
      </c>
      <c r="T256" s="4">
        <v>0</v>
      </c>
      <c r="U256" s="4">
        <v>0</v>
      </c>
      <c r="V256" s="4">
        <f>U256*20%</f>
      </c>
      <c r="W256" s="4">
        <v>1</v>
      </c>
      <c r="X256" s="4">
        <f>Q256+T256+V256</f>
      </c>
      <c r="Y256" s="4">
        <f>L256-M256-R256-S256-T256-U256-V256-W256</f>
      </c>
      <c r="Z256" s="4">
        <f>(Y256-AB256)/J256*100</f>
      </c>
      <c r="AA256" s="4">
        <f>M256-X256</f>
      </c>
      <c r="AC256" s="4">
        <f>Y256-AB256</f>
      </c>
      <c r="AH256" t="s">
        <v>1</v>
      </c>
    </row>
    <row r="257" spans="1:34" x14ac:dyDescent="0.25">
      <c r="A257" s="8">
        <v>46192.5</v>
      </c>
      <c r="B257" t="s">
        <v>1932</v>
      </c>
      <c r="C257" t="s">
        <v>1</v>
      </c>
      <c r="D257" s="9" t="s">
        <v>1933</v>
      </c>
      <c r="E257" t="s">
        <v>69</v>
      </c>
      <c r="F257" t="s">
        <v>105</v>
      </c>
      <c r="G257" t="s">
        <v>60</v>
      </c>
      <c r="H257" t="s">
        <v>75</v>
      </c>
      <c r="I257">
        <v>1</v>
      </c>
      <c r="J257" s="4">
        <v>539</v>
      </c>
      <c r="K257" s="4">
        <v>759.99</v>
      </c>
      <c r="L257" s="4">
        <f>K257-J257</f>
      </c>
      <c r="M257" s="4">
        <f>L257*16.67%</f>
      </c>
      <c r="N257" s="4">
        <f>(K257*6.9%)-(K257*6.9%)*10%</f>
      </c>
      <c r="O257" s="4">
        <f>K257*0.35%</f>
      </c>
      <c r="P257" s="4">
        <v>0.4</v>
      </c>
      <c r="Q257" s="4">
        <f>(N257+O257+P257)*20%</f>
      </c>
      <c r="R257" s="4">
        <f>N257+O257+P257+Q257</f>
      </c>
      <c r="S257" s="4">
        <v>0</v>
      </c>
      <c r="T257" s="4">
        <v>0</v>
      </c>
      <c r="U257" s="4">
        <v>0</v>
      </c>
      <c r="V257" s="4">
        <f>U257*20%</f>
      </c>
      <c r="W257" s="4">
        <v>1</v>
      </c>
      <c r="X257" s="4">
        <f>Q257+T257+V257</f>
      </c>
      <c r="Y257" s="4">
        <f>L257-M257-R257-S257-T257-U257-V257-W257</f>
      </c>
      <c r="Z257" s="4">
        <f>(Y257-AB257)/J257*100</f>
      </c>
      <c r="AA257" s="4">
        <f>M257-X257</f>
      </c>
      <c r="AC257" s="4">
        <f>Y257-AB257</f>
      </c>
      <c r="AH257" t="s">
        <v>1</v>
      </c>
    </row>
    <row r="258" spans="1:34" x14ac:dyDescent="0.25">
      <c r="A258" s="8">
        <v>46192.5</v>
      </c>
      <c r="B258" t="s">
        <v>1934</v>
      </c>
      <c r="C258" t="s">
        <v>254</v>
      </c>
      <c r="D258" s="9" t="s">
        <v>1</v>
      </c>
      <c r="E258" t="s">
        <v>254</v>
      </c>
      <c r="F258" t="s">
        <v>1</v>
      </c>
      <c r="G258" t="s">
        <v>1</v>
      </c>
      <c r="H258" t="s">
        <v>61</v>
      </c>
      <c r="I258">
        <v>4</v>
      </c>
      <c r="J258" s="4">
        <v>3.2</v>
      </c>
      <c r="K258" s="4">
        <v>3.68</v>
      </c>
      <c r="L258" s="4">
        <f>K258-J258</f>
      </c>
      <c r="M258" s="4">
        <f>L258*16.67%</f>
      </c>
      <c r="N258" s="4">
        <f>(K258*6.9%)-(K258*6.9%)*10%</f>
      </c>
      <c r="O258" s="4">
        <f>K258*0.35%</f>
      </c>
      <c r="P258" s="4">
        <v>0.4</v>
      </c>
      <c r="Q258" s="4">
        <f>(N258+O258+P258)*20%</f>
      </c>
      <c r="R258" s="4">
        <f>N258+O258+P258+Q258</f>
      </c>
      <c r="S258" s="4">
        <v>0</v>
      </c>
      <c r="T258" s="4">
        <v>0</v>
      </c>
      <c r="U258" s="4">
        <v>0</v>
      </c>
      <c r="V258" s="4">
        <f>U258*20%</f>
      </c>
      <c r="W258" s="4">
        <v>0</v>
      </c>
      <c r="X258" s="4">
        <f>Q258+T258+V258</f>
      </c>
      <c r="Y258" s="4">
        <f>L258-M258-R258-S258-T258-U258-V258-W258</f>
      </c>
      <c r="Z258" s="4">
        <f>(Y258-AB258)/J258*100</f>
      </c>
      <c r="AA258" s="4">
        <f>M258-X258</f>
      </c>
      <c r="AC258" s="4">
        <f>Y258-AB258</f>
      </c>
      <c r="AH258" t="s">
        <v>1</v>
      </c>
    </row>
    <row r="259" spans="1:34" x14ac:dyDescent="0.25">
      <c r="A259" s="8">
        <v>46191.5</v>
      </c>
      <c r="B259" t="s">
        <v>1935</v>
      </c>
      <c r="C259" t="s">
        <v>1</v>
      </c>
      <c r="D259" s="9" t="s">
        <v>1936</v>
      </c>
      <c r="E259" t="s">
        <v>58</v>
      </c>
      <c r="F259" t="s">
        <v>85</v>
      </c>
      <c r="G259" t="s">
        <v>60</v>
      </c>
      <c r="H259" t="s">
        <v>102</v>
      </c>
      <c r="I259">
        <v>1</v>
      </c>
      <c r="J259" s="4">
        <v>467</v>
      </c>
      <c r="K259" s="4">
        <v>602.43</v>
      </c>
      <c r="L259" s="4">
        <f>K259-J259</f>
      </c>
      <c r="M259" s="4">
        <f>L259*16.67%</f>
      </c>
      <c r="N259" s="4">
        <f>(K259*6.9%)-(K259*6.9%)*10%</f>
      </c>
      <c r="O259" s="4">
        <f>K259*0.35%</f>
      </c>
      <c r="P259" s="4">
        <v>0.4</v>
      </c>
      <c r="Q259" s="4">
        <f>(N259+O259+P259)*20%</f>
      </c>
      <c r="R259" s="4">
        <f>N259+O259+P259+Q259</f>
      </c>
      <c r="S259" s="4">
        <v>0</v>
      </c>
      <c r="T259" s="4">
        <v>0</v>
      </c>
      <c r="U259" s="4">
        <v>0</v>
      </c>
      <c r="V259" s="4">
        <f>U259*20%</f>
      </c>
      <c r="W259" s="4">
        <v>1</v>
      </c>
      <c r="X259" s="4">
        <f>Q259+T259+V259</f>
      </c>
      <c r="Y259" s="4">
        <f>L259-M259-R259-S259-T259-U259-V259-W259</f>
      </c>
      <c r="Z259" s="4">
        <f>(Y259-AB259)/J259*100</f>
      </c>
      <c r="AA259" s="4">
        <f>M259-X259</f>
      </c>
      <c r="AC259" s="4">
        <f>Y259-AB259</f>
      </c>
      <c r="AH259" t="s">
        <v>1</v>
      </c>
    </row>
    <row r="260" spans="1:34" x14ac:dyDescent="0.25">
      <c r="A260" s="8">
        <v>46191.5</v>
      </c>
      <c r="B260" t="s">
        <v>1937</v>
      </c>
      <c r="C260" t="s">
        <v>1</v>
      </c>
      <c r="D260" s="9" t="s">
        <v>1938</v>
      </c>
      <c r="E260" t="s">
        <v>69</v>
      </c>
      <c r="F260" t="s">
        <v>85</v>
      </c>
      <c r="G260" t="s">
        <v>60</v>
      </c>
      <c r="H260" t="s">
        <v>61</v>
      </c>
      <c r="I260">
        <v>1</v>
      </c>
      <c r="J260" s="4">
        <v>546</v>
      </c>
      <c r="K260" s="4">
        <v>720.72</v>
      </c>
      <c r="L260" s="4">
        <f>K260-J260</f>
      </c>
      <c r="M260" s="4">
        <f>L260*16.67%</f>
      </c>
      <c r="N260" s="4">
        <f>(K260*6.9%)-(K260*6.9%)*10%</f>
      </c>
      <c r="O260" s="4">
        <f>K260*0.35%</f>
      </c>
      <c r="P260" s="4">
        <v>0.4</v>
      </c>
      <c r="Q260" s="4">
        <f>(N260+O260+P260)*20%</f>
      </c>
      <c r="R260" s="4">
        <f>N260+O260+P260+Q260</f>
      </c>
      <c r="S260" s="4">
        <v>0</v>
      </c>
      <c r="T260" s="4">
        <v>0</v>
      </c>
      <c r="U260" s="4">
        <v>0</v>
      </c>
      <c r="V260" s="4">
        <f>U260*20%</f>
      </c>
      <c r="W260" s="4">
        <v>1</v>
      </c>
      <c r="X260" s="4">
        <f>Q260+T260+V260</f>
      </c>
      <c r="Y260" s="4">
        <f>L260-M260-R260-S260-T260-U260-V260-W260</f>
      </c>
      <c r="Z260" s="4">
        <f>(Y260-AB260)/J260*100</f>
      </c>
      <c r="AA260" s="4">
        <f>M260-X260</f>
      </c>
      <c r="AC260" s="4">
        <f>Y260-AB260</f>
      </c>
      <c r="AH260" t="s">
        <v>1</v>
      </c>
    </row>
    <row r="261" spans="1:34" x14ac:dyDescent="0.25">
      <c r="A261" s="8">
        <v>46191.5</v>
      </c>
      <c r="B261" t="s">
        <v>1939</v>
      </c>
      <c r="C261" t="s">
        <v>1</v>
      </c>
      <c r="D261" s="9" t="s">
        <v>1940</v>
      </c>
      <c r="E261" t="s">
        <v>139</v>
      </c>
      <c r="F261" t="s">
        <v>99</v>
      </c>
      <c r="G261" t="s">
        <v>65</v>
      </c>
      <c r="H261" t="s">
        <v>61</v>
      </c>
      <c r="I261">
        <v>1</v>
      </c>
      <c r="J261" s="4">
        <v>345</v>
      </c>
      <c r="K261" s="4">
        <v>410.55</v>
      </c>
      <c r="L261" s="4">
        <f>K261-J261</f>
      </c>
      <c r="M261" s="4">
        <f>L261*16.67%</f>
      </c>
      <c r="N261" s="4">
        <f>(K261*6.9%)-(K261*6.9%)*10%</f>
      </c>
      <c r="O261" s="4">
        <f>K261*0.35%</f>
      </c>
      <c r="P261" s="4">
        <v>0.4</v>
      </c>
      <c r="Q261" s="4">
        <f>(N261+O261+P261)*20%</f>
      </c>
      <c r="R261" s="4">
        <f>N261+O261+P261+Q261</f>
      </c>
      <c r="S261" s="4">
        <v>0</v>
      </c>
      <c r="T261" s="4">
        <v>0</v>
      </c>
      <c r="U261" s="4">
        <v>0</v>
      </c>
      <c r="V261" s="4">
        <f>U261*20%</f>
      </c>
      <c r="W261" s="4">
        <v>1</v>
      </c>
      <c r="X261" s="4">
        <f>Q261+T261+V261</f>
      </c>
      <c r="Y261" s="4">
        <f>L261-M261-R261-S261-T261-U261-V261-W261</f>
      </c>
      <c r="Z261" s="4">
        <f>(Y261-AB261)/J261*100</f>
      </c>
      <c r="AA261" s="4">
        <f>M261-X261</f>
      </c>
      <c r="AC261" s="4">
        <f>Y261-AB261</f>
      </c>
      <c r="AH261" t="s">
        <v>1</v>
      </c>
    </row>
    <row r="262" spans="1:34" x14ac:dyDescent="0.25">
      <c r="A262" s="8">
        <v>46191.5</v>
      </c>
      <c r="B262" t="s">
        <v>1941</v>
      </c>
      <c r="C262" t="s">
        <v>1</v>
      </c>
      <c r="D262" s="9" t="s">
        <v>1942</v>
      </c>
      <c r="E262" t="s">
        <v>234</v>
      </c>
      <c r="F262" t="s">
        <v>99</v>
      </c>
      <c r="G262" t="s">
        <v>65</v>
      </c>
      <c r="H262" t="s">
        <v>75</v>
      </c>
      <c r="I262">
        <v>1</v>
      </c>
      <c r="J262" s="4">
        <v>163</v>
      </c>
      <c r="K262" s="4">
        <v>220.05</v>
      </c>
      <c r="L262" s="4">
        <f>K262-J262</f>
      </c>
      <c r="M262" s="4">
        <f>L262*16.67%</f>
      </c>
      <c r="N262" s="4">
        <f>(K262*6.9%)-(K262*6.9%)*10%</f>
      </c>
      <c r="O262" s="4">
        <f>K262*0.35%</f>
      </c>
      <c r="P262" s="4">
        <v>0.4</v>
      </c>
      <c r="Q262" s="4">
        <f>(N262+O262+P262)*20%</f>
      </c>
      <c r="R262" s="4">
        <f>N262+O262+P262+Q262</f>
      </c>
      <c r="S262" s="4">
        <v>0</v>
      </c>
      <c r="T262" s="4">
        <v>0</v>
      </c>
      <c r="U262" s="4">
        <v>0</v>
      </c>
      <c r="V262" s="4">
        <f>U262*20%</f>
      </c>
      <c r="W262" s="4">
        <v>1</v>
      </c>
      <c r="X262" s="4">
        <f>Q262+T262+V262</f>
      </c>
      <c r="Y262" s="4">
        <f>L262-M262-R262-S262-T262-U262-V262-W262</f>
      </c>
      <c r="Z262" s="4">
        <f>(Y262-AB262)/J262*100</f>
      </c>
      <c r="AA262" s="4">
        <f>M262-X262</f>
      </c>
      <c r="AC262" s="4">
        <f>Y262-AB262</f>
      </c>
      <c r="AH262" t="s">
        <v>1</v>
      </c>
    </row>
    <row r="263" spans="1:34" x14ac:dyDescent="0.25">
      <c r="A263" s="8">
        <v>46191.5</v>
      </c>
      <c r="B263" t="s">
        <v>1943</v>
      </c>
      <c r="C263" t="s">
        <v>1</v>
      </c>
      <c r="D263" s="9" t="s">
        <v>1944</v>
      </c>
      <c r="E263" t="s">
        <v>84</v>
      </c>
      <c r="F263" t="s">
        <v>70</v>
      </c>
      <c r="G263" t="s">
        <v>60</v>
      </c>
      <c r="H263" t="s">
        <v>61</v>
      </c>
      <c r="I263">
        <v>1</v>
      </c>
      <c r="J263" s="4">
        <v>757</v>
      </c>
      <c r="K263" s="4">
        <v>1097.65</v>
      </c>
      <c r="L263" s="4">
        <f>K263-J263</f>
      </c>
      <c r="M263" s="4">
        <f>L263*16.67%</f>
      </c>
      <c r="N263" s="4">
        <f>(K263*6.9%)-(K263*6.9%)*10%</f>
      </c>
      <c r="O263" s="4">
        <f>K263*0.35%</f>
      </c>
      <c r="P263" s="4">
        <v>0.4</v>
      </c>
      <c r="Q263" s="4">
        <f>(N263+O263+P263)*20%</f>
      </c>
      <c r="R263" s="4">
        <f>N263+O263+P263+Q263</f>
      </c>
      <c r="S263" s="4">
        <v>0</v>
      </c>
      <c r="T263" s="4">
        <v>0</v>
      </c>
      <c r="U263" s="4">
        <v>0</v>
      </c>
      <c r="V263" s="4">
        <f>U263*20%</f>
      </c>
      <c r="W263" s="4">
        <v>1</v>
      </c>
      <c r="X263" s="4">
        <f>Q263+T263+V263</f>
      </c>
      <c r="Y263" s="4">
        <f>L263-M263-R263-S263-T263-U263-V263-W263</f>
      </c>
      <c r="Z263" s="4">
        <f>(Y263-AB263)/J263*100</f>
      </c>
      <c r="AA263" s="4">
        <f>M263-X263</f>
      </c>
      <c r="AC263" s="4">
        <f>Y263-AB263</f>
      </c>
      <c r="AH263" t="s">
        <v>1</v>
      </c>
    </row>
    <row r="264" spans="1:34" x14ac:dyDescent="0.25">
      <c r="A264" s="8">
        <v>46191.5</v>
      </c>
      <c r="B264" t="s">
        <v>1945</v>
      </c>
      <c r="C264" t="s">
        <v>1</v>
      </c>
      <c r="D264" s="9" t="s">
        <v>1</v>
      </c>
      <c r="E264" t="s">
        <v>1</v>
      </c>
      <c r="F264" t="s">
        <v>1</v>
      </c>
      <c r="G264" t="s">
        <v>1</v>
      </c>
      <c r="H264" t="s">
        <v>61</v>
      </c>
      <c r="I264">
        <v>1</v>
      </c>
      <c r="J264" s="4">
        <v>167</v>
      </c>
      <c r="K264" s="4">
        <v>200.4</v>
      </c>
      <c r="L264" s="4">
        <f>K264-J264</f>
      </c>
      <c r="M264" s="4">
        <f>L264*16.67%</f>
      </c>
      <c r="N264" s="4">
        <f>(K264*6.9%)-(K264*6.9%)*10%</f>
      </c>
      <c r="O264" s="4">
        <f>K264*0.35%</f>
      </c>
      <c r="P264" s="4">
        <v>0.4</v>
      </c>
      <c r="Q264" s="4">
        <f>(N264+O264+P264)*20%</f>
      </c>
      <c r="R264" s="4">
        <f>N264+O264+P264+Q264</f>
      </c>
      <c r="S264" s="4">
        <v>0</v>
      </c>
      <c r="T264" s="4">
        <v>0</v>
      </c>
      <c r="U264" s="4">
        <v>0</v>
      </c>
      <c r="V264" s="4">
        <f>U264*20%</f>
      </c>
      <c r="W264" s="4">
        <v>1</v>
      </c>
      <c r="X264" s="4">
        <f>Q264+T264+V264</f>
      </c>
      <c r="Y264" s="4">
        <f>L264-M264-R264-S264-T264-U264-V264-W264</f>
      </c>
      <c r="Z264" s="4">
        <f>(Y264-AB264)/J264*100</f>
      </c>
      <c r="AA264" s="4">
        <f>M264-X264</f>
      </c>
      <c r="AC264" s="4">
        <f>Y264-AB264</f>
      </c>
      <c r="AH264" t="s">
        <v>1</v>
      </c>
    </row>
    <row r="265" spans="1:34" x14ac:dyDescent="0.25">
      <c r="A265" s="8">
        <v>46190.5</v>
      </c>
      <c r="B265" t="s">
        <v>1946</v>
      </c>
      <c r="C265" t="s">
        <v>1</v>
      </c>
      <c r="D265" s="9" t="s">
        <v>1947</v>
      </c>
      <c r="E265" t="s">
        <v>125</v>
      </c>
      <c r="F265" t="s">
        <v>59</v>
      </c>
      <c r="G265" t="s">
        <v>126</v>
      </c>
      <c r="H265" t="s">
        <v>78</v>
      </c>
      <c r="I265">
        <v>1</v>
      </c>
      <c r="J265" s="4">
        <v>249</v>
      </c>
      <c r="K265" s="4">
        <v>338.64</v>
      </c>
      <c r="L265" s="4">
        <f>K265-J265</f>
      </c>
      <c r="M265" s="4">
        <f>L265*16.67%</f>
      </c>
      <c r="N265" s="4">
        <f>(K265*6.9%)-(K265*6.9%)*10%</f>
      </c>
      <c r="O265" s="4">
        <f>K265*0.35%</f>
      </c>
      <c r="P265" s="4">
        <v>0.4</v>
      </c>
      <c r="Q265" s="4">
        <f>(N265+O265+P265)*20%</f>
      </c>
      <c r="R265" s="4">
        <f>N265+O265+P265+Q265</f>
      </c>
      <c r="S265" s="4">
        <v>0</v>
      </c>
      <c r="T265" s="4">
        <v>0</v>
      </c>
      <c r="U265" s="4">
        <v>0</v>
      </c>
      <c r="V265" s="4">
        <f>U265*20%</f>
      </c>
      <c r="W265" s="4">
        <v>1</v>
      </c>
      <c r="X265" s="4">
        <f>Q265+T265+V265</f>
      </c>
      <c r="Y265" s="4">
        <f>L265-M265-R265-S265-T265-U265-V265-W265</f>
      </c>
      <c r="Z265" s="4">
        <f>(Y265-AB265)/J265*100</f>
      </c>
      <c r="AA265" s="4">
        <f>M265-X265</f>
      </c>
      <c r="AC265" s="4">
        <f>Y265-AB265</f>
      </c>
      <c r="AH265" t="s">
        <v>1</v>
      </c>
    </row>
    <row r="266" spans="1:34" x14ac:dyDescent="0.25">
      <c r="A266" s="8">
        <v>46190.5</v>
      </c>
      <c r="B266" t="s">
        <v>1948</v>
      </c>
      <c r="C266" t="s">
        <v>1</v>
      </c>
      <c r="D266" s="9" t="s">
        <v>1949</v>
      </c>
      <c r="E266" t="s">
        <v>134</v>
      </c>
      <c r="F266" t="s">
        <v>88</v>
      </c>
      <c r="G266" t="s">
        <v>95</v>
      </c>
      <c r="H266" t="s">
        <v>61</v>
      </c>
      <c r="I266">
        <v>1</v>
      </c>
      <c r="J266" s="4">
        <v>126</v>
      </c>
      <c r="K266" s="4">
        <v>172.62</v>
      </c>
      <c r="L266" s="4">
        <f>K266-J266</f>
      </c>
      <c r="M266" s="4">
        <f>L266*16.67%</f>
      </c>
      <c r="N266" s="4">
        <f>(K266*6.9%)-(K266*6.9%)*10%</f>
      </c>
      <c r="O266" s="4">
        <f>K266*0.35%</f>
      </c>
      <c r="P266" s="4">
        <v>0.4</v>
      </c>
      <c r="Q266" s="4">
        <f>(N266+O266+P266)*20%</f>
      </c>
      <c r="R266" s="4">
        <f>N266+O266+P266+Q266</f>
      </c>
      <c r="S266" s="4">
        <v>0</v>
      </c>
      <c r="T266" s="4">
        <v>0</v>
      </c>
      <c r="U266" s="4">
        <v>0</v>
      </c>
      <c r="V266" s="4">
        <f>U266*20%</f>
      </c>
      <c r="W266" s="4">
        <v>1</v>
      </c>
      <c r="X266" s="4">
        <f>Q266+T266+V266</f>
      </c>
      <c r="Y266" s="4">
        <f>L266-M266-R266-S266-T266-U266-V266-W266</f>
      </c>
      <c r="Z266" s="4">
        <f>(Y266-AB266)/J266*100</f>
      </c>
      <c r="AA266" s="4">
        <f>M266-X266</f>
      </c>
      <c r="AC266" s="4">
        <f>Y266-AB266</f>
      </c>
      <c r="AH266" t="s">
        <v>1</v>
      </c>
    </row>
    <row r="267" spans="1:34" x14ac:dyDescent="0.25">
      <c r="A267" s="8">
        <v>46190.5</v>
      </c>
      <c r="B267" t="s">
        <v>1950</v>
      </c>
      <c r="C267" t="s">
        <v>1</v>
      </c>
      <c r="D267" s="9" t="s">
        <v>1951</v>
      </c>
      <c r="E267" t="s">
        <v>114</v>
      </c>
      <c r="F267" t="s">
        <v>74</v>
      </c>
      <c r="G267" t="s">
        <v>60</v>
      </c>
      <c r="H267" t="s">
        <v>102</v>
      </c>
      <c r="I267">
        <v>1</v>
      </c>
      <c r="J267" s="4">
        <v>227</v>
      </c>
      <c r="K267" s="4">
        <v>274.67</v>
      </c>
      <c r="L267" s="4">
        <f>K267-J267</f>
      </c>
      <c r="M267" s="4">
        <f>L267*16.67%</f>
      </c>
      <c r="N267" s="4">
        <f>(K267*6.9%)-(K267*6.9%)*10%</f>
      </c>
      <c r="O267" s="4">
        <f>K267*0.35%</f>
      </c>
      <c r="P267" s="4">
        <v>0.4</v>
      </c>
      <c r="Q267" s="4">
        <f>(N267+O267+P267)*20%</f>
      </c>
      <c r="R267" s="4">
        <f>N267+O267+P267+Q267</f>
      </c>
      <c r="S267" s="4">
        <v>0</v>
      </c>
      <c r="T267" s="4">
        <v>0</v>
      </c>
      <c r="U267" s="4">
        <v>0</v>
      </c>
      <c r="V267" s="4">
        <f>U267*20%</f>
      </c>
      <c r="W267" s="4">
        <v>1</v>
      </c>
      <c r="X267" s="4">
        <f>Q267+T267+V267</f>
      </c>
      <c r="Y267" s="4">
        <f>L267-M267-R267-S267-T267-U267-V267-W267</f>
      </c>
      <c r="Z267" s="4">
        <f>(Y267-AB267)/J267*100</f>
      </c>
      <c r="AA267" s="4">
        <f>M267-X267</f>
      </c>
      <c r="AC267" s="4">
        <f>Y267-AB267</f>
      </c>
      <c r="AH267" t="s">
        <v>1</v>
      </c>
    </row>
    <row r="268" spans="1:34" x14ac:dyDescent="0.25">
      <c r="A268" s="8">
        <v>46189.5</v>
      </c>
      <c r="B268" t="s">
        <v>1952</v>
      </c>
      <c r="C268" t="s">
        <v>1</v>
      </c>
      <c r="D268" s="9" t="s">
        <v>1953</v>
      </c>
      <c r="E268" t="s">
        <v>139</v>
      </c>
      <c r="F268" t="s">
        <v>74</v>
      </c>
      <c r="G268" t="s">
        <v>60</v>
      </c>
      <c r="H268" t="s">
        <v>66</v>
      </c>
      <c r="I268">
        <v>1</v>
      </c>
      <c r="J268" s="4">
        <v>351</v>
      </c>
      <c r="K268" s="4">
        <v>403.65</v>
      </c>
      <c r="L268" s="4">
        <f>K268-J268</f>
      </c>
      <c r="M268" s="4">
        <f>L268*16.67%</f>
      </c>
      <c r="N268" s="4">
        <f>(K268*6.9%)-(K268*6.9%)*10%</f>
      </c>
      <c r="O268" s="4">
        <f>K268*0.35%</f>
      </c>
      <c r="P268" s="4">
        <v>0.4</v>
      </c>
      <c r="Q268" s="4">
        <f>(N268+O268+P268)*20%</f>
      </c>
      <c r="R268" s="4">
        <f>N268+O268+P268+Q268</f>
      </c>
      <c r="S268" s="4">
        <v>0</v>
      </c>
      <c r="T268" s="4">
        <v>0</v>
      </c>
      <c r="U268" s="4">
        <v>0</v>
      </c>
      <c r="V268" s="4">
        <f>U268*20%</f>
      </c>
      <c r="W268" s="4">
        <v>1</v>
      </c>
      <c r="X268" s="4">
        <f>Q268+T268+V268</f>
      </c>
      <c r="Y268" s="4">
        <f>L268-M268-R268-S268-T268-U268-V268-W268</f>
      </c>
      <c r="Z268" s="4">
        <f>(Y268-AB268)/J268*100</f>
      </c>
      <c r="AA268" s="4">
        <f>M268-X268</f>
      </c>
      <c r="AC268" s="4">
        <f>Y268-AB268</f>
      </c>
      <c r="AH268" t="s">
        <v>1</v>
      </c>
    </row>
    <row r="269" spans="1:34" x14ac:dyDescent="0.25">
      <c r="A269" s="8">
        <v>46189.5</v>
      </c>
      <c r="B269" t="s">
        <v>1954</v>
      </c>
      <c r="C269" t="s">
        <v>1</v>
      </c>
      <c r="D269" s="9" t="s">
        <v>1955</v>
      </c>
      <c r="E269" t="s">
        <v>114</v>
      </c>
      <c r="F269" t="s">
        <v>70</v>
      </c>
      <c r="G269" t="s">
        <v>95</v>
      </c>
      <c r="H269" t="s">
        <v>102</v>
      </c>
      <c r="I269">
        <v>1</v>
      </c>
      <c r="J269" s="4">
        <v>231</v>
      </c>
      <c r="K269" s="4">
        <v>307.23</v>
      </c>
      <c r="L269" s="4">
        <f>K269-J269</f>
      </c>
      <c r="M269" s="4">
        <f>L269*16.67%</f>
      </c>
      <c r="N269" s="4">
        <f>(K269*6.9%)-(K269*6.9%)*10%</f>
      </c>
      <c r="O269" s="4">
        <f>K269*0.35%</f>
      </c>
      <c r="P269" s="4">
        <v>0.4</v>
      </c>
      <c r="Q269" s="4">
        <f>(N269+O269+P269)*20%</f>
      </c>
      <c r="R269" s="4">
        <f>N269+O269+P269+Q269</f>
      </c>
      <c r="S269" s="4">
        <v>0</v>
      </c>
      <c r="T269" s="4">
        <v>0</v>
      </c>
      <c r="U269" s="4">
        <v>0</v>
      </c>
      <c r="V269" s="4">
        <f>U269*20%</f>
      </c>
      <c r="W269" s="4">
        <v>1</v>
      </c>
      <c r="X269" s="4">
        <f>Q269+T269+V269</f>
      </c>
      <c r="Y269" s="4">
        <f>L269-M269-R269-S269-T269-U269-V269-W269</f>
      </c>
      <c r="Z269" s="4">
        <f>(Y269-AB269)/J269*100</f>
      </c>
      <c r="AA269" s="4">
        <f>M269-X269</f>
      </c>
      <c r="AC269" s="4">
        <f>Y269-AB269</f>
      </c>
      <c r="AH269" t="s">
        <v>1</v>
      </c>
    </row>
    <row r="270" spans="1:34" x14ac:dyDescent="0.25">
      <c r="A270" s="8">
        <v>46189.5</v>
      </c>
      <c r="B270" t="s">
        <v>1956</v>
      </c>
      <c r="C270" t="s">
        <v>1</v>
      </c>
      <c r="D270" s="9" t="s">
        <v>1957</v>
      </c>
      <c r="E270" t="s">
        <v>134</v>
      </c>
      <c r="F270" t="s">
        <v>88</v>
      </c>
      <c r="G270" t="s">
        <v>95</v>
      </c>
      <c r="H270" t="s">
        <v>102</v>
      </c>
      <c r="I270">
        <v>1</v>
      </c>
      <c r="J270" s="4">
        <v>106</v>
      </c>
      <c r="K270" s="4">
        <v>129.32</v>
      </c>
      <c r="L270" s="4">
        <f>K270-J270</f>
      </c>
      <c r="M270" s="4">
        <f>L270*16.67%</f>
      </c>
      <c r="N270" s="4">
        <f>(K270*6.9%)-(K270*6.9%)*10%</f>
      </c>
      <c r="O270" s="4">
        <f>K270*0.35%</f>
      </c>
      <c r="P270" s="4">
        <v>0.4</v>
      </c>
      <c r="Q270" s="4">
        <f>(N270+O270+P270)*20%</f>
      </c>
      <c r="R270" s="4">
        <f>N270+O270+P270+Q270</f>
      </c>
      <c r="S270" s="4">
        <v>0</v>
      </c>
      <c r="T270" s="4">
        <v>0</v>
      </c>
      <c r="U270" s="4">
        <v>0</v>
      </c>
      <c r="V270" s="4">
        <f>U270*20%</f>
      </c>
      <c r="W270" s="4">
        <v>1</v>
      </c>
      <c r="X270" s="4">
        <f>Q270+T270+V270</f>
      </c>
      <c r="Y270" s="4">
        <f>L270-M270-R270-S270-T270-U270-V270-W270</f>
      </c>
      <c r="Z270" s="4">
        <f>(Y270-AB270)/J270*100</f>
      </c>
      <c r="AA270" s="4">
        <f>M270-X270</f>
      </c>
      <c r="AC270" s="4">
        <f>Y270-AB270</f>
      </c>
      <c r="AH270" t="s">
        <v>1</v>
      </c>
    </row>
    <row r="271" spans="1:34" x14ac:dyDescent="0.25">
      <c r="A271" s="8">
        <v>46189.5</v>
      </c>
      <c r="B271" t="s">
        <v>1958</v>
      </c>
      <c r="C271" t="s">
        <v>177</v>
      </c>
      <c r="D271" s="9" t="s">
        <v>1</v>
      </c>
      <c r="E271" t="s">
        <v>177</v>
      </c>
      <c r="F271" t="s">
        <v>1</v>
      </c>
      <c r="G271" t="s">
        <v>1</v>
      </c>
      <c r="H271" t="s">
        <v>78</v>
      </c>
      <c r="I271">
        <v>1</v>
      </c>
      <c r="J271" s="4">
        <v>0.15</v>
      </c>
      <c r="K271" s="4">
        <v>0.2</v>
      </c>
      <c r="L271" s="4">
        <f>K271-J271</f>
      </c>
      <c r="M271" s="4">
        <f>L271*16.67%</f>
      </c>
      <c r="N271" s="4">
        <f>(K271*6.9%)-(K271*6.9%)*10%</f>
      </c>
      <c r="O271" s="4">
        <f>K271*0.35%</f>
      </c>
      <c r="P271" s="4">
        <v>0.4</v>
      </c>
      <c r="Q271" s="4">
        <f>(N271+O271+P271)*20%</f>
      </c>
      <c r="R271" s="4">
        <f>N271+O271+P271+Q271</f>
      </c>
      <c r="S271" s="4">
        <v>0</v>
      </c>
      <c r="T271" s="4">
        <v>0</v>
      </c>
      <c r="U271" s="4">
        <v>0</v>
      </c>
      <c r="V271" s="4">
        <f>U271*20%</f>
      </c>
      <c r="W271" s="4">
        <v>0</v>
      </c>
      <c r="X271" s="4">
        <f>Q271+T271+V271</f>
      </c>
      <c r="Y271" s="4">
        <f>L271-M271-R271-S271-T271-U271-V271-W271</f>
      </c>
      <c r="Z271" s="4">
        <f>(Y271-AB271)/J271*100</f>
      </c>
      <c r="AA271" s="4">
        <f>M271-X271</f>
      </c>
      <c r="AC271" s="4">
        <f>Y271-AB271</f>
      </c>
      <c r="AH271" t="s">
        <v>1</v>
      </c>
    </row>
    <row r="272" spans="1:34" x14ac:dyDescent="0.25">
      <c r="A272" s="8">
        <v>46189.5</v>
      </c>
      <c r="B272" t="s">
        <v>1959</v>
      </c>
      <c r="C272" t="s">
        <v>177</v>
      </c>
      <c r="D272" s="9" t="s">
        <v>1</v>
      </c>
      <c r="E272" t="s">
        <v>177</v>
      </c>
      <c r="F272" t="s">
        <v>1</v>
      </c>
      <c r="G272" t="s">
        <v>1</v>
      </c>
      <c r="H272" t="s">
        <v>78</v>
      </c>
      <c r="I272">
        <v>1</v>
      </c>
      <c r="J272" s="4">
        <v>0.15</v>
      </c>
      <c r="K272" s="4">
        <v>0.2</v>
      </c>
      <c r="L272" s="4">
        <f>K272-J272</f>
      </c>
      <c r="M272" s="4">
        <f>L272*16.67%</f>
      </c>
      <c r="N272" s="4">
        <f>(K272*6.9%)-(K272*6.9%)*10%</f>
      </c>
      <c r="O272" s="4">
        <f>K272*0.35%</f>
      </c>
      <c r="P272" s="4">
        <v>0.4</v>
      </c>
      <c r="Q272" s="4">
        <f>(N272+O272+P272)*20%</f>
      </c>
      <c r="R272" s="4">
        <f>N272+O272+P272+Q272</f>
      </c>
      <c r="S272" s="4">
        <v>0</v>
      </c>
      <c r="T272" s="4">
        <v>0</v>
      </c>
      <c r="U272" s="4">
        <v>0</v>
      </c>
      <c r="V272" s="4">
        <f>U272*20%</f>
      </c>
      <c r="W272" s="4">
        <v>0</v>
      </c>
      <c r="X272" s="4">
        <f>Q272+T272+V272</f>
      </c>
      <c r="Y272" s="4">
        <f>L272-M272-R272-S272-T272-U272-V272-W272</f>
      </c>
      <c r="Z272" s="4">
        <f>(Y272-AB272)/J272*100</f>
      </c>
      <c r="AA272" s="4">
        <f>M272-X272</f>
      </c>
      <c r="AC272" s="4">
        <f>Y272-AB272</f>
      </c>
      <c r="AH272" t="s">
        <v>1</v>
      </c>
    </row>
    <row r="273" spans="1:34" x14ac:dyDescent="0.25">
      <c r="A273" s="8">
        <v>46189.5</v>
      </c>
      <c r="B273" t="s">
        <v>1960</v>
      </c>
      <c r="C273" t="s">
        <v>185</v>
      </c>
      <c r="D273" s="9" t="s">
        <v>1</v>
      </c>
      <c r="E273" t="s">
        <v>185</v>
      </c>
      <c r="F273" t="s">
        <v>1</v>
      </c>
      <c r="G273" t="s">
        <v>1</v>
      </c>
      <c r="H273" t="s">
        <v>102</v>
      </c>
      <c r="I273">
        <v>1</v>
      </c>
      <c r="J273" s="4">
        <v>1.2</v>
      </c>
      <c r="K273" s="4">
        <v>1.4</v>
      </c>
      <c r="L273" s="4">
        <f>K273-J273</f>
      </c>
      <c r="M273" s="4">
        <f>L273*16.67%</f>
      </c>
      <c r="N273" s="4">
        <f>(K273*6.9%)-(K273*6.9%)*10%</f>
      </c>
      <c r="O273" s="4">
        <f>K273*0.35%</f>
      </c>
      <c r="P273" s="4">
        <v>0.4</v>
      </c>
      <c r="Q273" s="4">
        <f>(N273+O273+P273)*20%</f>
      </c>
      <c r="R273" s="4">
        <f>N273+O273+P273+Q273</f>
      </c>
      <c r="S273" s="4">
        <v>0</v>
      </c>
      <c r="T273" s="4">
        <v>0</v>
      </c>
      <c r="U273" s="4">
        <v>0</v>
      </c>
      <c r="V273" s="4">
        <f>U273*20%</f>
      </c>
      <c r="W273" s="4">
        <v>0</v>
      </c>
      <c r="X273" s="4">
        <f>Q273+T273+V273</f>
      </c>
      <c r="Y273" s="4">
        <f>L273-M273-R273-S273-T273-U273-V273-W273</f>
      </c>
      <c r="Z273" s="4">
        <f>(Y273-AB273)/J273*100</f>
      </c>
      <c r="AA273" s="4">
        <f>M273-X273</f>
      </c>
      <c r="AC273" s="4">
        <f>Y273-AB273</f>
      </c>
      <c r="AH273" t="s">
        <v>1</v>
      </c>
    </row>
    <row r="274" spans="1:34" x14ac:dyDescent="0.25">
      <c r="A274" s="8">
        <v>46189.5</v>
      </c>
      <c r="B274" t="s">
        <v>1961</v>
      </c>
      <c r="C274" t="s">
        <v>1</v>
      </c>
      <c r="D274" s="9" t="s">
        <v>1</v>
      </c>
      <c r="E274" t="s">
        <v>1</v>
      </c>
      <c r="F274" t="s">
        <v>1</v>
      </c>
      <c r="G274" t="s">
        <v>1</v>
      </c>
      <c r="H274" t="s">
        <v>61</v>
      </c>
      <c r="I274">
        <v>1</v>
      </c>
      <c r="J274" s="4">
        <v>172</v>
      </c>
      <c r="K274" s="4">
        <v>220.16</v>
      </c>
      <c r="L274" s="4">
        <f>K274-J274</f>
      </c>
      <c r="M274" s="4">
        <f>L274*16.67%</f>
      </c>
      <c r="N274" s="4">
        <f>(K274*6.9%)-(K274*6.9%)*10%</f>
      </c>
      <c r="O274" s="4">
        <f>K274*0.35%</f>
      </c>
      <c r="P274" s="4">
        <v>0.4</v>
      </c>
      <c r="Q274" s="4">
        <f>(N274+O274+P274)*20%</f>
      </c>
      <c r="R274" s="4">
        <f>N274+O274+P274+Q274</f>
      </c>
      <c r="S274" s="4">
        <v>0</v>
      </c>
      <c r="T274" s="4">
        <v>0</v>
      </c>
      <c r="U274" s="4">
        <v>0</v>
      </c>
      <c r="V274" s="4">
        <f>U274*20%</f>
      </c>
      <c r="W274" s="4">
        <v>1</v>
      </c>
      <c r="X274" s="4">
        <f>Q274+T274+V274</f>
      </c>
      <c r="Y274" s="4">
        <f>L274-M274-R274-S274-T274-U274-V274-W274</f>
      </c>
      <c r="Z274" s="4">
        <f>(Y274-AB274)/J274*100</f>
      </c>
      <c r="AA274" s="4">
        <f>M274-X274</f>
      </c>
      <c r="AC274" s="4">
        <f>Y274-AB274</f>
      </c>
      <c r="AH274" t="s">
        <v>1</v>
      </c>
    </row>
    <row r="275" spans="1:34" x14ac:dyDescent="0.25">
      <c r="A275" s="8">
        <v>46188.5</v>
      </c>
      <c r="B275" t="s">
        <v>1962</v>
      </c>
      <c r="C275" t="s">
        <v>1</v>
      </c>
      <c r="D275" s="9" t="s">
        <v>1963</v>
      </c>
      <c r="E275" t="s">
        <v>81</v>
      </c>
      <c r="F275" t="s">
        <v>88</v>
      </c>
      <c r="G275" t="s">
        <v>65</v>
      </c>
      <c r="H275" t="s">
        <v>66</v>
      </c>
      <c r="I275">
        <v>1</v>
      </c>
      <c r="J275" s="4">
        <v>568</v>
      </c>
      <c r="K275" s="4">
        <v>778.16</v>
      </c>
      <c r="L275" s="4">
        <f>K275-J275</f>
      </c>
      <c r="M275" s="4">
        <f>L275*16.67%</f>
      </c>
      <c r="N275" s="4">
        <f>(K275*6.9%)-(K275*6.9%)*10%</f>
      </c>
      <c r="O275" s="4">
        <f>K275*0.35%</f>
      </c>
      <c r="P275" s="4">
        <v>0.4</v>
      </c>
      <c r="Q275" s="4">
        <f>(N275+O275+P275)*20%</f>
      </c>
      <c r="R275" s="4">
        <f>N275+O275+P275+Q275</f>
      </c>
      <c r="S275" s="4">
        <v>0</v>
      </c>
      <c r="T275" s="4">
        <v>0</v>
      </c>
      <c r="U275" s="4">
        <v>0</v>
      </c>
      <c r="V275" s="4">
        <f>U275*20%</f>
      </c>
      <c r="W275" s="4">
        <v>1</v>
      </c>
      <c r="X275" s="4">
        <f>Q275+T275+V275</f>
      </c>
      <c r="Y275" s="4">
        <f>L275-M275-R275-S275-T275-U275-V275-W275</f>
      </c>
      <c r="Z275" s="4">
        <f>(Y275-AB275)/J275*100</f>
      </c>
      <c r="AA275" s="4">
        <f>M275-X275</f>
      </c>
      <c r="AC275" s="4">
        <f>Y275-AB275</f>
      </c>
      <c r="AH275" t="s">
        <v>1</v>
      </c>
    </row>
    <row r="276" spans="1:34" x14ac:dyDescent="0.25">
      <c r="A276" s="8">
        <v>46188.5</v>
      </c>
      <c r="B276" t="s">
        <v>1964</v>
      </c>
      <c r="C276" t="s">
        <v>1</v>
      </c>
      <c r="D276" s="9" t="s">
        <v>1965</v>
      </c>
      <c r="E276" t="s">
        <v>292</v>
      </c>
      <c r="F276" t="s">
        <v>105</v>
      </c>
      <c r="G276" t="s">
        <v>126</v>
      </c>
      <c r="H276" t="s">
        <v>61</v>
      </c>
      <c r="I276">
        <v>1</v>
      </c>
      <c r="J276" s="4">
        <v>194</v>
      </c>
      <c r="K276" s="4">
        <v>234.74</v>
      </c>
      <c r="L276" s="4">
        <f>K276-J276</f>
      </c>
      <c r="M276" s="4">
        <f>L276*16.67%</f>
      </c>
      <c r="N276" s="4">
        <f>(K276*6.9%)-(K276*6.9%)*10%</f>
      </c>
      <c r="O276" s="4">
        <f>K276*0.35%</f>
      </c>
      <c r="P276" s="4">
        <v>0.4</v>
      </c>
      <c r="Q276" s="4">
        <f>(N276+O276+P276)*20%</f>
      </c>
      <c r="R276" s="4">
        <f>N276+O276+P276+Q276</f>
      </c>
      <c r="S276" s="4">
        <v>0</v>
      </c>
      <c r="T276" s="4">
        <v>0</v>
      </c>
      <c r="U276" s="4">
        <v>0</v>
      </c>
      <c r="V276" s="4">
        <f>U276*20%</f>
      </c>
      <c r="W276" s="4">
        <v>1</v>
      </c>
      <c r="X276" s="4">
        <f>Q276+T276+V276</f>
      </c>
      <c r="Y276" s="4">
        <f>L276-M276-R276-S276-T276-U276-V276-W276</f>
      </c>
      <c r="Z276" s="4">
        <f>(Y276-AB276)/J276*100</f>
      </c>
      <c r="AA276" s="4">
        <f>M276-X276</f>
      </c>
      <c r="AC276" s="4">
        <f>Y276-AB276</f>
      </c>
      <c r="AH276" t="s">
        <v>1</v>
      </c>
    </row>
    <row r="277" spans="1:34" x14ac:dyDescent="0.25">
      <c r="A277" s="8">
        <v>46188.5</v>
      </c>
      <c r="B277" t="s">
        <v>1966</v>
      </c>
      <c r="C277" t="s">
        <v>1</v>
      </c>
      <c r="D277" s="9" t="s">
        <v>1967</v>
      </c>
      <c r="E277" t="s">
        <v>98</v>
      </c>
      <c r="F277" t="s">
        <v>74</v>
      </c>
      <c r="G277" t="s">
        <v>65</v>
      </c>
      <c r="H277" t="s">
        <v>75</v>
      </c>
      <c r="I277">
        <v>1</v>
      </c>
      <c r="J277" s="4">
        <v>280</v>
      </c>
      <c r="K277" s="4">
        <v>380.8</v>
      </c>
      <c r="L277" s="4">
        <f>K277-J277</f>
      </c>
      <c r="M277" s="4">
        <f>L277*16.67%</f>
      </c>
      <c r="N277" s="4">
        <f>(K277*6.9%)-(K277*6.9%)*10%</f>
      </c>
      <c r="O277" s="4">
        <f>K277*0.35%</f>
      </c>
      <c r="P277" s="4">
        <v>0.4</v>
      </c>
      <c r="Q277" s="4">
        <f>(N277+O277+P277)*20%</f>
      </c>
      <c r="R277" s="4">
        <f>N277+O277+P277+Q277</f>
      </c>
      <c r="S277" s="4">
        <v>0</v>
      </c>
      <c r="T277" s="4">
        <v>0</v>
      </c>
      <c r="U277" s="4">
        <v>0</v>
      </c>
      <c r="V277" s="4">
        <f>U277*20%</f>
      </c>
      <c r="W277" s="4">
        <v>1</v>
      </c>
      <c r="X277" s="4">
        <f>Q277+T277+V277</f>
      </c>
      <c r="Y277" s="4">
        <f>L277-M277-R277-S277-T277-U277-V277-W277</f>
      </c>
      <c r="Z277" s="4">
        <f>(Y277-AB277)/J277*100</f>
      </c>
      <c r="AA277" s="4">
        <f>M277-X277</f>
      </c>
      <c r="AC277" s="4">
        <f>Y277-AB277</f>
      </c>
      <c r="AH277" t="s">
        <v>1</v>
      </c>
    </row>
    <row r="278" spans="1:34" x14ac:dyDescent="0.25">
      <c r="A278" s="8">
        <v>46188.5</v>
      </c>
      <c r="B278" t="s">
        <v>1968</v>
      </c>
      <c r="C278" t="s">
        <v>254</v>
      </c>
      <c r="D278" s="9" t="s">
        <v>1</v>
      </c>
      <c r="E278" t="s">
        <v>254</v>
      </c>
      <c r="F278" t="s">
        <v>1</v>
      </c>
      <c r="G278" t="s">
        <v>1</v>
      </c>
      <c r="H278" t="s">
        <v>61</v>
      </c>
      <c r="I278">
        <v>4</v>
      </c>
      <c r="J278" s="4">
        <v>3.2</v>
      </c>
      <c r="K278" s="4">
        <v>4.64</v>
      </c>
      <c r="L278" s="4">
        <f>K278-J278</f>
      </c>
      <c r="M278" s="4">
        <f>L278*16.67%</f>
      </c>
      <c r="N278" s="4">
        <f>(K278*6.9%)-(K278*6.9%)*10%</f>
      </c>
      <c r="O278" s="4">
        <f>K278*0.35%</f>
      </c>
      <c r="P278" s="4">
        <v>0.4</v>
      </c>
      <c r="Q278" s="4">
        <f>(N278+O278+P278)*20%</f>
      </c>
      <c r="R278" s="4">
        <f>N278+O278+P278+Q278</f>
      </c>
      <c r="S278" s="4">
        <v>0</v>
      </c>
      <c r="T278" s="4">
        <v>0</v>
      </c>
      <c r="U278" s="4">
        <v>0</v>
      </c>
      <c r="V278" s="4">
        <f>U278*20%</f>
      </c>
      <c r="W278" s="4">
        <v>0</v>
      </c>
      <c r="X278" s="4">
        <f>Q278+T278+V278</f>
      </c>
      <c r="Y278" s="4">
        <f>L278-M278-R278-S278-T278-U278-V278-W278</f>
      </c>
      <c r="Z278" s="4">
        <f>(Y278-AB278)/J278*100</f>
      </c>
      <c r="AA278" s="4">
        <f>M278-X278</f>
      </c>
      <c r="AC278" s="4">
        <f>Y278-AB278</f>
      </c>
      <c r="AH278" t="s">
        <v>1</v>
      </c>
    </row>
    <row r="279" spans="1:34" x14ac:dyDescent="0.25">
      <c r="A279" s="8">
        <v>46188.5</v>
      </c>
      <c r="B279" t="s">
        <v>1969</v>
      </c>
      <c r="C279" t="s">
        <v>1</v>
      </c>
      <c r="D279" s="9" t="s">
        <v>1</v>
      </c>
      <c r="E279" t="s">
        <v>1</v>
      </c>
      <c r="F279" t="s">
        <v>1</v>
      </c>
      <c r="G279" t="s">
        <v>1</v>
      </c>
      <c r="H279" t="s">
        <v>78</v>
      </c>
      <c r="I279">
        <v>1</v>
      </c>
      <c r="J279" s="4">
        <v>656</v>
      </c>
      <c r="K279" s="4">
        <v>767.52</v>
      </c>
      <c r="L279" s="4">
        <f>K279-J279</f>
      </c>
      <c r="M279" s="4">
        <f>L279*16.67%</f>
      </c>
      <c r="N279" s="4">
        <f>(K279*6.9%)-(K279*6.9%)*10%</f>
      </c>
      <c r="O279" s="4">
        <f>K279*0.35%</f>
      </c>
      <c r="P279" s="4">
        <v>0.4</v>
      </c>
      <c r="Q279" s="4">
        <f>(N279+O279+P279)*20%</f>
      </c>
      <c r="R279" s="4">
        <f>N279+O279+P279+Q279</f>
      </c>
      <c r="S279" s="4">
        <v>0</v>
      </c>
      <c r="T279" s="4">
        <v>0</v>
      </c>
      <c r="U279" s="4">
        <v>0</v>
      </c>
      <c r="V279" s="4">
        <f>U279*20%</f>
      </c>
      <c r="W279" s="4">
        <v>1</v>
      </c>
      <c r="X279" s="4">
        <f>Q279+T279+V279</f>
      </c>
      <c r="Y279" s="4">
        <f>L279-M279-R279-S279-T279-U279-V279-W279</f>
      </c>
      <c r="Z279" s="4">
        <f>(Y279-AB279)/J279*100</f>
      </c>
      <c r="AA279" s="4">
        <f>M279-X279</f>
      </c>
      <c r="AC279" s="4">
        <f>Y279-AB279</f>
      </c>
      <c r="AH279" t="s">
        <v>1</v>
      </c>
    </row>
    <row r="280" spans="1:34" x14ac:dyDescent="0.25">
      <c r="A280" s="8">
        <v>46187.5</v>
      </c>
      <c r="B280" t="s">
        <v>1970</v>
      </c>
      <c r="C280" t="s">
        <v>1</v>
      </c>
      <c r="D280" s="9" t="s">
        <v>1971</v>
      </c>
      <c r="E280" t="s">
        <v>69</v>
      </c>
      <c r="F280" t="s">
        <v>99</v>
      </c>
      <c r="G280" t="s">
        <v>60</v>
      </c>
      <c r="H280" t="s">
        <v>75</v>
      </c>
      <c r="I280">
        <v>1</v>
      </c>
      <c r="J280" s="4">
        <v>504</v>
      </c>
      <c r="K280" s="4">
        <v>680.4</v>
      </c>
      <c r="L280" s="4">
        <f>K280-J280</f>
      </c>
      <c r="M280" s="4">
        <f>L280*16.67%</f>
      </c>
      <c r="N280" s="4">
        <f>(K280*6.9%)-(K280*6.9%)*10%</f>
      </c>
      <c r="O280" s="4">
        <f>K280*0.35%</f>
      </c>
      <c r="P280" s="4">
        <v>0.4</v>
      </c>
      <c r="Q280" s="4">
        <f>(N280+O280+P280)*20%</f>
      </c>
      <c r="R280" s="4">
        <f>N280+O280+P280+Q280</f>
      </c>
      <c r="S280" s="4">
        <v>0</v>
      </c>
      <c r="T280" s="4">
        <v>0</v>
      </c>
      <c r="U280" s="4">
        <v>0</v>
      </c>
      <c r="V280" s="4">
        <f>U280*20%</f>
      </c>
      <c r="W280" s="4">
        <v>1</v>
      </c>
      <c r="X280" s="4">
        <f>Q280+T280+V280</f>
      </c>
      <c r="Y280" s="4">
        <f>L280-M280-R280-S280-T280-U280-V280-W280</f>
      </c>
      <c r="Z280" s="4">
        <f>(Y280-AB280)/J280*100</f>
      </c>
      <c r="AA280" s="4">
        <f>M280-X280</f>
      </c>
      <c r="AC280" s="4">
        <f>Y280-AB280</f>
      </c>
      <c r="AH280" t="s">
        <v>1</v>
      </c>
    </row>
    <row r="281" spans="1:34" x14ac:dyDescent="0.25">
      <c r="A281" s="8">
        <v>46187.5</v>
      </c>
      <c r="B281" t="s">
        <v>1972</v>
      </c>
      <c r="C281" t="s">
        <v>254</v>
      </c>
      <c r="D281" s="9" t="s">
        <v>1</v>
      </c>
      <c r="E281" t="s">
        <v>254</v>
      </c>
      <c r="F281" t="s">
        <v>1</v>
      </c>
      <c r="G281" t="s">
        <v>1</v>
      </c>
      <c r="H281" t="s">
        <v>61</v>
      </c>
      <c r="I281">
        <v>3</v>
      </c>
      <c r="J281" s="4">
        <v>2.4</v>
      </c>
      <c r="K281" s="4">
        <v>2.81</v>
      </c>
      <c r="L281" s="4">
        <f>K281-J281</f>
      </c>
      <c r="M281" s="4">
        <f>L281*16.67%</f>
      </c>
      <c r="N281" s="4">
        <f>(K281*6.9%)-(K281*6.9%)*10%</f>
      </c>
      <c r="O281" s="4">
        <f>K281*0.35%</f>
      </c>
      <c r="P281" s="4">
        <v>0.4</v>
      </c>
      <c r="Q281" s="4">
        <f>(N281+O281+P281)*20%</f>
      </c>
      <c r="R281" s="4">
        <f>N281+O281+P281+Q281</f>
      </c>
      <c r="S281" s="4">
        <v>0</v>
      </c>
      <c r="T281" s="4">
        <v>0</v>
      </c>
      <c r="U281" s="4">
        <v>0</v>
      </c>
      <c r="V281" s="4">
        <f>U281*20%</f>
      </c>
      <c r="W281" s="4">
        <v>0</v>
      </c>
      <c r="X281" s="4">
        <f>Q281+T281+V281</f>
      </c>
      <c r="Y281" s="4">
        <f>L281-M281-R281-S281-T281-U281-V281-W281</f>
      </c>
      <c r="Z281" s="4">
        <f>(Y281-AB281)/J281*100</f>
      </c>
      <c r="AA281" s="4">
        <f>M281-X281</f>
      </c>
      <c r="AC281" s="4">
        <f>Y281-AB281</f>
      </c>
      <c r="AH281" t="s">
        <v>1</v>
      </c>
    </row>
    <row r="282" spans="1:34" x14ac:dyDescent="0.25">
      <c r="A282" s="8">
        <v>46187.5</v>
      </c>
      <c r="B282" t="s">
        <v>1973</v>
      </c>
      <c r="C282" t="s">
        <v>254</v>
      </c>
      <c r="D282" s="9" t="s">
        <v>1</v>
      </c>
      <c r="E282" t="s">
        <v>254</v>
      </c>
      <c r="F282" t="s">
        <v>1</v>
      </c>
      <c r="G282" t="s">
        <v>1</v>
      </c>
      <c r="H282" t="s">
        <v>61</v>
      </c>
      <c r="I282">
        <v>4</v>
      </c>
      <c r="J282" s="4">
        <v>3.2</v>
      </c>
      <c r="K282" s="4">
        <v>4.42</v>
      </c>
      <c r="L282" s="4">
        <f>K282-J282</f>
      </c>
      <c r="M282" s="4">
        <f>L282*16.67%</f>
      </c>
      <c r="N282" s="4">
        <f>(K282*6.9%)-(K282*6.9%)*10%</f>
      </c>
      <c r="O282" s="4">
        <f>K282*0.35%</f>
      </c>
      <c r="P282" s="4">
        <v>0.4</v>
      </c>
      <c r="Q282" s="4">
        <f>(N282+O282+P282)*20%</f>
      </c>
      <c r="R282" s="4">
        <f>N282+O282+P282+Q282</f>
      </c>
      <c r="S282" s="4">
        <v>0</v>
      </c>
      <c r="T282" s="4">
        <v>0</v>
      </c>
      <c r="U282" s="4">
        <v>0</v>
      </c>
      <c r="V282" s="4">
        <f>U282*20%</f>
      </c>
      <c r="W282" s="4">
        <v>0</v>
      </c>
      <c r="X282" s="4">
        <f>Q282+T282+V282</f>
      </c>
      <c r="Y282" s="4">
        <f>L282-M282-R282-S282-T282-U282-V282-W282</f>
      </c>
      <c r="Z282" s="4">
        <f>(Y282-AB282)/J282*100</f>
      </c>
      <c r="AA282" s="4">
        <f>M282-X282</f>
      </c>
      <c r="AC282" s="4">
        <f>Y282-AB282</f>
      </c>
      <c r="AH282" t="s">
        <v>1</v>
      </c>
    </row>
    <row r="283" spans="1:34" x14ac:dyDescent="0.25">
      <c r="A283" s="8">
        <v>46187.5</v>
      </c>
      <c r="B283" t="s">
        <v>1974</v>
      </c>
      <c r="C283" t="s">
        <v>182</v>
      </c>
      <c r="D283" s="9" t="s">
        <v>1</v>
      </c>
      <c r="E283" t="s">
        <v>182</v>
      </c>
      <c r="F283" t="s">
        <v>1</v>
      </c>
      <c r="G283" t="s">
        <v>1</v>
      </c>
      <c r="H283" t="s">
        <v>75</v>
      </c>
      <c r="I283">
        <v>1</v>
      </c>
      <c r="J283" s="4">
        <v>1.9</v>
      </c>
      <c r="K283" s="4">
        <v>2.56</v>
      </c>
      <c r="L283" s="4">
        <f>K283-J283</f>
      </c>
      <c r="M283" s="4">
        <f>L283*16.67%</f>
      </c>
      <c r="N283" s="4">
        <f>(K283*6.9%)-(K283*6.9%)*10%</f>
      </c>
      <c r="O283" s="4">
        <f>K283*0.35%</f>
      </c>
      <c r="P283" s="4">
        <v>0.4</v>
      </c>
      <c r="Q283" s="4">
        <f>(N283+O283+P283)*20%</f>
      </c>
      <c r="R283" s="4">
        <f>N283+O283+P283+Q283</f>
      </c>
      <c r="S283" s="4">
        <v>0</v>
      </c>
      <c r="T283" s="4">
        <v>0</v>
      </c>
      <c r="U283" s="4">
        <v>0</v>
      </c>
      <c r="V283" s="4">
        <f>U283*20%</f>
      </c>
      <c r="W283" s="4">
        <v>0</v>
      </c>
      <c r="X283" s="4">
        <f>Q283+T283+V283</f>
      </c>
      <c r="Y283" s="4">
        <f>L283-M283-R283-S283-T283-U283-V283-W283</f>
      </c>
      <c r="Z283" s="4">
        <f>(Y283-AB283)/J283*100</f>
      </c>
      <c r="AA283" s="4">
        <f>M283-X283</f>
      </c>
      <c r="AC283" s="4">
        <f>Y283-AB283</f>
      </c>
      <c r="AH283" t="s">
        <v>1</v>
      </c>
    </row>
    <row r="284" spans="1:34" x14ac:dyDescent="0.25">
      <c r="A284" s="8">
        <v>46187.5</v>
      </c>
      <c r="B284" t="s">
        <v>1975</v>
      </c>
      <c r="C284" t="s">
        <v>1</v>
      </c>
      <c r="D284" s="9" t="s">
        <v>1</v>
      </c>
      <c r="E284" t="s">
        <v>1</v>
      </c>
      <c r="F284" t="s">
        <v>1</v>
      </c>
      <c r="G284" t="s">
        <v>1</v>
      </c>
      <c r="H284" t="s">
        <v>61</v>
      </c>
      <c r="I284">
        <v>1</v>
      </c>
      <c r="J284" s="4">
        <v>101</v>
      </c>
      <c r="K284" s="4">
        <v>125.24</v>
      </c>
      <c r="L284" s="4">
        <f>K284-J284</f>
      </c>
      <c r="M284" s="4">
        <f>L284*16.67%</f>
      </c>
      <c r="N284" s="4">
        <f>(K284*6.9%)-(K284*6.9%)*10%</f>
      </c>
      <c r="O284" s="4">
        <f>K284*0.35%</f>
      </c>
      <c r="P284" s="4">
        <v>0.4</v>
      </c>
      <c r="Q284" s="4">
        <f>(N284+O284+P284)*20%</f>
      </c>
      <c r="R284" s="4">
        <f>N284+O284+P284+Q284</f>
      </c>
      <c r="S284" s="4">
        <v>0</v>
      </c>
      <c r="T284" s="4">
        <v>0</v>
      </c>
      <c r="U284" s="4">
        <v>0</v>
      </c>
      <c r="V284" s="4">
        <f>U284*20%</f>
      </c>
      <c r="W284" s="4">
        <v>1</v>
      </c>
      <c r="X284" s="4">
        <f>Q284+T284+V284</f>
      </c>
      <c r="Y284" s="4">
        <f>L284-M284-R284-S284-T284-U284-V284-W284</f>
      </c>
      <c r="Z284" s="4">
        <f>(Y284-AB284)/J284*100</f>
      </c>
      <c r="AA284" s="4">
        <f>M284-X284</f>
      </c>
      <c r="AC284" s="4">
        <f>Y284-AB284</f>
      </c>
      <c r="AH284" t="s">
        <v>1</v>
      </c>
    </row>
    <row r="285" spans="1:34" x14ac:dyDescent="0.25">
      <c r="A285" s="8">
        <v>46186.5</v>
      </c>
      <c r="B285" t="s">
        <v>1976</v>
      </c>
      <c r="C285" t="s">
        <v>1</v>
      </c>
      <c r="D285" s="9" t="s">
        <v>1977</v>
      </c>
      <c r="E285" t="s">
        <v>58</v>
      </c>
      <c r="F285" t="s">
        <v>99</v>
      </c>
      <c r="G285" t="s">
        <v>60</v>
      </c>
      <c r="H285" t="s">
        <v>78</v>
      </c>
      <c r="I285">
        <v>1</v>
      </c>
      <c r="J285" s="4">
        <v>456</v>
      </c>
      <c r="K285" s="4">
        <v>551.76</v>
      </c>
      <c r="L285" s="4">
        <f>K285-J285</f>
      </c>
      <c r="M285" s="4">
        <f>L285*16.67%</f>
      </c>
      <c r="N285" s="4">
        <f>(K285*6.9%)-(K285*6.9%)*10%</f>
      </c>
      <c r="O285" s="4">
        <f>K285*0.35%</f>
      </c>
      <c r="P285" s="4">
        <v>0.4</v>
      </c>
      <c r="Q285" s="4">
        <f>(N285+O285+P285)*20%</f>
      </c>
      <c r="R285" s="4">
        <f>N285+O285+P285+Q285</f>
      </c>
      <c r="S285" s="4">
        <v>0</v>
      </c>
      <c r="T285" s="4">
        <v>0</v>
      </c>
      <c r="U285" s="4">
        <v>0</v>
      </c>
      <c r="V285" s="4">
        <f>U285*20%</f>
      </c>
      <c r="W285" s="4">
        <v>1</v>
      </c>
      <c r="X285" s="4">
        <f>Q285+T285+V285</f>
      </c>
      <c r="Y285" s="4">
        <f>L285-M285-R285-S285-T285-U285-V285-W285</f>
      </c>
      <c r="Z285" s="4">
        <f>(Y285-AB285)/J285*100</f>
      </c>
      <c r="AA285" s="4">
        <f>M285-X285</f>
      </c>
      <c r="AC285" s="4">
        <f>Y285-AB285</f>
      </c>
      <c r="AH285" t="s">
        <v>1</v>
      </c>
    </row>
    <row r="286" spans="1:34" x14ac:dyDescent="0.25">
      <c r="A286" s="8">
        <v>46186.5</v>
      </c>
      <c r="B286" t="s">
        <v>1978</v>
      </c>
      <c r="C286" t="s">
        <v>1</v>
      </c>
      <c r="D286" s="9" t="s">
        <v>1979</v>
      </c>
      <c r="E286" t="s">
        <v>73</v>
      </c>
      <c r="F286" t="s">
        <v>88</v>
      </c>
      <c r="G286" t="s">
        <v>60</v>
      </c>
      <c r="H286" t="s">
        <v>102</v>
      </c>
      <c r="I286">
        <v>1</v>
      </c>
      <c r="J286" s="4">
        <v>337</v>
      </c>
      <c r="K286" s="4">
        <v>475.17</v>
      </c>
      <c r="L286" s="4">
        <f>K286-J286</f>
      </c>
      <c r="M286" s="4">
        <f>L286*16.67%</f>
      </c>
      <c r="N286" s="4">
        <f>(K286*6.9%)-(K286*6.9%)*10%</f>
      </c>
      <c r="O286" s="4">
        <f>K286*0.35%</f>
      </c>
      <c r="P286" s="4">
        <v>0.4</v>
      </c>
      <c r="Q286" s="4">
        <f>(N286+O286+P286)*20%</f>
      </c>
      <c r="R286" s="4">
        <f>N286+O286+P286+Q286</f>
      </c>
      <c r="S286" s="4">
        <v>0</v>
      </c>
      <c r="T286" s="4">
        <v>0</v>
      </c>
      <c r="U286" s="4">
        <v>0</v>
      </c>
      <c r="V286" s="4">
        <f>U286*20%</f>
      </c>
      <c r="W286" s="4">
        <v>1</v>
      </c>
      <c r="X286" s="4">
        <f>Q286+T286+V286</f>
      </c>
      <c r="Y286" s="4">
        <f>L286-M286-R286-S286-T286-U286-V286-W286</f>
      </c>
      <c r="Z286" s="4">
        <f>(Y286-AB286)/J286*100</f>
      </c>
      <c r="AA286" s="4">
        <f>M286-X286</f>
      </c>
      <c r="AC286" s="4">
        <f>Y286-AB286</f>
      </c>
      <c r="AH286" t="s">
        <v>1</v>
      </c>
    </row>
    <row r="287" spans="1:34" x14ac:dyDescent="0.25">
      <c r="A287" s="8">
        <v>46186.5</v>
      </c>
      <c r="B287" t="s">
        <v>1980</v>
      </c>
      <c r="C287" t="s">
        <v>1</v>
      </c>
      <c r="D287" s="9" t="s">
        <v>1981</v>
      </c>
      <c r="E287" t="s">
        <v>98</v>
      </c>
      <c r="F287" t="s">
        <v>59</v>
      </c>
      <c r="G287" t="s">
        <v>60</v>
      </c>
      <c r="H287" t="s">
        <v>75</v>
      </c>
      <c r="I287">
        <v>1</v>
      </c>
      <c r="J287" s="4">
        <v>320</v>
      </c>
      <c r="K287" s="4">
        <v>368</v>
      </c>
      <c r="L287" s="4">
        <f>K287-J287</f>
      </c>
      <c r="M287" s="4">
        <f>L287*16.67%</f>
      </c>
      <c r="N287" s="4">
        <f>(K287*6.9%)-(K287*6.9%)*10%</f>
      </c>
      <c r="O287" s="4">
        <f>K287*0.35%</f>
      </c>
      <c r="P287" s="4">
        <v>0.4</v>
      </c>
      <c r="Q287" s="4">
        <f>(N287+O287+P287)*20%</f>
      </c>
      <c r="R287" s="4">
        <f>N287+O287+P287+Q287</f>
      </c>
      <c r="S287" s="4">
        <v>0</v>
      </c>
      <c r="T287" s="4">
        <v>0</v>
      </c>
      <c r="U287" s="4">
        <v>0</v>
      </c>
      <c r="V287" s="4">
        <f>U287*20%</f>
      </c>
      <c r="W287" s="4">
        <v>1</v>
      </c>
      <c r="X287" s="4">
        <f>Q287+T287+V287</f>
      </c>
      <c r="Y287" s="4">
        <f>L287-M287-R287-S287-T287-U287-V287-W287</f>
      </c>
      <c r="Z287" s="4">
        <f>(Y287-AB287)/J287*100</f>
      </c>
      <c r="AA287" s="4">
        <f>M287-X287</f>
      </c>
      <c r="AC287" s="4">
        <f>Y287-AB287</f>
      </c>
      <c r="AH287" t="s">
        <v>1</v>
      </c>
    </row>
    <row r="288" spans="1:34" x14ac:dyDescent="0.25">
      <c r="A288" s="8">
        <v>46186.5</v>
      </c>
      <c r="B288" t="s">
        <v>1982</v>
      </c>
      <c r="C288" t="s">
        <v>1</v>
      </c>
      <c r="D288" s="9" t="s">
        <v>1983</v>
      </c>
      <c r="E288" t="s">
        <v>172</v>
      </c>
      <c r="F288" t="s">
        <v>85</v>
      </c>
      <c r="G288" t="s">
        <v>65</v>
      </c>
      <c r="H288" t="s">
        <v>66</v>
      </c>
      <c r="I288">
        <v>1</v>
      </c>
      <c r="J288" s="4">
        <v>140</v>
      </c>
      <c r="K288" s="4">
        <v>179.2</v>
      </c>
      <c r="L288" s="4">
        <f>K288-J288</f>
      </c>
      <c r="M288" s="4">
        <f>L288*16.67%</f>
      </c>
      <c r="N288" s="4">
        <f>(K288*6.9%)-(K288*6.9%)*10%</f>
      </c>
      <c r="O288" s="4">
        <f>K288*0.35%</f>
      </c>
      <c r="P288" s="4">
        <v>0.4</v>
      </c>
      <c r="Q288" s="4">
        <f>(N288+O288+P288)*20%</f>
      </c>
      <c r="R288" s="4">
        <f>N288+O288+P288+Q288</f>
      </c>
      <c r="S288" s="4">
        <v>0</v>
      </c>
      <c r="T288" s="4">
        <v>0</v>
      </c>
      <c r="U288" s="4">
        <v>0</v>
      </c>
      <c r="V288" s="4">
        <f>U288*20%</f>
      </c>
      <c r="W288" s="4">
        <v>1</v>
      </c>
      <c r="X288" s="4">
        <f>Q288+T288+V288</f>
      </c>
      <c r="Y288" s="4">
        <f>L288-M288-R288-S288-T288-U288-V288-W288</f>
      </c>
      <c r="Z288" s="4">
        <f>(Y288-AB288)/J288*100</f>
      </c>
      <c r="AA288" s="4">
        <f>M288-X288</f>
      </c>
      <c r="AC288" s="4">
        <f>Y288-AB288</f>
      </c>
      <c r="AH288" t="s">
        <v>1</v>
      </c>
    </row>
    <row r="289" spans="1:34" x14ac:dyDescent="0.25">
      <c r="A289" s="8">
        <v>46186.5</v>
      </c>
      <c r="B289" t="s">
        <v>1984</v>
      </c>
      <c r="C289" t="s">
        <v>1</v>
      </c>
      <c r="D289" s="9" t="s">
        <v>1985</v>
      </c>
      <c r="E289" t="s">
        <v>134</v>
      </c>
      <c r="F289" t="s">
        <v>74</v>
      </c>
      <c r="G289" t="s">
        <v>65</v>
      </c>
      <c r="H289" t="s">
        <v>61</v>
      </c>
      <c r="I289">
        <v>1</v>
      </c>
      <c r="J289" s="4">
        <v>119</v>
      </c>
      <c r="K289" s="4">
        <v>168.98</v>
      </c>
      <c r="L289" s="4">
        <f>K289-J289</f>
      </c>
      <c r="M289" s="4">
        <f>L289*16.67%</f>
      </c>
      <c r="N289" s="4">
        <f>(K289*6.9%)-(K289*6.9%)*10%</f>
      </c>
      <c r="O289" s="4">
        <f>K289*0.35%</f>
      </c>
      <c r="P289" s="4">
        <v>0.4</v>
      </c>
      <c r="Q289" s="4">
        <f>(N289+O289+P289)*20%</f>
      </c>
      <c r="R289" s="4">
        <f>N289+O289+P289+Q289</f>
      </c>
      <c r="S289" s="4">
        <v>0</v>
      </c>
      <c r="T289" s="4">
        <v>0</v>
      </c>
      <c r="U289" s="4">
        <v>0</v>
      </c>
      <c r="V289" s="4">
        <f>U289*20%</f>
      </c>
      <c r="W289" s="4">
        <v>1</v>
      </c>
      <c r="X289" s="4">
        <f>Q289+T289+V289</f>
      </c>
      <c r="Y289" s="4">
        <f>L289-M289-R289-S289-T289-U289-V289-W289</f>
      </c>
      <c r="Z289" s="4">
        <f>(Y289-AB289)/J289*100</f>
      </c>
      <c r="AA289" s="4">
        <f>M289-X289</f>
      </c>
      <c r="AC289" s="4">
        <f>Y289-AB289</f>
      </c>
      <c r="AH289" t="s">
        <v>1</v>
      </c>
    </row>
    <row r="290" spans="1:34" x14ac:dyDescent="0.25">
      <c r="A290" s="8">
        <v>46186.5</v>
      </c>
      <c r="B290" t="s">
        <v>1986</v>
      </c>
      <c r="C290" t="s">
        <v>177</v>
      </c>
      <c r="D290" s="9" t="s">
        <v>1</v>
      </c>
      <c r="E290" t="s">
        <v>177</v>
      </c>
      <c r="F290" t="s">
        <v>1</v>
      </c>
      <c r="G290" t="s">
        <v>1</v>
      </c>
      <c r="H290" t="s">
        <v>78</v>
      </c>
      <c r="I290">
        <v>4</v>
      </c>
      <c r="J290" s="4">
        <v>0.6</v>
      </c>
      <c r="K290" s="4">
        <v>0.85</v>
      </c>
      <c r="L290" s="4">
        <f>K290-J290</f>
      </c>
      <c r="M290" s="4">
        <f>L290*16.67%</f>
      </c>
      <c r="N290" s="4">
        <f>(K290*6.9%)-(K290*6.9%)*10%</f>
      </c>
      <c r="O290" s="4">
        <f>K290*0.35%</f>
      </c>
      <c r="P290" s="4">
        <v>0.4</v>
      </c>
      <c r="Q290" s="4">
        <f>(N290+O290+P290)*20%</f>
      </c>
      <c r="R290" s="4">
        <f>N290+O290+P290+Q290</f>
      </c>
      <c r="S290" s="4">
        <v>0</v>
      </c>
      <c r="T290" s="4">
        <v>0</v>
      </c>
      <c r="U290" s="4">
        <v>0</v>
      </c>
      <c r="V290" s="4">
        <f>U290*20%</f>
      </c>
      <c r="W290" s="4">
        <v>0</v>
      </c>
      <c r="X290" s="4">
        <f>Q290+T290+V290</f>
      </c>
      <c r="Y290" s="4">
        <f>L290-M290-R290-S290-T290-U290-V290-W290</f>
      </c>
      <c r="Z290" s="4">
        <f>(Y290-AB290)/J290*100</f>
      </c>
      <c r="AA290" s="4">
        <f>M290-X290</f>
      </c>
      <c r="AC290" s="4">
        <f>Y290-AB290</f>
      </c>
      <c r="AH290" t="s">
        <v>1</v>
      </c>
    </row>
    <row r="291" spans="1:34" x14ac:dyDescent="0.25">
      <c r="A291" s="8">
        <v>46185.5</v>
      </c>
      <c r="B291" t="s">
        <v>1987</v>
      </c>
      <c r="C291" t="s">
        <v>1</v>
      </c>
      <c r="D291" s="9" t="s">
        <v>1988</v>
      </c>
      <c r="E291" t="s">
        <v>73</v>
      </c>
      <c r="F291" t="s">
        <v>74</v>
      </c>
      <c r="G291" t="s">
        <v>60</v>
      </c>
      <c r="H291" t="s">
        <v>78</v>
      </c>
      <c r="I291">
        <v>1</v>
      </c>
      <c r="J291" s="4">
        <v>371</v>
      </c>
      <c r="K291" s="4">
        <v>534.24</v>
      </c>
      <c r="L291" s="4">
        <f>K291-J291</f>
      </c>
      <c r="M291" s="4">
        <f>L291*16.67%</f>
      </c>
      <c r="N291" s="4">
        <f>(K291*6.9%)-(K291*6.9%)*10%</f>
      </c>
      <c r="O291" s="4">
        <f>K291*0.35%</f>
      </c>
      <c r="P291" s="4">
        <v>0.4</v>
      </c>
      <c r="Q291" s="4">
        <f>(N291+O291+P291)*20%</f>
      </c>
      <c r="R291" s="4">
        <f>N291+O291+P291+Q291</f>
      </c>
      <c r="S291" s="4">
        <v>0</v>
      </c>
      <c r="T291" s="4">
        <v>0</v>
      </c>
      <c r="U291" s="4">
        <v>0</v>
      </c>
      <c r="V291" s="4">
        <f>U291*20%</f>
      </c>
      <c r="W291" s="4">
        <v>1</v>
      </c>
      <c r="X291" s="4">
        <f>Q291+T291+V291</f>
      </c>
      <c r="Y291" s="4">
        <f>L291-M291-R291-S291-T291-U291-V291-W291</f>
      </c>
      <c r="Z291" s="4">
        <f>(Y291-AB291)/J291*100</f>
      </c>
      <c r="AA291" s="4">
        <f>M291-X291</f>
      </c>
      <c r="AC291" s="4">
        <f>Y291-AB291</f>
      </c>
      <c r="AH291" t="s">
        <v>1</v>
      </c>
    </row>
    <row r="292" spans="1:34" x14ac:dyDescent="0.25">
      <c r="A292" s="8">
        <v>46185.5</v>
      </c>
      <c r="B292" t="s">
        <v>1989</v>
      </c>
      <c r="C292" t="s">
        <v>1</v>
      </c>
      <c r="D292" s="9" t="s">
        <v>1990</v>
      </c>
      <c r="E292" t="s">
        <v>114</v>
      </c>
      <c r="F292" t="s">
        <v>70</v>
      </c>
      <c r="G292" t="s">
        <v>95</v>
      </c>
      <c r="H292" t="s">
        <v>102</v>
      </c>
      <c r="I292">
        <v>1</v>
      </c>
      <c r="J292" s="4">
        <v>194</v>
      </c>
      <c r="K292" s="4">
        <v>232.8</v>
      </c>
      <c r="L292" s="4">
        <f>K292-J292</f>
      </c>
      <c r="M292" s="4">
        <f>L292*16.67%</f>
      </c>
      <c r="N292" s="4">
        <f>(K292*6.9%)-(K292*6.9%)*10%</f>
      </c>
      <c r="O292" s="4">
        <f>K292*0.35%</f>
      </c>
      <c r="P292" s="4">
        <v>0.4</v>
      </c>
      <c r="Q292" s="4">
        <f>(N292+O292+P292)*20%</f>
      </c>
      <c r="R292" s="4">
        <f>N292+O292+P292+Q292</f>
      </c>
      <c r="S292" s="4">
        <v>0</v>
      </c>
      <c r="T292" s="4">
        <v>0</v>
      </c>
      <c r="U292" s="4">
        <v>0</v>
      </c>
      <c r="V292" s="4">
        <f>U292*20%</f>
      </c>
      <c r="W292" s="4">
        <v>1</v>
      </c>
      <c r="X292" s="4">
        <f>Q292+T292+V292</f>
      </c>
      <c r="Y292" s="4">
        <f>L292-M292-R292-S292-T292-U292-V292-W292</f>
      </c>
      <c r="Z292" s="4">
        <f>(Y292-AB292)/J292*100</f>
      </c>
      <c r="AA292" s="4">
        <f>M292-X292</f>
      </c>
      <c r="AC292" s="4">
        <f>Y292-AB292</f>
      </c>
      <c r="AH292" t="s">
        <v>1</v>
      </c>
    </row>
    <row r="293" spans="1:34" x14ac:dyDescent="0.25">
      <c r="A293" s="8">
        <v>46185.5</v>
      </c>
      <c r="B293" t="s">
        <v>1991</v>
      </c>
      <c r="C293" t="s">
        <v>1</v>
      </c>
      <c r="D293" s="9" t="s">
        <v>1992</v>
      </c>
      <c r="E293" t="s">
        <v>58</v>
      </c>
      <c r="F293" t="s">
        <v>88</v>
      </c>
      <c r="G293" t="s">
        <v>60</v>
      </c>
      <c r="H293" t="s">
        <v>102</v>
      </c>
      <c r="I293">
        <v>1</v>
      </c>
      <c r="J293" s="4">
        <v>458</v>
      </c>
      <c r="K293" s="4">
        <v>645.78</v>
      </c>
      <c r="L293" s="4">
        <f>K293-J293</f>
      </c>
      <c r="M293" s="4">
        <f>L293*16.67%</f>
      </c>
      <c r="N293" s="4">
        <f>(K293*6.9%)-(K293*6.9%)*10%</f>
      </c>
      <c r="O293" s="4">
        <f>K293*0.35%</f>
      </c>
      <c r="P293" s="4">
        <v>0.4</v>
      </c>
      <c r="Q293" s="4">
        <f>(N293+O293+P293)*20%</f>
      </c>
      <c r="R293" s="4">
        <f>N293+O293+P293+Q293</f>
      </c>
      <c r="S293" s="4">
        <v>0</v>
      </c>
      <c r="T293" s="4">
        <v>0</v>
      </c>
      <c r="U293" s="4">
        <v>0</v>
      </c>
      <c r="V293" s="4">
        <f>U293*20%</f>
      </c>
      <c r="W293" s="4">
        <v>1</v>
      </c>
      <c r="X293" s="4">
        <f>Q293+T293+V293</f>
      </c>
      <c r="Y293" s="4">
        <f>L293-M293-R293-S293-T293-U293-V293-W293</f>
      </c>
      <c r="Z293" s="4">
        <f>(Y293-AB293)/J293*100</f>
      </c>
      <c r="AA293" s="4">
        <f>M293-X293</f>
      </c>
      <c r="AC293" s="4">
        <f>Y293-AB293</f>
      </c>
      <c r="AH293" t="s">
        <v>1</v>
      </c>
    </row>
    <row r="294" spans="1:34" x14ac:dyDescent="0.25">
      <c r="A294" s="8">
        <v>46185.5</v>
      </c>
      <c r="B294" t="s">
        <v>1993</v>
      </c>
      <c r="C294" t="s">
        <v>1</v>
      </c>
      <c r="D294" s="9" t="s">
        <v>1994</v>
      </c>
      <c r="E294" t="s">
        <v>292</v>
      </c>
      <c r="F294" t="s">
        <v>59</v>
      </c>
      <c r="G294" t="s">
        <v>126</v>
      </c>
      <c r="H294" t="s">
        <v>78</v>
      </c>
      <c r="I294">
        <v>1</v>
      </c>
      <c r="J294" s="4">
        <v>179</v>
      </c>
      <c r="K294" s="4">
        <v>220.17</v>
      </c>
      <c r="L294" s="4">
        <f>K294-J294</f>
      </c>
      <c r="M294" s="4">
        <f>L294*16.67%</f>
      </c>
      <c r="N294" s="4">
        <f>(K294*6.9%)-(K294*6.9%)*10%</f>
      </c>
      <c r="O294" s="4">
        <f>K294*0.35%</f>
      </c>
      <c r="P294" s="4">
        <v>0.4</v>
      </c>
      <c r="Q294" s="4">
        <f>(N294+O294+P294)*20%</f>
      </c>
      <c r="R294" s="4">
        <f>N294+O294+P294+Q294</f>
      </c>
      <c r="S294" s="4">
        <v>0</v>
      </c>
      <c r="T294" s="4">
        <v>0</v>
      </c>
      <c r="U294" s="4">
        <v>0</v>
      </c>
      <c r="V294" s="4">
        <f>U294*20%</f>
      </c>
      <c r="W294" s="4">
        <v>1</v>
      </c>
      <c r="X294" s="4">
        <f>Q294+T294+V294</f>
      </c>
      <c r="Y294" s="4">
        <f>L294-M294-R294-S294-T294-U294-V294-W294</f>
      </c>
      <c r="Z294" s="4">
        <f>(Y294-AB294)/J294*100</f>
      </c>
      <c r="AA294" s="4">
        <f>M294-X294</f>
      </c>
      <c r="AC294" s="4">
        <f>Y294-AB294</f>
      </c>
      <c r="AH294" t="s">
        <v>1</v>
      </c>
    </row>
    <row r="295" spans="1:34" x14ac:dyDescent="0.25">
      <c r="A295" s="8">
        <v>46185.5</v>
      </c>
      <c r="B295" t="s">
        <v>1995</v>
      </c>
      <c r="C295" t="s">
        <v>1</v>
      </c>
      <c r="D295" s="9" t="s">
        <v>1996</v>
      </c>
      <c r="E295" t="s">
        <v>94</v>
      </c>
      <c r="F295" t="s">
        <v>85</v>
      </c>
      <c r="G295" t="s">
        <v>95</v>
      </c>
      <c r="H295" t="s">
        <v>61</v>
      </c>
      <c r="I295">
        <v>1</v>
      </c>
      <c r="J295" s="4">
        <v>89</v>
      </c>
      <c r="K295" s="4">
        <v>128.16</v>
      </c>
      <c r="L295" s="4">
        <f>K295-J295</f>
      </c>
      <c r="M295" s="4">
        <f>L295*16.67%</f>
      </c>
      <c r="N295" s="4">
        <f>(K295*6.9%)-(K295*6.9%)*10%</f>
      </c>
      <c r="O295" s="4">
        <f>K295*0.35%</f>
      </c>
      <c r="P295" s="4">
        <v>0.4</v>
      </c>
      <c r="Q295" s="4">
        <f>(N295+O295+P295)*20%</f>
      </c>
      <c r="R295" s="4">
        <f>N295+O295+P295+Q295</f>
      </c>
      <c r="S295" s="4">
        <v>0</v>
      </c>
      <c r="T295" s="4">
        <v>0</v>
      </c>
      <c r="U295" s="4">
        <v>0</v>
      </c>
      <c r="V295" s="4">
        <f>U295*20%</f>
      </c>
      <c r="W295" s="4">
        <v>1</v>
      </c>
      <c r="X295" s="4">
        <f>Q295+T295+V295</f>
      </c>
      <c r="Y295" s="4">
        <f>L295-M295-R295-S295-T295-U295-V295-W295</f>
      </c>
      <c r="Z295" s="4">
        <f>(Y295-AB295)/J295*100</f>
      </c>
      <c r="AA295" s="4">
        <f>M295-X295</f>
      </c>
      <c r="AC295" s="4">
        <f>Y295-AB295</f>
      </c>
      <c r="AH295" t="s">
        <v>1</v>
      </c>
    </row>
    <row r="296" spans="1:34" x14ac:dyDescent="0.25">
      <c r="A296" s="8">
        <v>46185.5</v>
      </c>
      <c r="B296" t="s">
        <v>1997</v>
      </c>
      <c r="C296" t="s">
        <v>1</v>
      </c>
      <c r="D296" s="9" t="s">
        <v>1998</v>
      </c>
      <c r="E296" t="s">
        <v>114</v>
      </c>
      <c r="F296" t="s">
        <v>74</v>
      </c>
      <c r="G296" t="s">
        <v>60</v>
      </c>
      <c r="H296" t="s">
        <v>66</v>
      </c>
      <c r="I296">
        <v>1</v>
      </c>
      <c r="J296" s="4">
        <v>190</v>
      </c>
      <c r="K296" s="4">
        <v>231.8</v>
      </c>
      <c r="L296" s="4">
        <f>K296-J296</f>
      </c>
      <c r="M296" s="4">
        <f>L296*16.67%</f>
      </c>
      <c r="N296" s="4">
        <f>(K296*6.9%)-(K296*6.9%)*10%</f>
      </c>
      <c r="O296" s="4">
        <f>K296*0.35%</f>
      </c>
      <c r="P296" s="4">
        <v>0.4</v>
      </c>
      <c r="Q296" s="4">
        <f>(N296+O296+P296)*20%</f>
      </c>
      <c r="R296" s="4">
        <f>N296+O296+P296+Q296</f>
      </c>
      <c r="S296" s="4">
        <v>0</v>
      </c>
      <c r="T296" s="4">
        <v>0</v>
      </c>
      <c r="U296" s="4">
        <v>0</v>
      </c>
      <c r="V296" s="4">
        <f>U296*20%</f>
      </c>
      <c r="W296" s="4">
        <v>1</v>
      </c>
      <c r="X296" s="4">
        <f>Q296+T296+V296</f>
      </c>
      <c r="Y296" s="4">
        <f>L296-M296-R296-S296-T296-U296-V296-W296</f>
      </c>
      <c r="Z296" s="4">
        <f>(Y296-AB296)/J296*100</f>
      </c>
      <c r="AA296" s="4">
        <f>M296-X296</f>
      </c>
      <c r="AC296" s="4">
        <f>Y296-AB296</f>
      </c>
      <c r="AH296" t="s">
        <v>1</v>
      </c>
    </row>
    <row r="297" spans="1:34" x14ac:dyDescent="0.25">
      <c r="A297" s="8">
        <v>46185.5</v>
      </c>
      <c r="B297" t="s">
        <v>1999</v>
      </c>
      <c r="C297" t="s">
        <v>254</v>
      </c>
      <c r="D297" s="9" t="s">
        <v>1</v>
      </c>
      <c r="E297" t="s">
        <v>254</v>
      </c>
      <c r="F297" t="s">
        <v>1</v>
      </c>
      <c r="G297" t="s">
        <v>1</v>
      </c>
      <c r="H297" t="s">
        <v>61</v>
      </c>
      <c r="I297">
        <v>4</v>
      </c>
      <c r="J297" s="4">
        <v>3.2</v>
      </c>
      <c r="K297" s="4">
        <v>3.94</v>
      </c>
      <c r="L297" s="4">
        <f>K297-J297</f>
      </c>
      <c r="M297" s="4">
        <f>L297*16.67%</f>
      </c>
      <c r="N297" s="4">
        <f>(K297*6.9%)-(K297*6.9%)*10%</f>
      </c>
      <c r="O297" s="4">
        <f>K297*0.35%</f>
      </c>
      <c r="P297" s="4">
        <v>0.4</v>
      </c>
      <c r="Q297" s="4">
        <f>(N297+O297+P297)*20%</f>
      </c>
      <c r="R297" s="4">
        <f>N297+O297+P297+Q297</f>
      </c>
      <c r="S297" s="4">
        <v>0</v>
      </c>
      <c r="T297" s="4">
        <v>0</v>
      </c>
      <c r="U297" s="4">
        <v>0</v>
      </c>
      <c r="V297" s="4">
        <f>U297*20%</f>
      </c>
      <c r="W297" s="4">
        <v>0</v>
      </c>
      <c r="X297" s="4">
        <f>Q297+T297+V297</f>
      </c>
      <c r="Y297" s="4">
        <f>L297-M297-R297-S297-T297-U297-V297-W297</f>
      </c>
      <c r="Z297" s="4">
        <f>(Y297-AB297)/J297*100</f>
      </c>
      <c r="AA297" s="4">
        <f>M297-X297</f>
      </c>
      <c r="AC297" s="4">
        <f>Y297-AB297</f>
      </c>
      <c r="AH297" t="s">
        <v>1</v>
      </c>
    </row>
    <row r="298" spans="1:34" x14ac:dyDescent="0.25">
      <c r="A298" s="8">
        <v>46185.5</v>
      </c>
      <c r="B298" t="s">
        <v>2000</v>
      </c>
      <c r="C298" t="s">
        <v>185</v>
      </c>
      <c r="D298" s="9" t="s">
        <v>1</v>
      </c>
      <c r="E298" t="s">
        <v>185</v>
      </c>
      <c r="F298" t="s">
        <v>1</v>
      </c>
      <c r="G298" t="s">
        <v>1</v>
      </c>
      <c r="H298" t="s">
        <v>102</v>
      </c>
      <c r="I298">
        <v>1</v>
      </c>
      <c r="J298" s="4">
        <v>1.2</v>
      </c>
      <c r="K298" s="4">
        <v>1.63</v>
      </c>
      <c r="L298" s="4">
        <f>K298-J298</f>
      </c>
      <c r="M298" s="4">
        <f>L298*16.67%</f>
      </c>
      <c r="N298" s="4">
        <f>(K298*6.9%)-(K298*6.9%)*10%</f>
      </c>
      <c r="O298" s="4">
        <f>K298*0.35%</f>
      </c>
      <c r="P298" s="4">
        <v>0.4</v>
      </c>
      <c r="Q298" s="4">
        <f>(N298+O298+P298)*20%</f>
      </c>
      <c r="R298" s="4">
        <f>N298+O298+P298+Q298</f>
      </c>
      <c r="S298" s="4">
        <v>0</v>
      </c>
      <c r="T298" s="4">
        <v>0</v>
      </c>
      <c r="U298" s="4">
        <v>0</v>
      </c>
      <c r="V298" s="4">
        <f>U298*20%</f>
      </c>
      <c r="W298" s="4">
        <v>0</v>
      </c>
      <c r="X298" s="4">
        <f>Q298+T298+V298</f>
      </c>
      <c r="Y298" s="4">
        <f>L298-M298-R298-S298-T298-U298-V298-W298</f>
      </c>
      <c r="Z298" s="4">
        <f>(Y298-AB298)/J298*100</f>
      </c>
      <c r="AA298" s="4">
        <f>M298-X298</f>
      </c>
      <c r="AC298" s="4">
        <f>Y298-AB298</f>
      </c>
      <c r="AH298" t="s">
        <v>1</v>
      </c>
    </row>
    <row r="299" spans="1:34" x14ac:dyDescent="0.25">
      <c r="A299" s="8">
        <v>46184.5</v>
      </c>
      <c r="B299" t="s">
        <v>2001</v>
      </c>
      <c r="C299" t="s">
        <v>1</v>
      </c>
      <c r="D299" s="9" t="s">
        <v>2002</v>
      </c>
      <c r="E299" t="s">
        <v>73</v>
      </c>
      <c r="F299" t="s">
        <v>74</v>
      </c>
      <c r="G299" t="s">
        <v>60</v>
      </c>
      <c r="H299" t="s">
        <v>66</v>
      </c>
      <c r="I299">
        <v>1</v>
      </c>
      <c r="J299" s="4">
        <v>339</v>
      </c>
      <c r="K299" s="4">
        <v>393.24</v>
      </c>
      <c r="L299" s="4">
        <f>K299-J299</f>
      </c>
      <c r="M299" s="4">
        <f>L299*16.67%</f>
      </c>
      <c r="N299" s="4">
        <f>(K299*6.9%)-(K299*6.9%)*10%</f>
      </c>
      <c r="O299" s="4">
        <f>K299*0.35%</f>
      </c>
      <c r="P299" s="4">
        <v>0.4</v>
      </c>
      <c r="Q299" s="4">
        <f>(N299+O299+P299)*20%</f>
      </c>
      <c r="R299" s="4">
        <f>N299+O299+P299+Q299</f>
      </c>
      <c r="S299" s="4">
        <v>0</v>
      </c>
      <c r="T299" s="4">
        <v>0</v>
      </c>
      <c r="U299" s="4">
        <v>0</v>
      </c>
      <c r="V299" s="4">
        <f>U299*20%</f>
      </c>
      <c r="W299" s="4">
        <v>1</v>
      </c>
      <c r="X299" s="4">
        <f>Q299+T299+V299</f>
      </c>
      <c r="Y299" s="4">
        <f>L299-M299-R299-S299-T299-U299-V299-W299</f>
      </c>
      <c r="Z299" s="4">
        <f>(Y299-AB299)/J299*100</f>
      </c>
      <c r="AA299" s="4">
        <f>M299-X299</f>
      </c>
      <c r="AC299" s="4">
        <f>Y299-AB299</f>
      </c>
      <c r="AH299" t="s">
        <v>1</v>
      </c>
    </row>
    <row r="300" spans="1:34" x14ac:dyDescent="0.25">
      <c r="A300" s="8">
        <v>46184.5</v>
      </c>
      <c r="B300" t="s">
        <v>2003</v>
      </c>
      <c r="C300" t="s">
        <v>1</v>
      </c>
      <c r="D300" s="9" t="s">
        <v>2004</v>
      </c>
      <c r="E300" t="s">
        <v>64</v>
      </c>
      <c r="F300" t="s">
        <v>88</v>
      </c>
      <c r="G300" t="s">
        <v>65</v>
      </c>
      <c r="H300" t="s">
        <v>78</v>
      </c>
      <c r="I300">
        <v>1</v>
      </c>
      <c r="J300" s="4">
        <v>242</v>
      </c>
      <c r="K300" s="4">
        <v>292.82</v>
      </c>
      <c r="L300" s="4">
        <f>K300-J300</f>
      </c>
      <c r="M300" s="4">
        <f>L300*16.67%</f>
      </c>
      <c r="N300" s="4">
        <f>(K300*6.9%)-(K300*6.9%)*10%</f>
      </c>
      <c r="O300" s="4">
        <f>K300*0.35%</f>
      </c>
      <c r="P300" s="4">
        <v>0.4</v>
      </c>
      <c r="Q300" s="4">
        <f>(N300+O300+P300)*20%</f>
      </c>
      <c r="R300" s="4">
        <f>N300+O300+P300+Q300</f>
      </c>
      <c r="S300" s="4">
        <v>0</v>
      </c>
      <c r="T300" s="4">
        <v>0</v>
      </c>
      <c r="U300" s="4">
        <v>0</v>
      </c>
      <c r="V300" s="4">
        <f>U300*20%</f>
      </c>
      <c r="W300" s="4">
        <v>1</v>
      </c>
      <c r="X300" s="4">
        <f>Q300+T300+V300</f>
      </c>
      <c r="Y300" s="4">
        <f>L300-M300-R300-S300-T300-U300-V300-W300</f>
      </c>
      <c r="Z300" s="4">
        <f>(Y300-AB300)/J300*100</f>
      </c>
      <c r="AA300" s="4">
        <f>M300-X300</f>
      </c>
      <c r="AC300" s="4">
        <f>Y300-AB300</f>
      </c>
      <c r="AH300" t="s">
        <v>1</v>
      </c>
    </row>
    <row r="301" spans="1:34" x14ac:dyDescent="0.25">
      <c r="A301" s="8">
        <v>46184.5</v>
      </c>
      <c r="B301" t="s">
        <v>2005</v>
      </c>
      <c r="C301" t="s">
        <v>1</v>
      </c>
      <c r="D301" s="9" t="s">
        <v>2006</v>
      </c>
      <c r="E301" t="s">
        <v>58</v>
      </c>
      <c r="F301" t="s">
        <v>74</v>
      </c>
      <c r="G301" t="s">
        <v>60</v>
      </c>
      <c r="H301" t="s">
        <v>75</v>
      </c>
      <c r="I301">
        <v>1</v>
      </c>
      <c r="J301" s="4">
        <v>479</v>
      </c>
      <c r="K301" s="4">
        <v>593.96</v>
      </c>
      <c r="L301" s="4">
        <f>K301-J301</f>
      </c>
      <c r="M301" s="4">
        <f>L301*16.67%</f>
      </c>
      <c r="N301" s="4">
        <f>(K301*6.9%)-(K301*6.9%)*10%</f>
      </c>
      <c r="O301" s="4">
        <f>K301*0.35%</f>
      </c>
      <c r="P301" s="4">
        <v>0.4</v>
      </c>
      <c r="Q301" s="4">
        <f>(N301+O301+P301)*20%</f>
      </c>
      <c r="R301" s="4">
        <f>N301+O301+P301+Q301</f>
      </c>
      <c r="S301" s="4">
        <v>0</v>
      </c>
      <c r="T301" s="4">
        <v>0</v>
      </c>
      <c r="U301" s="4">
        <v>0</v>
      </c>
      <c r="V301" s="4">
        <f>U301*20%</f>
      </c>
      <c r="W301" s="4">
        <v>1</v>
      </c>
      <c r="X301" s="4">
        <f>Q301+T301+V301</f>
      </c>
      <c r="Y301" s="4">
        <f>L301-M301-R301-S301-T301-U301-V301-W301</f>
      </c>
      <c r="Z301" s="4">
        <f>(Y301-AB301)/J301*100</f>
      </c>
      <c r="AA301" s="4">
        <f>M301-X301</f>
      </c>
      <c r="AC301" s="4">
        <f>Y301-AB301</f>
      </c>
      <c r="AH301" t="s">
        <v>1</v>
      </c>
    </row>
    <row r="302" spans="1:34" x14ac:dyDescent="0.25">
      <c r="A302" s="8">
        <v>46184.5</v>
      </c>
      <c r="B302" t="s">
        <v>2007</v>
      </c>
      <c r="C302" t="s">
        <v>1</v>
      </c>
      <c r="D302" s="9" t="s">
        <v>2008</v>
      </c>
      <c r="E302" t="s">
        <v>172</v>
      </c>
      <c r="F302" t="s">
        <v>99</v>
      </c>
      <c r="G302" t="s">
        <v>65</v>
      </c>
      <c r="H302" t="s">
        <v>75</v>
      </c>
      <c r="I302">
        <v>1</v>
      </c>
      <c r="J302" s="4">
        <v>162</v>
      </c>
      <c r="K302" s="4">
        <v>210.6</v>
      </c>
      <c r="L302" s="4">
        <f>K302-J302</f>
      </c>
      <c r="M302" s="4">
        <f>L302*16.67%</f>
      </c>
      <c r="N302" s="4">
        <f>(K302*6.9%)-(K302*6.9%)*10%</f>
      </c>
      <c r="O302" s="4">
        <f>K302*0.35%</f>
      </c>
      <c r="P302" s="4">
        <v>0.4</v>
      </c>
      <c r="Q302" s="4">
        <f>(N302+O302+P302)*20%</f>
      </c>
      <c r="R302" s="4">
        <f>N302+O302+P302+Q302</f>
      </c>
      <c r="S302" s="4">
        <v>0</v>
      </c>
      <c r="T302" s="4">
        <v>0</v>
      </c>
      <c r="U302" s="4">
        <v>0</v>
      </c>
      <c r="V302" s="4">
        <f>U302*20%</f>
      </c>
      <c r="W302" s="4">
        <v>1</v>
      </c>
      <c r="X302" s="4">
        <f>Q302+T302+V302</f>
      </c>
      <c r="Y302" s="4">
        <f>L302-M302-R302-S302-T302-U302-V302-W302</f>
      </c>
      <c r="Z302" s="4">
        <f>(Y302-AB302)/J302*100</f>
      </c>
      <c r="AA302" s="4">
        <f>M302-X302</f>
      </c>
      <c r="AC302" s="4">
        <f>Y302-AB302</f>
      </c>
      <c r="AH302" t="s">
        <v>1</v>
      </c>
    </row>
    <row r="303" spans="1:34" x14ac:dyDescent="0.25">
      <c r="A303" s="8">
        <v>46184.5</v>
      </c>
      <c r="B303" t="s">
        <v>2009</v>
      </c>
      <c r="C303" t="s">
        <v>1</v>
      </c>
      <c r="D303" s="9" t="s">
        <v>2010</v>
      </c>
      <c r="E303" t="s">
        <v>139</v>
      </c>
      <c r="F303" t="s">
        <v>88</v>
      </c>
      <c r="G303" t="s">
        <v>60</v>
      </c>
      <c r="H303" t="s">
        <v>66</v>
      </c>
      <c r="I303">
        <v>1</v>
      </c>
      <c r="J303" s="4">
        <v>377</v>
      </c>
      <c r="K303" s="4">
        <v>456.17</v>
      </c>
      <c r="L303" s="4">
        <f>K303-J303</f>
      </c>
      <c r="M303" s="4">
        <f>L303*16.67%</f>
      </c>
      <c r="N303" s="4">
        <f>(K303*6.9%)-(K303*6.9%)*10%</f>
      </c>
      <c r="O303" s="4">
        <f>K303*0.35%</f>
      </c>
      <c r="P303" s="4">
        <v>0.4</v>
      </c>
      <c r="Q303" s="4">
        <f>(N303+O303+P303)*20%</f>
      </c>
      <c r="R303" s="4">
        <f>N303+O303+P303+Q303</f>
      </c>
      <c r="S303" s="4">
        <v>0</v>
      </c>
      <c r="T303" s="4">
        <v>0</v>
      </c>
      <c r="U303" s="4">
        <v>0</v>
      </c>
      <c r="V303" s="4">
        <f>U303*20%</f>
      </c>
      <c r="W303" s="4">
        <v>1</v>
      </c>
      <c r="X303" s="4">
        <f>Q303+T303+V303</f>
      </c>
      <c r="Y303" s="4">
        <f>L303-M303-R303-S303-T303-U303-V303-W303</f>
      </c>
      <c r="Z303" s="4">
        <f>(Y303-AB303)/J303*100</f>
      </c>
      <c r="AA303" s="4">
        <f>M303-X303</f>
      </c>
      <c r="AC303" s="4">
        <f>Y303-AB303</f>
      </c>
      <c r="AH303" t="s">
        <v>1</v>
      </c>
    </row>
    <row r="304" spans="1:34" x14ac:dyDescent="0.25">
      <c r="A304" s="8">
        <v>46184.5</v>
      </c>
      <c r="B304" t="s">
        <v>2011</v>
      </c>
      <c r="C304" t="s">
        <v>174</v>
      </c>
      <c r="D304" s="9" t="s">
        <v>1</v>
      </c>
      <c r="E304" t="s">
        <v>174</v>
      </c>
      <c r="F304" t="s">
        <v>1</v>
      </c>
      <c r="G304" t="s">
        <v>1</v>
      </c>
      <c r="H304" t="s">
        <v>66</v>
      </c>
      <c r="I304">
        <v>3</v>
      </c>
      <c r="J304" s="4">
        <v>12.75</v>
      </c>
      <c r="K304" s="4">
        <v>16.19</v>
      </c>
      <c r="L304" s="4">
        <f>K304-J304</f>
      </c>
      <c r="M304" s="4">
        <f>L304*16.67%</f>
      </c>
      <c r="N304" s="4">
        <f>(K304*6.9%)-(K304*6.9%)*10%</f>
      </c>
      <c r="O304" s="4">
        <f>K304*0.35%</f>
      </c>
      <c r="P304" s="4">
        <v>0.4</v>
      </c>
      <c r="Q304" s="4">
        <f>(N304+O304+P304)*20%</f>
      </c>
      <c r="R304" s="4">
        <f>N304+O304+P304+Q304</f>
      </c>
      <c r="S304" s="4">
        <v>0</v>
      </c>
      <c r="T304" s="4">
        <v>0</v>
      </c>
      <c r="U304" s="4">
        <v>0</v>
      </c>
      <c r="V304" s="4">
        <f>U304*20%</f>
      </c>
      <c r="W304" s="4">
        <v>0</v>
      </c>
      <c r="X304" s="4">
        <f>Q304+T304+V304</f>
      </c>
      <c r="Y304" s="4">
        <f>L304-M304-R304-S304-T304-U304-V304-W304</f>
      </c>
      <c r="Z304" s="4">
        <f>(Y304-AB304)/J304*100</f>
      </c>
      <c r="AA304" s="4">
        <f>M304-X304</f>
      </c>
      <c r="AC304" s="4">
        <f>Y304-AB304</f>
      </c>
      <c r="AH304" t="s">
        <v>1</v>
      </c>
    </row>
    <row r="305" spans="1:34" x14ac:dyDescent="0.25">
      <c r="A305" s="8">
        <v>46183.5</v>
      </c>
      <c r="B305" t="s">
        <v>2012</v>
      </c>
      <c r="C305" t="s">
        <v>1</v>
      </c>
      <c r="D305" s="9" t="s">
        <v>2013</v>
      </c>
      <c r="E305" t="s">
        <v>94</v>
      </c>
      <c r="F305" t="s">
        <v>85</v>
      </c>
      <c r="G305" t="s">
        <v>95</v>
      </c>
      <c r="H305" t="s">
        <v>66</v>
      </c>
      <c r="I305">
        <v>1</v>
      </c>
      <c r="J305" s="4">
        <v>60</v>
      </c>
      <c r="K305" s="4">
        <v>82.8</v>
      </c>
      <c r="L305" s="4">
        <f>K305-J305</f>
      </c>
      <c r="M305" s="4">
        <f>L305*16.67%</f>
      </c>
      <c r="N305" s="4">
        <f>(K305*6.9%)-(K305*6.9%)*10%</f>
      </c>
      <c r="O305" s="4">
        <f>K305*0.35%</f>
      </c>
      <c r="P305" s="4">
        <v>0.4</v>
      </c>
      <c r="Q305" s="4">
        <f>(N305+O305+P305)*20%</f>
      </c>
      <c r="R305" s="4">
        <f>N305+O305+P305+Q305</f>
      </c>
      <c r="S305" s="4">
        <v>0</v>
      </c>
      <c r="T305" s="4">
        <v>0</v>
      </c>
      <c r="U305" s="4">
        <v>0</v>
      </c>
      <c r="V305" s="4">
        <f>U305*20%</f>
      </c>
      <c r="W305" s="4">
        <v>1</v>
      </c>
      <c r="X305" s="4">
        <f>Q305+T305+V305</f>
      </c>
      <c r="Y305" s="4">
        <f>L305-M305-R305-S305-T305-U305-V305-W305</f>
      </c>
      <c r="Z305" s="4">
        <f>(Y305-AB305)/J305*100</f>
      </c>
      <c r="AA305" s="4">
        <f>M305-X305</f>
      </c>
      <c r="AC305" s="4">
        <f>Y305-AB305</f>
      </c>
      <c r="AH305" t="s">
        <v>1</v>
      </c>
    </row>
    <row r="306" spans="1:34" x14ac:dyDescent="0.25">
      <c r="A306" s="8">
        <v>46183.5</v>
      </c>
      <c r="B306" t="s">
        <v>2014</v>
      </c>
      <c r="C306" t="s">
        <v>1</v>
      </c>
      <c r="D306" s="9" t="s">
        <v>2015</v>
      </c>
      <c r="E306" t="s">
        <v>172</v>
      </c>
      <c r="F306" t="s">
        <v>70</v>
      </c>
      <c r="G306" t="s">
        <v>65</v>
      </c>
      <c r="H306" t="s">
        <v>61</v>
      </c>
      <c r="I306">
        <v>1</v>
      </c>
      <c r="J306" s="4">
        <v>180</v>
      </c>
      <c r="K306" s="4">
        <v>212.4</v>
      </c>
      <c r="L306" s="4">
        <f>K306-J306</f>
      </c>
      <c r="M306" s="4">
        <f>L306*16.67%</f>
      </c>
      <c r="N306" s="4">
        <f>(K306*6.9%)-(K306*6.9%)*10%</f>
      </c>
      <c r="O306" s="4">
        <f>K306*0.35%</f>
      </c>
      <c r="P306" s="4">
        <v>0.4</v>
      </c>
      <c r="Q306" s="4">
        <f>(N306+O306+P306)*20%</f>
      </c>
      <c r="R306" s="4">
        <f>N306+O306+P306+Q306</f>
      </c>
      <c r="S306" s="4">
        <v>0</v>
      </c>
      <c r="T306" s="4">
        <v>0</v>
      </c>
      <c r="U306" s="4">
        <v>0</v>
      </c>
      <c r="V306" s="4">
        <f>U306*20%</f>
      </c>
      <c r="W306" s="4">
        <v>1</v>
      </c>
      <c r="X306" s="4">
        <f>Q306+T306+V306</f>
      </c>
      <c r="Y306" s="4">
        <f>L306-M306-R306-S306-T306-U306-V306-W306</f>
      </c>
      <c r="Z306" s="4">
        <f>(Y306-AB306)/J306*100</f>
      </c>
      <c r="AA306" s="4">
        <f>M306-X306</f>
      </c>
      <c r="AC306" s="4">
        <f>Y306-AB306</f>
      </c>
      <c r="AH306" t="s">
        <v>1</v>
      </c>
    </row>
    <row r="307" spans="1:34" x14ac:dyDescent="0.25">
      <c r="A307" s="8">
        <v>46182.5</v>
      </c>
      <c r="B307" t="s">
        <v>2016</v>
      </c>
      <c r="C307" t="s">
        <v>1</v>
      </c>
      <c r="D307" s="9" t="s">
        <v>2017</v>
      </c>
      <c r="E307" t="s">
        <v>234</v>
      </c>
      <c r="F307" t="s">
        <v>70</v>
      </c>
      <c r="G307" t="s">
        <v>65</v>
      </c>
      <c r="H307" t="s">
        <v>75</v>
      </c>
      <c r="I307">
        <v>1</v>
      </c>
      <c r="J307" s="4">
        <v>173</v>
      </c>
      <c r="K307" s="4">
        <v>233.55</v>
      </c>
      <c r="L307" s="4">
        <f>K307-J307</f>
      </c>
      <c r="M307" s="4">
        <f>L307*16.67%</f>
      </c>
      <c r="N307" s="4">
        <f>(K307*6.9%)-(K307*6.9%)*10%</f>
      </c>
      <c r="O307" s="4">
        <f>K307*0.35%</f>
      </c>
      <c r="P307" s="4">
        <v>0.4</v>
      </c>
      <c r="Q307" s="4">
        <f>(N307+O307+P307)*20%</f>
      </c>
      <c r="R307" s="4">
        <f>N307+O307+P307+Q307</f>
      </c>
      <c r="S307" s="4">
        <v>0</v>
      </c>
      <c r="T307" s="4">
        <v>0</v>
      </c>
      <c r="U307" s="4">
        <v>0</v>
      </c>
      <c r="V307" s="4">
        <f>U307*20%</f>
      </c>
      <c r="W307" s="4">
        <v>1</v>
      </c>
      <c r="X307" s="4">
        <f>Q307+T307+V307</f>
      </c>
      <c r="Y307" s="4">
        <f>L307-M307-R307-S307-T307-U307-V307-W307</f>
      </c>
      <c r="Z307" s="4">
        <f>(Y307-AB307)/J307*100</f>
      </c>
      <c r="AA307" s="4">
        <f>M307-X307</f>
      </c>
      <c r="AC307" s="4">
        <f>Y307-AB307</f>
      </c>
      <c r="AH307" t="s">
        <v>1</v>
      </c>
    </row>
    <row r="308" spans="1:34" x14ac:dyDescent="0.25">
      <c r="A308" s="8">
        <v>46181.5</v>
      </c>
      <c r="B308" t="s">
        <v>2018</v>
      </c>
      <c r="C308" t="s">
        <v>1</v>
      </c>
      <c r="D308" s="9" t="s">
        <v>2019</v>
      </c>
      <c r="E308" t="s">
        <v>58</v>
      </c>
      <c r="F308" t="s">
        <v>74</v>
      </c>
      <c r="G308" t="s">
        <v>60</v>
      </c>
      <c r="H308" t="s">
        <v>78</v>
      </c>
      <c r="I308">
        <v>1</v>
      </c>
      <c r="J308" s="4">
        <v>424</v>
      </c>
      <c r="K308" s="4">
        <v>555.44</v>
      </c>
      <c r="L308" s="4">
        <f>K308-J308</f>
      </c>
      <c r="M308" s="4">
        <f>L308*16.67%</f>
      </c>
      <c r="N308" s="4">
        <f>(K308*6.9%)-(K308*6.9%)*10%</f>
      </c>
      <c r="O308" s="4">
        <f>K308*0.35%</f>
      </c>
      <c r="P308" s="4">
        <v>0.4</v>
      </c>
      <c r="Q308" s="4">
        <f>(N308+O308+P308)*20%</f>
      </c>
      <c r="R308" s="4">
        <f>N308+O308+P308+Q308</f>
      </c>
      <c r="S308" s="4">
        <v>0</v>
      </c>
      <c r="T308" s="4">
        <v>0</v>
      </c>
      <c r="U308" s="4">
        <v>0</v>
      </c>
      <c r="V308" s="4">
        <f>U308*20%</f>
      </c>
      <c r="W308" s="4">
        <v>1</v>
      </c>
      <c r="X308" s="4">
        <f>Q308+T308+V308</f>
      </c>
      <c r="Y308" s="4">
        <f>L308-M308-R308-S308-T308-U308-V308-W308</f>
      </c>
      <c r="Z308" s="4">
        <f>(Y308-AB308)/J308*100</f>
      </c>
      <c r="AA308" s="4">
        <f>M308-X308</f>
      </c>
      <c r="AC308" s="4">
        <f>Y308-AB308</f>
      </c>
      <c r="AH308" t="s">
        <v>1</v>
      </c>
    </row>
    <row r="309" spans="1:34" x14ac:dyDescent="0.25">
      <c r="A309" s="8">
        <v>46181.5</v>
      </c>
      <c r="B309" t="s">
        <v>2020</v>
      </c>
      <c r="C309" t="s">
        <v>1</v>
      </c>
      <c r="D309" s="9" t="s">
        <v>2021</v>
      </c>
      <c r="E309" t="s">
        <v>58</v>
      </c>
      <c r="F309" t="s">
        <v>88</v>
      </c>
      <c r="G309" t="s">
        <v>60</v>
      </c>
      <c r="H309" t="s">
        <v>78</v>
      </c>
      <c r="I309">
        <v>1</v>
      </c>
      <c r="J309" s="4">
        <v>434</v>
      </c>
      <c r="K309" s="4">
        <v>529.48</v>
      </c>
      <c r="L309" s="4">
        <f>K309-J309</f>
      </c>
      <c r="M309" s="4">
        <f>L309*16.67%</f>
      </c>
      <c r="N309" s="4">
        <f>(K309*6.9%)-(K309*6.9%)*10%</f>
      </c>
      <c r="O309" s="4">
        <f>K309*0.35%</f>
      </c>
      <c r="P309" s="4">
        <v>0.4</v>
      </c>
      <c r="Q309" s="4">
        <f>(N309+O309+P309)*20%</f>
      </c>
      <c r="R309" s="4">
        <f>N309+O309+P309+Q309</f>
      </c>
      <c r="S309" s="4">
        <v>0</v>
      </c>
      <c r="T309" s="4">
        <v>0</v>
      </c>
      <c r="U309" s="4">
        <v>0</v>
      </c>
      <c r="V309" s="4">
        <f>U309*20%</f>
      </c>
      <c r="W309" s="4">
        <v>1</v>
      </c>
      <c r="X309" s="4">
        <f>Q309+T309+V309</f>
      </c>
      <c r="Y309" s="4">
        <f>L309-M309-R309-S309-T309-U309-V309-W309</f>
      </c>
      <c r="Z309" s="4">
        <f>(Y309-AB309)/J309*100</f>
      </c>
      <c r="AA309" s="4">
        <f>M309-X309</f>
      </c>
      <c r="AC309" s="4">
        <f>Y309-AB309</f>
      </c>
      <c r="AH309" t="s">
        <v>1</v>
      </c>
    </row>
    <row r="310" spans="1:34" x14ac:dyDescent="0.25">
      <c r="A310" s="8">
        <v>46181.5</v>
      </c>
      <c r="B310" t="s">
        <v>2022</v>
      </c>
      <c r="C310" t="s">
        <v>177</v>
      </c>
      <c r="D310" s="9" t="s">
        <v>1</v>
      </c>
      <c r="E310" t="s">
        <v>177</v>
      </c>
      <c r="F310" t="s">
        <v>1</v>
      </c>
      <c r="G310" t="s">
        <v>1</v>
      </c>
      <c r="H310" t="s">
        <v>78</v>
      </c>
      <c r="I310">
        <v>3</v>
      </c>
      <c r="J310" s="4">
        <v>0.45</v>
      </c>
      <c r="K310" s="4">
        <v>0.52</v>
      </c>
      <c r="L310" s="4">
        <f>K310-J310</f>
      </c>
      <c r="M310" s="4">
        <f>L310*16.67%</f>
      </c>
      <c r="N310" s="4">
        <f>(K310*6.9%)-(K310*6.9%)*10%</f>
      </c>
      <c r="O310" s="4">
        <f>K310*0.35%</f>
      </c>
      <c r="P310" s="4">
        <v>0.4</v>
      </c>
      <c r="Q310" s="4">
        <f>(N310+O310+P310)*20%</f>
      </c>
      <c r="R310" s="4">
        <f>N310+O310+P310+Q310</f>
      </c>
      <c r="S310" s="4">
        <v>0</v>
      </c>
      <c r="T310" s="4">
        <v>0</v>
      </c>
      <c r="U310" s="4">
        <v>0</v>
      </c>
      <c r="V310" s="4">
        <f>U310*20%</f>
      </c>
      <c r="W310" s="4">
        <v>0</v>
      </c>
      <c r="X310" s="4">
        <f>Q310+T310+V310</f>
      </c>
      <c r="Y310" s="4">
        <f>L310-M310-R310-S310-T310-U310-V310-W310</f>
      </c>
      <c r="Z310" s="4">
        <f>(Y310-AB310)/J310*100</f>
      </c>
      <c r="AA310" s="4">
        <f>M310-X310</f>
      </c>
      <c r="AC310" s="4">
        <f>Y310-AB310</f>
      </c>
      <c r="AH310" t="s">
        <v>1</v>
      </c>
    </row>
    <row r="311" spans="1:34" x14ac:dyDescent="0.25">
      <c r="A311" s="8">
        <v>46180.5</v>
      </c>
      <c r="B311" t="s">
        <v>2023</v>
      </c>
      <c r="C311" t="s">
        <v>1</v>
      </c>
      <c r="D311" s="9" t="s">
        <v>2024</v>
      </c>
      <c r="E311" t="s">
        <v>134</v>
      </c>
      <c r="F311" t="s">
        <v>105</v>
      </c>
      <c r="G311" t="s">
        <v>95</v>
      </c>
      <c r="H311" t="s">
        <v>66</v>
      </c>
      <c r="I311">
        <v>1</v>
      </c>
      <c r="J311" s="4">
        <v>135</v>
      </c>
      <c r="K311" s="4">
        <v>176.85</v>
      </c>
      <c r="L311" s="4">
        <f>K311-J311</f>
      </c>
      <c r="M311" s="4">
        <f>L311*16.67%</f>
      </c>
      <c r="N311" s="4">
        <f>(K311*6.9%)-(K311*6.9%)*10%</f>
      </c>
      <c r="O311" s="4">
        <f>K311*0.35%</f>
      </c>
      <c r="P311" s="4">
        <v>0.4</v>
      </c>
      <c r="Q311" s="4">
        <f>(N311+O311+P311)*20%</f>
      </c>
      <c r="R311" s="4">
        <f>N311+O311+P311+Q311</f>
      </c>
      <c r="S311" s="4">
        <v>0</v>
      </c>
      <c r="T311" s="4">
        <v>0</v>
      </c>
      <c r="U311" s="4">
        <v>0</v>
      </c>
      <c r="V311" s="4">
        <f>U311*20%</f>
      </c>
      <c r="W311" s="4">
        <v>1</v>
      </c>
      <c r="X311" s="4">
        <f>Q311+T311+V311</f>
      </c>
      <c r="Y311" s="4">
        <f>L311-M311-R311-S311-T311-U311-V311-W311</f>
      </c>
      <c r="Z311" s="4">
        <f>(Y311-AB311)/J311*100</f>
      </c>
      <c r="AA311" s="4">
        <f>M311-X311</f>
      </c>
      <c r="AC311" s="4">
        <f>Y311-AB311</f>
      </c>
      <c r="AH311" t="s">
        <v>1</v>
      </c>
    </row>
    <row r="312" spans="1:34" x14ac:dyDescent="0.25">
      <c r="A312" s="8">
        <v>46180.5</v>
      </c>
      <c r="B312" t="s">
        <v>2025</v>
      </c>
      <c r="C312" t="s">
        <v>1</v>
      </c>
      <c r="D312" s="9" t="s">
        <v>2026</v>
      </c>
      <c r="E312" t="s">
        <v>81</v>
      </c>
      <c r="F312" t="s">
        <v>70</v>
      </c>
      <c r="G312" t="s">
        <v>60</v>
      </c>
      <c r="H312" t="s">
        <v>78</v>
      </c>
      <c r="I312">
        <v>1</v>
      </c>
      <c r="J312" s="4">
        <v>559</v>
      </c>
      <c r="K312" s="4">
        <v>765.83</v>
      </c>
      <c r="L312" s="4">
        <f>K312-J312</f>
      </c>
      <c r="M312" s="4">
        <f>L312*16.67%</f>
      </c>
      <c r="N312" s="4">
        <f>(K312*6.9%)-(K312*6.9%)*10%</f>
      </c>
      <c r="O312" s="4">
        <f>K312*0.35%</f>
      </c>
      <c r="P312" s="4">
        <v>0.4</v>
      </c>
      <c r="Q312" s="4">
        <f>(N312+O312+P312)*20%</f>
      </c>
      <c r="R312" s="4">
        <f>N312+O312+P312+Q312</f>
      </c>
      <c r="S312" s="4">
        <v>0</v>
      </c>
      <c r="T312" s="4">
        <v>0</v>
      </c>
      <c r="U312" s="4">
        <v>0</v>
      </c>
      <c r="V312" s="4">
        <f>U312*20%</f>
      </c>
      <c r="W312" s="4">
        <v>1</v>
      </c>
      <c r="X312" s="4">
        <f>Q312+T312+V312</f>
      </c>
      <c r="Y312" s="4">
        <f>L312-M312-R312-S312-T312-U312-V312-W312</f>
      </c>
      <c r="Z312" s="4">
        <f>(Y312-AB312)/J312*100</f>
      </c>
      <c r="AA312" s="4">
        <f>M312-X312</f>
      </c>
      <c r="AC312" s="4">
        <f>Y312-AB312</f>
      </c>
      <c r="AH312" t="s">
        <v>1</v>
      </c>
    </row>
    <row r="313" spans="1:34" x14ac:dyDescent="0.25">
      <c r="A313" s="8">
        <v>46180.5</v>
      </c>
      <c r="B313" t="s">
        <v>2027</v>
      </c>
      <c r="C313" t="s">
        <v>1</v>
      </c>
      <c r="D313" s="9" t="s">
        <v>2028</v>
      </c>
      <c r="E313" t="s">
        <v>292</v>
      </c>
      <c r="F313" t="s">
        <v>70</v>
      </c>
      <c r="G313" t="s">
        <v>126</v>
      </c>
      <c r="H313" t="s">
        <v>102</v>
      </c>
      <c r="I313">
        <v>1</v>
      </c>
      <c r="J313" s="4">
        <v>187</v>
      </c>
      <c r="K313" s="4">
        <v>263.67</v>
      </c>
      <c r="L313" s="4">
        <f>K313-J313</f>
      </c>
      <c r="M313" s="4">
        <f>L313*16.67%</f>
      </c>
      <c r="N313" s="4">
        <f>(K313*6.9%)-(K313*6.9%)*10%</f>
      </c>
      <c r="O313" s="4">
        <f>K313*0.35%</f>
      </c>
      <c r="P313" s="4">
        <v>0.4</v>
      </c>
      <c r="Q313" s="4">
        <f>(N313+O313+P313)*20%</f>
      </c>
      <c r="R313" s="4">
        <f>N313+O313+P313+Q313</f>
      </c>
      <c r="S313" s="4">
        <v>0</v>
      </c>
      <c r="T313" s="4">
        <v>0</v>
      </c>
      <c r="U313" s="4">
        <v>0</v>
      </c>
      <c r="V313" s="4">
        <f>U313*20%</f>
      </c>
      <c r="W313" s="4">
        <v>1</v>
      </c>
      <c r="X313" s="4">
        <f>Q313+T313+V313</f>
      </c>
      <c r="Y313" s="4">
        <f>L313-M313-R313-S313-T313-U313-V313-W313</f>
      </c>
      <c r="Z313" s="4">
        <f>(Y313-AB313)/J313*100</f>
      </c>
      <c r="AA313" s="4">
        <f>M313-X313</f>
      </c>
      <c r="AC313" s="4">
        <f>Y313-AB313</f>
      </c>
      <c r="AH313" t="s">
        <v>1</v>
      </c>
    </row>
    <row r="314" spans="1:34" x14ac:dyDescent="0.25">
      <c r="A314" s="8">
        <v>46180.5</v>
      </c>
      <c r="B314" t="s">
        <v>2029</v>
      </c>
      <c r="C314" t="s">
        <v>1</v>
      </c>
      <c r="D314" s="9" t="s">
        <v>2030</v>
      </c>
      <c r="E314" t="s">
        <v>91</v>
      </c>
      <c r="F314" t="s">
        <v>105</v>
      </c>
      <c r="G314" t="s">
        <v>65</v>
      </c>
      <c r="H314" t="s">
        <v>66</v>
      </c>
      <c r="I314">
        <v>1</v>
      </c>
      <c r="J314" s="4">
        <v>96</v>
      </c>
      <c r="K314" s="4">
        <v>122.88</v>
      </c>
      <c r="L314" s="4">
        <f>K314-J314</f>
      </c>
      <c r="M314" s="4">
        <f>L314*16.67%</f>
      </c>
      <c r="N314" s="4">
        <f>(K314*6.9%)-(K314*6.9%)*10%</f>
      </c>
      <c r="O314" s="4">
        <f>K314*0.35%</f>
      </c>
      <c r="P314" s="4">
        <v>0.4</v>
      </c>
      <c r="Q314" s="4">
        <f>(N314+O314+P314)*20%</f>
      </c>
      <c r="R314" s="4">
        <f>N314+O314+P314+Q314</f>
      </c>
      <c r="S314" s="4">
        <v>0</v>
      </c>
      <c r="T314" s="4">
        <v>0</v>
      </c>
      <c r="U314" s="4">
        <v>0</v>
      </c>
      <c r="V314" s="4">
        <f>U314*20%</f>
      </c>
      <c r="W314" s="4">
        <v>1</v>
      </c>
      <c r="X314" s="4">
        <f>Q314+T314+V314</f>
      </c>
      <c r="Y314" s="4">
        <f>L314-M314-R314-S314-T314-U314-V314-W314</f>
      </c>
      <c r="Z314" s="4">
        <f>(Y314-AB314)/J314*100</f>
      </c>
      <c r="AA314" s="4">
        <f>M314-X314</f>
      </c>
      <c r="AC314" s="4">
        <f>Y314-AB314</f>
      </c>
      <c r="AH314" t="s">
        <v>1</v>
      </c>
    </row>
    <row r="315" spans="1:34" x14ac:dyDescent="0.25">
      <c r="A315" s="8">
        <v>46180.5</v>
      </c>
      <c r="B315" t="s">
        <v>2031</v>
      </c>
      <c r="C315" t="s">
        <v>1</v>
      </c>
      <c r="D315" s="9" t="s">
        <v>2032</v>
      </c>
      <c r="E315" t="s">
        <v>292</v>
      </c>
      <c r="F315" t="s">
        <v>105</v>
      </c>
      <c r="G315" t="s">
        <v>126</v>
      </c>
      <c r="H315" t="s">
        <v>66</v>
      </c>
      <c r="I315">
        <v>1</v>
      </c>
      <c r="J315" s="4">
        <v>187</v>
      </c>
      <c r="K315" s="4">
        <v>261.8</v>
      </c>
      <c r="L315" s="4">
        <f>K315-J315</f>
      </c>
      <c r="M315" s="4">
        <f>L315*16.67%</f>
      </c>
      <c r="N315" s="4">
        <f>(K315*6.9%)-(K315*6.9%)*10%</f>
      </c>
      <c r="O315" s="4">
        <f>K315*0.35%</f>
      </c>
      <c r="P315" s="4">
        <v>0.4</v>
      </c>
      <c r="Q315" s="4">
        <f>(N315+O315+P315)*20%</f>
      </c>
      <c r="R315" s="4">
        <f>N315+O315+P315+Q315</f>
      </c>
      <c r="S315" s="4">
        <v>0</v>
      </c>
      <c r="T315" s="4">
        <v>0</v>
      </c>
      <c r="U315" s="4">
        <v>0</v>
      </c>
      <c r="V315" s="4">
        <f>U315*20%</f>
      </c>
      <c r="W315" s="4">
        <v>1</v>
      </c>
      <c r="X315" s="4">
        <f>Q315+T315+V315</f>
      </c>
      <c r="Y315" s="4">
        <f>L315-M315-R315-S315-T315-U315-V315-W315</f>
      </c>
      <c r="Z315" s="4">
        <f>(Y315-AB315)/J315*100</f>
      </c>
      <c r="AA315" s="4">
        <f>M315-X315</f>
      </c>
      <c r="AC315" s="4">
        <f>Y315-AB315</f>
      </c>
      <c r="AH315" t="s">
        <v>1</v>
      </c>
    </row>
    <row r="316" spans="1:34" x14ac:dyDescent="0.25">
      <c r="A316" s="8">
        <v>46180.5</v>
      </c>
      <c r="B316" t="s">
        <v>2033</v>
      </c>
      <c r="C316" t="s">
        <v>174</v>
      </c>
      <c r="D316" s="9" t="s">
        <v>1</v>
      </c>
      <c r="E316" t="s">
        <v>174</v>
      </c>
      <c r="F316" t="s">
        <v>1</v>
      </c>
      <c r="G316" t="s">
        <v>1</v>
      </c>
      <c r="H316" t="s">
        <v>66</v>
      </c>
      <c r="I316">
        <v>1</v>
      </c>
      <c r="J316" s="4">
        <v>4.25</v>
      </c>
      <c r="K316" s="4">
        <v>5.14</v>
      </c>
      <c r="L316" s="4">
        <f>K316-J316</f>
      </c>
      <c r="M316" s="4">
        <f>L316*16.67%</f>
      </c>
      <c r="N316" s="4">
        <f>(K316*6.9%)-(K316*6.9%)*10%</f>
      </c>
      <c r="O316" s="4">
        <f>K316*0.35%</f>
      </c>
      <c r="P316" s="4">
        <v>0.4</v>
      </c>
      <c r="Q316" s="4">
        <f>(N316+O316+P316)*20%</f>
      </c>
      <c r="R316" s="4">
        <f>N316+O316+P316+Q316</f>
      </c>
      <c r="S316" s="4">
        <v>0</v>
      </c>
      <c r="T316" s="4">
        <v>0</v>
      </c>
      <c r="U316" s="4">
        <v>0</v>
      </c>
      <c r="V316" s="4">
        <f>U316*20%</f>
      </c>
      <c r="W316" s="4">
        <v>0</v>
      </c>
      <c r="X316" s="4">
        <f>Q316+T316+V316</f>
      </c>
      <c r="Y316" s="4">
        <f>L316-M316-R316-S316-T316-U316-V316-W316</f>
      </c>
      <c r="Z316" s="4">
        <f>(Y316-AB316)/J316*100</f>
      </c>
      <c r="AA316" s="4">
        <f>M316-X316</f>
      </c>
      <c r="AC316" s="4">
        <f>Y316-AB316</f>
      </c>
      <c r="AH316" t="s">
        <v>1</v>
      </c>
    </row>
    <row r="317" spans="1:34" x14ac:dyDescent="0.25">
      <c r="A317" s="8">
        <v>46180.5</v>
      </c>
      <c r="B317" t="s">
        <v>2034</v>
      </c>
      <c r="C317" t="s">
        <v>185</v>
      </c>
      <c r="D317" s="9" t="s">
        <v>1</v>
      </c>
      <c r="E317" t="s">
        <v>185</v>
      </c>
      <c r="F317" t="s">
        <v>1</v>
      </c>
      <c r="G317" t="s">
        <v>1</v>
      </c>
      <c r="H317" t="s">
        <v>102</v>
      </c>
      <c r="I317">
        <v>1</v>
      </c>
      <c r="J317" s="4">
        <v>1.2</v>
      </c>
      <c r="K317" s="4">
        <v>1.39</v>
      </c>
      <c r="L317" s="4">
        <f>K317-J317</f>
      </c>
      <c r="M317" s="4">
        <f>L317*16.67%</f>
      </c>
      <c r="N317" s="4">
        <f>(K317*6.9%)-(K317*6.9%)*10%</f>
      </c>
      <c r="O317" s="4">
        <f>K317*0.35%</f>
      </c>
      <c r="P317" s="4">
        <v>0.4</v>
      </c>
      <c r="Q317" s="4">
        <f>(N317+O317+P317)*20%</f>
      </c>
      <c r="R317" s="4">
        <f>N317+O317+P317+Q317</f>
      </c>
      <c r="S317" s="4">
        <v>0</v>
      </c>
      <c r="T317" s="4">
        <v>0</v>
      </c>
      <c r="U317" s="4">
        <v>0</v>
      </c>
      <c r="V317" s="4">
        <f>U317*20%</f>
      </c>
      <c r="W317" s="4">
        <v>0</v>
      </c>
      <c r="X317" s="4">
        <f>Q317+T317+V317</f>
      </c>
      <c r="Y317" s="4">
        <f>L317-M317-R317-S317-T317-U317-V317-W317</f>
      </c>
      <c r="Z317" s="4">
        <f>(Y317-AB317)/J317*100</f>
      </c>
      <c r="AA317" s="4">
        <f>M317-X317</f>
      </c>
      <c r="AC317" s="4">
        <f>Y317-AB317</f>
      </c>
      <c r="AH317" t="s">
        <v>1</v>
      </c>
    </row>
    <row r="318" spans="1:34" x14ac:dyDescent="0.25">
      <c r="A318" s="8">
        <v>46179.5</v>
      </c>
      <c r="B318" t="s">
        <v>2035</v>
      </c>
      <c r="C318" t="s">
        <v>1</v>
      </c>
      <c r="D318" s="9" t="s">
        <v>2036</v>
      </c>
      <c r="E318" t="s">
        <v>73</v>
      </c>
      <c r="F318" t="s">
        <v>105</v>
      </c>
      <c r="G318" t="s">
        <v>60</v>
      </c>
      <c r="H318" t="s">
        <v>102</v>
      </c>
      <c r="I318">
        <v>1</v>
      </c>
      <c r="J318" s="4">
        <v>372</v>
      </c>
      <c r="K318" s="4">
        <v>531.96</v>
      </c>
      <c r="L318" s="4">
        <f>K318-J318</f>
      </c>
      <c r="M318" s="4">
        <f>L318*16.67%</f>
      </c>
      <c r="N318" s="4">
        <f>(K318*6.9%)-(K318*6.9%)*10%</f>
      </c>
      <c r="O318" s="4">
        <f>K318*0.35%</f>
      </c>
      <c r="P318" s="4">
        <v>0.4</v>
      </c>
      <c r="Q318" s="4">
        <f>(N318+O318+P318)*20%</f>
      </c>
      <c r="R318" s="4">
        <f>N318+O318+P318+Q318</f>
      </c>
      <c r="S318" s="4">
        <v>0</v>
      </c>
      <c r="T318" s="4">
        <v>0</v>
      </c>
      <c r="U318" s="4">
        <v>0</v>
      </c>
      <c r="V318" s="4">
        <f>U318*20%</f>
      </c>
      <c r="W318" s="4">
        <v>1</v>
      </c>
      <c r="X318" s="4">
        <f>Q318+T318+V318</f>
      </c>
      <c r="Y318" s="4">
        <f>L318-M318-R318-S318-T318-U318-V318-W318</f>
      </c>
      <c r="Z318" s="4">
        <f>(Y318-AB318)/J318*100</f>
      </c>
      <c r="AA318" s="4">
        <f>M318-X318</f>
      </c>
      <c r="AC318" s="4">
        <f>Y318-AB318</f>
      </c>
      <c r="AH318" t="s">
        <v>1</v>
      </c>
    </row>
    <row r="319" spans="1:34" x14ac:dyDescent="0.25">
      <c r="A319" s="8">
        <v>46179.5</v>
      </c>
      <c r="B319" t="s">
        <v>2037</v>
      </c>
      <c r="C319" t="s">
        <v>1</v>
      </c>
      <c r="D319" s="9" t="s">
        <v>2038</v>
      </c>
      <c r="E319" t="s">
        <v>98</v>
      </c>
      <c r="F319" t="s">
        <v>70</v>
      </c>
      <c r="G319" t="s">
        <v>60</v>
      </c>
      <c r="H319" t="s">
        <v>61</v>
      </c>
      <c r="I319">
        <v>1</v>
      </c>
      <c r="J319" s="4">
        <v>326</v>
      </c>
      <c r="K319" s="4">
        <v>466.18</v>
      </c>
      <c r="L319" s="4">
        <f>K319-J319</f>
      </c>
      <c r="M319" s="4">
        <f>L319*16.67%</f>
      </c>
      <c r="N319" s="4">
        <f>(K319*6.9%)-(K319*6.9%)*10%</f>
      </c>
      <c r="O319" s="4">
        <f>K319*0.35%</f>
      </c>
      <c r="P319" s="4">
        <v>0.4</v>
      </c>
      <c r="Q319" s="4">
        <f>(N319+O319+P319)*20%</f>
      </c>
      <c r="R319" s="4">
        <f>N319+O319+P319+Q319</f>
      </c>
      <c r="S319" s="4">
        <v>0</v>
      </c>
      <c r="T319" s="4">
        <v>0</v>
      </c>
      <c r="U319" s="4">
        <v>0</v>
      </c>
      <c r="V319" s="4">
        <f>U319*20%</f>
      </c>
      <c r="W319" s="4">
        <v>1</v>
      </c>
      <c r="X319" s="4">
        <f>Q319+T319+V319</f>
      </c>
      <c r="Y319" s="4">
        <f>L319-M319-R319-S319-T319-U319-V319-W319</f>
      </c>
      <c r="Z319" s="4">
        <f>(Y319-AB319)/J319*100</f>
      </c>
      <c r="AA319" s="4">
        <f>M319-X319</f>
      </c>
      <c r="AC319" s="4">
        <f>Y319-AB319</f>
      </c>
      <c r="AH319" t="s">
        <v>1</v>
      </c>
    </row>
    <row r="320" spans="1:34" x14ac:dyDescent="0.25">
      <c r="A320" s="8">
        <v>46179.5</v>
      </c>
      <c r="B320" t="s">
        <v>2039</v>
      </c>
      <c r="C320" t="s">
        <v>1</v>
      </c>
      <c r="D320" s="9" t="s">
        <v>2040</v>
      </c>
      <c r="E320" t="s">
        <v>98</v>
      </c>
      <c r="F320" t="s">
        <v>85</v>
      </c>
      <c r="G320" t="s">
        <v>60</v>
      </c>
      <c r="H320" t="s">
        <v>102</v>
      </c>
      <c r="I320">
        <v>1</v>
      </c>
      <c r="J320" s="4">
        <v>289</v>
      </c>
      <c r="K320" s="4">
        <v>398.82</v>
      </c>
      <c r="L320" s="4">
        <f>K320-J320</f>
      </c>
      <c r="M320" s="4">
        <f>L320*16.67%</f>
      </c>
      <c r="N320" s="4">
        <f>(K320*6.9%)-(K320*6.9%)*10%</f>
      </c>
      <c r="O320" s="4">
        <f>K320*0.35%</f>
      </c>
      <c r="P320" s="4">
        <v>0.4</v>
      </c>
      <c r="Q320" s="4">
        <f>(N320+O320+P320)*20%</f>
      </c>
      <c r="R320" s="4">
        <f>N320+O320+P320+Q320</f>
      </c>
      <c r="S320" s="4">
        <v>0</v>
      </c>
      <c r="T320" s="4">
        <v>0</v>
      </c>
      <c r="U320" s="4">
        <v>0</v>
      </c>
      <c r="V320" s="4">
        <f>U320*20%</f>
      </c>
      <c r="W320" s="4">
        <v>1</v>
      </c>
      <c r="X320" s="4">
        <f>Q320+T320+V320</f>
      </c>
      <c r="Y320" s="4">
        <f>L320-M320-R320-S320-T320-U320-V320-W320</f>
      </c>
      <c r="Z320" s="4">
        <f>(Y320-AB320)/J320*100</f>
      </c>
      <c r="AA320" s="4">
        <f>M320-X320</f>
      </c>
      <c r="AC320" s="4">
        <f>Y320-AB320</f>
      </c>
      <c r="AH320" t="s">
        <v>1</v>
      </c>
    </row>
    <row r="321" spans="1:34" x14ac:dyDescent="0.25">
      <c r="A321" s="8">
        <v>46179.5</v>
      </c>
      <c r="B321" t="s">
        <v>2041</v>
      </c>
      <c r="C321" t="s">
        <v>1</v>
      </c>
      <c r="D321" s="9" t="s">
        <v>1</v>
      </c>
      <c r="E321" t="s">
        <v>1</v>
      </c>
      <c r="F321" t="s">
        <v>1</v>
      </c>
      <c r="G321" t="s">
        <v>1</v>
      </c>
      <c r="H321" t="s">
        <v>78</v>
      </c>
      <c r="I321">
        <v>1</v>
      </c>
      <c r="J321" s="4">
        <v>80</v>
      </c>
      <c r="K321" s="4">
        <v>100.8</v>
      </c>
      <c r="L321" s="4">
        <f>K321-J321</f>
      </c>
      <c r="M321" s="4">
        <f>L321*16.67%</f>
      </c>
      <c r="N321" s="4">
        <f>(K321*6.9%)-(K321*6.9%)*10%</f>
      </c>
      <c r="O321" s="4">
        <f>K321*0.35%</f>
      </c>
      <c r="P321" s="4">
        <v>0.4</v>
      </c>
      <c r="Q321" s="4">
        <f>(N321+O321+P321)*20%</f>
      </c>
      <c r="R321" s="4">
        <f>N321+O321+P321+Q321</f>
      </c>
      <c r="S321" s="4">
        <v>0</v>
      </c>
      <c r="T321" s="4">
        <v>0</v>
      </c>
      <c r="U321" s="4">
        <v>0</v>
      </c>
      <c r="V321" s="4">
        <f>U321*20%</f>
      </c>
      <c r="W321" s="4">
        <v>1</v>
      </c>
      <c r="X321" s="4">
        <f>Q321+T321+V321</f>
      </c>
      <c r="Y321" s="4">
        <f>L321-M321-R321-S321-T321-U321-V321-W321</f>
      </c>
      <c r="Z321" s="4">
        <f>(Y321-AB321)/J321*100</f>
      </c>
      <c r="AA321" s="4">
        <f>M321-X321</f>
      </c>
      <c r="AC321" s="4">
        <f>Y321-AB321</f>
      </c>
      <c r="AH321" t="s">
        <v>1</v>
      </c>
    </row>
    <row r="322" spans="1:34" x14ac:dyDescent="0.25">
      <c r="A322" s="8">
        <v>46178.5</v>
      </c>
      <c r="B322" t="s">
        <v>2042</v>
      </c>
      <c r="C322" t="s">
        <v>1</v>
      </c>
      <c r="D322" s="9" t="s">
        <v>2043</v>
      </c>
      <c r="E322" t="s">
        <v>139</v>
      </c>
      <c r="F322" t="s">
        <v>74</v>
      </c>
      <c r="G322" t="s">
        <v>60</v>
      </c>
      <c r="H322" t="s">
        <v>102</v>
      </c>
      <c r="I322">
        <v>1</v>
      </c>
      <c r="J322" s="4">
        <v>304</v>
      </c>
      <c r="K322" s="4">
        <v>407.36</v>
      </c>
      <c r="L322" s="4">
        <f>K322-J322</f>
      </c>
      <c r="M322" s="4">
        <f>L322*16.67%</f>
      </c>
      <c r="N322" s="4">
        <f>(K322*6.9%)-(K322*6.9%)*10%</f>
      </c>
      <c r="O322" s="4">
        <f>K322*0.35%</f>
      </c>
      <c r="P322" s="4">
        <v>0.4</v>
      </c>
      <c r="Q322" s="4">
        <f>(N322+O322+P322)*20%</f>
      </c>
      <c r="R322" s="4">
        <f>N322+O322+P322+Q322</f>
      </c>
      <c r="S322" s="4">
        <v>0</v>
      </c>
      <c r="T322" s="4">
        <v>0</v>
      </c>
      <c r="U322" s="4">
        <v>0</v>
      </c>
      <c r="V322" s="4">
        <f>U322*20%</f>
      </c>
      <c r="W322" s="4">
        <v>1</v>
      </c>
      <c r="X322" s="4">
        <f>Q322+T322+V322</f>
      </c>
      <c r="Y322" s="4">
        <f>L322-M322-R322-S322-T322-U322-V322-W322</f>
      </c>
      <c r="Z322" s="4">
        <f>(Y322-AB322)/J322*100</f>
      </c>
      <c r="AA322" s="4">
        <f>M322-X322</f>
      </c>
      <c r="AC322" s="4">
        <f>Y322-AB322</f>
      </c>
      <c r="AH322" t="s">
        <v>1</v>
      </c>
    </row>
    <row r="323" spans="1:34" x14ac:dyDescent="0.25">
      <c r="A323" s="8">
        <v>46178.5</v>
      </c>
      <c r="B323" t="s">
        <v>2044</v>
      </c>
      <c r="C323" t="s">
        <v>1</v>
      </c>
      <c r="D323" s="9" t="s">
        <v>2045</v>
      </c>
      <c r="E323" t="s">
        <v>125</v>
      </c>
      <c r="F323" t="s">
        <v>74</v>
      </c>
      <c r="G323" t="s">
        <v>126</v>
      </c>
      <c r="H323" t="s">
        <v>102</v>
      </c>
      <c r="I323">
        <v>1</v>
      </c>
      <c r="J323" s="4">
        <v>266</v>
      </c>
      <c r="K323" s="4">
        <v>332.5</v>
      </c>
      <c r="L323" s="4">
        <f>K323-J323</f>
      </c>
      <c r="M323" s="4">
        <f>L323*16.67%</f>
      </c>
      <c r="N323" s="4">
        <f>(K323*6.9%)-(K323*6.9%)*10%</f>
      </c>
      <c r="O323" s="4">
        <f>K323*0.35%</f>
      </c>
      <c r="P323" s="4">
        <v>0.4</v>
      </c>
      <c r="Q323" s="4">
        <f>(N323+O323+P323)*20%</f>
      </c>
      <c r="R323" s="4">
        <f>N323+O323+P323+Q323</f>
      </c>
      <c r="S323" s="4">
        <v>0</v>
      </c>
      <c r="T323" s="4">
        <v>0</v>
      </c>
      <c r="U323" s="4">
        <v>0</v>
      </c>
      <c r="V323" s="4">
        <f>U323*20%</f>
      </c>
      <c r="W323" s="4">
        <v>1</v>
      </c>
      <c r="X323" s="4">
        <f>Q323+T323+V323</f>
      </c>
      <c r="Y323" s="4">
        <f>L323-M323-R323-S323-T323-U323-V323-W323</f>
      </c>
      <c r="Z323" s="4">
        <f>(Y323-AB323)/J323*100</f>
      </c>
      <c r="AA323" s="4">
        <f>M323-X323</f>
      </c>
      <c r="AC323" s="4">
        <f>Y323-AB323</f>
      </c>
      <c r="AH323" t="s">
        <v>1</v>
      </c>
    </row>
    <row r="324" spans="1:34" x14ac:dyDescent="0.25">
      <c r="A324" s="8">
        <v>46178.5</v>
      </c>
      <c r="B324" t="s">
        <v>2046</v>
      </c>
      <c r="C324" t="s">
        <v>189</v>
      </c>
      <c r="D324" s="9" t="s">
        <v>1</v>
      </c>
      <c r="E324" t="s">
        <v>189</v>
      </c>
      <c r="F324" t="s">
        <v>1</v>
      </c>
      <c r="G324" t="s">
        <v>1</v>
      </c>
      <c r="H324" t="s">
        <v>66</v>
      </c>
      <c r="I324">
        <v>3</v>
      </c>
      <c r="J324" s="4">
        <v>10.5</v>
      </c>
      <c r="K324" s="4">
        <v>15.22</v>
      </c>
      <c r="L324" s="4">
        <f>K324-J324</f>
      </c>
      <c r="M324" s="4">
        <f>L324*16.67%</f>
      </c>
      <c r="N324" s="4">
        <f>(K324*6.9%)-(K324*6.9%)*10%</f>
      </c>
      <c r="O324" s="4">
        <f>K324*0.35%</f>
      </c>
      <c r="P324" s="4">
        <v>0.4</v>
      </c>
      <c r="Q324" s="4">
        <f>(N324+O324+P324)*20%</f>
      </c>
      <c r="R324" s="4">
        <f>N324+O324+P324+Q324</f>
      </c>
      <c r="S324" s="4">
        <v>0</v>
      </c>
      <c r="T324" s="4">
        <v>0</v>
      </c>
      <c r="U324" s="4">
        <v>0</v>
      </c>
      <c r="V324" s="4">
        <f>U324*20%</f>
      </c>
      <c r="W324" s="4">
        <v>0</v>
      </c>
      <c r="X324" s="4">
        <f>Q324+T324+V324</f>
      </c>
      <c r="Y324" s="4">
        <f>L324-M324-R324-S324-T324-U324-V324-W324</f>
      </c>
      <c r="Z324" s="4">
        <f>(Y324-AB324)/J324*100</f>
      </c>
      <c r="AA324" s="4">
        <f>M324-X324</f>
      </c>
      <c r="AC324" s="4">
        <f>Y324-AB324</f>
      </c>
      <c r="AH324" t="s">
        <v>1</v>
      </c>
    </row>
    <row r="325" spans="1:34" x14ac:dyDescent="0.25">
      <c r="A325" s="8">
        <v>46178.5</v>
      </c>
      <c r="B325" t="s">
        <v>2047</v>
      </c>
      <c r="C325" t="s">
        <v>174</v>
      </c>
      <c r="D325" s="9" t="s">
        <v>1</v>
      </c>
      <c r="E325" t="s">
        <v>174</v>
      </c>
      <c r="F325" t="s">
        <v>1</v>
      </c>
      <c r="G325" t="s">
        <v>1</v>
      </c>
      <c r="H325" t="s">
        <v>66</v>
      </c>
      <c r="I325">
        <v>1</v>
      </c>
      <c r="J325" s="4">
        <v>4.25</v>
      </c>
      <c r="K325" s="4">
        <v>5.48</v>
      </c>
      <c r="L325" s="4">
        <f>K325-J325</f>
      </c>
      <c r="M325" s="4">
        <f>L325*16.67%</f>
      </c>
      <c r="N325" s="4">
        <f>(K325*6.9%)-(K325*6.9%)*10%</f>
      </c>
      <c r="O325" s="4">
        <f>K325*0.35%</f>
      </c>
      <c r="P325" s="4">
        <v>0.4</v>
      </c>
      <c r="Q325" s="4">
        <f>(N325+O325+P325)*20%</f>
      </c>
      <c r="R325" s="4">
        <f>N325+O325+P325+Q325</f>
      </c>
      <c r="S325" s="4">
        <v>0</v>
      </c>
      <c r="T325" s="4">
        <v>0</v>
      </c>
      <c r="U325" s="4">
        <v>0</v>
      </c>
      <c r="V325" s="4">
        <f>U325*20%</f>
      </c>
      <c r="W325" s="4">
        <v>0</v>
      </c>
      <c r="X325" s="4">
        <f>Q325+T325+V325</f>
      </c>
      <c r="Y325" s="4">
        <f>L325-M325-R325-S325-T325-U325-V325-W325</f>
      </c>
      <c r="Z325" s="4">
        <f>(Y325-AB325)/J325*100</f>
      </c>
      <c r="AA325" s="4">
        <f>M325-X325</f>
      </c>
      <c r="AC325" s="4">
        <f>Y325-AB325</f>
      </c>
      <c r="AH325" t="s">
        <v>1</v>
      </c>
    </row>
    <row r="326" spans="1:34" x14ac:dyDescent="0.25">
      <c r="A326" s="8">
        <v>46177.5</v>
      </c>
      <c r="B326" t="s">
        <v>2048</v>
      </c>
      <c r="C326" t="s">
        <v>1</v>
      </c>
      <c r="D326" s="9" t="s">
        <v>2049</v>
      </c>
      <c r="E326" t="s">
        <v>125</v>
      </c>
      <c r="F326" t="s">
        <v>59</v>
      </c>
      <c r="G326" t="s">
        <v>126</v>
      </c>
      <c r="H326" t="s">
        <v>66</v>
      </c>
      <c r="I326">
        <v>1</v>
      </c>
      <c r="J326" s="4">
        <v>266</v>
      </c>
      <c r="K326" s="4">
        <v>308.56</v>
      </c>
      <c r="L326" s="4">
        <f>K326-J326</f>
      </c>
      <c r="M326" s="4">
        <f>L326*16.67%</f>
      </c>
      <c r="N326" s="4">
        <f>(K326*6.9%)-(K326*6.9%)*10%</f>
      </c>
      <c r="O326" s="4">
        <f>K326*0.35%</f>
      </c>
      <c r="P326" s="4">
        <v>0.4</v>
      </c>
      <c r="Q326" s="4">
        <f>(N326+O326+P326)*20%</f>
      </c>
      <c r="R326" s="4">
        <f>N326+O326+P326+Q326</f>
      </c>
      <c r="S326" s="4">
        <v>0</v>
      </c>
      <c r="T326" s="4">
        <v>0</v>
      </c>
      <c r="U326" s="4">
        <v>0</v>
      </c>
      <c r="V326" s="4">
        <f>U326*20%</f>
      </c>
      <c r="W326" s="4">
        <v>1</v>
      </c>
      <c r="X326" s="4">
        <f>Q326+T326+V326</f>
      </c>
      <c r="Y326" s="4">
        <f>L326-M326-R326-S326-T326-U326-V326-W326</f>
      </c>
      <c r="Z326" s="4">
        <f>(Y326-AB326)/J326*100</f>
      </c>
      <c r="AA326" s="4">
        <f>M326-X326</f>
      </c>
      <c r="AC326" s="4">
        <f>Y326-AB326</f>
      </c>
      <c r="AH326" t="s">
        <v>1</v>
      </c>
    </row>
    <row r="327" spans="1:34" x14ac:dyDescent="0.25">
      <c r="A327" s="8">
        <v>46177.5</v>
      </c>
      <c r="B327" t="s">
        <v>2050</v>
      </c>
      <c r="C327" t="s">
        <v>1</v>
      </c>
      <c r="D327" s="9" t="s">
        <v>2051</v>
      </c>
      <c r="E327" t="s">
        <v>172</v>
      </c>
      <c r="F327" t="s">
        <v>70</v>
      </c>
      <c r="G327" t="s">
        <v>65</v>
      </c>
      <c r="H327" t="s">
        <v>66</v>
      </c>
      <c r="I327">
        <v>1</v>
      </c>
      <c r="J327" s="4">
        <v>167</v>
      </c>
      <c r="K327" s="4">
        <v>232.13</v>
      </c>
      <c r="L327" s="4">
        <f>K327-J327</f>
      </c>
      <c r="M327" s="4">
        <f>L327*16.67%</f>
      </c>
      <c r="N327" s="4">
        <f>(K327*6.9%)-(K327*6.9%)*10%</f>
      </c>
      <c r="O327" s="4">
        <f>K327*0.35%</f>
      </c>
      <c r="P327" s="4">
        <v>0.4</v>
      </c>
      <c r="Q327" s="4">
        <f>(N327+O327+P327)*20%</f>
      </c>
      <c r="R327" s="4">
        <f>N327+O327+P327+Q327</f>
      </c>
      <c r="S327" s="4">
        <v>0</v>
      </c>
      <c r="T327" s="4">
        <v>0</v>
      </c>
      <c r="U327" s="4">
        <v>0</v>
      </c>
      <c r="V327" s="4">
        <f>U327*20%</f>
      </c>
      <c r="W327" s="4">
        <v>1</v>
      </c>
      <c r="X327" s="4">
        <f>Q327+T327+V327</f>
      </c>
      <c r="Y327" s="4">
        <f>L327-M327-R327-S327-T327-U327-V327-W327</f>
      </c>
      <c r="Z327" s="4">
        <f>(Y327-AB327)/J327*100</f>
      </c>
      <c r="AA327" s="4">
        <f>M327-X327</f>
      </c>
      <c r="AC327" s="4">
        <f>Y327-AB327</f>
      </c>
      <c r="AH327" t="s">
        <v>1</v>
      </c>
    </row>
    <row r="328" spans="1:34" x14ac:dyDescent="0.25">
      <c r="A328" s="8">
        <v>46177.5</v>
      </c>
      <c r="B328" t="s">
        <v>2052</v>
      </c>
      <c r="C328" t="s">
        <v>1</v>
      </c>
      <c r="D328" s="9" t="s">
        <v>2053</v>
      </c>
      <c r="E328" t="s">
        <v>292</v>
      </c>
      <c r="F328" t="s">
        <v>74</v>
      </c>
      <c r="G328" t="s">
        <v>126</v>
      </c>
      <c r="H328" t="s">
        <v>75</v>
      </c>
      <c r="I328">
        <v>1</v>
      </c>
      <c r="J328" s="4">
        <v>156</v>
      </c>
      <c r="K328" s="4">
        <v>226.2</v>
      </c>
      <c r="L328" s="4">
        <f>K328-J328</f>
      </c>
      <c r="M328" s="4">
        <f>L328*16.67%</f>
      </c>
      <c r="N328" s="4">
        <f>(K328*6.9%)-(K328*6.9%)*10%</f>
      </c>
      <c r="O328" s="4">
        <f>K328*0.35%</f>
      </c>
      <c r="P328" s="4">
        <v>0.4</v>
      </c>
      <c r="Q328" s="4">
        <f>(N328+O328+P328)*20%</f>
      </c>
      <c r="R328" s="4">
        <f>N328+O328+P328+Q328</f>
      </c>
      <c r="S328" s="4">
        <v>0</v>
      </c>
      <c r="T328" s="4">
        <v>0</v>
      </c>
      <c r="U328" s="4">
        <v>0</v>
      </c>
      <c r="V328" s="4">
        <f>U328*20%</f>
      </c>
      <c r="W328" s="4">
        <v>1</v>
      </c>
      <c r="X328" s="4">
        <f>Q328+T328+V328</f>
      </c>
      <c r="Y328" s="4">
        <f>L328-M328-R328-S328-T328-U328-V328-W328</f>
      </c>
      <c r="Z328" s="4">
        <f>(Y328-AB328)/J328*100</f>
      </c>
      <c r="AA328" s="4">
        <f>M328-X328</f>
      </c>
      <c r="AC328" s="4">
        <f>Y328-AB328</f>
      </c>
      <c r="AH328" t="s">
        <v>1</v>
      </c>
    </row>
    <row r="329" spans="1:34" x14ac:dyDescent="0.25">
      <c r="A329" s="8">
        <v>46177.5</v>
      </c>
      <c r="B329" t="s">
        <v>2054</v>
      </c>
      <c r="C329" t="s">
        <v>1</v>
      </c>
      <c r="D329" s="9" t="s">
        <v>2055</v>
      </c>
      <c r="E329" t="s">
        <v>292</v>
      </c>
      <c r="F329" t="s">
        <v>88</v>
      </c>
      <c r="G329" t="s">
        <v>126</v>
      </c>
      <c r="H329" t="s">
        <v>102</v>
      </c>
      <c r="I329">
        <v>1</v>
      </c>
      <c r="J329" s="4">
        <v>190</v>
      </c>
      <c r="K329" s="4">
        <v>264.1</v>
      </c>
      <c r="L329" s="4">
        <f>K329-J329</f>
      </c>
      <c r="M329" s="4">
        <f>L329*16.67%</f>
      </c>
      <c r="N329" s="4">
        <f>(K329*6.9%)-(K329*6.9%)*10%</f>
      </c>
      <c r="O329" s="4">
        <f>K329*0.35%</f>
      </c>
      <c r="P329" s="4">
        <v>0.4</v>
      </c>
      <c r="Q329" s="4">
        <f>(N329+O329+P329)*20%</f>
      </c>
      <c r="R329" s="4">
        <f>N329+O329+P329+Q329</f>
      </c>
      <c r="S329" s="4">
        <v>0</v>
      </c>
      <c r="T329" s="4">
        <v>0</v>
      </c>
      <c r="U329" s="4">
        <v>0</v>
      </c>
      <c r="V329" s="4">
        <f>U329*20%</f>
      </c>
      <c r="W329" s="4">
        <v>1</v>
      </c>
      <c r="X329" s="4">
        <f>Q329+T329+V329</f>
      </c>
      <c r="Y329" s="4">
        <f>L329-M329-R329-S329-T329-U329-V329-W329</f>
      </c>
      <c r="Z329" s="4">
        <f>(Y329-AB329)/J329*100</f>
      </c>
      <c r="AA329" s="4">
        <f>M329-X329</f>
      </c>
      <c r="AC329" s="4">
        <f>Y329-AB329</f>
      </c>
      <c r="AH329" t="s">
        <v>1</v>
      </c>
    </row>
    <row r="330" spans="1:34" x14ac:dyDescent="0.25">
      <c r="A330" s="8">
        <v>46177.5</v>
      </c>
      <c r="B330" t="s">
        <v>2056</v>
      </c>
      <c r="C330" t="s">
        <v>1</v>
      </c>
      <c r="D330" s="9" t="s">
        <v>2057</v>
      </c>
      <c r="E330" t="s">
        <v>91</v>
      </c>
      <c r="F330" t="s">
        <v>70</v>
      </c>
      <c r="G330" t="s">
        <v>65</v>
      </c>
      <c r="H330" t="s">
        <v>102</v>
      </c>
      <c r="I330">
        <v>1</v>
      </c>
      <c r="J330" s="4">
        <v>102</v>
      </c>
      <c r="K330" s="4">
        <v>130.56</v>
      </c>
      <c r="L330" s="4">
        <f>K330-J330</f>
      </c>
      <c r="M330" s="4">
        <f>L330*16.67%</f>
      </c>
      <c r="N330" s="4">
        <f>(K330*6.9%)-(K330*6.9%)*10%</f>
      </c>
      <c r="O330" s="4">
        <f>K330*0.35%</f>
      </c>
      <c r="P330" s="4">
        <v>0.4</v>
      </c>
      <c r="Q330" s="4">
        <f>(N330+O330+P330)*20%</f>
      </c>
      <c r="R330" s="4">
        <f>N330+O330+P330+Q330</f>
      </c>
      <c r="S330" s="4">
        <v>0</v>
      </c>
      <c r="T330" s="4">
        <v>0</v>
      </c>
      <c r="U330" s="4">
        <v>0</v>
      </c>
      <c r="V330" s="4">
        <f>U330*20%</f>
      </c>
      <c r="W330" s="4">
        <v>1</v>
      </c>
      <c r="X330" s="4">
        <f>Q330+T330+V330</f>
      </c>
      <c r="Y330" s="4">
        <f>L330-M330-R330-S330-T330-U330-V330-W330</f>
      </c>
      <c r="Z330" s="4">
        <f>(Y330-AB330)/J330*100</f>
      </c>
      <c r="AA330" s="4">
        <f>M330-X330</f>
      </c>
      <c r="AC330" s="4">
        <f>Y330-AB330</f>
      </c>
      <c r="AH330" t="s">
        <v>1</v>
      </c>
    </row>
    <row r="331" spans="1:34" x14ac:dyDescent="0.25">
      <c r="A331" s="8">
        <v>46177.5</v>
      </c>
      <c r="B331" t="s">
        <v>2058</v>
      </c>
      <c r="C331" t="s">
        <v>254</v>
      </c>
      <c r="D331" s="9" t="s">
        <v>1</v>
      </c>
      <c r="E331" t="s">
        <v>254</v>
      </c>
      <c r="F331" t="s">
        <v>1</v>
      </c>
      <c r="G331" t="s">
        <v>1</v>
      </c>
      <c r="H331" t="s">
        <v>61</v>
      </c>
      <c r="I331">
        <v>2</v>
      </c>
      <c r="J331" s="4">
        <v>1.6</v>
      </c>
      <c r="K331" s="4">
        <v>2.02</v>
      </c>
      <c r="L331" s="4">
        <f>K331-J331</f>
      </c>
      <c r="M331" s="4">
        <f>L331*16.67%</f>
      </c>
      <c r="N331" s="4">
        <f>(K331*6.9%)-(K331*6.9%)*10%</f>
      </c>
      <c r="O331" s="4">
        <f>K331*0.35%</f>
      </c>
      <c r="P331" s="4">
        <v>0.4</v>
      </c>
      <c r="Q331" s="4">
        <f>(N331+O331+P331)*20%</f>
      </c>
      <c r="R331" s="4">
        <f>N331+O331+P331+Q331</f>
      </c>
      <c r="S331" s="4">
        <v>0</v>
      </c>
      <c r="T331" s="4">
        <v>0</v>
      </c>
      <c r="U331" s="4">
        <v>0</v>
      </c>
      <c r="V331" s="4">
        <f>U331*20%</f>
      </c>
      <c r="W331" s="4">
        <v>0</v>
      </c>
      <c r="X331" s="4">
        <f>Q331+T331+V331</f>
      </c>
      <c r="Y331" s="4">
        <f>L331-M331-R331-S331-T331-U331-V331-W331</f>
      </c>
      <c r="Z331" s="4">
        <f>(Y331-AB331)/J331*100</f>
      </c>
      <c r="AA331" s="4">
        <f>M331-X331</f>
      </c>
      <c r="AC331" s="4">
        <f>Y331-AB331</f>
      </c>
      <c r="AH331" t="s">
        <v>1</v>
      </c>
    </row>
    <row r="332" spans="1:34" x14ac:dyDescent="0.25">
      <c r="A332" s="8">
        <v>46176.5</v>
      </c>
      <c r="B332" t="s">
        <v>2059</v>
      </c>
      <c r="C332" t="s">
        <v>1</v>
      </c>
      <c r="D332" s="9" t="s">
        <v>2060</v>
      </c>
      <c r="E332" t="s">
        <v>73</v>
      </c>
      <c r="F332" t="s">
        <v>85</v>
      </c>
      <c r="G332" t="s">
        <v>60</v>
      </c>
      <c r="H332" t="s">
        <v>66</v>
      </c>
      <c r="I332">
        <v>1</v>
      </c>
      <c r="J332" s="4">
        <v>338</v>
      </c>
      <c r="K332" s="4">
        <v>473.2</v>
      </c>
      <c r="L332" s="4">
        <f>K332-J332</f>
      </c>
      <c r="M332" s="4">
        <f>L332*16.67%</f>
      </c>
      <c r="N332" s="4">
        <f>(K332*6.9%)-(K332*6.9%)*10%</f>
      </c>
      <c r="O332" s="4">
        <f>K332*0.35%</f>
      </c>
      <c r="P332" s="4">
        <v>0.4</v>
      </c>
      <c r="Q332" s="4">
        <f>(N332+O332+P332)*20%</f>
      </c>
      <c r="R332" s="4">
        <f>N332+O332+P332+Q332</f>
      </c>
      <c r="S332" s="4">
        <v>0</v>
      </c>
      <c r="T332" s="4">
        <v>0</v>
      </c>
      <c r="U332" s="4">
        <v>0</v>
      </c>
      <c r="V332" s="4">
        <f>U332*20%</f>
      </c>
      <c r="W332" s="4">
        <v>1</v>
      </c>
      <c r="X332" s="4">
        <f>Q332+T332+V332</f>
      </c>
      <c r="Y332" s="4">
        <f>L332-M332-R332-S332-T332-U332-V332-W332</f>
      </c>
      <c r="Z332" s="4">
        <f>(Y332-AB332)/J332*100</f>
      </c>
      <c r="AA332" s="4">
        <f>M332-X332</f>
      </c>
      <c r="AC332" s="4">
        <f>Y332-AB332</f>
      </c>
      <c r="AH332" t="s">
        <v>1</v>
      </c>
    </row>
    <row r="333" spans="1:34" x14ac:dyDescent="0.25">
      <c r="A333" s="8">
        <v>46176.5</v>
      </c>
      <c r="B333" t="s">
        <v>2061</v>
      </c>
      <c r="C333" t="s">
        <v>1</v>
      </c>
      <c r="D333" s="9" t="s">
        <v>2062</v>
      </c>
      <c r="E333" t="s">
        <v>131</v>
      </c>
      <c r="F333" t="s">
        <v>59</v>
      </c>
      <c r="G333" t="s">
        <v>60</v>
      </c>
      <c r="H333" t="s">
        <v>61</v>
      </c>
      <c r="I333">
        <v>1</v>
      </c>
      <c r="J333" s="4">
        <v>296</v>
      </c>
      <c r="K333" s="4">
        <v>396.64</v>
      </c>
      <c r="L333" s="4">
        <f>K333-J333</f>
      </c>
      <c r="M333" s="4">
        <f>L333*16.67%</f>
      </c>
      <c r="N333" s="4">
        <f>(K333*6.9%)-(K333*6.9%)*10%</f>
      </c>
      <c r="O333" s="4">
        <f>K333*0.35%</f>
      </c>
      <c r="P333" s="4">
        <v>0.4</v>
      </c>
      <c r="Q333" s="4">
        <f>(N333+O333+P333)*20%</f>
      </c>
      <c r="R333" s="4">
        <f>N333+O333+P333+Q333</f>
      </c>
      <c r="S333" s="4">
        <v>0</v>
      </c>
      <c r="T333" s="4">
        <v>0</v>
      </c>
      <c r="U333" s="4">
        <v>0</v>
      </c>
      <c r="V333" s="4">
        <f>U333*20%</f>
      </c>
      <c r="W333" s="4">
        <v>1</v>
      </c>
      <c r="X333" s="4">
        <f>Q333+T333+V333</f>
      </c>
      <c r="Y333" s="4">
        <f>L333-M333-R333-S333-T333-U333-V333-W333</f>
      </c>
      <c r="Z333" s="4">
        <f>(Y333-AB333)/J333*100</f>
      </c>
      <c r="AA333" s="4">
        <f>M333-X333</f>
      </c>
      <c r="AC333" s="4">
        <f>Y333-AB333</f>
      </c>
      <c r="AH333" t="s">
        <v>1</v>
      </c>
    </row>
    <row r="334" spans="1:34" x14ac:dyDescent="0.25">
      <c r="A334" s="8">
        <v>46176.5</v>
      </c>
      <c r="B334" t="s">
        <v>2063</v>
      </c>
      <c r="C334" t="s">
        <v>1</v>
      </c>
      <c r="D334" s="9" t="s">
        <v>2064</v>
      </c>
      <c r="E334" t="s">
        <v>131</v>
      </c>
      <c r="F334" t="s">
        <v>74</v>
      </c>
      <c r="G334" t="s">
        <v>65</v>
      </c>
      <c r="H334" t="s">
        <v>66</v>
      </c>
      <c r="I334">
        <v>1</v>
      </c>
      <c r="J334" s="4">
        <v>307</v>
      </c>
      <c r="K334" s="4">
        <v>383.75</v>
      </c>
      <c r="L334" s="4">
        <f>K334-J334</f>
      </c>
      <c r="M334" s="4">
        <f>L334*16.67%</f>
      </c>
      <c r="N334" s="4">
        <f>(K334*6.9%)-(K334*6.9%)*10%</f>
      </c>
      <c r="O334" s="4">
        <f>K334*0.35%</f>
      </c>
      <c r="P334" s="4">
        <v>0.4</v>
      </c>
      <c r="Q334" s="4">
        <f>(N334+O334+P334)*20%</f>
      </c>
      <c r="R334" s="4">
        <f>N334+O334+P334+Q334</f>
      </c>
      <c r="S334" s="4">
        <v>0</v>
      </c>
      <c r="T334" s="4">
        <v>0</v>
      </c>
      <c r="U334" s="4">
        <v>0</v>
      </c>
      <c r="V334" s="4">
        <f>U334*20%</f>
      </c>
      <c r="W334" s="4">
        <v>1</v>
      </c>
      <c r="X334" s="4">
        <f>Q334+T334+V334</f>
      </c>
      <c r="Y334" s="4">
        <f>L334-M334-R334-S334-T334-U334-V334-W334</f>
      </c>
      <c r="Z334" s="4">
        <f>(Y334-AB334)/J334*100</f>
      </c>
      <c r="AA334" s="4">
        <f>M334-X334</f>
      </c>
      <c r="AC334" s="4">
        <f>Y334-AB334</f>
      </c>
      <c r="AH334" t="s">
        <v>1</v>
      </c>
    </row>
    <row r="335" spans="1:34" x14ac:dyDescent="0.25">
      <c r="A335" s="8">
        <v>46176.5</v>
      </c>
      <c r="B335" t="s">
        <v>2065</v>
      </c>
      <c r="C335" t="s">
        <v>1</v>
      </c>
      <c r="D335" s="9" t="s">
        <v>2066</v>
      </c>
      <c r="E335" t="s">
        <v>292</v>
      </c>
      <c r="F335" t="s">
        <v>88</v>
      </c>
      <c r="G335" t="s">
        <v>126</v>
      </c>
      <c r="H335" t="s">
        <v>66</v>
      </c>
      <c r="I335">
        <v>1</v>
      </c>
      <c r="J335" s="4">
        <v>207</v>
      </c>
      <c r="K335" s="4">
        <v>254.61</v>
      </c>
      <c r="L335" s="4">
        <f>K335-J335</f>
      </c>
      <c r="M335" s="4">
        <f>L335*16.67%</f>
      </c>
      <c r="N335" s="4">
        <f>(K335*6.9%)-(K335*6.9%)*10%</f>
      </c>
      <c r="O335" s="4">
        <f>K335*0.35%</f>
      </c>
      <c r="P335" s="4">
        <v>0.4</v>
      </c>
      <c r="Q335" s="4">
        <f>(N335+O335+P335)*20%</f>
      </c>
      <c r="R335" s="4">
        <f>N335+O335+P335+Q335</f>
      </c>
      <c r="S335" s="4">
        <v>0</v>
      </c>
      <c r="T335" s="4">
        <v>0</v>
      </c>
      <c r="U335" s="4">
        <v>0</v>
      </c>
      <c r="V335" s="4">
        <f>U335*20%</f>
      </c>
      <c r="W335" s="4">
        <v>1</v>
      </c>
      <c r="X335" s="4">
        <f>Q335+T335+V335</f>
      </c>
      <c r="Y335" s="4">
        <f>L335-M335-R335-S335-T335-U335-V335-W335</f>
      </c>
      <c r="Z335" s="4">
        <f>(Y335-AB335)/J335*100</f>
      </c>
      <c r="AA335" s="4">
        <f>M335-X335</f>
      </c>
      <c r="AC335" s="4">
        <f>Y335-AB335</f>
      </c>
      <c r="AH335" t="s">
        <v>1</v>
      </c>
    </row>
    <row r="336" spans="1:34" x14ac:dyDescent="0.25">
      <c r="A336" s="8">
        <v>46176.5</v>
      </c>
      <c r="B336" t="s">
        <v>2067</v>
      </c>
      <c r="C336" t="s">
        <v>1</v>
      </c>
      <c r="D336" s="9" t="s">
        <v>2068</v>
      </c>
      <c r="E336" t="s">
        <v>172</v>
      </c>
      <c r="F336" t="s">
        <v>105</v>
      </c>
      <c r="G336" t="s">
        <v>65</v>
      </c>
      <c r="H336" t="s">
        <v>78</v>
      </c>
      <c r="I336">
        <v>1</v>
      </c>
      <c r="J336" s="4">
        <v>158</v>
      </c>
      <c r="K336" s="4">
        <v>213.3</v>
      </c>
      <c r="L336" s="4">
        <f>K336-J336</f>
      </c>
      <c r="M336" s="4">
        <f>L336*16.67%</f>
      </c>
      <c r="N336" s="4">
        <f>(K336*6.9%)-(K336*6.9%)*10%</f>
      </c>
      <c r="O336" s="4">
        <f>K336*0.35%</f>
      </c>
      <c r="P336" s="4">
        <v>0.4</v>
      </c>
      <c r="Q336" s="4">
        <f>(N336+O336+P336)*20%</f>
      </c>
      <c r="R336" s="4">
        <f>N336+O336+P336+Q336</f>
      </c>
      <c r="S336" s="4">
        <v>0</v>
      </c>
      <c r="T336" s="4">
        <v>0</v>
      </c>
      <c r="U336" s="4">
        <v>0</v>
      </c>
      <c r="V336" s="4">
        <f>U336*20%</f>
      </c>
      <c r="W336" s="4">
        <v>1</v>
      </c>
      <c r="X336" s="4">
        <f>Q336+T336+V336</f>
      </c>
      <c r="Y336" s="4">
        <f>L336-M336-R336-S336-T336-U336-V336-W336</f>
      </c>
      <c r="Z336" s="4">
        <f>(Y336-AB336)/J336*100</f>
      </c>
      <c r="AA336" s="4">
        <f>M336-X336</f>
      </c>
      <c r="AC336" s="4">
        <f>Y336-AB336</f>
      </c>
      <c r="AH336" t="s">
        <v>1</v>
      </c>
    </row>
    <row r="337" spans="1:34" x14ac:dyDescent="0.25">
      <c r="A337" s="8">
        <v>46176.5</v>
      </c>
      <c r="B337" t="s">
        <v>2069</v>
      </c>
      <c r="C337" t="s">
        <v>174</v>
      </c>
      <c r="D337" s="9" t="s">
        <v>1</v>
      </c>
      <c r="E337" t="s">
        <v>174</v>
      </c>
      <c r="F337" t="s">
        <v>1</v>
      </c>
      <c r="G337" t="s">
        <v>1</v>
      </c>
      <c r="H337" t="s">
        <v>66</v>
      </c>
      <c r="I337">
        <v>2</v>
      </c>
      <c r="J337" s="4">
        <v>8.5</v>
      </c>
      <c r="K337" s="4">
        <v>11.98</v>
      </c>
      <c r="L337" s="4">
        <f>K337-J337</f>
      </c>
      <c r="M337" s="4">
        <f>L337*16.67%</f>
      </c>
      <c r="N337" s="4">
        <f>(K337*6.9%)-(K337*6.9%)*10%</f>
      </c>
      <c r="O337" s="4">
        <f>K337*0.35%</f>
      </c>
      <c r="P337" s="4">
        <v>0.4</v>
      </c>
      <c r="Q337" s="4">
        <f>(N337+O337+P337)*20%</f>
      </c>
      <c r="R337" s="4">
        <f>N337+O337+P337+Q337</f>
      </c>
      <c r="S337" s="4">
        <v>0</v>
      </c>
      <c r="T337" s="4">
        <v>0</v>
      </c>
      <c r="U337" s="4">
        <v>0</v>
      </c>
      <c r="V337" s="4">
        <f>U337*20%</f>
      </c>
      <c r="W337" s="4">
        <v>0</v>
      </c>
      <c r="X337" s="4">
        <f>Q337+T337+V337</f>
      </c>
      <c r="Y337" s="4">
        <f>L337-M337-R337-S337-T337-U337-V337-W337</f>
      </c>
      <c r="Z337" s="4">
        <f>(Y337-AB337)/J337*100</f>
      </c>
      <c r="AA337" s="4">
        <f>M337-X337</f>
      </c>
      <c r="AC337" s="4">
        <f>Y337-AB337</f>
      </c>
      <c r="AH337" t="s">
        <v>1</v>
      </c>
    </row>
    <row r="338" spans="1:34" x14ac:dyDescent="0.25">
      <c r="A338" s="8">
        <v>46176.5</v>
      </c>
      <c r="B338" t="s">
        <v>2070</v>
      </c>
      <c r="C338" t="s">
        <v>185</v>
      </c>
      <c r="D338" s="9" t="s">
        <v>1</v>
      </c>
      <c r="E338" t="s">
        <v>185</v>
      </c>
      <c r="F338" t="s">
        <v>1</v>
      </c>
      <c r="G338" t="s">
        <v>1</v>
      </c>
      <c r="H338" t="s">
        <v>102</v>
      </c>
      <c r="I338">
        <v>1</v>
      </c>
      <c r="J338" s="4">
        <v>1.2</v>
      </c>
      <c r="K338" s="4">
        <v>1.39</v>
      </c>
      <c r="L338" s="4">
        <f>K338-J338</f>
      </c>
      <c r="M338" s="4">
        <f>L338*16.67%</f>
      </c>
      <c r="N338" s="4">
        <f>(K338*6.9%)-(K338*6.9%)*10%</f>
      </c>
      <c r="O338" s="4">
        <f>K338*0.35%</f>
      </c>
      <c r="P338" s="4">
        <v>0.4</v>
      </c>
      <c r="Q338" s="4">
        <f>(N338+O338+P338)*20%</f>
      </c>
      <c r="R338" s="4">
        <f>N338+O338+P338+Q338</f>
      </c>
      <c r="S338" s="4">
        <v>0</v>
      </c>
      <c r="T338" s="4">
        <v>0</v>
      </c>
      <c r="U338" s="4">
        <v>0</v>
      </c>
      <c r="V338" s="4">
        <f>U338*20%</f>
      </c>
      <c r="W338" s="4">
        <v>0</v>
      </c>
      <c r="X338" s="4">
        <f>Q338+T338+V338</f>
      </c>
      <c r="Y338" s="4">
        <f>L338-M338-R338-S338-T338-U338-V338-W338</f>
      </c>
      <c r="Z338" s="4">
        <f>(Y338-AB338)/J338*100</f>
      </c>
      <c r="AA338" s="4">
        <f>M338-X338</f>
      </c>
      <c r="AC338" s="4">
        <f>Y338-AB338</f>
      </c>
      <c r="AH338" t="s">
        <v>1</v>
      </c>
    </row>
    <row r="339" spans="1:34" x14ac:dyDescent="0.25">
      <c r="A339" s="8">
        <v>46175.5</v>
      </c>
      <c r="B339" t="s">
        <v>2071</v>
      </c>
      <c r="C339" t="s">
        <v>1</v>
      </c>
      <c r="D339" s="9" t="s">
        <v>2072</v>
      </c>
      <c r="E339" t="s">
        <v>234</v>
      </c>
      <c r="F339" t="s">
        <v>70</v>
      </c>
      <c r="G339" t="s">
        <v>65</v>
      </c>
      <c r="H339" t="s">
        <v>78</v>
      </c>
      <c r="I339">
        <v>1</v>
      </c>
      <c r="J339" s="4">
        <v>165</v>
      </c>
      <c r="K339" s="4">
        <v>199.65</v>
      </c>
      <c r="L339" s="4">
        <f>K339-J339</f>
      </c>
      <c r="M339" s="4">
        <f>L339*16.67%</f>
      </c>
      <c r="N339" s="4">
        <f>(K339*6.9%)-(K339*6.9%)*10%</f>
      </c>
      <c r="O339" s="4">
        <f>K339*0.35%</f>
      </c>
      <c r="P339" s="4">
        <v>0.4</v>
      </c>
      <c r="Q339" s="4">
        <f>(N339+O339+P339)*20%</f>
      </c>
      <c r="R339" s="4">
        <f>N339+O339+P339+Q339</f>
      </c>
      <c r="S339" s="4">
        <v>0</v>
      </c>
      <c r="T339" s="4">
        <v>0</v>
      </c>
      <c r="U339" s="4">
        <v>0</v>
      </c>
      <c r="V339" s="4">
        <f>U339*20%</f>
      </c>
      <c r="W339" s="4">
        <v>1</v>
      </c>
      <c r="X339" s="4">
        <f>Q339+T339+V339</f>
      </c>
      <c r="Y339" s="4">
        <f>L339-M339-R339-S339-T339-U339-V339-W339</f>
      </c>
      <c r="Z339" s="4">
        <f>(Y339-AB339)/J339*100</f>
      </c>
      <c r="AA339" s="4">
        <f>M339-X339</f>
      </c>
      <c r="AC339" s="4">
        <f>Y339-AB339</f>
      </c>
      <c r="AH339" t="s">
        <v>1</v>
      </c>
    </row>
    <row r="340" spans="1:34" x14ac:dyDescent="0.25">
      <c r="A340" s="8">
        <v>46174.5</v>
      </c>
      <c r="B340" t="s">
        <v>2073</v>
      </c>
      <c r="C340" t="s">
        <v>1</v>
      </c>
      <c r="D340" s="9" t="s">
        <v>2074</v>
      </c>
      <c r="E340" t="s">
        <v>131</v>
      </c>
      <c r="F340" t="s">
        <v>59</v>
      </c>
      <c r="G340" t="s">
        <v>65</v>
      </c>
      <c r="H340" t="s">
        <v>75</v>
      </c>
      <c r="I340">
        <v>1</v>
      </c>
      <c r="J340" s="4">
        <v>278</v>
      </c>
      <c r="K340" s="4">
        <v>391.98</v>
      </c>
      <c r="L340" s="4">
        <f>K340-J340</f>
      </c>
      <c r="M340" s="4">
        <f>L340*16.67%</f>
      </c>
      <c r="N340" s="4">
        <f>(K340*6.9%)-(K340*6.9%)*10%</f>
      </c>
      <c r="O340" s="4">
        <f>K340*0.35%</f>
      </c>
      <c r="P340" s="4">
        <v>0.4</v>
      </c>
      <c r="Q340" s="4">
        <f>(N340+O340+P340)*20%</f>
      </c>
      <c r="R340" s="4">
        <f>N340+O340+P340+Q340</f>
      </c>
      <c r="S340" s="4">
        <v>0</v>
      </c>
      <c r="T340" s="4">
        <v>0</v>
      </c>
      <c r="U340" s="4">
        <v>0</v>
      </c>
      <c r="V340" s="4">
        <f>U340*20%</f>
      </c>
      <c r="W340" s="4">
        <v>1</v>
      </c>
      <c r="X340" s="4">
        <f>Q340+T340+V340</f>
      </c>
      <c r="Y340" s="4">
        <f>L340-M340-R340-S340-T340-U340-V340-W340</f>
      </c>
      <c r="Z340" s="4">
        <f>(Y340-AB340)/J340*100</f>
      </c>
      <c r="AA340" s="4">
        <f>M340-X340</f>
      </c>
      <c r="AC340" s="4">
        <f>Y340-AB340</f>
      </c>
      <c r="AH340" t="s">
        <v>1</v>
      </c>
    </row>
    <row r="341" spans="1:34" x14ac:dyDescent="0.25">
      <c r="A341" s="8">
        <v>46174.5</v>
      </c>
      <c r="B341" t="s">
        <v>2075</v>
      </c>
      <c r="C341" t="s">
        <v>1</v>
      </c>
      <c r="D341" s="9" t="s">
        <v>2076</v>
      </c>
      <c r="E341" t="s">
        <v>84</v>
      </c>
      <c r="F341" t="s">
        <v>88</v>
      </c>
      <c r="G341" t="s">
        <v>60</v>
      </c>
      <c r="H341" t="s">
        <v>75</v>
      </c>
      <c r="I341">
        <v>1</v>
      </c>
      <c r="J341" s="4">
        <v>719</v>
      </c>
      <c r="K341" s="4">
        <v>927.51</v>
      </c>
      <c r="L341" s="4">
        <f>K341-J341</f>
      </c>
      <c r="M341" s="4">
        <f>L341*16.67%</f>
      </c>
      <c r="N341" s="4">
        <f>(K341*6.9%)-(K341*6.9%)*10%</f>
      </c>
      <c r="O341" s="4">
        <f>K341*0.35%</f>
      </c>
      <c r="P341" s="4">
        <v>0.4</v>
      </c>
      <c r="Q341" s="4">
        <f>(N341+O341+P341)*20%</f>
      </c>
      <c r="R341" s="4">
        <f>N341+O341+P341+Q341</f>
      </c>
      <c r="S341" s="4">
        <v>0</v>
      </c>
      <c r="T341" s="4">
        <v>0</v>
      </c>
      <c r="U341" s="4">
        <v>0</v>
      </c>
      <c r="V341" s="4">
        <f>U341*20%</f>
      </c>
      <c r="W341" s="4">
        <v>1</v>
      </c>
      <c r="X341" s="4">
        <f>Q341+T341+V341</f>
      </c>
      <c r="Y341" s="4">
        <f>L341-M341-R341-S341-T341-U341-V341-W341</f>
      </c>
      <c r="Z341" s="4">
        <f>(Y341-AB341)/J341*100</f>
      </c>
      <c r="AA341" s="4">
        <f>M341-X341</f>
      </c>
      <c r="AC341" s="4">
        <f>Y341-AB341</f>
      </c>
      <c r="AH341" t="s">
        <v>1</v>
      </c>
    </row>
    <row r="342" spans="1:34" x14ac:dyDescent="0.25">
      <c r="A342" s="8">
        <v>46174.5</v>
      </c>
      <c r="B342" t="s">
        <v>2077</v>
      </c>
      <c r="C342" t="s">
        <v>1</v>
      </c>
      <c r="D342" s="9" t="s">
        <v>2078</v>
      </c>
      <c r="E342" t="s">
        <v>114</v>
      </c>
      <c r="F342" t="s">
        <v>59</v>
      </c>
      <c r="G342" t="s">
        <v>95</v>
      </c>
      <c r="H342" t="s">
        <v>102</v>
      </c>
      <c r="I342">
        <v>1</v>
      </c>
      <c r="J342" s="4">
        <v>233</v>
      </c>
      <c r="K342" s="4">
        <v>321.54</v>
      </c>
      <c r="L342" s="4">
        <f>K342-J342</f>
      </c>
      <c r="M342" s="4">
        <f>L342*16.67%</f>
      </c>
      <c r="N342" s="4">
        <f>(K342*6.9%)-(K342*6.9%)*10%</f>
      </c>
      <c r="O342" s="4">
        <f>K342*0.35%</f>
      </c>
      <c r="P342" s="4">
        <v>0.4</v>
      </c>
      <c r="Q342" s="4">
        <f>(N342+O342+P342)*20%</f>
      </c>
      <c r="R342" s="4">
        <f>N342+O342+P342+Q342</f>
      </c>
      <c r="S342" s="4">
        <v>0</v>
      </c>
      <c r="T342" s="4">
        <v>0</v>
      </c>
      <c r="U342" s="4">
        <v>0</v>
      </c>
      <c r="V342" s="4">
        <f>U342*20%</f>
      </c>
      <c r="W342" s="4">
        <v>1</v>
      </c>
      <c r="X342" s="4">
        <f>Q342+T342+V342</f>
      </c>
      <c r="Y342" s="4">
        <f>L342-M342-R342-S342-T342-U342-V342-W342</f>
      </c>
      <c r="Z342" s="4">
        <f>(Y342-AB342)/J342*100</f>
      </c>
      <c r="AA342" s="4">
        <f>M342-X342</f>
      </c>
      <c r="AC342" s="4">
        <f>Y342-AB342</f>
      </c>
      <c r="AH342" t="s">
        <v>1</v>
      </c>
    </row>
    <row r="343" spans="1:34" x14ac:dyDescent="0.25">
      <c r="A343" s="8">
        <v>46174.5</v>
      </c>
      <c r="B343" t="s">
        <v>2079</v>
      </c>
      <c r="C343" t="s">
        <v>1</v>
      </c>
      <c r="D343" s="9" t="s">
        <v>2080</v>
      </c>
      <c r="E343" t="s">
        <v>73</v>
      </c>
      <c r="F343" t="s">
        <v>88</v>
      </c>
      <c r="G343" t="s">
        <v>60</v>
      </c>
      <c r="H343" t="s">
        <v>75</v>
      </c>
      <c r="I343">
        <v>1</v>
      </c>
      <c r="J343" s="4">
        <v>337</v>
      </c>
      <c r="K343" s="4">
        <v>468.43</v>
      </c>
      <c r="L343" s="4">
        <f>K343-J343</f>
      </c>
      <c r="M343" s="4">
        <f>L343*16.67%</f>
      </c>
      <c r="N343" s="4">
        <f>(K343*6.9%)-(K343*6.9%)*10%</f>
      </c>
      <c r="O343" s="4">
        <f>K343*0.35%</f>
      </c>
      <c r="P343" s="4">
        <v>0.4</v>
      </c>
      <c r="Q343" s="4">
        <f>(N343+O343+P343)*20%</f>
      </c>
      <c r="R343" s="4">
        <f>N343+O343+P343+Q343</f>
      </c>
      <c r="S343" s="4">
        <v>0</v>
      </c>
      <c r="T343" s="4">
        <v>0</v>
      </c>
      <c r="U343" s="4">
        <v>0</v>
      </c>
      <c r="V343" s="4">
        <f>U343*20%</f>
      </c>
      <c r="W343" s="4">
        <v>1</v>
      </c>
      <c r="X343" s="4">
        <f>Q343+T343+V343</f>
      </c>
      <c r="Y343" s="4">
        <f>L343-M343-R343-S343-T343-U343-V343-W343</f>
      </c>
      <c r="Z343" s="4">
        <f>(Y343-AB343)/J343*100</f>
      </c>
      <c r="AA343" s="4">
        <f>M343-X343</f>
      </c>
      <c r="AC343" s="4">
        <f>Y343-AB343</f>
      </c>
      <c r="AH343" t="s">
        <v>1</v>
      </c>
    </row>
    <row r="344" spans="1:34" x14ac:dyDescent="0.25">
      <c r="A344" s="8">
        <v>46174.5</v>
      </c>
      <c r="B344" t="s">
        <v>2081</v>
      </c>
      <c r="C344" t="s">
        <v>1</v>
      </c>
      <c r="D344" s="9" t="s">
        <v>2082</v>
      </c>
      <c r="E344" t="s">
        <v>94</v>
      </c>
      <c r="F344" t="s">
        <v>74</v>
      </c>
      <c r="G344" t="s">
        <v>95</v>
      </c>
      <c r="H344" t="s">
        <v>102</v>
      </c>
      <c r="I344">
        <v>1</v>
      </c>
      <c r="J344" s="4">
        <v>74</v>
      </c>
      <c r="K344" s="4">
        <v>98.42</v>
      </c>
      <c r="L344" s="4">
        <f>K344-J344</f>
      </c>
      <c r="M344" s="4">
        <f>L344*16.67%</f>
      </c>
      <c r="N344" s="4">
        <f>(K344*6.9%)-(K344*6.9%)*10%</f>
      </c>
      <c r="O344" s="4">
        <f>K344*0.35%</f>
      </c>
      <c r="P344" s="4">
        <v>0.4</v>
      </c>
      <c r="Q344" s="4">
        <f>(N344+O344+P344)*20%</f>
      </c>
      <c r="R344" s="4">
        <f>N344+O344+P344+Q344</f>
      </c>
      <c r="S344" s="4">
        <v>0</v>
      </c>
      <c r="T344" s="4">
        <v>0</v>
      </c>
      <c r="U344" s="4">
        <v>0</v>
      </c>
      <c r="V344" s="4">
        <f>U344*20%</f>
      </c>
      <c r="W344" s="4">
        <v>1</v>
      </c>
      <c r="X344" s="4">
        <f>Q344+T344+V344</f>
      </c>
      <c r="Y344" s="4">
        <f>L344-M344-R344-S344-T344-U344-V344-W344</f>
      </c>
      <c r="Z344" s="4">
        <f>(Y344-AB344)/J344*100</f>
      </c>
      <c r="AA344" s="4">
        <f>M344-X344</f>
      </c>
      <c r="AC344" s="4">
        <f>Y344-AB344</f>
      </c>
      <c r="AH344" t="s">
        <v>1</v>
      </c>
    </row>
    <row r="345" spans="1:34" x14ac:dyDescent="0.25">
      <c r="A345" s="8">
        <v>46174.5</v>
      </c>
      <c r="B345" t="s">
        <v>2083</v>
      </c>
      <c r="C345" t="s">
        <v>1</v>
      </c>
      <c r="D345" s="9" t="s">
        <v>2084</v>
      </c>
      <c r="E345" t="s">
        <v>91</v>
      </c>
      <c r="F345" t="s">
        <v>59</v>
      </c>
      <c r="G345" t="s">
        <v>95</v>
      </c>
      <c r="H345" t="s">
        <v>61</v>
      </c>
      <c r="I345">
        <v>1</v>
      </c>
      <c r="J345" s="4">
        <v>140</v>
      </c>
      <c r="K345" s="4">
        <v>172.2</v>
      </c>
      <c r="L345" s="4">
        <f>K345-J345</f>
      </c>
      <c r="M345" s="4">
        <f>L345*16.67%</f>
      </c>
      <c r="N345" s="4">
        <f>(K345*6.9%)-(K345*6.9%)*10%</f>
      </c>
      <c r="O345" s="4">
        <f>K345*0.35%</f>
      </c>
      <c r="P345" s="4">
        <v>0.4</v>
      </c>
      <c r="Q345" s="4">
        <f>(N345+O345+P345)*20%</f>
      </c>
      <c r="R345" s="4">
        <f>N345+O345+P345+Q345</f>
      </c>
      <c r="S345" s="4">
        <v>0</v>
      </c>
      <c r="T345" s="4">
        <v>0</v>
      </c>
      <c r="U345" s="4">
        <v>0</v>
      </c>
      <c r="V345" s="4">
        <f>U345*20%</f>
      </c>
      <c r="W345" s="4">
        <v>1</v>
      </c>
      <c r="X345" s="4">
        <f>Q345+T345+V345</f>
      </c>
      <c r="Y345" s="4">
        <f>L345-M345-R345-S345-T345-U345-V345-W345</f>
      </c>
      <c r="Z345" s="4">
        <f>(Y345-AB345)/J345*100</f>
      </c>
      <c r="AA345" s="4">
        <f>M345-X345</f>
      </c>
      <c r="AC345" s="4">
        <f>Y345-AB345</f>
      </c>
      <c r="AH345" t="s">
        <v>1</v>
      </c>
    </row>
    <row r="346" spans="1:34" x14ac:dyDescent="0.25">
      <c r="A346" s="8">
        <v>46173.5</v>
      </c>
      <c r="B346" t="s">
        <v>2085</v>
      </c>
      <c r="C346" t="s">
        <v>1</v>
      </c>
      <c r="D346" s="9" t="s">
        <v>2086</v>
      </c>
      <c r="E346" t="s">
        <v>91</v>
      </c>
      <c r="F346" t="s">
        <v>88</v>
      </c>
      <c r="G346" t="s">
        <v>65</v>
      </c>
      <c r="H346" t="s">
        <v>78</v>
      </c>
      <c r="I346">
        <v>1</v>
      </c>
      <c r="J346" s="4">
        <v>111</v>
      </c>
      <c r="K346" s="4">
        <v>156.51</v>
      </c>
      <c r="L346" s="4">
        <f>K346-J346</f>
      </c>
      <c r="M346" s="4">
        <f>L346*16.67%</f>
      </c>
      <c r="N346" s="4">
        <f>(K346*6.9%)-(K346*6.9%)*10%</f>
      </c>
      <c r="O346" s="4">
        <f>K346*0.35%</f>
      </c>
      <c r="P346" s="4">
        <v>0.4</v>
      </c>
      <c r="Q346" s="4">
        <f>(N346+O346+P346)*20%</f>
      </c>
      <c r="R346" s="4">
        <f>N346+O346+P346+Q346</f>
      </c>
      <c r="S346" s="4">
        <v>0</v>
      </c>
      <c r="T346" s="4">
        <v>0</v>
      </c>
      <c r="U346" s="4">
        <v>0</v>
      </c>
      <c r="V346" s="4">
        <f>U346*20%</f>
      </c>
      <c r="W346" s="4">
        <v>1</v>
      </c>
      <c r="X346" s="4">
        <f>Q346+T346+V346</f>
      </c>
      <c r="Y346" s="4">
        <f>L346-M346-R346-S346-T346-U346-V346-W346</f>
      </c>
      <c r="Z346" s="4">
        <f>(Y346-AB346)/J346*100</f>
      </c>
      <c r="AA346" s="4">
        <f>M346-X346</f>
      </c>
      <c r="AC346" s="4">
        <f>Y346-AB346</f>
      </c>
      <c r="AH346" t="s">
        <v>1</v>
      </c>
    </row>
    <row r="347" spans="1:34" x14ac:dyDescent="0.25">
      <c r="A347" s="8">
        <v>46173.5</v>
      </c>
      <c r="B347" t="s">
        <v>2087</v>
      </c>
      <c r="C347" t="s">
        <v>1</v>
      </c>
      <c r="D347" s="9" t="s">
        <v>2088</v>
      </c>
      <c r="E347" t="s">
        <v>91</v>
      </c>
      <c r="F347" t="s">
        <v>85</v>
      </c>
      <c r="G347" t="s">
        <v>65</v>
      </c>
      <c r="H347" t="s">
        <v>78</v>
      </c>
      <c r="I347">
        <v>1</v>
      </c>
      <c r="J347" s="4">
        <v>139</v>
      </c>
      <c r="K347" s="4">
        <v>201.55</v>
      </c>
      <c r="L347" s="4">
        <f>K347-J347</f>
      </c>
      <c r="M347" s="4">
        <f>L347*16.67%</f>
      </c>
      <c r="N347" s="4">
        <f>(K347*6.9%)-(K347*6.9%)*10%</f>
      </c>
      <c r="O347" s="4">
        <f>K347*0.35%</f>
      </c>
      <c r="P347" s="4">
        <v>0.4</v>
      </c>
      <c r="Q347" s="4">
        <f>(N347+O347+P347)*20%</f>
      </c>
      <c r="R347" s="4">
        <f>N347+O347+P347+Q347</f>
      </c>
      <c r="S347" s="4">
        <v>0</v>
      </c>
      <c r="T347" s="4">
        <v>0</v>
      </c>
      <c r="U347" s="4">
        <v>0</v>
      </c>
      <c r="V347" s="4">
        <f>U347*20%</f>
      </c>
      <c r="W347" s="4">
        <v>1</v>
      </c>
      <c r="X347" s="4">
        <f>Q347+T347+V347</f>
      </c>
      <c r="Y347" s="4">
        <f>L347-M347-R347-S347-T347-U347-V347-W347</f>
      </c>
      <c r="Z347" s="4">
        <f>(Y347-AB347)/J347*100</f>
      </c>
      <c r="AA347" s="4">
        <f>M347-X347</f>
      </c>
      <c r="AC347" s="4">
        <f>Y347-AB347</f>
      </c>
      <c r="AH347" t="s">
        <v>1</v>
      </c>
    </row>
    <row r="348" spans="1:34" x14ac:dyDescent="0.25">
      <c r="A348" s="8">
        <v>46173.5</v>
      </c>
      <c r="B348" t="s">
        <v>2089</v>
      </c>
      <c r="C348" t="s">
        <v>1</v>
      </c>
      <c r="D348" s="9" t="s">
        <v>2090</v>
      </c>
      <c r="E348" t="s">
        <v>73</v>
      </c>
      <c r="F348" t="s">
        <v>88</v>
      </c>
      <c r="G348" t="s">
        <v>60</v>
      </c>
      <c r="H348" t="s">
        <v>66</v>
      </c>
      <c r="I348">
        <v>1</v>
      </c>
      <c r="J348" s="4">
        <v>332</v>
      </c>
      <c r="K348" s="4">
        <v>421.64</v>
      </c>
      <c r="L348" s="4">
        <f>K348-J348</f>
      </c>
      <c r="M348" s="4">
        <f>L348*16.67%</f>
      </c>
      <c r="N348" s="4">
        <f>(K348*6.9%)-(K348*6.9%)*10%</f>
      </c>
      <c r="O348" s="4">
        <f>K348*0.35%</f>
      </c>
      <c r="P348" s="4">
        <v>0.4</v>
      </c>
      <c r="Q348" s="4">
        <f>(N348+O348+P348)*20%</f>
      </c>
      <c r="R348" s="4">
        <f>N348+O348+P348+Q348</f>
      </c>
      <c r="S348" s="4">
        <v>0</v>
      </c>
      <c r="T348" s="4">
        <v>0</v>
      </c>
      <c r="U348" s="4">
        <v>0</v>
      </c>
      <c r="V348" s="4">
        <f>U348*20%</f>
      </c>
      <c r="W348" s="4">
        <v>1</v>
      </c>
      <c r="X348" s="4">
        <f>Q348+T348+V348</f>
      </c>
      <c r="Y348" s="4">
        <f>L348-M348-R348-S348-T348-U348-V348-W348</f>
      </c>
      <c r="Z348" s="4">
        <f>(Y348-AB348)/J348*100</f>
      </c>
      <c r="AA348" s="4">
        <f>M348-X348</f>
      </c>
      <c r="AC348" s="4">
        <f>Y348-AB348</f>
      </c>
      <c r="AH348" t="s">
        <v>1</v>
      </c>
    </row>
    <row r="349" spans="1:34" x14ac:dyDescent="0.25">
      <c r="A349" s="8">
        <v>46173.5</v>
      </c>
      <c r="B349" t="s">
        <v>2091</v>
      </c>
      <c r="C349" t="s">
        <v>254</v>
      </c>
      <c r="D349" s="9" t="s">
        <v>1</v>
      </c>
      <c r="E349" t="s">
        <v>254</v>
      </c>
      <c r="F349" t="s">
        <v>1</v>
      </c>
      <c r="G349" t="s">
        <v>1</v>
      </c>
      <c r="H349" t="s">
        <v>61</v>
      </c>
      <c r="I349">
        <v>2</v>
      </c>
      <c r="J349" s="4">
        <v>1.6</v>
      </c>
      <c r="K349" s="4">
        <v>2.32</v>
      </c>
      <c r="L349" s="4">
        <f>K349-J349</f>
      </c>
      <c r="M349" s="4">
        <f>L349*16.67%</f>
      </c>
      <c r="N349" s="4">
        <f>(K349*6.9%)-(K349*6.9%)*10%</f>
      </c>
      <c r="O349" s="4">
        <f>K349*0.35%</f>
      </c>
      <c r="P349" s="4">
        <v>0.4</v>
      </c>
      <c r="Q349" s="4">
        <f>(N349+O349+P349)*20%</f>
      </c>
      <c r="R349" s="4">
        <f>N349+O349+P349+Q349</f>
      </c>
      <c r="S349" s="4">
        <v>0</v>
      </c>
      <c r="T349" s="4">
        <v>0</v>
      </c>
      <c r="U349" s="4">
        <v>0</v>
      </c>
      <c r="V349" s="4">
        <f>U349*20%</f>
      </c>
      <c r="W349" s="4">
        <v>0</v>
      </c>
      <c r="X349" s="4">
        <f>Q349+T349+V349</f>
      </c>
      <c r="Y349" s="4">
        <f>L349-M349-R349-S349-T349-U349-V349-W349</f>
      </c>
      <c r="Z349" s="4">
        <f>(Y349-AB349)/J349*100</f>
      </c>
      <c r="AA349" s="4">
        <f>M349-X349</f>
      </c>
      <c r="AC349" s="4">
        <f>Y349-AB349</f>
      </c>
      <c r="AH349" t="s">
        <v>1</v>
      </c>
    </row>
    <row r="350" spans="1:34" x14ac:dyDescent="0.25">
      <c r="A350" s="8">
        <v>46172.5</v>
      </c>
      <c r="B350" t="s">
        <v>2092</v>
      </c>
      <c r="C350" t="s">
        <v>1</v>
      </c>
      <c r="D350" s="9" t="s">
        <v>2093</v>
      </c>
      <c r="E350" t="s">
        <v>84</v>
      </c>
      <c r="F350" t="s">
        <v>74</v>
      </c>
      <c r="G350" t="s">
        <v>60</v>
      </c>
      <c r="H350" t="s">
        <v>102</v>
      </c>
      <c r="I350">
        <v>1</v>
      </c>
      <c r="J350" s="4">
        <v>738</v>
      </c>
      <c r="K350" s="4">
        <v>907.74</v>
      </c>
      <c r="L350" s="4">
        <f>K350-J350</f>
      </c>
      <c r="M350" s="4">
        <f>L350*16.67%</f>
      </c>
      <c r="N350" s="4">
        <f>(K350*6.9%)-(K350*6.9%)*10%</f>
      </c>
      <c r="O350" s="4">
        <f>K350*0.35%</f>
      </c>
      <c r="P350" s="4">
        <v>0.4</v>
      </c>
      <c r="Q350" s="4">
        <f>(N350+O350+P350)*20%</f>
      </c>
      <c r="R350" s="4">
        <f>N350+O350+P350+Q350</f>
      </c>
      <c r="S350" s="4">
        <v>0</v>
      </c>
      <c r="T350" s="4">
        <v>0</v>
      </c>
      <c r="U350" s="4">
        <v>0</v>
      </c>
      <c r="V350" s="4">
        <f>U350*20%</f>
      </c>
      <c r="W350" s="4">
        <v>1</v>
      </c>
      <c r="X350" s="4">
        <f>Q350+T350+V350</f>
      </c>
      <c r="Y350" s="4">
        <f>L350-M350-R350-S350-T350-U350-V350-W350</f>
      </c>
      <c r="Z350" s="4">
        <f>(Y350-AB350)/J350*100</f>
      </c>
      <c r="AA350" s="4">
        <f>M350-X350</f>
      </c>
      <c r="AC350" s="4">
        <f>Y350-AB350</f>
      </c>
      <c r="AH350" t="s">
        <v>1</v>
      </c>
    </row>
    <row r="351" spans="1:34" x14ac:dyDescent="0.25">
      <c r="A351" s="8">
        <v>46172.5</v>
      </c>
      <c r="B351" t="s">
        <v>2094</v>
      </c>
      <c r="C351" t="s">
        <v>1</v>
      </c>
      <c r="D351" s="9" t="s">
        <v>2095</v>
      </c>
      <c r="E351" t="s">
        <v>125</v>
      </c>
      <c r="F351" t="s">
        <v>74</v>
      </c>
      <c r="G351" t="s">
        <v>126</v>
      </c>
      <c r="H351" t="s">
        <v>78</v>
      </c>
      <c r="I351">
        <v>1</v>
      </c>
      <c r="J351" s="4">
        <v>237</v>
      </c>
      <c r="K351" s="4">
        <v>296.25</v>
      </c>
      <c r="L351" s="4">
        <f>K351-J351</f>
      </c>
      <c r="M351" s="4">
        <f>L351*16.67%</f>
      </c>
      <c r="N351" s="4">
        <f>(K351*6.9%)-(K351*6.9%)*10%</f>
      </c>
      <c r="O351" s="4">
        <f>K351*0.35%</f>
      </c>
      <c r="P351" s="4">
        <v>0.4</v>
      </c>
      <c r="Q351" s="4">
        <f>(N351+O351+P351)*20%</f>
      </c>
      <c r="R351" s="4">
        <f>N351+O351+P351+Q351</f>
      </c>
      <c r="S351" s="4">
        <v>0</v>
      </c>
      <c r="T351" s="4">
        <v>0</v>
      </c>
      <c r="U351" s="4">
        <v>0</v>
      </c>
      <c r="V351" s="4">
        <f>U351*20%</f>
      </c>
      <c r="W351" s="4">
        <v>1</v>
      </c>
      <c r="X351" s="4">
        <f>Q351+T351+V351</f>
      </c>
      <c r="Y351" s="4">
        <f>L351-M351-R351-S351-T351-U351-V351-W351</f>
      </c>
      <c r="Z351" s="4">
        <f>(Y351-AB351)/J351*100</f>
      </c>
      <c r="AA351" s="4">
        <f>M351-X351</f>
      </c>
      <c r="AC351" s="4">
        <f>Y351-AB351</f>
      </c>
      <c r="AH351" t="s">
        <v>1</v>
      </c>
    </row>
    <row r="352" spans="1:34" x14ac:dyDescent="0.25">
      <c r="A352" s="8">
        <v>46172.5</v>
      </c>
      <c r="B352" t="s">
        <v>2096</v>
      </c>
      <c r="C352" t="s">
        <v>1</v>
      </c>
      <c r="D352" s="9" t="s">
        <v>2097</v>
      </c>
      <c r="E352" t="s">
        <v>292</v>
      </c>
      <c r="F352" t="s">
        <v>99</v>
      </c>
      <c r="G352" t="s">
        <v>126</v>
      </c>
      <c r="H352" t="s">
        <v>66</v>
      </c>
      <c r="I352">
        <v>1</v>
      </c>
      <c r="J352" s="4">
        <v>179</v>
      </c>
      <c r="K352" s="4">
        <v>213.01</v>
      </c>
      <c r="L352" s="4">
        <f>K352-J352</f>
      </c>
      <c r="M352" s="4">
        <f>L352*16.67%</f>
      </c>
      <c r="N352" s="4">
        <f>(K352*6.9%)-(K352*6.9%)*10%</f>
      </c>
      <c r="O352" s="4">
        <f>K352*0.35%</f>
      </c>
      <c r="P352" s="4">
        <v>0.4</v>
      </c>
      <c r="Q352" s="4">
        <f>(N352+O352+P352)*20%</f>
      </c>
      <c r="R352" s="4">
        <f>N352+O352+P352+Q352</f>
      </c>
      <c r="S352" s="4">
        <v>0</v>
      </c>
      <c r="T352" s="4">
        <v>0</v>
      </c>
      <c r="U352" s="4">
        <v>0</v>
      </c>
      <c r="V352" s="4">
        <f>U352*20%</f>
      </c>
      <c r="W352" s="4">
        <v>1</v>
      </c>
      <c r="X352" s="4">
        <f>Q352+T352+V352</f>
      </c>
      <c r="Y352" s="4">
        <f>L352-M352-R352-S352-T352-U352-V352-W352</f>
      </c>
      <c r="Z352" s="4">
        <f>(Y352-AB352)/J352*100</f>
      </c>
      <c r="AA352" s="4">
        <f>M352-X352</f>
      </c>
      <c r="AC352" s="4">
        <f>Y352-AB352</f>
      </c>
      <c r="AH352" t="s">
        <v>1</v>
      </c>
    </row>
    <row r="353" spans="1:34" x14ac:dyDescent="0.25">
      <c r="A353" s="8">
        <v>46172.5</v>
      </c>
      <c r="B353" t="s">
        <v>2098</v>
      </c>
      <c r="C353" t="s">
        <v>1</v>
      </c>
      <c r="D353" s="9" t="s">
        <v>2099</v>
      </c>
      <c r="E353" t="s">
        <v>125</v>
      </c>
      <c r="F353" t="s">
        <v>70</v>
      </c>
      <c r="G353" t="s">
        <v>126</v>
      </c>
      <c r="H353" t="s">
        <v>78</v>
      </c>
      <c r="I353">
        <v>1</v>
      </c>
      <c r="J353" s="4">
        <v>288</v>
      </c>
      <c r="K353" s="4">
        <v>371.52</v>
      </c>
      <c r="L353" s="4">
        <f>K353-J353</f>
      </c>
      <c r="M353" s="4">
        <f>L353*16.67%</f>
      </c>
      <c r="N353" s="4">
        <f>(K353*6.9%)-(K353*6.9%)*10%</f>
      </c>
      <c r="O353" s="4">
        <f>K353*0.35%</f>
      </c>
      <c r="P353" s="4">
        <v>0.4</v>
      </c>
      <c r="Q353" s="4">
        <f>(N353+O353+P353)*20%</f>
      </c>
      <c r="R353" s="4">
        <f>N353+O353+P353+Q353</f>
      </c>
      <c r="S353" s="4">
        <v>0</v>
      </c>
      <c r="T353" s="4">
        <v>0</v>
      </c>
      <c r="U353" s="4">
        <v>0</v>
      </c>
      <c r="V353" s="4">
        <f>U353*20%</f>
      </c>
      <c r="W353" s="4">
        <v>1</v>
      </c>
      <c r="X353" s="4">
        <f>Q353+T353+V353</f>
      </c>
      <c r="Y353" s="4">
        <f>L353-M353-R353-S353-T353-U353-V353-W353</f>
      </c>
      <c r="Z353" s="4">
        <f>(Y353-AB353)/J353*100</f>
      </c>
      <c r="AA353" s="4">
        <f>M353-X353</f>
      </c>
      <c r="AC353" s="4">
        <f>Y353-AB353</f>
      </c>
      <c r="AH353" t="s">
        <v>1</v>
      </c>
    </row>
    <row r="354" spans="1:34" x14ac:dyDescent="0.25">
      <c r="A354" s="8">
        <v>46172.5</v>
      </c>
      <c r="B354" t="s">
        <v>2100</v>
      </c>
      <c r="C354" t="s">
        <v>1</v>
      </c>
      <c r="D354" s="9" t="s">
        <v>2101</v>
      </c>
      <c r="E354" t="s">
        <v>84</v>
      </c>
      <c r="F354" t="s">
        <v>99</v>
      </c>
      <c r="G354" t="s">
        <v>60</v>
      </c>
      <c r="H354" t="s">
        <v>75</v>
      </c>
      <c r="I354">
        <v>1</v>
      </c>
      <c r="J354" s="4">
        <v>720</v>
      </c>
      <c r="K354" s="4">
        <v>849.6</v>
      </c>
      <c r="L354" s="4">
        <f>K354-J354</f>
      </c>
      <c r="M354" s="4">
        <f>L354*16.67%</f>
      </c>
      <c r="N354" s="4">
        <f>(K354*6.9%)-(K354*6.9%)*10%</f>
      </c>
      <c r="O354" s="4">
        <f>K354*0.35%</f>
      </c>
      <c r="P354" s="4">
        <v>0.4</v>
      </c>
      <c r="Q354" s="4">
        <f>(N354+O354+P354)*20%</f>
      </c>
      <c r="R354" s="4">
        <f>N354+O354+P354+Q354</f>
      </c>
      <c r="S354" s="4">
        <v>0</v>
      </c>
      <c r="T354" s="4">
        <v>0</v>
      </c>
      <c r="U354" s="4">
        <v>0</v>
      </c>
      <c r="V354" s="4">
        <f>U354*20%</f>
      </c>
      <c r="W354" s="4">
        <v>1</v>
      </c>
      <c r="X354" s="4">
        <f>Q354+T354+V354</f>
      </c>
      <c r="Y354" s="4">
        <f>L354-M354-R354-S354-T354-U354-V354-W354</f>
      </c>
      <c r="Z354" s="4">
        <f>(Y354-AB354)/J354*100</f>
      </c>
      <c r="AA354" s="4">
        <f>M354-X354</f>
      </c>
      <c r="AC354" s="4">
        <f>Y354-AB354</f>
      </c>
      <c r="AH354" t="s">
        <v>1</v>
      </c>
    </row>
    <row r="355" spans="1:34" x14ac:dyDescent="0.25">
      <c r="A355" s="8">
        <v>46172.5</v>
      </c>
      <c r="B355" t="s">
        <v>2102</v>
      </c>
      <c r="C355" t="s">
        <v>1</v>
      </c>
      <c r="D355" s="9" t="s">
        <v>2103</v>
      </c>
      <c r="E355" t="s">
        <v>98</v>
      </c>
      <c r="F355" t="s">
        <v>99</v>
      </c>
      <c r="G355" t="s">
        <v>60</v>
      </c>
      <c r="H355" t="s">
        <v>102</v>
      </c>
      <c r="I355">
        <v>1</v>
      </c>
      <c r="J355" s="4">
        <v>296</v>
      </c>
      <c r="K355" s="4">
        <v>405.52</v>
      </c>
      <c r="L355" s="4">
        <f>K355-J355</f>
      </c>
      <c r="M355" s="4">
        <f>L355*16.67%</f>
      </c>
      <c r="N355" s="4">
        <f>(K355*6.9%)-(K355*6.9%)*10%</f>
      </c>
      <c r="O355" s="4">
        <f>K355*0.35%</f>
      </c>
      <c r="P355" s="4">
        <v>0.4</v>
      </c>
      <c r="Q355" s="4">
        <f>(N355+O355+P355)*20%</f>
      </c>
      <c r="R355" s="4">
        <f>N355+O355+P355+Q355</f>
      </c>
      <c r="S355" s="4">
        <v>0</v>
      </c>
      <c r="T355" s="4">
        <v>0</v>
      </c>
      <c r="U355" s="4">
        <v>0</v>
      </c>
      <c r="V355" s="4">
        <f>U355*20%</f>
      </c>
      <c r="W355" s="4">
        <v>1</v>
      </c>
      <c r="X355" s="4">
        <f>Q355+T355+V355</f>
      </c>
      <c r="Y355" s="4">
        <f>L355-M355-R355-S355-T355-U355-V355-W355</f>
      </c>
      <c r="Z355" s="4">
        <f>(Y355-AB355)/J355*100</f>
      </c>
      <c r="AA355" s="4">
        <f>M355-X355</f>
      </c>
      <c r="AC355" s="4">
        <f>Y355-AB355</f>
      </c>
      <c r="AH355" t="s">
        <v>1</v>
      </c>
    </row>
    <row r="356" spans="1:34" x14ac:dyDescent="0.25">
      <c r="A356" s="8">
        <v>46172.5</v>
      </c>
      <c r="B356" t="s">
        <v>2104</v>
      </c>
      <c r="C356" t="s">
        <v>1</v>
      </c>
      <c r="D356" s="9" t="s">
        <v>2105</v>
      </c>
      <c r="E356" t="s">
        <v>81</v>
      </c>
      <c r="F356" t="s">
        <v>59</v>
      </c>
      <c r="G356" t="s">
        <v>60</v>
      </c>
      <c r="H356" t="s">
        <v>78</v>
      </c>
      <c r="I356">
        <v>1</v>
      </c>
      <c r="J356" s="4">
        <v>570</v>
      </c>
      <c r="K356" s="4">
        <v>666.9</v>
      </c>
      <c r="L356" s="4">
        <f>K356-J356</f>
      </c>
      <c r="M356" s="4">
        <f>L356*16.67%</f>
      </c>
      <c r="N356" s="4">
        <f>(K356*6.9%)-(K356*6.9%)*10%</f>
      </c>
      <c r="O356" s="4">
        <f>K356*0.35%</f>
      </c>
      <c r="P356" s="4">
        <v>0.4</v>
      </c>
      <c r="Q356" s="4">
        <f>(N356+O356+P356)*20%</f>
      </c>
      <c r="R356" s="4">
        <f>N356+O356+P356+Q356</f>
      </c>
      <c r="S356" s="4">
        <v>0</v>
      </c>
      <c r="T356" s="4">
        <v>0</v>
      </c>
      <c r="U356" s="4">
        <v>0</v>
      </c>
      <c r="V356" s="4">
        <f>U356*20%</f>
      </c>
      <c r="W356" s="4">
        <v>1</v>
      </c>
      <c r="X356" s="4">
        <f>Q356+T356+V356</f>
      </c>
      <c r="Y356" s="4">
        <f>L356-M356-R356-S356-T356-U356-V356-W356</f>
      </c>
      <c r="Z356" s="4">
        <f>(Y356-AB356)/J356*100</f>
      </c>
      <c r="AA356" s="4">
        <f>M356-X356</f>
      </c>
      <c r="AC356" s="4">
        <f>Y356-AB356</f>
      </c>
      <c r="AH356" t="s">
        <v>1</v>
      </c>
    </row>
    <row r="357" spans="1:34" x14ac:dyDescent="0.25">
      <c r="A357" s="8">
        <v>46172.5</v>
      </c>
      <c r="B357" t="s">
        <v>2106</v>
      </c>
      <c r="C357" t="s">
        <v>1</v>
      </c>
      <c r="D357" s="9" t="s">
        <v>2107</v>
      </c>
      <c r="E357" t="s">
        <v>73</v>
      </c>
      <c r="F357" t="s">
        <v>85</v>
      </c>
      <c r="G357" t="s">
        <v>60</v>
      </c>
      <c r="H357" t="s">
        <v>75</v>
      </c>
      <c r="I357">
        <v>1</v>
      </c>
      <c r="J357" s="4">
        <v>323</v>
      </c>
      <c r="K357" s="4">
        <v>468.35</v>
      </c>
      <c r="L357" s="4">
        <f>K357-J357</f>
      </c>
      <c r="M357" s="4">
        <f>L357*16.67%</f>
      </c>
      <c r="N357" s="4">
        <f>(K357*6.9%)-(K357*6.9%)*10%</f>
      </c>
      <c r="O357" s="4">
        <f>K357*0.35%</f>
      </c>
      <c r="P357" s="4">
        <v>0.4</v>
      </c>
      <c r="Q357" s="4">
        <f>(N357+O357+P357)*20%</f>
      </c>
      <c r="R357" s="4">
        <f>N357+O357+P357+Q357</f>
      </c>
      <c r="S357" s="4">
        <v>0</v>
      </c>
      <c r="T357" s="4">
        <v>0</v>
      </c>
      <c r="U357" s="4">
        <v>0</v>
      </c>
      <c r="V357" s="4">
        <f>U357*20%</f>
      </c>
      <c r="W357" s="4">
        <v>1</v>
      </c>
      <c r="X357" s="4">
        <f>Q357+T357+V357</f>
      </c>
      <c r="Y357" s="4">
        <f>L357-M357-R357-S357-T357-U357-V357-W357</f>
      </c>
      <c r="Z357" s="4">
        <f>(Y357-AB357)/J357*100</f>
      </c>
      <c r="AA357" s="4">
        <f>M357-X357</f>
      </c>
      <c r="AC357" s="4">
        <f>Y357-AB357</f>
      </c>
      <c r="AH357" t="s">
        <v>1</v>
      </c>
    </row>
    <row r="358" spans="1:34" x14ac:dyDescent="0.25">
      <c r="A358" s="8">
        <v>46172.5</v>
      </c>
      <c r="B358" t="s">
        <v>2108</v>
      </c>
      <c r="C358" t="s">
        <v>1</v>
      </c>
      <c r="D358" s="9" t="s">
        <v>2109</v>
      </c>
      <c r="E358" t="s">
        <v>84</v>
      </c>
      <c r="F358" t="s">
        <v>88</v>
      </c>
      <c r="G358" t="s">
        <v>60</v>
      </c>
      <c r="H358" t="s">
        <v>78</v>
      </c>
      <c r="I358">
        <v>1</v>
      </c>
      <c r="J358" s="4">
        <v>723</v>
      </c>
      <c r="K358" s="4">
        <v>838.68</v>
      </c>
      <c r="L358" s="4">
        <f>K358-J358</f>
      </c>
      <c r="M358" s="4">
        <f>L358*16.67%</f>
      </c>
      <c r="N358" s="4">
        <f>(K358*6.9%)-(K358*6.9%)*10%</f>
      </c>
      <c r="O358" s="4">
        <f>K358*0.35%</f>
      </c>
      <c r="P358" s="4">
        <v>0.4</v>
      </c>
      <c r="Q358" s="4">
        <f>(N358+O358+P358)*20%</f>
      </c>
      <c r="R358" s="4">
        <f>N358+O358+P358+Q358</f>
      </c>
      <c r="S358" s="4">
        <v>0</v>
      </c>
      <c r="T358" s="4">
        <v>0</v>
      </c>
      <c r="U358" s="4">
        <v>0</v>
      </c>
      <c r="V358" s="4">
        <f>U358*20%</f>
      </c>
      <c r="W358" s="4">
        <v>1</v>
      </c>
      <c r="X358" s="4">
        <f>Q358+T358+V358</f>
      </c>
      <c r="Y358" s="4">
        <f>L358-M358-R358-S358-T358-U358-V358-W358</f>
      </c>
      <c r="Z358" s="4">
        <f>(Y358-AB358)/J358*100</f>
      </c>
      <c r="AA358" s="4">
        <f>M358-X358</f>
      </c>
      <c r="AC358" s="4">
        <f>Y358-AB358</f>
      </c>
      <c r="AH358" t="s">
        <v>1</v>
      </c>
    </row>
    <row r="359" spans="1:34" x14ac:dyDescent="0.25">
      <c r="A359" s="8">
        <v>46172.5</v>
      </c>
      <c r="B359" t="s">
        <v>2110</v>
      </c>
      <c r="C359" t="s">
        <v>1</v>
      </c>
      <c r="D359" s="9" t="s">
        <v>1</v>
      </c>
      <c r="E359" t="s">
        <v>1</v>
      </c>
      <c r="F359" t="s">
        <v>1</v>
      </c>
      <c r="G359" t="s">
        <v>1</v>
      </c>
      <c r="H359" t="s">
        <v>78</v>
      </c>
      <c r="I359">
        <v>1</v>
      </c>
      <c r="J359" s="4">
        <v>315</v>
      </c>
      <c r="K359" s="4">
        <v>400.05</v>
      </c>
      <c r="L359" s="4">
        <f>K359-J359</f>
      </c>
      <c r="M359" s="4">
        <f>L359*16.67%</f>
      </c>
      <c r="N359" s="4">
        <f>(K359*6.9%)-(K359*6.9%)*10%</f>
      </c>
      <c r="O359" s="4">
        <f>K359*0.35%</f>
      </c>
      <c r="P359" s="4">
        <v>0.4</v>
      </c>
      <c r="Q359" s="4">
        <f>(N359+O359+P359)*20%</f>
      </c>
      <c r="R359" s="4">
        <f>N359+O359+P359+Q359</f>
      </c>
      <c r="S359" s="4">
        <v>0</v>
      </c>
      <c r="T359" s="4">
        <v>0</v>
      </c>
      <c r="U359" s="4">
        <v>0</v>
      </c>
      <c r="V359" s="4">
        <f>U359*20%</f>
      </c>
      <c r="W359" s="4">
        <v>1</v>
      </c>
      <c r="X359" s="4">
        <f>Q359+T359+V359</f>
      </c>
      <c r="Y359" s="4">
        <f>L359-M359-R359-S359-T359-U359-V359-W359</f>
      </c>
      <c r="Z359" s="4">
        <f>(Y359-AB359)/J359*100</f>
      </c>
      <c r="AA359" s="4">
        <f>M359-X359</f>
      </c>
      <c r="AC359" s="4">
        <f>Y359-AB359</f>
      </c>
      <c r="AH359" t="s">
        <v>1</v>
      </c>
    </row>
    <row r="360" spans="1:34" x14ac:dyDescent="0.25">
      <c r="A360" s="8">
        <v>46171.5</v>
      </c>
      <c r="B360" t="s">
        <v>2111</v>
      </c>
      <c r="C360" t="s">
        <v>1</v>
      </c>
      <c r="D360" s="9" t="s">
        <v>2112</v>
      </c>
      <c r="E360" t="s">
        <v>139</v>
      </c>
      <c r="F360" t="s">
        <v>105</v>
      </c>
      <c r="G360" t="s">
        <v>60</v>
      </c>
      <c r="H360" t="s">
        <v>66</v>
      </c>
      <c r="I360">
        <v>1</v>
      </c>
      <c r="J360" s="4">
        <v>328</v>
      </c>
      <c r="K360" s="4">
        <v>429.68</v>
      </c>
      <c r="L360" s="4">
        <f>K360-J360</f>
      </c>
      <c r="M360" s="4">
        <f>L360*16.67%</f>
      </c>
      <c r="N360" s="4">
        <f>(K360*6.9%)-(K360*6.9%)*10%</f>
      </c>
      <c r="O360" s="4">
        <f>K360*0.35%</f>
      </c>
      <c r="P360" s="4">
        <v>0.4</v>
      </c>
      <c r="Q360" s="4">
        <f>(N360+O360+P360)*20%</f>
      </c>
      <c r="R360" s="4">
        <f>N360+O360+P360+Q360</f>
      </c>
      <c r="S360" s="4">
        <v>0</v>
      </c>
      <c r="T360" s="4">
        <v>0</v>
      </c>
      <c r="U360" s="4">
        <v>0</v>
      </c>
      <c r="V360" s="4">
        <f>U360*20%</f>
      </c>
      <c r="W360" s="4">
        <v>1</v>
      </c>
      <c r="X360" s="4">
        <f>Q360+T360+V360</f>
      </c>
      <c r="Y360" s="4">
        <f>L360-M360-R360-S360-T360-U360-V360-W360</f>
      </c>
      <c r="Z360" s="4">
        <f>(Y360-AB360)/J360*100</f>
      </c>
      <c r="AA360" s="4">
        <f>M360-X360</f>
      </c>
      <c r="AC360" s="4">
        <f>Y360-AB360</f>
      </c>
      <c r="AH360" t="s">
        <v>1</v>
      </c>
    </row>
    <row r="361" spans="1:34" x14ac:dyDescent="0.25">
      <c r="A361" s="8">
        <v>46171.5</v>
      </c>
      <c r="B361" t="s">
        <v>2113</v>
      </c>
      <c r="C361" t="s">
        <v>1</v>
      </c>
      <c r="D361" s="9" t="s">
        <v>2114</v>
      </c>
      <c r="E361" t="s">
        <v>91</v>
      </c>
      <c r="F361" t="s">
        <v>99</v>
      </c>
      <c r="G361" t="s">
        <v>65</v>
      </c>
      <c r="H361" t="s">
        <v>75</v>
      </c>
      <c r="I361">
        <v>1</v>
      </c>
      <c r="J361" s="4">
        <v>135</v>
      </c>
      <c r="K361" s="4">
        <v>187.65</v>
      </c>
      <c r="L361" s="4">
        <f>K361-J361</f>
      </c>
      <c r="M361" s="4">
        <f>L361*16.67%</f>
      </c>
      <c r="N361" s="4">
        <f>(K361*6.9%)-(K361*6.9%)*10%</f>
      </c>
      <c r="O361" s="4">
        <f>K361*0.35%</f>
      </c>
      <c r="P361" s="4">
        <v>0.4</v>
      </c>
      <c r="Q361" s="4">
        <f>(N361+O361+P361)*20%</f>
      </c>
      <c r="R361" s="4">
        <f>N361+O361+P361+Q361</f>
      </c>
      <c r="S361" s="4">
        <v>0</v>
      </c>
      <c r="T361" s="4">
        <v>0</v>
      </c>
      <c r="U361" s="4">
        <v>0</v>
      </c>
      <c r="V361" s="4">
        <f>U361*20%</f>
      </c>
      <c r="W361" s="4">
        <v>1</v>
      </c>
      <c r="X361" s="4">
        <f>Q361+T361+V361</f>
      </c>
      <c r="Y361" s="4">
        <f>L361-M361-R361-S361-T361-U361-V361-W361</f>
      </c>
      <c r="Z361" s="4">
        <f>(Y361-AB361)/J361*100</f>
      </c>
      <c r="AA361" s="4">
        <f>M361-X361</f>
      </c>
      <c r="AC361" s="4">
        <f>Y361-AB361</f>
      </c>
      <c r="AH361" t="s">
        <v>1</v>
      </c>
    </row>
    <row r="362" spans="1:34" x14ac:dyDescent="0.25">
      <c r="A362" s="8">
        <v>46171.5</v>
      </c>
      <c r="B362" t="s">
        <v>2115</v>
      </c>
      <c r="C362" t="s">
        <v>1</v>
      </c>
      <c r="D362" s="9" t="s">
        <v>2116</v>
      </c>
      <c r="E362" t="s">
        <v>64</v>
      </c>
      <c r="F362" t="s">
        <v>105</v>
      </c>
      <c r="G362" t="s">
        <v>65</v>
      </c>
      <c r="H362" t="s">
        <v>75</v>
      </c>
      <c r="I362">
        <v>1</v>
      </c>
      <c r="J362" s="4">
        <v>229</v>
      </c>
      <c r="K362" s="4">
        <v>265.64</v>
      </c>
      <c r="L362" s="4">
        <f>K362-J362</f>
      </c>
      <c r="M362" s="4">
        <f>L362*16.67%</f>
      </c>
      <c r="N362" s="4">
        <f>(K362*6.9%)-(K362*6.9%)*10%</f>
      </c>
      <c r="O362" s="4">
        <f>K362*0.35%</f>
      </c>
      <c r="P362" s="4">
        <v>0.4</v>
      </c>
      <c r="Q362" s="4">
        <f>(N362+O362+P362)*20%</f>
      </c>
      <c r="R362" s="4">
        <f>N362+O362+P362+Q362</f>
      </c>
      <c r="S362" s="4">
        <v>0</v>
      </c>
      <c r="T362" s="4">
        <v>0</v>
      </c>
      <c r="U362" s="4">
        <v>0</v>
      </c>
      <c r="V362" s="4">
        <f>U362*20%</f>
      </c>
      <c r="W362" s="4">
        <v>1</v>
      </c>
      <c r="X362" s="4">
        <f>Q362+T362+V362</f>
      </c>
      <c r="Y362" s="4">
        <f>L362-M362-R362-S362-T362-U362-V362-W362</f>
      </c>
      <c r="Z362" s="4">
        <f>(Y362-AB362)/J362*100</f>
      </c>
      <c r="AA362" s="4">
        <f>M362-X362</f>
      </c>
      <c r="AC362" s="4">
        <f>Y362-AB362</f>
      </c>
      <c r="AH362" t="s">
        <v>1</v>
      </c>
    </row>
    <row r="363" spans="1:34" x14ac:dyDescent="0.25">
      <c r="A363" s="8">
        <v>46171.5</v>
      </c>
      <c r="B363" t="s">
        <v>2117</v>
      </c>
      <c r="C363" t="s">
        <v>177</v>
      </c>
      <c r="D363" s="9" t="s">
        <v>1</v>
      </c>
      <c r="E363" t="s">
        <v>177</v>
      </c>
      <c r="F363" t="s">
        <v>1</v>
      </c>
      <c r="G363" t="s">
        <v>1</v>
      </c>
      <c r="H363" t="s">
        <v>78</v>
      </c>
      <c r="I363">
        <v>1</v>
      </c>
      <c r="J363" s="4">
        <v>0.15</v>
      </c>
      <c r="K363" s="4">
        <v>0.18</v>
      </c>
      <c r="L363" s="4">
        <f>K363-J363</f>
      </c>
      <c r="M363" s="4">
        <f>L363*16.67%</f>
      </c>
      <c r="N363" s="4">
        <f>(K363*6.9%)-(K363*6.9%)*10%</f>
      </c>
      <c r="O363" s="4">
        <f>K363*0.35%</f>
      </c>
      <c r="P363" s="4">
        <v>0.4</v>
      </c>
      <c r="Q363" s="4">
        <f>(N363+O363+P363)*20%</f>
      </c>
      <c r="R363" s="4">
        <f>N363+O363+P363+Q363</f>
      </c>
      <c r="S363" s="4">
        <v>0</v>
      </c>
      <c r="T363" s="4">
        <v>0</v>
      </c>
      <c r="U363" s="4">
        <v>0</v>
      </c>
      <c r="V363" s="4">
        <f>U363*20%</f>
      </c>
      <c r="W363" s="4">
        <v>0</v>
      </c>
      <c r="X363" s="4">
        <f>Q363+T363+V363</f>
      </c>
      <c r="Y363" s="4">
        <f>L363-M363-R363-S363-T363-U363-V363-W363</f>
      </c>
      <c r="Z363" s="4">
        <f>(Y363-AB363)/J363*100</f>
      </c>
      <c r="AA363" s="4">
        <f>M363-X363</f>
      </c>
      <c r="AC363" s="4">
        <f>Y363-AB363</f>
      </c>
      <c r="AH363" t="s">
        <v>1</v>
      </c>
    </row>
    <row r="364" spans="1:34" x14ac:dyDescent="0.25">
      <c r="A364" s="8">
        <v>46171.5</v>
      </c>
      <c r="B364" t="s">
        <v>2118</v>
      </c>
      <c r="C364" t="s">
        <v>254</v>
      </c>
      <c r="D364" s="9" t="s">
        <v>1</v>
      </c>
      <c r="E364" t="s">
        <v>254</v>
      </c>
      <c r="F364" t="s">
        <v>1</v>
      </c>
      <c r="G364" t="s">
        <v>1</v>
      </c>
      <c r="H364" t="s">
        <v>61</v>
      </c>
      <c r="I364">
        <v>1</v>
      </c>
      <c r="J364" s="4">
        <v>0.8</v>
      </c>
      <c r="K364" s="4">
        <v>1.15</v>
      </c>
      <c r="L364" s="4">
        <f>K364-J364</f>
      </c>
      <c r="M364" s="4">
        <f>L364*16.67%</f>
      </c>
      <c r="N364" s="4">
        <f>(K364*6.9%)-(K364*6.9%)*10%</f>
      </c>
      <c r="O364" s="4">
        <f>K364*0.35%</f>
      </c>
      <c r="P364" s="4">
        <v>0.4</v>
      </c>
      <c r="Q364" s="4">
        <f>(N364+O364+P364)*20%</f>
      </c>
      <c r="R364" s="4">
        <f>N364+O364+P364+Q364</f>
      </c>
      <c r="S364" s="4">
        <v>0</v>
      </c>
      <c r="T364" s="4">
        <v>0</v>
      </c>
      <c r="U364" s="4">
        <v>0</v>
      </c>
      <c r="V364" s="4">
        <f>U364*20%</f>
      </c>
      <c r="W364" s="4">
        <v>0</v>
      </c>
      <c r="X364" s="4">
        <f>Q364+T364+V364</f>
      </c>
      <c r="Y364" s="4">
        <f>L364-M364-R364-S364-T364-U364-V364-W364</f>
      </c>
      <c r="Z364" s="4">
        <f>(Y364-AB364)/J364*100</f>
      </c>
      <c r="AA364" s="4">
        <f>M364-X364</f>
      </c>
      <c r="AC364" s="4">
        <f>Y364-AB364</f>
      </c>
      <c r="AH364" t="s">
        <v>1</v>
      </c>
    </row>
    <row r="365" spans="1:34" x14ac:dyDescent="0.25">
      <c r="A365" s="8">
        <v>46171.5</v>
      </c>
      <c r="B365" t="s">
        <v>2119</v>
      </c>
      <c r="C365" t="s">
        <v>1</v>
      </c>
      <c r="D365" s="9" t="s">
        <v>1</v>
      </c>
      <c r="E365" t="s">
        <v>1</v>
      </c>
      <c r="F365" t="s">
        <v>1</v>
      </c>
      <c r="G365" t="s">
        <v>1</v>
      </c>
      <c r="H365" t="s">
        <v>66</v>
      </c>
      <c r="I365">
        <v>1</v>
      </c>
      <c r="J365" s="4">
        <v>259</v>
      </c>
      <c r="K365" s="4">
        <v>365.19</v>
      </c>
      <c r="L365" s="4">
        <f>K365-J365</f>
      </c>
      <c r="M365" s="4">
        <f>L365*16.67%</f>
      </c>
      <c r="N365" s="4">
        <f>(K365*6.9%)-(K365*6.9%)*10%</f>
      </c>
      <c r="O365" s="4">
        <f>K365*0.35%</f>
      </c>
      <c r="P365" s="4">
        <v>0.4</v>
      </c>
      <c r="Q365" s="4">
        <f>(N365+O365+P365)*20%</f>
      </c>
      <c r="R365" s="4">
        <f>N365+O365+P365+Q365</f>
      </c>
      <c r="S365" s="4">
        <v>0</v>
      </c>
      <c r="T365" s="4">
        <v>0</v>
      </c>
      <c r="U365" s="4">
        <v>0</v>
      </c>
      <c r="V365" s="4">
        <f>U365*20%</f>
      </c>
      <c r="W365" s="4">
        <v>1</v>
      </c>
      <c r="X365" s="4">
        <f>Q365+T365+V365</f>
      </c>
      <c r="Y365" s="4">
        <f>L365-M365-R365-S365-T365-U365-V365-W365</f>
      </c>
      <c r="Z365" s="4">
        <f>(Y365-AB365)/J365*100</f>
      </c>
      <c r="AA365" s="4">
        <f>M365-X365</f>
      </c>
      <c r="AC365" s="4">
        <f>Y365-AB365</f>
      </c>
      <c r="AH365" t="s">
        <v>1</v>
      </c>
    </row>
    <row r="366" spans="1:34" x14ac:dyDescent="0.25">
      <c r="A366" s="8">
        <v>46170.5</v>
      </c>
      <c r="B366" t="s">
        <v>2120</v>
      </c>
      <c r="C366" t="s">
        <v>1</v>
      </c>
      <c r="D366" s="9" t="s">
        <v>2121</v>
      </c>
      <c r="E366" t="s">
        <v>94</v>
      </c>
      <c r="F366" t="s">
        <v>105</v>
      </c>
      <c r="G366" t="s">
        <v>95</v>
      </c>
      <c r="H366" t="s">
        <v>75</v>
      </c>
      <c r="I366">
        <v>1</v>
      </c>
      <c r="J366" s="4">
        <v>65</v>
      </c>
      <c r="K366" s="4">
        <v>91</v>
      </c>
      <c r="L366" s="4">
        <f>K366-J366</f>
      </c>
      <c r="M366" s="4">
        <f>L366*16.67%</f>
      </c>
      <c r="N366" s="4">
        <f>(K366*6.9%)-(K366*6.9%)*10%</f>
      </c>
      <c r="O366" s="4">
        <f>K366*0.35%</f>
      </c>
      <c r="P366" s="4">
        <v>0.4</v>
      </c>
      <c r="Q366" s="4">
        <f>(N366+O366+P366)*20%</f>
      </c>
      <c r="R366" s="4">
        <f>N366+O366+P366+Q366</f>
      </c>
      <c r="S366" s="4">
        <v>0</v>
      </c>
      <c r="T366" s="4">
        <v>0</v>
      </c>
      <c r="U366" s="4">
        <v>0</v>
      </c>
      <c r="V366" s="4">
        <f>U366*20%</f>
      </c>
      <c r="W366" s="4">
        <v>1</v>
      </c>
      <c r="X366" s="4">
        <f>Q366+T366+V366</f>
      </c>
      <c r="Y366" s="4">
        <f>L366-M366-R366-S366-T366-U366-V366-W366</f>
      </c>
      <c r="Z366" s="4">
        <f>(Y366-AB366)/J366*100</f>
      </c>
      <c r="AA366" s="4">
        <f>M366-X366</f>
      </c>
      <c r="AC366" s="4">
        <f>Y366-AB366</f>
      </c>
      <c r="AH366" t="s">
        <v>1</v>
      </c>
    </row>
    <row r="367" spans="1:34" x14ac:dyDescent="0.25">
      <c r="A367" s="8">
        <v>46170.5</v>
      </c>
      <c r="B367" t="s">
        <v>2122</v>
      </c>
      <c r="C367" t="s">
        <v>1</v>
      </c>
      <c r="D367" s="9" t="s">
        <v>2123</v>
      </c>
      <c r="E367" t="s">
        <v>84</v>
      </c>
      <c r="F367" t="s">
        <v>99</v>
      </c>
      <c r="G367" t="s">
        <v>60</v>
      </c>
      <c r="H367" t="s">
        <v>61</v>
      </c>
      <c r="I367">
        <v>1</v>
      </c>
      <c r="J367" s="4">
        <v>775</v>
      </c>
      <c r="K367" s="4">
        <v>1046.25</v>
      </c>
      <c r="L367" s="4">
        <f>K367-J367</f>
      </c>
      <c r="M367" s="4">
        <f>L367*16.67%</f>
      </c>
      <c r="N367" s="4">
        <f>(K367*6.9%)-(K367*6.9%)*10%</f>
      </c>
      <c r="O367" s="4">
        <f>K367*0.35%</f>
      </c>
      <c r="P367" s="4">
        <v>0.4</v>
      </c>
      <c r="Q367" s="4">
        <f>(N367+O367+P367)*20%</f>
      </c>
      <c r="R367" s="4">
        <f>N367+O367+P367+Q367</f>
      </c>
      <c r="S367" s="4">
        <v>0</v>
      </c>
      <c r="T367" s="4">
        <v>0</v>
      </c>
      <c r="U367" s="4">
        <v>0</v>
      </c>
      <c r="V367" s="4">
        <f>U367*20%</f>
      </c>
      <c r="W367" s="4">
        <v>1</v>
      </c>
      <c r="X367" s="4">
        <f>Q367+T367+V367</f>
      </c>
      <c r="Y367" s="4">
        <f>L367-M367-R367-S367-T367-U367-V367-W367</f>
      </c>
      <c r="Z367" s="4">
        <f>(Y367-AB367)/J367*100</f>
      </c>
      <c r="AA367" s="4">
        <f>M367-X367</f>
      </c>
      <c r="AC367" s="4">
        <f>Y367-AB367</f>
      </c>
      <c r="AH367" t="s">
        <v>1</v>
      </c>
    </row>
    <row r="368" spans="1:34" x14ac:dyDescent="0.25">
      <c r="A368" s="8">
        <v>46170.5</v>
      </c>
      <c r="B368" t="s">
        <v>2124</v>
      </c>
      <c r="C368" t="s">
        <v>1</v>
      </c>
      <c r="D368" s="9" t="s">
        <v>2125</v>
      </c>
      <c r="E368" t="s">
        <v>234</v>
      </c>
      <c r="F368" t="s">
        <v>70</v>
      </c>
      <c r="G368" t="s">
        <v>65</v>
      </c>
      <c r="H368" t="s">
        <v>75</v>
      </c>
      <c r="I368">
        <v>1</v>
      </c>
      <c r="J368" s="4">
        <v>169</v>
      </c>
      <c r="K368" s="4">
        <v>245.05</v>
      </c>
      <c r="L368" s="4">
        <f>K368-J368</f>
      </c>
      <c r="M368" s="4">
        <f>L368*16.67%</f>
      </c>
      <c r="N368" s="4">
        <f>(K368*6.9%)-(K368*6.9%)*10%</f>
      </c>
      <c r="O368" s="4">
        <f>K368*0.35%</f>
      </c>
      <c r="P368" s="4">
        <v>0.4</v>
      </c>
      <c r="Q368" s="4">
        <f>(N368+O368+P368)*20%</f>
      </c>
      <c r="R368" s="4">
        <f>N368+O368+P368+Q368</f>
      </c>
      <c r="S368" s="4">
        <v>0</v>
      </c>
      <c r="T368" s="4">
        <v>0</v>
      </c>
      <c r="U368" s="4">
        <v>0</v>
      </c>
      <c r="V368" s="4">
        <f>U368*20%</f>
      </c>
      <c r="W368" s="4">
        <v>1</v>
      </c>
      <c r="X368" s="4">
        <f>Q368+T368+V368</f>
      </c>
      <c r="Y368" s="4">
        <f>L368-M368-R368-S368-T368-U368-V368-W368</f>
      </c>
      <c r="Z368" s="4">
        <f>(Y368-AB368)/J368*100</f>
      </c>
      <c r="AA368" s="4">
        <f>M368-X368</f>
      </c>
      <c r="AC368" s="4">
        <f>Y368-AB368</f>
      </c>
      <c r="AH368" t="s">
        <v>1</v>
      </c>
    </row>
    <row r="369" spans="1:34" x14ac:dyDescent="0.25">
      <c r="A369" s="8">
        <v>46170.5</v>
      </c>
      <c r="B369" t="s">
        <v>2126</v>
      </c>
      <c r="C369" t="s">
        <v>1</v>
      </c>
      <c r="D369" s="9" t="s">
        <v>2127</v>
      </c>
      <c r="E369" t="s">
        <v>172</v>
      </c>
      <c r="F369" t="s">
        <v>88</v>
      </c>
      <c r="G369" t="s">
        <v>65</v>
      </c>
      <c r="H369" t="s">
        <v>61</v>
      </c>
      <c r="I369">
        <v>1</v>
      </c>
      <c r="J369" s="4">
        <v>173</v>
      </c>
      <c r="K369" s="4">
        <v>238.74</v>
      </c>
      <c r="L369" s="4">
        <f>K369-J369</f>
      </c>
      <c r="M369" s="4">
        <f>L369*16.67%</f>
      </c>
      <c r="N369" s="4">
        <f>(K369*6.9%)-(K369*6.9%)*10%</f>
      </c>
      <c r="O369" s="4">
        <f>K369*0.35%</f>
      </c>
      <c r="P369" s="4">
        <v>0.4</v>
      </c>
      <c r="Q369" s="4">
        <f>(N369+O369+P369)*20%</f>
      </c>
      <c r="R369" s="4">
        <f>N369+O369+P369+Q369</f>
      </c>
      <c r="S369" s="4">
        <v>0</v>
      </c>
      <c r="T369" s="4">
        <v>0</v>
      </c>
      <c r="U369" s="4">
        <v>0</v>
      </c>
      <c r="V369" s="4">
        <f>U369*20%</f>
      </c>
      <c r="W369" s="4">
        <v>1</v>
      </c>
      <c r="X369" s="4">
        <f>Q369+T369+V369</f>
      </c>
      <c r="Y369" s="4">
        <f>L369-M369-R369-S369-T369-U369-V369-W369</f>
      </c>
      <c r="Z369" s="4">
        <f>(Y369-AB369)/J369*100</f>
      </c>
      <c r="AA369" s="4">
        <f>M369-X369</f>
      </c>
      <c r="AC369" s="4">
        <f>Y369-AB369</f>
      </c>
      <c r="AH369" t="s">
        <v>1</v>
      </c>
    </row>
    <row r="370" spans="1:34" x14ac:dyDescent="0.25">
      <c r="A370" s="8">
        <v>46170.5</v>
      </c>
      <c r="B370" t="s">
        <v>2128</v>
      </c>
      <c r="C370" t="s">
        <v>1</v>
      </c>
      <c r="D370" s="9" t="s">
        <v>2129</v>
      </c>
      <c r="E370" t="s">
        <v>292</v>
      </c>
      <c r="F370" t="s">
        <v>74</v>
      </c>
      <c r="G370" t="s">
        <v>126</v>
      </c>
      <c r="H370" t="s">
        <v>75</v>
      </c>
      <c r="I370">
        <v>1</v>
      </c>
      <c r="J370" s="4">
        <v>151</v>
      </c>
      <c r="K370" s="4">
        <v>193.28</v>
      </c>
      <c r="L370" s="4">
        <f>K370-J370</f>
      </c>
      <c r="M370" s="4">
        <f>L370*16.67%</f>
      </c>
      <c r="N370" s="4">
        <f>(K370*6.9%)-(K370*6.9%)*10%</f>
      </c>
      <c r="O370" s="4">
        <f>K370*0.35%</f>
      </c>
      <c r="P370" s="4">
        <v>0.4</v>
      </c>
      <c r="Q370" s="4">
        <f>(N370+O370+P370)*20%</f>
      </c>
      <c r="R370" s="4">
        <f>N370+O370+P370+Q370</f>
      </c>
      <c r="S370" s="4">
        <v>0</v>
      </c>
      <c r="T370" s="4">
        <v>0</v>
      </c>
      <c r="U370" s="4">
        <v>0</v>
      </c>
      <c r="V370" s="4">
        <f>U370*20%</f>
      </c>
      <c r="W370" s="4">
        <v>1</v>
      </c>
      <c r="X370" s="4">
        <f>Q370+T370+V370</f>
      </c>
      <c r="Y370" s="4">
        <f>L370-M370-R370-S370-T370-U370-V370-W370</f>
      </c>
      <c r="Z370" s="4">
        <f>(Y370-AB370)/J370*100</f>
      </c>
      <c r="AA370" s="4">
        <f>M370-X370</f>
      </c>
      <c r="AC370" s="4">
        <f>Y370-AB370</f>
      </c>
      <c r="AH370" t="s">
        <v>1</v>
      </c>
    </row>
    <row r="371" spans="1:34" x14ac:dyDescent="0.25">
      <c r="A371" s="8">
        <v>46170.5</v>
      </c>
      <c r="B371" t="s">
        <v>2130</v>
      </c>
      <c r="C371" t="s">
        <v>1</v>
      </c>
      <c r="D371" s="9" t="s">
        <v>2131</v>
      </c>
      <c r="E371" t="s">
        <v>172</v>
      </c>
      <c r="F371" t="s">
        <v>88</v>
      </c>
      <c r="G371" t="s">
        <v>65</v>
      </c>
      <c r="H371" t="s">
        <v>78</v>
      </c>
      <c r="I371">
        <v>1</v>
      </c>
      <c r="J371" s="4">
        <v>157</v>
      </c>
      <c r="K371" s="4">
        <v>197.82</v>
      </c>
      <c r="L371" s="4">
        <f>K371-J371</f>
      </c>
      <c r="M371" s="4">
        <f>L371*16.67%</f>
      </c>
      <c r="N371" s="4">
        <f>(K371*6.9%)-(K371*6.9%)*10%</f>
      </c>
      <c r="O371" s="4">
        <f>K371*0.35%</f>
      </c>
      <c r="P371" s="4">
        <v>0.4</v>
      </c>
      <c r="Q371" s="4">
        <f>(N371+O371+P371)*20%</f>
      </c>
      <c r="R371" s="4">
        <f>N371+O371+P371+Q371</f>
      </c>
      <c r="S371" s="4">
        <v>0</v>
      </c>
      <c r="T371" s="4">
        <v>0</v>
      </c>
      <c r="U371" s="4">
        <v>0</v>
      </c>
      <c r="V371" s="4">
        <f>U371*20%</f>
      </c>
      <c r="W371" s="4">
        <v>1</v>
      </c>
      <c r="X371" s="4">
        <f>Q371+T371+V371</f>
      </c>
      <c r="Y371" s="4">
        <f>L371-M371-R371-S371-T371-U371-V371-W371</f>
      </c>
      <c r="Z371" s="4">
        <f>(Y371-AB371)/J371*100</f>
      </c>
      <c r="AA371" s="4">
        <f>M371-X371</f>
      </c>
      <c r="AC371" s="4">
        <f>Y371-AB371</f>
      </c>
      <c r="AH371" t="s">
        <v>1</v>
      </c>
    </row>
    <row r="372" spans="1:34" x14ac:dyDescent="0.25">
      <c r="A372" s="8">
        <v>46170.5</v>
      </c>
      <c r="B372" t="s">
        <v>2132</v>
      </c>
      <c r="C372" t="s">
        <v>174</v>
      </c>
      <c r="D372" s="9" t="s">
        <v>1</v>
      </c>
      <c r="E372" t="s">
        <v>174</v>
      </c>
      <c r="F372" t="s">
        <v>1</v>
      </c>
      <c r="G372" t="s">
        <v>1</v>
      </c>
      <c r="H372" t="s">
        <v>66</v>
      </c>
      <c r="I372">
        <v>2</v>
      </c>
      <c r="J372" s="4">
        <v>8.5</v>
      </c>
      <c r="K372" s="4">
        <v>10.37</v>
      </c>
      <c r="L372" s="4">
        <f>K372-J372</f>
      </c>
      <c r="M372" s="4">
        <f>L372*16.67%</f>
      </c>
      <c r="N372" s="4">
        <f>(K372*6.9%)-(K372*6.9%)*10%</f>
      </c>
      <c r="O372" s="4">
        <f>K372*0.35%</f>
      </c>
      <c r="P372" s="4">
        <v>0.4</v>
      </c>
      <c r="Q372" s="4">
        <f>(N372+O372+P372)*20%</f>
      </c>
      <c r="R372" s="4">
        <f>N372+O372+P372+Q372</f>
      </c>
      <c r="S372" s="4">
        <v>0</v>
      </c>
      <c r="T372" s="4">
        <v>0</v>
      </c>
      <c r="U372" s="4">
        <v>0</v>
      </c>
      <c r="V372" s="4">
        <f>U372*20%</f>
      </c>
      <c r="W372" s="4">
        <v>0</v>
      </c>
      <c r="X372" s="4">
        <f>Q372+T372+V372</f>
      </c>
      <c r="Y372" s="4">
        <f>L372-M372-R372-S372-T372-U372-V372-W372</f>
      </c>
      <c r="Z372" s="4">
        <f>(Y372-AB372)/J372*100</f>
      </c>
      <c r="AA372" s="4">
        <f>M372-X372</f>
      </c>
      <c r="AC372" s="4">
        <f>Y372-AB372</f>
      </c>
      <c r="AH372" t="s">
        <v>1</v>
      </c>
    </row>
    <row r="373" spans="1:34" x14ac:dyDescent="0.25">
      <c r="A373" s="8">
        <v>46170.5</v>
      </c>
      <c r="B373" t="s">
        <v>2133</v>
      </c>
      <c r="C373" t="s">
        <v>182</v>
      </c>
      <c r="D373" s="9" t="s">
        <v>1</v>
      </c>
      <c r="E373" t="s">
        <v>182</v>
      </c>
      <c r="F373" t="s">
        <v>1</v>
      </c>
      <c r="G373" t="s">
        <v>1</v>
      </c>
      <c r="H373" t="s">
        <v>75</v>
      </c>
      <c r="I373">
        <v>4</v>
      </c>
      <c r="J373" s="4">
        <v>7.6</v>
      </c>
      <c r="K373" s="4">
        <v>9.27</v>
      </c>
      <c r="L373" s="4">
        <f>K373-J373</f>
      </c>
      <c r="M373" s="4">
        <f>L373*16.67%</f>
      </c>
      <c r="N373" s="4">
        <f>(K373*6.9%)-(K373*6.9%)*10%</f>
      </c>
      <c r="O373" s="4">
        <f>K373*0.35%</f>
      </c>
      <c r="P373" s="4">
        <v>0.4</v>
      </c>
      <c r="Q373" s="4">
        <f>(N373+O373+P373)*20%</f>
      </c>
      <c r="R373" s="4">
        <f>N373+O373+P373+Q373</f>
      </c>
      <c r="S373" s="4">
        <v>0</v>
      </c>
      <c r="T373" s="4">
        <v>0</v>
      </c>
      <c r="U373" s="4">
        <v>0</v>
      </c>
      <c r="V373" s="4">
        <f>U373*20%</f>
      </c>
      <c r="W373" s="4">
        <v>0</v>
      </c>
      <c r="X373" s="4">
        <f>Q373+T373+V373</f>
      </c>
      <c r="Y373" s="4">
        <f>L373-M373-R373-S373-T373-U373-V373-W373</f>
      </c>
      <c r="Z373" s="4">
        <f>(Y373-AB373)/J373*100</f>
      </c>
      <c r="AA373" s="4">
        <f>M373-X373</f>
      </c>
      <c r="AC373" s="4">
        <f>Y373-AB373</f>
      </c>
      <c r="AH373" t="s">
        <v>1</v>
      </c>
    </row>
    <row r="374" spans="1:34" x14ac:dyDescent="0.25">
      <c r="A374" s="8">
        <v>46170.5</v>
      </c>
      <c r="B374" t="s">
        <v>2134</v>
      </c>
      <c r="C374" t="s">
        <v>1</v>
      </c>
      <c r="D374" s="9" t="s">
        <v>1</v>
      </c>
      <c r="E374" t="s">
        <v>1</v>
      </c>
      <c r="F374" t="s">
        <v>1</v>
      </c>
      <c r="G374" t="s">
        <v>1</v>
      </c>
      <c r="H374" t="s">
        <v>66</v>
      </c>
      <c r="I374">
        <v>1</v>
      </c>
      <c r="J374" s="4">
        <v>324</v>
      </c>
      <c r="K374" s="4">
        <v>398.52</v>
      </c>
      <c r="L374" s="4">
        <f>K374-J374</f>
      </c>
      <c r="M374" s="4">
        <f>L374*16.67%</f>
      </c>
      <c r="N374" s="4">
        <f>(K374*6.9%)-(K374*6.9%)*10%</f>
      </c>
      <c r="O374" s="4">
        <f>K374*0.35%</f>
      </c>
      <c r="P374" s="4">
        <v>0.4</v>
      </c>
      <c r="Q374" s="4">
        <f>(N374+O374+P374)*20%</f>
      </c>
      <c r="R374" s="4">
        <f>N374+O374+P374+Q374</f>
      </c>
      <c r="S374" s="4">
        <v>0</v>
      </c>
      <c r="T374" s="4">
        <v>0</v>
      </c>
      <c r="U374" s="4">
        <v>0</v>
      </c>
      <c r="V374" s="4">
        <f>U374*20%</f>
      </c>
      <c r="W374" s="4">
        <v>1</v>
      </c>
      <c r="X374" s="4">
        <f>Q374+T374+V374</f>
      </c>
      <c r="Y374" s="4">
        <f>L374-M374-R374-S374-T374-U374-V374-W374</f>
      </c>
      <c r="Z374" s="4">
        <f>(Y374-AB374)/J374*100</f>
      </c>
      <c r="AA374" s="4">
        <f>M374-X374</f>
      </c>
      <c r="AC374" s="4">
        <f>Y374-AB374</f>
      </c>
      <c r="AH374" t="s">
        <v>1</v>
      </c>
    </row>
    <row r="375" spans="1:34" x14ac:dyDescent="0.25">
      <c r="A375" s="8">
        <v>46169.5</v>
      </c>
      <c r="B375" t="s">
        <v>2135</v>
      </c>
      <c r="C375" t="s">
        <v>1</v>
      </c>
      <c r="D375" s="9" t="s">
        <v>2136</v>
      </c>
      <c r="E375" t="s">
        <v>73</v>
      </c>
      <c r="F375" t="s">
        <v>88</v>
      </c>
      <c r="G375" t="s">
        <v>60</v>
      </c>
      <c r="H375" t="s">
        <v>61</v>
      </c>
      <c r="I375">
        <v>1</v>
      </c>
      <c r="J375" s="4">
        <v>329</v>
      </c>
      <c r="K375" s="4">
        <v>414.54</v>
      </c>
      <c r="L375" s="4">
        <f>K375-J375</f>
      </c>
      <c r="M375" s="4">
        <f>L375*16.67%</f>
      </c>
      <c r="N375" s="4">
        <f>(K375*6.9%)-(K375*6.9%)*10%</f>
      </c>
      <c r="O375" s="4">
        <f>K375*0.35%</f>
      </c>
      <c r="P375" s="4">
        <v>0.4</v>
      </c>
      <c r="Q375" s="4">
        <f>(N375+O375+P375)*20%</f>
      </c>
      <c r="R375" s="4">
        <f>N375+O375+P375+Q375</f>
      </c>
      <c r="S375" s="4">
        <v>0</v>
      </c>
      <c r="T375" s="4">
        <v>0</v>
      </c>
      <c r="U375" s="4">
        <v>0</v>
      </c>
      <c r="V375" s="4">
        <f>U375*20%</f>
      </c>
      <c r="W375" s="4">
        <v>1</v>
      </c>
      <c r="X375" s="4">
        <f>Q375+T375+V375</f>
      </c>
      <c r="Y375" s="4">
        <f>L375-M375-R375-S375-T375-U375-V375-W375</f>
      </c>
      <c r="Z375" s="4">
        <f>(Y375-AB375)/J375*100</f>
      </c>
      <c r="AA375" s="4">
        <f>M375-X375</f>
      </c>
      <c r="AC375" s="4">
        <f>Y375-AB375</f>
      </c>
      <c r="AH375" t="s">
        <v>1</v>
      </c>
    </row>
    <row r="376" spans="1:34" x14ac:dyDescent="0.25">
      <c r="A376" s="8">
        <v>46169.5</v>
      </c>
      <c r="B376" t="s">
        <v>2137</v>
      </c>
      <c r="C376" t="s">
        <v>1</v>
      </c>
      <c r="D376" s="9" t="s">
        <v>2138</v>
      </c>
      <c r="E376" t="s">
        <v>139</v>
      </c>
      <c r="F376" t="s">
        <v>105</v>
      </c>
      <c r="G376" t="s">
        <v>60</v>
      </c>
      <c r="H376" t="s">
        <v>78</v>
      </c>
      <c r="I376">
        <v>1</v>
      </c>
      <c r="J376" s="4">
        <v>328</v>
      </c>
      <c r="K376" s="4">
        <v>469.04</v>
      </c>
      <c r="L376" s="4">
        <f>K376-J376</f>
      </c>
      <c r="M376" s="4">
        <f>L376*16.67%</f>
      </c>
      <c r="N376" s="4">
        <f>(K376*6.9%)-(K376*6.9%)*10%</f>
      </c>
      <c r="O376" s="4">
        <f>K376*0.35%</f>
      </c>
      <c r="P376" s="4">
        <v>0.4</v>
      </c>
      <c r="Q376" s="4">
        <f>(N376+O376+P376)*20%</f>
      </c>
      <c r="R376" s="4">
        <f>N376+O376+P376+Q376</f>
      </c>
      <c r="S376" s="4">
        <v>0</v>
      </c>
      <c r="T376" s="4">
        <v>0</v>
      </c>
      <c r="U376" s="4">
        <v>0</v>
      </c>
      <c r="V376" s="4">
        <f>U376*20%</f>
      </c>
      <c r="W376" s="4">
        <v>1</v>
      </c>
      <c r="X376" s="4">
        <f>Q376+T376+V376</f>
      </c>
      <c r="Y376" s="4">
        <f>L376-M376-R376-S376-T376-U376-V376-W376</f>
      </c>
      <c r="Z376" s="4">
        <f>(Y376-AB376)/J376*100</f>
      </c>
      <c r="AA376" s="4">
        <f>M376-X376</f>
      </c>
      <c r="AC376" s="4">
        <f>Y376-AB376</f>
      </c>
      <c r="AH376" t="s">
        <v>1</v>
      </c>
    </row>
    <row r="377" spans="1:34" x14ac:dyDescent="0.25">
      <c r="A377" s="8">
        <v>46169.5</v>
      </c>
      <c r="B377" t="s">
        <v>2139</v>
      </c>
      <c r="C377" t="s">
        <v>1</v>
      </c>
      <c r="D377" s="9" t="s">
        <v>2140</v>
      </c>
      <c r="E377" t="s">
        <v>91</v>
      </c>
      <c r="F377" t="s">
        <v>59</v>
      </c>
      <c r="G377" t="s">
        <v>95</v>
      </c>
      <c r="H377" t="s">
        <v>78</v>
      </c>
      <c r="I377">
        <v>1</v>
      </c>
      <c r="J377" s="4">
        <v>105</v>
      </c>
      <c r="K377" s="4">
        <v>122.85</v>
      </c>
      <c r="L377" s="4">
        <f>K377-J377</f>
      </c>
      <c r="M377" s="4">
        <f>L377*16.67%</f>
      </c>
      <c r="N377" s="4">
        <f>(K377*6.9%)-(K377*6.9%)*10%</f>
      </c>
      <c r="O377" s="4">
        <f>K377*0.35%</f>
      </c>
      <c r="P377" s="4">
        <v>0.4</v>
      </c>
      <c r="Q377" s="4">
        <f>(N377+O377+P377)*20%</f>
      </c>
      <c r="R377" s="4">
        <f>N377+O377+P377+Q377</f>
      </c>
      <c r="S377" s="4">
        <v>0</v>
      </c>
      <c r="T377" s="4">
        <v>0</v>
      </c>
      <c r="U377" s="4">
        <v>0</v>
      </c>
      <c r="V377" s="4">
        <f>U377*20%</f>
      </c>
      <c r="W377" s="4">
        <v>1</v>
      </c>
      <c r="X377" s="4">
        <f>Q377+T377+V377</f>
      </c>
      <c r="Y377" s="4">
        <f>L377-M377-R377-S377-T377-U377-V377-W377</f>
      </c>
      <c r="Z377" s="4">
        <f>(Y377-AB377)/J377*100</f>
      </c>
      <c r="AA377" s="4">
        <f>M377-X377</f>
      </c>
      <c r="AC377" s="4">
        <f>Y377-AB377</f>
      </c>
      <c r="AH377" t="s">
        <v>1</v>
      </c>
    </row>
    <row r="378" spans="1:34" x14ac:dyDescent="0.25">
      <c r="A378" s="8">
        <v>46169.5</v>
      </c>
      <c r="B378" t="s">
        <v>2141</v>
      </c>
      <c r="C378" t="s">
        <v>1</v>
      </c>
      <c r="D378" s="9" t="s">
        <v>2142</v>
      </c>
      <c r="E378" t="s">
        <v>73</v>
      </c>
      <c r="F378" t="s">
        <v>70</v>
      </c>
      <c r="G378" t="s">
        <v>60</v>
      </c>
      <c r="H378" t="s">
        <v>102</v>
      </c>
      <c r="I378">
        <v>1</v>
      </c>
      <c r="J378" s="4">
        <v>349</v>
      </c>
      <c r="K378" s="4">
        <v>422.29</v>
      </c>
      <c r="L378" s="4">
        <f>K378-J378</f>
      </c>
      <c r="M378" s="4">
        <f>L378*16.67%</f>
      </c>
      <c r="N378" s="4">
        <f>(K378*6.9%)-(K378*6.9%)*10%</f>
      </c>
      <c r="O378" s="4">
        <f>K378*0.35%</f>
      </c>
      <c r="P378" s="4">
        <v>0.4</v>
      </c>
      <c r="Q378" s="4">
        <f>(N378+O378+P378)*20%</f>
      </c>
      <c r="R378" s="4">
        <f>N378+O378+P378+Q378</f>
      </c>
      <c r="S378" s="4">
        <v>0</v>
      </c>
      <c r="T378" s="4">
        <v>0</v>
      </c>
      <c r="U378" s="4">
        <v>0</v>
      </c>
      <c r="V378" s="4">
        <f>U378*20%</f>
      </c>
      <c r="W378" s="4">
        <v>1</v>
      </c>
      <c r="X378" s="4">
        <f>Q378+T378+V378</f>
      </c>
      <c r="Y378" s="4">
        <f>L378-M378-R378-S378-T378-U378-V378-W378</f>
      </c>
      <c r="Z378" s="4">
        <f>(Y378-AB378)/J378*100</f>
      </c>
      <c r="AA378" s="4">
        <f>M378-X378</f>
      </c>
      <c r="AC378" s="4">
        <f>Y378-AB378</f>
      </c>
      <c r="AH378" t="s">
        <v>1</v>
      </c>
    </row>
    <row r="379" spans="1:34" x14ac:dyDescent="0.25">
      <c r="A379" s="8">
        <v>46169.5</v>
      </c>
      <c r="B379" t="s">
        <v>2143</v>
      </c>
      <c r="C379" t="s">
        <v>1</v>
      </c>
      <c r="D379" s="9" t="s">
        <v>2144</v>
      </c>
      <c r="E379" t="s">
        <v>134</v>
      </c>
      <c r="F379" t="s">
        <v>85</v>
      </c>
      <c r="G379" t="s">
        <v>65</v>
      </c>
      <c r="H379" t="s">
        <v>75</v>
      </c>
      <c r="I379">
        <v>1</v>
      </c>
      <c r="J379" s="4">
        <v>137</v>
      </c>
      <c r="K379" s="4">
        <v>158.92</v>
      </c>
      <c r="L379" s="4">
        <f>K379-J379</f>
      </c>
      <c r="M379" s="4">
        <f>L379*16.67%</f>
      </c>
      <c r="N379" s="4">
        <f>(K379*6.9%)-(K379*6.9%)*10%</f>
      </c>
      <c r="O379" s="4">
        <f>K379*0.35%</f>
      </c>
      <c r="P379" s="4">
        <v>0.4</v>
      </c>
      <c r="Q379" s="4">
        <f>(N379+O379+P379)*20%</f>
      </c>
      <c r="R379" s="4">
        <f>N379+O379+P379+Q379</f>
      </c>
      <c r="S379" s="4">
        <v>0</v>
      </c>
      <c r="T379" s="4">
        <v>0</v>
      </c>
      <c r="U379" s="4">
        <v>0</v>
      </c>
      <c r="V379" s="4">
        <f>U379*20%</f>
      </c>
      <c r="W379" s="4">
        <v>1</v>
      </c>
      <c r="X379" s="4">
        <f>Q379+T379+V379</f>
      </c>
      <c r="Y379" s="4">
        <f>L379-M379-R379-S379-T379-U379-V379-W379</f>
      </c>
      <c r="Z379" s="4">
        <f>(Y379-AB379)/J379*100</f>
      </c>
      <c r="AA379" s="4">
        <f>M379-X379</f>
      </c>
      <c r="AC379" s="4">
        <f>Y379-AB379</f>
      </c>
      <c r="AH379" t="s">
        <v>1</v>
      </c>
    </row>
    <row r="380" spans="1:34" x14ac:dyDescent="0.25">
      <c r="A380" s="8">
        <v>46169.5</v>
      </c>
      <c r="B380" t="s">
        <v>2145</v>
      </c>
      <c r="C380" t="s">
        <v>185</v>
      </c>
      <c r="D380" s="9" t="s">
        <v>1</v>
      </c>
      <c r="E380" t="s">
        <v>185</v>
      </c>
      <c r="F380" t="s">
        <v>1</v>
      </c>
      <c r="G380" t="s">
        <v>1</v>
      </c>
      <c r="H380" t="s">
        <v>102</v>
      </c>
      <c r="I380">
        <v>3</v>
      </c>
      <c r="J380" s="4">
        <v>3.6</v>
      </c>
      <c r="K380" s="4">
        <v>4.39</v>
      </c>
      <c r="L380" s="4">
        <f>K380-J380</f>
      </c>
      <c r="M380" s="4">
        <f>L380*16.67%</f>
      </c>
      <c r="N380" s="4">
        <f>(K380*6.9%)-(K380*6.9%)*10%</f>
      </c>
      <c r="O380" s="4">
        <f>K380*0.35%</f>
      </c>
      <c r="P380" s="4">
        <v>0.4</v>
      </c>
      <c r="Q380" s="4">
        <f>(N380+O380+P380)*20%</f>
      </c>
      <c r="R380" s="4">
        <f>N380+O380+P380+Q380</f>
      </c>
      <c r="S380" s="4">
        <v>0</v>
      </c>
      <c r="T380" s="4">
        <v>0</v>
      </c>
      <c r="U380" s="4">
        <v>0</v>
      </c>
      <c r="V380" s="4">
        <f>U380*20%</f>
      </c>
      <c r="W380" s="4">
        <v>0</v>
      </c>
      <c r="X380" s="4">
        <f>Q380+T380+V380</f>
      </c>
      <c r="Y380" s="4">
        <f>L380-M380-R380-S380-T380-U380-V380-W380</f>
      </c>
      <c r="Z380" s="4">
        <f>(Y380-AB380)/J380*100</f>
      </c>
      <c r="AA380" s="4">
        <f>M380-X380</f>
      </c>
      <c r="AC380" s="4">
        <f>Y380-AB380</f>
      </c>
      <c r="AH380" t="s">
        <v>1</v>
      </c>
    </row>
    <row r="381" spans="1:34" x14ac:dyDescent="0.25">
      <c r="A381" s="8">
        <v>46168.5</v>
      </c>
      <c r="B381" t="s">
        <v>2146</v>
      </c>
      <c r="C381" t="s">
        <v>1</v>
      </c>
      <c r="D381" s="9" t="s">
        <v>2147</v>
      </c>
      <c r="E381" t="s">
        <v>114</v>
      </c>
      <c r="F381" t="s">
        <v>88</v>
      </c>
      <c r="G381" t="s">
        <v>60</v>
      </c>
      <c r="H381" t="s">
        <v>102</v>
      </c>
      <c r="I381">
        <v>1</v>
      </c>
      <c r="J381" s="4">
        <v>237</v>
      </c>
      <c r="K381" s="4">
        <v>327.06</v>
      </c>
      <c r="L381" s="4">
        <f>K381-J381</f>
      </c>
      <c r="M381" s="4">
        <f>L381*16.67%</f>
      </c>
      <c r="N381" s="4">
        <f>(K381*6.9%)-(K381*6.9%)*10%</f>
      </c>
      <c r="O381" s="4">
        <f>K381*0.35%</f>
      </c>
      <c r="P381" s="4">
        <v>0.4</v>
      </c>
      <c r="Q381" s="4">
        <f>(N381+O381+P381)*20%</f>
      </c>
      <c r="R381" s="4">
        <f>N381+O381+P381+Q381</f>
      </c>
      <c r="S381" s="4">
        <v>0</v>
      </c>
      <c r="T381" s="4">
        <v>0</v>
      </c>
      <c r="U381" s="4">
        <v>0</v>
      </c>
      <c r="V381" s="4">
        <f>U381*20%</f>
      </c>
      <c r="W381" s="4">
        <v>1</v>
      </c>
      <c r="X381" s="4">
        <f>Q381+T381+V381</f>
      </c>
      <c r="Y381" s="4">
        <f>L381-M381-R381-S381-T381-U381-V381-W381</f>
      </c>
      <c r="Z381" s="4">
        <f>(Y381-AB381)/J381*100</f>
      </c>
      <c r="AA381" s="4">
        <f>M381-X381</f>
      </c>
      <c r="AC381" s="4">
        <f>Y381-AB381</f>
      </c>
      <c r="AH381" t="s">
        <v>1</v>
      </c>
    </row>
    <row r="382" spans="1:34" x14ac:dyDescent="0.25">
      <c r="A382" s="8">
        <v>46168.5</v>
      </c>
      <c r="B382" t="s">
        <v>2148</v>
      </c>
      <c r="C382" t="s">
        <v>1</v>
      </c>
      <c r="D382" s="9" t="s">
        <v>2149</v>
      </c>
      <c r="E382" t="s">
        <v>64</v>
      </c>
      <c r="F382" t="s">
        <v>88</v>
      </c>
      <c r="G382" t="s">
        <v>65</v>
      </c>
      <c r="H382" t="s">
        <v>75</v>
      </c>
      <c r="I382">
        <v>1</v>
      </c>
      <c r="J382" s="4">
        <v>233</v>
      </c>
      <c r="K382" s="4">
        <v>272.61</v>
      </c>
      <c r="L382" s="4">
        <f>K382-J382</f>
      </c>
      <c r="M382" s="4">
        <f>L382*16.67%</f>
      </c>
      <c r="N382" s="4">
        <f>(K382*6.9%)-(K382*6.9%)*10%</f>
      </c>
      <c r="O382" s="4">
        <f>K382*0.35%</f>
      </c>
      <c r="P382" s="4">
        <v>0.4</v>
      </c>
      <c r="Q382" s="4">
        <f>(N382+O382+P382)*20%</f>
      </c>
      <c r="R382" s="4">
        <f>N382+O382+P382+Q382</f>
      </c>
      <c r="S382" s="4">
        <v>0</v>
      </c>
      <c r="T382" s="4">
        <v>0</v>
      </c>
      <c r="U382" s="4">
        <v>0</v>
      </c>
      <c r="V382" s="4">
        <f>U382*20%</f>
      </c>
      <c r="W382" s="4">
        <v>1</v>
      </c>
      <c r="X382" s="4">
        <f>Q382+T382+V382</f>
      </c>
      <c r="Y382" s="4">
        <f>L382-M382-R382-S382-T382-U382-V382-W382</f>
      </c>
      <c r="Z382" s="4">
        <f>(Y382-AB382)/J382*100</f>
      </c>
      <c r="AA382" s="4">
        <f>M382-X382</f>
      </c>
      <c r="AC382" s="4">
        <f>Y382-AB382</f>
      </c>
      <c r="AH382" t="s">
        <v>1</v>
      </c>
    </row>
    <row r="383" spans="1:34" x14ac:dyDescent="0.25">
      <c r="A383" s="8">
        <v>46168.5</v>
      </c>
      <c r="B383" t="s">
        <v>2150</v>
      </c>
      <c r="C383" t="s">
        <v>1</v>
      </c>
      <c r="D383" s="9" t="s">
        <v>2151</v>
      </c>
      <c r="E383" t="s">
        <v>139</v>
      </c>
      <c r="F383" t="s">
        <v>99</v>
      </c>
      <c r="G383" t="s">
        <v>60</v>
      </c>
      <c r="H383" t="s">
        <v>61</v>
      </c>
      <c r="I383">
        <v>1</v>
      </c>
      <c r="J383" s="4">
        <v>308</v>
      </c>
      <c r="K383" s="4">
        <v>363.44</v>
      </c>
      <c r="L383" s="4">
        <f>K383-J383</f>
      </c>
      <c r="M383" s="4">
        <f>L383*16.67%</f>
      </c>
      <c r="N383" s="4">
        <f>(K383*6.9%)-(K383*6.9%)*10%</f>
      </c>
      <c r="O383" s="4">
        <f>K383*0.35%</f>
      </c>
      <c r="P383" s="4">
        <v>0.4</v>
      </c>
      <c r="Q383" s="4">
        <f>(N383+O383+P383)*20%</f>
      </c>
      <c r="R383" s="4">
        <f>N383+O383+P383+Q383</f>
      </c>
      <c r="S383" s="4">
        <v>0</v>
      </c>
      <c r="T383" s="4">
        <v>0</v>
      </c>
      <c r="U383" s="4">
        <v>0</v>
      </c>
      <c r="V383" s="4">
        <f>U383*20%</f>
      </c>
      <c r="W383" s="4">
        <v>1</v>
      </c>
      <c r="X383" s="4">
        <f>Q383+T383+V383</f>
      </c>
      <c r="Y383" s="4">
        <f>L383-M383-R383-S383-T383-U383-V383-W383</f>
      </c>
      <c r="Z383" s="4">
        <f>(Y383-AB383)/J383*100</f>
      </c>
      <c r="AA383" s="4">
        <f>M383-X383</f>
      </c>
      <c r="AC383" s="4">
        <f>Y383-AB383</f>
      </c>
      <c r="AH383" t="s">
        <v>1</v>
      </c>
    </row>
    <row r="384" spans="1:34" x14ac:dyDescent="0.25">
      <c r="A384" s="8">
        <v>46168.5</v>
      </c>
      <c r="B384" t="s">
        <v>2152</v>
      </c>
      <c r="C384" t="s">
        <v>1</v>
      </c>
      <c r="D384" s="9" t="s">
        <v>2153</v>
      </c>
      <c r="E384" t="s">
        <v>134</v>
      </c>
      <c r="F384" t="s">
        <v>74</v>
      </c>
      <c r="G384" t="s">
        <v>95</v>
      </c>
      <c r="H384" t="s">
        <v>66</v>
      </c>
      <c r="I384">
        <v>1</v>
      </c>
      <c r="J384" s="4">
        <v>120</v>
      </c>
      <c r="K384" s="4">
        <v>154.8</v>
      </c>
      <c r="L384" s="4">
        <f>K384-J384</f>
      </c>
      <c r="M384" s="4">
        <f>L384*16.67%</f>
      </c>
      <c r="N384" s="4">
        <f>(K384*6.9%)-(K384*6.9%)*10%</f>
      </c>
      <c r="O384" s="4">
        <f>K384*0.35%</f>
      </c>
      <c r="P384" s="4">
        <v>0.4</v>
      </c>
      <c r="Q384" s="4">
        <f>(N384+O384+P384)*20%</f>
      </c>
      <c r="R384" s="4">
        <f>N384+O384+P384+Q384</f>
      </c>
      <c r="S384" s="4">
        <v>0</v>
      </c>
      <c r="T384" s="4">
        <v>0</v>
      </c>
      <c r="U384" s="4">
        <v>0</v>
      </c>
      <c r="V384" s="4">
        <f>U384*20%</f>
      </c>
      <c r="W384" s="4">
        <v>1</v>
      </c>
      <c r="X384" s="4">
        <f>Q384+T384+V384</f>
      </c>
      <c r="Y384" s="4">
        <f>L384-M384-R384-S384-T384-U384-V384-W384</f>
      </c>
      <c r="Z384" s="4">
        <f>(Y384-AB384)/J384*100</f>
      </c>
      <c r="AA384" s="4">
        <f>M384-X384</f>
      </c>
      <c r="AC384" s="4">
        <f>Y384-AB384</f>
      </c>
      <c r="AH384" t="s">
        <v>1</v>
      </c>
    </row>
    <row r="385" spans="1:34" x14ac:dyDescent="0.25">
      <c r="A385" s="8">
        <v>46168.5</v>
      </c>
      <c r="B385" t="s">
        <v>2154</v>
      </c>
      <c r="C385" t="s">
        <v>1</v>
      </c>
      <c r="D385" s="9" t="s">
        <v>2155</v>
      </c>
      <c r="E385" t="s">
        <v>172</v>
      </c>
      <c r="F385" t="s">
        <v>70</v>
      </c>
      <c r="G385" t="s">
        <v>65</v>
      </c>
      <c r="H385" t="s">
        <v>78</v>
      </c>
      <c r="I385">
        <v>1</v>
      </c>
      <c r="J385" s="4">
        <v>142</v>
      </c>
      <c r="K385" s="4">
        <v>173.24</v>
      </c>
      <c r="L385" s="4">
        <f>K385-J385</f>
      </c>
      <c r="M385" s="4">
        <f>L385*16.67%</f>
      </c>
      <c r="N385" s="4">
        <f>(K385*6.9%)-(K385*6.9%)*10%</f>
      </c>
      <c r="O385" s="4">
        <f>K385*0.35%</f>
      </c>
      <c r="P385" s="4">
        <v>0.4</v>
      </c>
      <c r="Q385" s="4">
        <f>(N385+O385+P385)*20%</f>
      </c>
      <c r="R385" s="4">
        <f>N385+O385+P385+Q385</f>
      </c>
      <c r="S385" s="4">
        <v>0</v>
      </c>
      <c r="T385" s="4">
        <v>0</v>
      </c>
      <c r="U385" s="4">
        <v>0</v>
      </c>
      <c r="V385" s="4">
        <f>U385*20%</f>
      </c>
      <c r="W385" s="4">
        <v>1</v>
      </c>
      <c r="X385" s="4">
        <f>Q385+T385+V385</f>
      </c>
      <c r="Y385" s="4">
        <f>L385-M385-R385-S385-T385-U385-V385-W385</f>
      </c>
      <c r="Z385" s="4">
        <f>(Y385-AB385)/J385*100</f>
      </c>
      <c r="AA385" s="4">
        <f>M385-X385</f>
      </c>
      <c r="AC385" s="4">
        <f>Y385-AB385</f>
      </c>
      <c r="AH385" t="s">
        <v>1</v>
      </c>
    </row>
    <row r="386" spans="1:34" x14ac:dyDescent="0.25">
      <c r="A386" s="8">
        <v>46167.5</v>
      </c>
      <c r="B386" t="s">
        <v>2156</v>
      </c>
      <c r="C386" t="s">
        <v>1</v>
      </c>
      <c r="D386" s="9" t="s">
        <v>2157</v>
      </c>
      <c r="E386" t="s">
        <v>94</v>
      </c>
      <c r="F386" t="s">
        <v>70</v>
      </c>
      <c r="G386" t="s">
        <v>95</v>
      </c>
      <c r="H386" t="s">
        <v>66</v>
      </c>
      <c r="I386">
        <v>1</v>
      </c>
      <c r="J386" s="4">
        <v>73</v>
      </c>
      <c r="K386" s="4">
        <v>84.68</v>
      </c>
      <c r="L386" s="4">
        <f>K386-J386</f>
      </c>
      <c r="M386" s="4">
        <f>L386*16.67%</f>
      </c>
      <c r="N386" s="4">
        <f>(K386*6.9%)-(K386*6.9%)*10%</f>
      </c>
      <c r="O386" s="4">
        <f>K386*0.35%</f>
      </c>
      <c r="P386" s="4">
        <v>0.4</v>
      </c>
      <c r="Q386" s="4">
        <f>(N386+O386+P386)*20%</f>
      </c>
      <c r="R386" s="4">
        <f>N386+O386+P386+Q386</f>
      </c>
      <c r="S386" s="4">
        <v>0</v>
      </c>
      <c r="T386" s="4">
        <v>0</v>
      </c>
      <c r="U386" s="4">
        <v>0</v>
      </c>
      <c r="V386" s="4">
        <f>U386*20%</f>
      </c>
      <c r="W386" s="4">
        <v>1</v>
      </c>
      <c r="X386" s="4">
        <f>Q386+T386+V386</f>
      </c>
      <c r="Y386" s="4">
        <f>L386-M386-R386-S386-T386-U386-V386-W386</f>
      </c>
      <c r="Z386" s="4">
        <f>(Y386-AB386)/J386*100</f>
      </c>
      <c r="AA386" s="4">
        <f>M386-X386</f>
      </c>
      <c r="AC386" s="4">
        <f>Y386-AB386</f>
      </c>
      <c r="AH386" t="s">
        <v>1</v>
      </c>
    </row>
    <row r="387" spans="1:34" x14ac:dyDescent="0.25">
      <c r="A387" s="8">
        <v>46167.5</v>
      </c>
      <c r="B387" t="s">
        <v>2158</v>
      </c>
      <c r="C387" t="s">
        <v>177</v>
      </c>
      <c r="D387" s="9" t="s">
        <v>1</v>
      </c>
      <c r="E387" t="s">
        <v>177</v>
      </c>
      <c r="F387" t="s">
        <v>1</v>
      </c>
      <c r="G387" t="s">
        <v>1</v>
      </c>
      <c r="H387" t="s">
        <v>78</v>
      </c>
      <c r="I387">
        <v>4</v>
      </c>
      <c r="J387" s="4">
        <v>0.6</v>
      </c>
      <c r="K387" s="4">
        <v>0.76</v>
      </c>
      <c r="L387" s="4">
        <f>K387-J387</f>
      </c>
      <c r="M387" s="4">
        <f>L387*16.67%</f>
      </c>
      <c r="N387" s="4">
        <f>(K387*6.9%)-(K387*6.9%)*10%</f>
      </c>
      <c r="O387" s="4">
        <f>K387*0.35%</f>
      </c>
      <c r="P387" s="4">
        <v>0.4</v>
      </c>
      <c r="Q387" s="4">
        <f>(N387+O387+P387)*20%</f>
      </c>
      <c r="R387" s="4">
        <f>N387+O387+P387+Q387</f>
      </c>
      <c r="S387" s="4">
        <v>0</v>
      </c>
      <c r="T387" s="4">
        <v>0</v>
      </c>
      <c r="U387" s="4">
        <v>0</v>
      </c>
      <c r="V387" s="4">
        <f>U387*20%</f>
      </c>
      <c r="W387" s="4">
        <v>0</v>
      </c>
      <c r="X387" s="4">
        <f>Q387+T387+V387</f>
      </c>
      <c r="Y387" s="4">
        <f>L387-M387-R387-S387-T387-U387-V387-W387</f>
      </c>
      <c r="Z387" s="4">
        <f>(Y387-AB387)/J387*100</f>
      </c>
      <c r="AA387" s="4">
        <f>M387-X387</f>
      </c>
      <c r="AC387" s="4">
        <f>Y387-AB387</f>
      </c>
      <c r="AH387" t="s">
        <v>1</v>
      </c>
    </row>
    <row r="388" spans="1:34" x14ac:dyDescent="0.25">
      <c r="A388" s="8">
        <v>46167.5</v>
      </c>
      <c r="B388" t="s">
        <v>2159</v>
      </c>
      <c r="C388" t="s">
        <v>182</v>
      </c>
      <c r="D388" s="9" t="s">
        <v>1</v>
      </c>
      <c r="E388" t="s">
        <v>182</v>
      </c>
      <c r="F388" t="s">
        <v>1</v>
      </c>
      <c r="G388" t="s">
        <v>1</v>
      </c>
      <c r="H388" t="s">
        <v>75</v>
      </c>
      <c r="I388">
        <v>4</v>
      </c>
      <c r="J388" s="4">
        <v>7.6</v>
      </c>
      <c r="K388" s="4">
        <v>9.58</v>
      </c>
      <c r="L388" s="4">
        <f>K388-J388</f>
      </c>
      <c r="M388" s="4">
        <f>L388*16.67%</f>
      </c>
      <c r="N388" s="4">
        <f>(K388*6.9%)-(K388*6.9%)*10%</f>
      </c>
      <c r="O388" s="4">
        <f>K388*0.35%</f>
      </c>
      <c r="P388" s="4">
        <v>0.4</v>
      </c>
      <c r="Q388" s="4">
        <f>(N388+O388+P388)*20%</f>
      </c>
      <c r="R388" s="4">
        <f>N388+O388+P388+Q388</f>
      </c>
      <c r="S388" s="4">
        <v>0</v>
      </c>
      <c r="T388" s="4">
        <v>0</v>
      </c>
      <c r="U388" s="4">
        <v>0</v>
      </c>
      <c r="V388" s="4">
        <f>U388*20%</f>
      </c>
      <c r="W388" s="4">
        <v>0</v>
      </c>
      <c r="X388" s="4">
        <f>Q388+T388+V388</f>
      </c>
      <c r="Y388" s="4">
        <f>L388-M388-R388-S388-T388-U388-V388-W388</f>
      </c>
      <c r="Z388" s="4">
        <f>(Y388-AB388)/J388*100</f>
      </c>
      <c r="AA388" s="4">
        <f>M388-X388</f>
      </c>
      <c r="AC388" s="4">
        <f>Y388-AB388</f>
      </c>
      <c r="AH388" t="s">
        <v>1</v>
      </c>
    </row>
    <row r="389" spans="1:34" x14ac:dyDescent="0.25">
      <c r="A389" s="8">
        <v>46166.5</v>
      </c>
      <c r="B389" t="s">
        <v>2160</v>
      </c>
      <c r="C389" t="s">
        <v>1</v>
      </c>
      <c r="D389" s="9" t="s">
        <v>2161</v>
      </c>
      <c r="E389" t="s">
        <v>125</v>
      </c>
      <c r="F389" t="s">
        <v>74</v>
      </c>
      <c r="G389" t="s">
        <v>126</v>
      </c>
      <c r="H389" t="s">
        <v>61</v>
      </c>
      <c r="I389">
        <v>1</v>
      </c>
      <c r="J389" s="4">
        <v>235</v>
      </c>
      <c r="K389" s="4">
        <v>321.95</v>
      </c>
      <c r="L389" s="4">
        <f>K389-J389</f>
      </c>
      <c r="M389" s="4">
        <f>L389*16.67%</f>
      </c>
      <c r="N389" s="4">
        <f>(K389*6.9%)-(K389*6.9%)*10%</f>
      </c>
      <c r="O389" s="4">
        <f>K389*0.35%</f>
      </c>
      <c r="P389" s="4">
        <v>0.4</v>
      </c>
      <c r="Q389" s="4">
        <f>(N389+O389+P389)*20%</f>
      </c>
      <c r="R389" s="4">
        <f>N389+O389+P389+Q389</f>
      </c>
      <c r="S389" s="4">
        <v>0</v>
      </c>
      <c r="T389" s="4">
        <v>0</v>
      </c>
      <c r="U389" s="4">
        <v>0</v>
      </c>
      <c r="V389" s="4">
        <f>U389*20%</f>
      </c>
      <c r="W389" s="4">
        <v>1</v>
      </c>
      <c r="X389" s="4">
        <f>Q389+T389+V389</f>
      </c>
      <c r="Y389" s="4">
        <f>L389-M389-R389-S389-T389-U389-V389-W389</f>
      </c>
      <c r="Z389" s="4">
        <f>(Y389-AB389)/J389*100</f>
      </c>
      <c r="AA389" s="4">
        <f>M389-X389</f>
      </c>
      <c r="AC389" s="4">
        <f>Y389-AB389</f>
      </c>
      <c r="AH389" t="s">
        <v>1</v>
      </c>
    </row>
    <row r="390" spans="1:34" x14ac:dyDescent="0.25">
      <c r="A390" s="8">
        <v>46166.5</v>
      </c>
      <c r="B390" t="s">
        <v>2162</v>
      </c>
      <c r="C390" t="s">
        <v>1</v>
      </c>
      <c r="D390" s="9" t="s">
        <v>2163</v>
      </c>
      <c r="E390" t="s">
        <v>234</v>
      </c>
      <c r="F390" t="s">
        <v>59</v>
      </c>
      <c r="G390" t="s">
        <v>65</v>
      </c>
      <c r="H390" t="s">
        <v>61</v>
      </c>
      <c r="I390">
        <v>1</v>
      </c>
      <c r="J390" s="4">
        <v>176</v>
      </c>
      <c r="K390" s="4">
        <v>221.76</v>
      </c>
      <c r="L390" s="4">
        <f>K390-J390</f>
      </c>
      <c r="M390" s="4">
        <f>L390*16.67%</f>
      </c>
      <c r="N390" s="4">
        <f>(K390*6.9%)-(K390*6.9%)*10%</f>
      </c>
      <c r="O390" s="4">
        <f>K390*0.35%</f>
      </c>
      <c r="P390" s="4">
        <v>0.4</v>
      </c>
      <c r="Q390" s="4">
        <f>(N390+O390+P390)*20%</f>
      </c>
      <c r="R390" s="4">
        <f>N390+O390+P390+Q390</f>
      </c>
      <c r="S390" s="4">
        <v>0</v>
      </c>
      <c r="T390" s="4">
        <v>0</v>
      </c>
      <c r="U390" s="4">
        <v>0</v>
      </c>
      <c r="V390" s="4">
        <f>U390*20%</f>
      </c>
      <c r="W390" s="4">
        <v>1</v>
      </c>
      <c r="X390" s="4">
        <f>Q390+T390+V390</f>
      </c>
      <c r="Y390" s="4">
        <f>L390-M390-R390-S390-T390-U390-V390-W390</f>
      </c>
      <c r="Z390" s="4">
        <f>(Y390-AB390)/J390*100</f>
      </c>
      <c r="AA390" s="4">
        <f>M390-X390</f>
      </c>
      <c r="AC390" s="4">
        <f>Y390-AB390</f>
      </c>
      <c r="AH390" t="s">
        <v>1</v>
      </c>
    </row>
    <row r="391" spans="1:34" x14ac:dyDescent="0.25">
      <c r="A391" s="8">
        <v>46166.5</v>
      </c>
      <c r="B391" t="s">
        <v>2164</v>
      </c>
      <c r="C391" t="s">
        <v>1</v>
      </c>
      <c r="D391" s="9" t="s">
        <v>2165</v>
      </c>
      <c r="E391" t="s">
        <v>234</v>
      </c>
      <c r="F391" t="s">
        <v>59</v>
      </c>
      <c r="G391" t="s">
        <v>65</v>
      </c>
      <c r="H391" t="s">
        <v>61</v>
      </c>
      <c r="I391">
        <v>1</v>
      </c>
      <c r="J391" s="4">
        <v>185</v>
      </c>
      <c r="K391" s="4">
        <v>259</v>
      </c>
      <c r="L391" s="4">
        <f>K391-J391</f>
      </c>
      <c r="M391" s="4">
        <f>L391*16.67%</f>
      </c>
      <c r="N391" s="4">
        <f>(K391*6.9%)-(K391*6.9%)*10%</f>
      </c>
      <c r="O391" s="4">
        <f>K391*0.35%</f>
      </c>
      <c r="P391" s="4">
        <v>0.4</v>
      </c>
      <c r="Q391" s="4">
        <f>(N391+O391+P391)*20%</f>
      </c>
      <c r="R391" s="4">
        <f>N391+O391+P391+Q391</f>
      </c>
      <c r="S391" s="4">
        <v>0</v>
      </c>
      <c r="T391" s="4">
        <v>0</v>
      </c>
      <c r="U391" s="4">
        <v>0</v>
      </c>
      <c r="V391" s="4">
        <f>U391*20%</f>
      </c>
      <c r="W391" s="4">
        <v>1</v>
      </c>
      <c r="X391" s="4">
        <f>Q391+T391+V391</f>
      </c>
      <c r="Y391" s="4">
        <f>L391-M391-R391-S391-T391-U391-V391-W391</f>
      </c>
      <c r="Z391" s="4">
        <f>(Y391-AB391)/J391*100</f>
      </c>
      <c r="AA391" s="4">
        <f>M391-X391</f>
      </c>
      <c r="AC391" s="4">
        <f>Y391-AB391</f>
      </c>
      <c r="AH391" t="s">
        <v>1</v>
      </c>
    </row>
    <row r="392" spans="1:34" x14ac:dyDescent="0.25">
      <c r="A392" s="8">
        <v>46166.5</v>
      </c>
      <c r="B392" t="s">
        <v>2166</v>
      </c>
      <c r="C392" t="s">
        <v>1</v>
      </c>
      <c r="D392" s="9" t="s">
        <v>2167</v>
      </c>
      <c r="E392" t="s">
        <v>139</v>
      </c>
      <c r="F392" t="s">
        <v>74</v>
      </c>
      <c r="G392" t="s">
        <v>60</v>
      </c>
      <c r="H392" t="s">
        <v>66</v>
      </c>
      <c r="I392">
        <v>1</v>
      </c>
      <c r="J392" s="4">
        <v>362</v>
      </c>
      <c r="K392" s="4">
        <v>470.6</v>
      </c>
      <c r="L392" s="4">
        <f>K392-J392</f>
      </c>
      <c r="M392" s="4">
        <f>L392*16.67%</f>
      </c>
      <c r="N392" s="4">
        <f>(K392*6.9%)-(K392*6.9%)*10%</f>
      </c>
      <c r="O392" s="4">
        <f>K392*0.35%</f>
      </c>
      <c r="P392" s="4">
        <v>0.4</v>
      </c>
      <c r="Q392" s="4">
        <f>(N392+O392+P392)*20%</f>
      </c>
      <c r="R392" s="4">
        <f>N392+O392+P392+Q392</f>
      </c>
      <c r="S392" s="4">
        <v>0</v>
      </c>
      <c r="T392" s="4">
        <v>0</v>
      </c>
      <c r="U392" s="4">
        <v>0</v>
      </c>
      <c r="V392" s="4">
        <f>U392*20%</f>
      </c>
      <c r="W392" s="4">
        <v>1</v>
      </c>
      <c r="X392" s="4">
        <f>Q392+T392+V392</f>
      </c>
      <c r="Y392" s="4">
        <f>L392-M392-R392-S392-T392-U392-V392-W392</f>
      </c>
      <c r="Z392" s="4">
        <f>(Y392-AB392)/J392*100</f>
      </c>
      <c r="AA392" s="4">
        <f>M392-X392</f>
      </c>
      <c r="AC392" s="4">
        <f>Y392-AB392</f>
      </c>
      <c r="AH392" t="s">
        <v>1</v>
      </c>
    </row>
    <row r="393" spans="1:34" x14ac:dyDescent="0.25">
      <c r="A393" s="8">
        <v>46166.5</v>
      </c>
      <c r="B393" t="s">
        <v>2168</v>
      </c>
      <c r="C393" t="s">
        <v>1</v>
      </c>
      <c r="D393" s="9" t="s">
        <v>2169</v>
      </c>
      <c r="E393" t="s">
        <v>58</v>
      </c>
      <c r="F393" t="s">
        <v>74</v>
      </c>
      <c r="G393" t="s">
        <v>60</v>
      </c>
      <c r="H393" t="s">
        <v>61</v>
      </c>
      <c r="I393">
        <v>1</v>
      </c>
      <c r="J393" s="4">
        <v>451</v>
      </c>
      <c r="K393" s="4">
        <v>608.85</v>
      </c>
      <c r="L393" s="4">
        <f>K393-J393</f>
      </c>
      <c r="M393" s="4">
        <f>L393*16.67%</f>
      </c>
      <c r="N393" s="4">
        <f>(K393*6.9%)-(K393*6.9%)*10%</f>
      </c>
      <c r="O393" s="4">
        <f>K393*0.35%</f>
      </c>
      <c r="P393" s="4">
        <v>0.4</v>
      </c>
      <c r="Q393" s="4">
        <f>(N393+O393+P393)*20%</f>
      </c>
      <c r="R393" s="4">
        <f>N393+O393+P393+Q393</f>
      </c>
      <c r="S393" s="4">
        <v>0</v>
      </c>
      <c r="T393" s="4">
        <v>0</v>
      </c>
      <c r="U393" s="4">
        <v>0</v>
      </c>
      <c r="V393" s="4">
        <f>U393*20%</f>
      </c>
      <c r="W393" s="4">
        <v>1</v>
      </c>
      <c r="X393" s="4">
        <f>Q393+T393+V393</f>
      </c>
      <c r="Y393" s="4">
        <f>L393-M393-R393-S393-T393-U393-V393-W393</f>
      </c>
      <c r="Z393" s="4">
        <f>(Y393-AB393)/J393*100</f>
      </c>
      <c r="AA393" s="4">
        <f>M393-X393</f>
      </c>
      <c r="AC393" s="4">
        <f>Y393-AB393</f>
      </c>
      <c r="AH393" t="s">
        <v>1</v>
      </c>
    </row>
    <row r="394" spans="1:34" x14ac:dyDescent="0.25">
      <c r="A394" s="8">
        <v>46166.5</v>
      </c>
      <c r="B394" t="s">
        <v>2170</v>
      </c>
      <c r="C394" t="s">
        <v>1</v>
      </c>
      <c r="D394" s="9" t="s">
        <v>2171</v>
      </c>
      <c r="E394" t="s">
        <v>73</v>
      </c>
      <c r="F394" t="s">
        <v>99</v>
      </c>
      <c r="G394" t="s">
        <v>60</v>
      </c>
      <c r="H394" t="s">
        <v>102</v>
      </c>
      <c r="I394">
        <v>1</v>
      </c>
      <c r="J394" s="4">
        <v>355</v>
      </c>
      <c r="K394" s="4">
        <v>486.35</v>
      </c>
      <c r="L394" s="4">
        <f>K394-J394</f>
      </c>
      <c r="M394" s="4">
        <f>L394*16.67%</f>
      </c>
      <c r="N394" s="4">
        <f>(K394*6.9%)-(K394*6.9%)*10%</f>
      </c>
      <c r="O394" s="4">
        <f>K394*0.35%</f>
      </c>
      <c r="P394" s="4">
        <v>0.4</v>
      </c>
      <c r="Q394" s="4">
        <f>(N394+O394+P394)*20%</f>
      </c>
      <c r="R394" s="4">
        <f>N394+O394+P394+Q394</f>
      </c>
      <c r="S394" s="4">
        <v>0</v>
      </c>
      <c r="T394" s="4">
        <v>0</v>
      </c>
      <c r="U394" s="4">
        <v>0</v>
      </c>
      <c r="V394" s="4">
        <f>U394*20%</f>
      </c>
      <c r="W394" s="4">
        <v>1</v>
      </c>
      <c r="X394" s="4">
        <f>Q394+T394+V394</f>
      </c>
      <c r="Y394" s="4">
        <f>L394-M394-R394-S394-T394-U394-V394-W394</f>
      </c>
      <c r="Z394" s="4">
        <f>(Y394-AB394)/J394*100</f>
      </c>
      <c r="AA394" s="4">
        <f>M394-X394</f>
      </c>
      <c r="AC394" s="4">
        <f>Y394-AB394</f>
      </c>
      <c r="AH394" t="s">
        <v>1</v>
      </c>
    </row>
    <row r="395" spans="1:34" x14ac:dyDescent="0.25">
      <c r="A395" s="8">
        <v>46166.5</v>
      </c>
      <c r="B395" t="s">
        <v>2172</v>
      </c>
      <c r="C395" t="s">
        <v>1</v>
      </c>
      <c r="D395" s="9" t="s">
        <v>2173</v>
      </c>
      <c r="E395" t="s">
        <v>131</v>
      </c>
      <c r="F395" t="s">
        <v>99</v>
      </c>
      <c r="G395" t="s">
        <v>65</v>
      </c>
      <c r="H395" t="s">
        <v>61</v>
      </c>
      <c r="I395">
        <v>1</v>
      </c>
      <c r="J395" s="4">
        <v>282</v>
      </c>
      <c r="K395" s="4">
        <v>344.04</v>
      </c>
      <c r="L395" s="4">
        <f>K395-J395</f>
      </c>
      <c r="M395" s="4">
        <f>L395*16.67%</f>
      </c>
      <c r="N395" s="4">
        <f>(K395*6.9%)-(K395*6.9%)*10%</f>
      </c>
      <c r="O395" s="4">
        <f>K395*0.35%</f>
      </c>
      <c r="P395" s="4">
        <v>0.4</v>
      </c>
      <c r="Q395" s="4">
        <f>(N395+O395+P395)*20%</f>
      </c>
      <c r="R395" s="4">
        <f>N395+O395+P395+Q395</f>
      </c>
      <c r="S395" s="4">
        <v>0</v>
      </c>
      <c r="T395" s="4">
        <v>0</v>
      </c>
      <c r="U395" s="4">
        <v>0</v>
      </c>
      <c r="V395" s="4">
        <f>U395*20%</f>
      </c>
      <c r="W395" s="4">
        <v>1</v>
      </c>
      <c r="X395" s="4">
        <f>Q395+T395+V395</f>
      </c>
      <c r="Y395" s="4">
        <f>L395-M395-R395-S395-T395-U395-V395-W395</f>
      </c>
      <c r="Z395" s="4">
        <f>(Y395-AB395)/J395*100</f>
      </c>
      <c r="AA395" s="4">
        <f>M395-X395</f>
      </c>
      <c r="AC395" s="4">
        <f>Y395-AB395</f>
      </c>
      <c r="AH395" t="s">
        <v>1</v>
      </c>
    </row>
    <row r="396" spans="1:34" x14ac:dyDescent="0.25">
      <c r="A396" s="8">
        <v>46166.5</v>
      </c>
      <c r="B396" t="s">
        <v>2174</v>
      </c>
      <c r="C396" t="s">
        <v>1</v>
      </c>
      <c r="D396" s="9" t="s">
        <v>2175</v>
      </c>
      <c r="E396" t="s">
        <v>94</v>
      </c>
      <c r="F396" t="s">
        <v>85</v>
      </c>
      <c r="G396" t="s">
        <v>95</v>
      </c>
      <c r="H396" t="s">
        <v>61</v>
      </c>
      <c r="I396">
        <v>1</v>
      </c>
      <c r="J396" s="4">
        <v>86</v>
      </c>
      <c r="K396" s="4">
        <v>104.06</v>
      </c>
      <c r="L396" s="4">
        <f>K396-J396</f>
      </c>
      <c r="M396" s="4">
        <f>L396*16.67%</f>
      </c>
      <c r="N396" s="4">
        <f>(K396*6.9%)-(K396*6.9%)*10%</f>
      </c>
      <c r="O396" s="4">
        <f>K396*0.35%</f>
      </c>
      <c r="P396" s="4">
        <v>0.4</v>
      </c>
      <c r="Q396" s="4">
        <f>(N396+O396+P396)*20%</f>
      </c>
      <c r="R396" s="4">
        <f>N396+O396+P396+Q396</f>
      </c>
      <c r="S396" s="4">
        <v>0</v>
      </c>
      <c r="T396" s="4">
        <v>0</v>
      </c>
      <c r="U396" s="4">
        <v>0</v>
      </c>
      <c r="V396" s="4">
        <f>U396*20%</f>
      </c>
      <c r="W396" s="4">
        <v>1</v>
      </c>
      <c r="X396" s="4">
        <f>Q396+T396+V396</f>
      </c>
      <c r="Y396" s="4">
        <f>L396-M396-R396-S396-T396-U396-V396-W396</f>
      </c>
      <c r="Z396" s="4">
        <f>(Y396-AB396)/J396*100</f>
      </c>
      <c r="AA396" s="4">
        <f>M396-X396</f>
      </c>
      <c r="AC396" s="4">
        <f>Y396-AB396</f>
      </c>
      <c r="AH396" t="s">
        <v>1</v>
      </c>
    </row>
    <row r="397" spans="1:34" x14ac:dyDescent="0.25">
      <c r="A397" s="8">
        <v>46165.5</v>
      </c>
      <c r="B397" t="s">
        <v>2176</v>
      </c>
      <c r="C397" t="s">
        <v>1</v>
      </c>
      <c r="D397" s="9" t="s">
        <v>2177</v>
      </c>
      <c r="E397" t="s">
        <v>234</v>
      </c>
      <c r="F397" t="s">
        <v>74</v>
      </c>
      <c r="G397" t="s">
        <v>65</v>
      </c>
      <c r="H397" t="s">
        <v>66</v>
      </c>
      <c r="I397">
        <v>1</v>
      </c>
      <c r="J397" s="4">
        <v>164</v>
      </c>
      <c r="K397" s="4">
        <v>188.6</v>
      </c>
      <c r="L397" s="4">
        <f>K397-J397</f>
      </c>
      <c r="M397" s="4">
        <f>L397*16.67%</f>
      </c>
      <c r="N397" s="4">
        <f>(K397*6.9%)-(K397*6.9%)*10%</f>
      </c>
      <c r="O397" s="4">
        <f>K397*0.35%</f>
      </c>
      <c r="P397" s="4">
        <v>0.4</v>
      </c>
      <c r="Q397" s="4">
        <f>(N397+O397+P397)*20%</f>
      </c>
      <c r="R397" s="4">
        <f>N397+O397+P397+Q397</f>
      </c>
      <c r="S397" s="4">
        <v>0</v>
      </c>
      <c r="T397" s="4">
        <v>0</v>
      </c>
      <c r="U397" s="4">
        <v>0</v>
      </c>
      <c r="V397" s="4">
        <f>U397*20%</f>
      </c>
      <c r="W397" s="4">
        <v>1</v>
      </c>
      <c r="X397" s="4">
        <f>Q397+T397+V397</f>
      </c>
      <c r="Y397" s="4">
        <f>L397-M397-R397-S397-T397-U397-V397-W397</f>
      </c>
      <c r="Z397" s="4">
        <f>(Y397-AB397)/J397*100</f>
      </c>
      <c r="AA397" s="4">
        <f>M397-X397</f>
      </c>
      <c r="AC397" s="4">
        <f>Y397-AB397</f>
      </c>
      <c r="AH397" t="s">
        <v>1</v>
      </c>
    </row>
    <row r="398" spans="1:34" x14ac:dyDescent="0.25">
      <c r="A398" s="8">
        <v>46165.5</v>
      </c>
      <c r="B398" t="s">
        <v>2178</v>
      </c>
      <c r="C398" t="s">
        <v>1</v>
      </c>
      <c r="D398" s="9" t="s">
        <v>2179</v>
      </c>
      <c r="E398" t="s">
        <v>139</v>
      </c>
      <c r="F398" t="s">
        <v>70</v>
      </c>
      <c r="G398" t="s">
        <v>60</v>
      </c>
      <c r="H398" t="s">
        <v>75</v>
      </c>
      <c r="I398">
        <v>1</v>
      </c>
      <c r="J398" s="4">
        <v>370</v>
      </c>
      <c r="K398" s="4">
        <v>462.5</v>
      </c>
      <c r="L398" s="4">
        <f>K398-J398</f>
      </c>
      <c r="M398" s="4">
        <f>L398*16.67%</f>
      </c>
      <c r="N398" s="4">
        <f>(K398*6.9%)-(K398*6.9%)*10%</f>
      </c>
      <c r="O398" s="4">
        <f>K398*0.35%</f>
      </c>
      <c r="P398" s="4">
        <v>0.4</v>
      </c>
      <c r="Q398" s="4">
        <f>(N398+O398+P398)*20%</f>
      </c>
      <c r="R398" s="4">
        <f>N398+O398+P398+Q398</f>
      </c>
      <c r="S398" s="4">
        <v>0</v>
      </c>
      <c r="T398" s="4">
        <v>0</v>
      </c>
      <c r="U398" s="4">
        <v>0</v>
      </c>
      <c r="V398" s="4">
        <f>U398*20%</f>
      </c>
      <c r="W398" s="4">
        <v>1</v>
      </c>
      <c r="X398" s="4">
        <f>Q398+T398+V398</f>
      </c>
      <c r="Y398" s="4">
        <f>L398-M398-R398-S398-T398-U398-V398-W398</f>
      </c>
      <c r="Z398" s="4">
        <f>(Y398-AB398)/J398*100</f>
      </c>
      <c r="AA398" s="4">
        <f>M398-X398</f>
      </c>
      <c r="AC398" s="4">
        <f>Y398-AB398</f>
      </c>
      <c r="AH398" t="s">
        <v>1</v>
      </c>
    </row>
    <row r="399" spans="1:34" x14ac:dyDescent="0.25">
      <c r="A399" s="8">
        <v>46165.5</v>
      </c>
      <c r="B399" t="s">
        <v>2180</v>
      </c>
      <c r="C399" t="s">
        <v>185</v>
      </c>
      <c r="D399" s="9" t="s">
        <v>1</v>
      </c>
      <c r="E399" t="s">
        <v>185</v>
      </c>
      <c r="F399" t="s">
        <v>1</v>
      </c>
      <c r="G399" t="s">
        <v>1</v>
      </c>
      <c r="H399" t="s">
        <v>102</v>
      </c>
      <c r="I399">
        <v>1</v>
      </c>
      <c r="J399" s="4">
        <v>1.2</v>
      </c>
      <c r="K399" s="4">
        <v>1.4</v>
      </c>
      <c r="L399" s="4">
        <f>K399-J399</f>
      </c>
      <c r="M399" s="4">
        <f>L399*16.67%</f>
      </c>
      <c r="N399" s="4">
        <f>(K399*6.9%)-(K399*6.9%)*10%</f>
      </c>
      <c r="O399" s="4">
        <f>K399*0.35%</f>
      </c>
      <c r="P399" s="4">
        <v>0.4</v>
      </c>
      <c r="Q399" s="4">
        <f>(N399+O399+P399)*20%</f>
      </c>
      <c r="R399" s="4">
        <f>N399+O399+P399+Q399</f>
      </c>
      <c r="S399" s="4">
        <v>0</v>
      </c>
      <c r="T399" s="4">
        <v>0</v>
      </c>
      <c r="U399" s="4">
        <v>0</v>
      </c>
      <c r="V399" s="4">
        <f>U399*20%</f>
      </c>
      <c r="W399" s="4">
        <v>0</v>
      </c>
      <c r="X399" s="4">
        <f>Q399+T399+V399</f>
      </c>
      <c r="Y399" s="4">
        <f>L399-M399-R399-S399-T399-U399-V399-W399</f>
      </c>
      <c r="Z399" s="4">
        <f>(Y399-AB399)/J399*100</f>
      </c>
      <c r="AA399" s="4">
        <f>M399-X399</f>
      </c>
      <c r="AC399" s="4">
        <f>Y399-AB399</f>
      </c>
      <c r="AH399" t="s">
        <v>1</v>
      </c>
    </row>
    <row r="400" spans="1:34" x14ac:dyDescent="0.25">
      <c r="A400" s="8">
        <v>46164.5</v>
      </c>
      <c r="B400" t="s">
        <v>2181</v>
      </c>
      <c r="C400" t="s">
        <v>1</v>
      </c>
      <c r="D400" s="9" t="s">
        <v>2182</v>
      </c>
      <c r="E400" t="s">
        <v>73</v>
      </c>
      <c r="F400" t="s">
        <v>105</v>
      </c>
      <c r="G400" t="s">
        <v>60</v>
      </c>
      <c r="H400" t="s">
        <v>75</v>
      </c>
      <c r="I400">
        <v>1</v>
      </c>
      <c r="J400" s="4">
        <v>326</v>
      </c>
      <c r="K400" s="4">
        <v>472.7</v>
      </c>
      <c r="L400" s="4">
        <f>K400-J400</f>
      </c>
      <c r="M400" s="4">
        <f>L400*16.67%</f>
      </c>
      <c r="N400" s="4">
        <f>(K400*6.9%)-(K400*6.9%)*10%</f>
      </c>
      <c r="O400" s="4">
        <f>K400*0.35%</f>
      </c>
      <c r="P400" s="4">
        <v>0.4</v>
      </c>
      <c r="Q400" s="4">
        <f>(N400+O400+P400)*20%</f>
      </c>
      <c r="R400" s="4">
        <f>N400+O400+P400+Q400</f>
      </c>
      <c r="S400" s="4">
        <v>0</v>
      </c>
      <c r="T400" s="4">
        <v>0</v>
      </c>
      <c r="U400" s="4">
        <v>0</v>
      </c>
      <c r="V400" s="4">
        <f>U400*20%</f>
      </c>
      <c r="W400" s="4">
        <v>1</v>
      </c>
      <c r="X400" s="4">
        <f>Q400+T400+V400</f>
      </c>
      <c r="Y400" s="4">
        <f>L400-M400-R400-S400-T400-U400-V400-W400</f>
      </c>
      <c r="Z400" s="4">
        <f>(Y400-AB400)/J400*100</f>
      </c>
      <c r="AA400" s="4">
        <f>M400-X400</f>
      </c>
      <c r="AC400" s="4">
        <f>Y400-AB400</f>
      </c>
      <c r="AH400" t="s">
        <v>1</v>
      </c>
    </row>
    <row r="401" spans="1:34" x14ac:dyDescent="0.25">
      <c r="A401" s="8">
        <v>46164.5</v>
      </c>
      <c r="B401" t="s">
        <v>2183</v>
      </c>
      <c r="C401" t="s">
        <v>1</v>
      </c>
      <c r="D401" s="9" t="s">
        <v>2184</v>
      </c>
      <c r="E401" t="s">
        <v>64</v>
      </c>
      <c r="F401" t="s">
        <v>88</v>
      </c>
      <c r="G401" t="s">
        <v>65</v>
      </c>
      <c r="H401" t="s">
        <v>66</v>
      </c>
      <c r="I401">
        <v>1</v>
      </c>
      <c r="J401" s="4">
        <v>223</v>
      </c>
      <c r="K401" s="4">
        <v>260.91</v>
      </c>
      <c r="L401" s="4">
        <f>K401-J401</f>
      </c>
      <c r="M401" s="4">
        <f>L401*16.67%</f>
      </c>
      <c r="N401" s="4">
        <f>(K401*6.9%)-(K401*6.9%)*10%</f>
      </c>
      <c r="O401" s="4">
        <f>K401*0.35%</f>
      </c>
      <c r="P401" s="4">
        <v>0.4</v>
      </c>
      <c r="Q401" s="4">
        <f>(N401+O401+P401)*20%</f>
      </c>
      <c r="R401" s="4">
        <f>N401+O401+P401+Q401</f>
      </c>
      <c r="S401" s="4">
        <v>0</v>
      </c>
      <c r="T401" s="4">
        <v>0</v>
      </c>
      <c r="U401" s="4">
        <v>0</v>
      </c>
      <c r="V401" s="4">
        <f>U401*20%</f>
      </c>
      <c r="W401" s="4">
        <v>1</v>
      </c>
      <c r="X401" s="4">
        <f>Q401+T401+V401</f>
      </c>
      <c r="Y401" s="4">
        <f>L401-M401-R401-S401-T401-U401-V401-W401</f>
      </c>
      <c r="Z401" s="4">
        <f>(Y401-AB401)/J401*100</f>
      </c>
      <c r="AA401" s="4">
        <f>M401-X401</f>
      </c>
      <c r="AC401" s="4">
        <f>Y401-AB401</f>
      </c>
      <c r="AH401" t="s">
        <v>1</v>
      </c>
    </row>
    <row r="402" spans="1:34" x14ac:dyDescent="0.25">
      <c r="A402" s="8">
        <v>46164.5</v>
      </c>
      <c r="B402" t="s">
        <v>2185</v>
      </c>
      <c r="C402" t="s">
        <v>1</v>
      </c>
      <c r="D402" s="9" t="s">
        <v>2186</v>
      </c>
      <c r="E402" t="s">
        <v>131</v>
      </c>
      <c r="F402" t="s">
        <v>105</v>
      </c>
      <c r="G402" t="s">
        <v>65</v>
      </c>
      <c r="H402" t="s">
        <v>75</v>
      </c>
      <c r="I402">
        <v>1</v>
      </c>
      <c r="J402" s="4">
        <v>302</v>
      </c>
      <c r="K402" s="4">
        <v>389.58</v>
      </c>
      <c r="L402" s="4">
        <f>K402-J402</f>
      </c>
      <c r="M402" s="4">
        <f>L402*16.67%</f>
      </c>
      <c r="N402" s="4">
        <f>(K402*6.9%)-(K402*6.9%)*10%</f>
      </c>
      <c r="O402" s="4">
        <f>K402*0.35%</f>
      </c>
      <c r="P402" s="4">
        <v>0.4</v>
      </c>
      <c r="Q402" s="4">
        <f>(N402+O402+P402)*20%</f>
      </c>
      <c r="R402" s="4">
        <f>N402+O402+P402+Q402</f>
      </c>
      <c r="S402" s="4">
        <v>0</v>
      </c>
      <c r="T402" s="4">
        <v>0</v>
      </c>
      <c r="U402" s="4">
        <v>0</v>
      </c>
      <c r="V402" s="4">
        <f>U402*20%</f>
      </c>
      <c r="W402" s="4">
        <v>1</v>
      </c>
      <c r="X402" s="4">
        <f>Q402+T402+V402</f>
      </c>
      <c r="Y402" s="4">
        <f>L402-M402-R402-S402-T402-U402-V402-W402</f>
      </c>
      <c r="Z402" s="4">
        <f>(Y402-AB402)/J402*100</f>
      </c>
      <c r="AA402" s="4">
        <f>M402-X402</f>
      </c>
      <c r="AC402" s="4">
        <f>Y402-AB402</f>
      </c>
      <c r="AH402" t="s">
        <v>1</v>
      </c>
    </row>
    <row r="403" spans="1:34" x14ac:dyDescent="0.25">
      <c r="A403" s="8">
        <v>46164.5</v>
      </c>
      <c r="B403" t="s">
        <v>2187</v>
      </c>
      <c r="C403" t="s">
        <v>174</v>
      </c>
      <c r="D403" s="9" t="s">
        <v>1</v>
      </c>
      <c r="E403" t="s">
        <v>174</v>
      </c>
      <c r="F403" t="s">
        <v>1</v>
      </c>
      <c r="G403" t="s">
        <v>1</v>
      </c>
      <c r="H403" t="s">
        <v>66</v>
      </c>
      <c r="I403">
        <v>3</v>
      </c>
      <c r="J403" s="4">
        <v>12.75</v>
      </c>
      <c r="K403" s="4">
        <v>15.43</v>
      </c>
      <c r="L403" s="4">
        <f>K403-J403</f>
      </c>
      <c r="M403" s="4">
        <f>L403*16.67%</f>
      </c>
      <c r="N403" s="4">
        <f>(K403*6.9%)-(K403*6.9%)*10%</f>
      </c>
      <c r="O403" s="4">
        <f>K403*0.35%</f>
      </c>
      <c r="P403" s="4">
        <v>0.4</v>
      </c>
      <c r="Q403" s="4">
        <f>(N403+O403+P403)*20%</f>
      </c>
      <c r="R403" s="4">
        <f>N403+O403+P403+Q403</f>
      </c>
      <c r="S403" s="4">
        <v>0</v>
      </c>
      <c r="T403" s="4">
        <v>0</v>
      </c>
      <c r="U403" s="4">
        <v>0</v>
      </c>
      <c r="V403" s="4">
        <f>U403*20%</f>
      </c>
      <c r="W403" s="4">
        <v>0</v>
      </c>
      <c r="X403" s="4">
        <f>Q403+T403+V403</f>
      </c>
      <c r="Y403" s="4">
        <f>L403-M403-R403-S403-T403-U403-V403-W403</f>
      </c>
      <c r="Z403" s="4">
        <f>(Y403-AB403)/J403*100</f>
      </c>
      <c r="AA403" s="4">
        <f>M403-X403</f>
      </c>
      <c r="AC403" s="4">
        <f>Y403-AB403</f>
      </c>
      <c r="AH403" t="s">
        <v>1</v>
      </c>
    </row>
    <row r="404" spans="1:34" x14ac:dyDescent="0.25">
      <c r="A404" s="8">
        <v>46163.5</v>
      </c>
      <c r="B404" t="s">
        <v>2188</v>
      </c>
      <c r="C404" t="s">
        <v>1</v>
      </c>
      <c r="D404" s="9" t="s">
        <v>2189</v>
      </c>
      <c r="E404" t="s">
        <v>58</v>
      </c>
      <c r="F404" t="s">
        <v>74</v>
      </c>
      <c r="G404" t="s">
        <v>60</v>
      </c>
      <c r="H404" t="s">
        <v>78</v>
      </c>
      <c r="I404">
        <v>1</v>
      </c>
      <c r="J404" s="4">
        <v>449</v>
      </c>
      <c r="K404" s="4">
        <v>606.15</v>
      </c>
      <c r="L404" s="4">
        <f>K404-J404</f>
      </c>
      <c r="M404" s="4">
        <f>L404*16.67%</f>
      </c>
      <c r="N404" s="4">
        <f>(K404*6.9%)-(K404*6.9%)*10%</f>
      </c>
      <c r="O404" s="4">
        <f>K404*0.35%</f>
      </c>
      <c r="P404" s="4">
        <v>0.4</v>
      </c>
      <c r="Q404" s="4">
        <f>(N404+O404+P404)*20%</f>
      </c>
      <c r="R404" s="4">
        <f>N404+O404+P404+Q404</f>
      </c>
      <c r="S404" s="4">
        <v>0</v>
      </c>
      <c r="T404" s="4">
        <v>0</v>
      </c>
      <c r="U404" s="4">
        <v>0</v>
      </c>
      <c r="V404" s="4">
        <f>U404*20%</f>
      </c>
      <c r="W404" s="4">
        <v>1</v>
      </c>
      <c r="X404" s="4">
        <f>Q404+T404+V404</f>
      </c>
      <c r="Y404" s="4">
        <f>L404-M404-R404-S404-T404-U404-V404-W404</f>
      </c>
      <c r="Z404" s="4">
        <f>(Y404-AB404)/J404*100</f>
      </c>
      <c r="AA404" s="4">
        <f>M404-X404</f>
      </c>
      <c r="AC404" s="4">
        <f>Y404-AB404</f>
      </c>
      <c r="AH404" t="s">
        <v>1</v>
      </c>
    </row>
    <row r="405" spans="1:34" x14ac:dyDescent="0.25">
      <c r="A405" s="8">
        <v>46163.5</v>
      </c>
      <c r="B405" t="s">
        <v>2190</v>
      </c>
      <c r="C405" t="s">
        <v>177</v>
      </c>
      <c r="D405" s="9" t="s">
        <v>1</v>
      </c>
      <c r="E405" t="s">
        <v>177</v>
      </c>
      <c r="F405" t="s">
        <v>1</v>
      </c>
      <c r="G405" t="s">
        <v>1</v>
      </c>
      <c r="H405" t="s">
        <v>78</v>
      </c>
      <c r="I405">
        <v>2</v>
      </c>
      <c r="J405" s="4">
        <v>0.3</v>
      </c>
      <c r="K405" s="4">
        <v>0.37</v>
      </c>
      <c r="L405" s="4">
        <f>K405-J405</f>
      </c>
      <c r="M405" s="4">
        <f>L405*16.67%</f>
      </c>
      <c r="N405" s="4">
        <f>(K405*6.9%)-(K405*6.9%)*10%</f>
      </c>
      <c r="O405" s="4">
        <f>K405*0.35%</f>
      </c>
      <c r="P405" s="4">
        <v>0.4</v>
      </c>
      <c r="Q405" s="4">
        <f>(N405+O405+P405)*20%</f>
      </c>
      <c r="R405" s="4">
        <f>N405+O405+P405+Q405</f>
      </c>
      <c r="S405" s="4">
        <v>0</v>
      </c>
      <c r="T405" s="4">
        <v>0</v>
      </c>
      <c r="U405" s="4">
        <v>0</v>
      </c>
      <c r="V405" s="4">
        <f>U405*20%</f>
      </c>
      <c r="W405" s="4">
        <v>0</v>
      </c>
      <c r="X405" s="4">
        <f>Q405+T405+V405</f>
      </c>
      <c r="Y405" s="4">
        <f>L405-M405-R405-S405-T405-U405-V405-W405</f>
      </c>
      <c r="Z405" s="4">
        <f>(Y405-AB405)/J405*100</f>
      </c>
      <c r="AA405" s="4">
        <f>M405-X405</f>
      </c>
      <c r="AC405" s="4">
        <f>Y405-AB405</f>
      </c>
      <c r="AH405" t="s">
        <v>1</v>
      </c>
    </row>
    <row r="406" spans="1:34" x14ac:dyDescent="0.25">
      <c r="A406" s="10">
        <v>46162.5</v>
      </c>
      <c r="B406" s="11" t="s">
        <v>2191</v>
      </c>
      <c r="C406" s="11" t="s">
        <v>1</v>
      </c>
      <c r="D406" s="12" t="s">
        <v>2192</v>
      </c>
      <c r="E406" s="11" t="s">
        <v>94</v>
      </c>
      <c r="F406" s="11" t="s">
        <v>59</v>
      </c>
      <c r="G406" s="11" t="s">
        <v>95</v>
      </c>
      <c r="H406" s="11" t="s">
        <v>102</v>
      </c>
      <c r="I406" s="11">
        <v>1</v>
      </c>
      <c r="J406" s="13">
        <v>90</v>
      </c>
      <c r="K406" s="13">
        <v>106.2</v>
      </c>
      <c r="L406" s="13">
        <f>K406-J406</f>
      </c>
      <c r="M406" s="13">
        <f>L406*16.67%</f>
      </c>
      <c r="N406" s="13">
        <f>(K406*6.9%)-(K406*6.9%)*10%</f>
      </c>
      <c r="O406" s="13">
        <f>K406*0.35%</f>
      </c>
      <c r="P406" s="13">
        <v>0.4</v>
      </c>
      <c r="Q406" s="13">
        <f>(N406+O406+P406)*20%</f>
      </c>
      <c r="R406" s="13">
        <f>N406+O406+P406+Q406</f>
      </c>
      <c r="S406" s="13">
        <v>0</v>
      </c>
      <c r="T406" s="13">
        <v>0</v>
      </c>
      <c r="U406" s="13">
        <v>0</v>
      </c>
      <c r="V406" s="13">
        <f>U406*20%</f>
      </c>
      <c r="W406" s="13">
        <v>1</v>
      </c>
      <c r="X406" s="13">
        <f>Q406+T406+V406</f>
      </c>
      <c r="Y406" s="13">
        <v>0</v>
      </c>
      <c r="Z406" s="13">
        <f>(Y406-AB406)/J406*100</f>
      </c>
      <c r="AA406" s="13">
        <f>M406-X406</f>
      </c>
      <c r="AB406" s="11"/>
      <c r="AC406" s="13">
        <f>Y406-AB406</f>
      </c>
      <c r="AD406" s="10">
        <v>46241.5</v>
      </c>
      <c r="AE406" s="11" t="s">
        <v>678</v>
      </c>
      <c r="AF406" s="11">
        <v>2</v>
      </c>
      <c r="AG406" s="11" t="s">
        <v>679</v>
      </c>
      <c r="AH406" s="11" t="s">
        <v>1</v>
      </c>
    </row>
    <row r="407" spans="1:34" x14ac:dyDescent="0.25">
      <c r="A407" s="8">
        <v>46162.5</v>
      </c>
      <c r="B407" t="s">
        <v>2193</v>
      </c>
      <c r="C407" t="s">
        <v>1</v>
      </c>
      <c r="D407" s="9" t="s">
        <v>2194</v>
      </c>
      <c r="E407" t="s">
        <v>91</v>
      </c>
      <c r="F407" t="s">
        <v>88</v>
      </c>
      <c r="G407" t="s">
        <v>65</v>
      </c>
      <c r="H407" t="s">
        <v>66</v>
      </c>
      <c r="I407">
        <v>1</v>
      </c>
      <c r="J407" s="4">
        <v>109</v>
      </c>
      <c r="K407" s="4">
        <v>141.7</v>
      </c>
      <c r="L407" s="4">
        <f>K407-J407</f>
      </c>
      <c r="M407" s="4">
        <f>L407*16.67%</f>
      </c>
      <c r="N407" s="4">
        <f>(K407*6.9%)-(K407*6.9%)*10%</f>
      </c>
      <c r="O407" s="4">
        <f>K407*0.35%</f>
      </c>
      <c r="P407" s="4">
        <v>0.4</v>
      </c>
      <c r="Q407" s="4">
        <f>(N407+O407+P407)*20%</f>
      </c>
      <c r="R407" s="4">
        <f>N407+O407+P407+Q407</f>
      </c>
      <c r="S407" s="4">
        <v>0</v>
      </c>
      <c r="T407" s="4">
        <v>0</v>
      </c>
      <c r="U407" s="4">
        <v>0</v>
      </c>
      <c r="V407" s="4">
        <f>U407*20%</f>
      </c>
      <c r="W407" s="4">
        <v>1</v>
      </c>
      <c r="X407" s="4">
        <f>Q407+T407+V407</f>
      </c>
      <c r="Y407" s="4">
        <f>L407-M407-R407-S407-T407-U407-V407-W407</f>
      </c>
      <c r="Z407" s="4">
        <f>(Y407-AB407)/J407*100</f>
      </c>
      <c r="AA407" s="4">
        <f>M407-X407</f>
      </c>
      <c r="AC407" s="4">
        <f>Y407-AB407</f>
      </c>
      <c r="AH407" t="s">
        <v>1</v>
      </c>
    </row>
    <row r="408" spans="1:34" x14ac:dyDescent="0.25">
      <c r="A408" s="8">
        <v>46162.5</v>
      </c>
      <c r="B408" t="s">
        <v>2195</v>
      </c>
      <c r="C408" t="s">
        <v>1</v>
      </c>
      <c r="D408" s="9" t="s">
        <v>2196</v>
      </c>
      <c r="E408" t="s">
        <v>81</v>
      </c>
      <c r="F408" t="s">
        <v>99</v>
      </c>
      <c r="G408" t="s">
        <v>65</v>
      </c>
      <c r="H408" t="s">
        <v>102</v>
      </c>
      <c r="I408">
        <v>1</v>
      </c>
      <c r="J408" s="4">
        <v>594</v>
      </c>
      <c r="K408" s="4">
        <v>807.84</v>
      </c>
      <c r="L408" s="4">
        <f>K408-J408</f>
      </c>
      <c r="M408" s="4">
        <f>L408*16.67%</f>
      </c>
      <c r="N408" s="4">
        <f>(K408*6.9%)-(K408*6.9%)*10%</f>
      </c>
      <c r="O408" s="4">
        <f>K408*0.35%</f>
      </c>
      <c r="P408" s="4">
        <v>0.4</v>
      </c>
      <c r="Q408" s="4">
        <f>(N408+O408+P408)*20%</f>
      </c>
      <c r="R408" s="4">
        <f>N408+O408+P408+Q408</f>
      </c>
      <c r="S408" s="4">
        <v>0</v>
      </c>
      <c r="T408" s="4">
        <v>0</v>
      </c>
      <c r="U408" s="4">
        <v>0</v>
      </c>
      <c r="V408" s="4">
        <f>U408*20%</f>
      </c>
      <c r="W408" s="4">
        <v>1</v>
      </c>
      <c r="X408" s="4">
        <f>Q408+T408+V408</f>
      </c>
      <c r="Y408" s="4">
        <f>L408-M408-R408-S408-T408-U408-V408-W408</f>
      </c>
      <c r="Z408" s="4">
        <f>(Y408-AB408)/J408*100</f>
      </c>
      <c r="AA408" s="4">
        <f>M408-X408</f>
      </c>
      <c r="AC408" s="4">
        <f>Y408-AB408</f>
      </c>
      <c r="AH408" t="s">
        <v>1</v>
      </c>
    </row>
    <row r="409" spans="1:34" x14ac:dyDescent="0.25">
      <c r="A409" s="8">
        <v>46162.5</v>
      </c>
      <c r="B409" t="s">
        <v>2197</v>
      </c>
      <c r="C409" t="s">
        <v>1</v>
      </c>
      <c r="D409" s="9" t="s">
        <v>2198</v>
      </c>
      <c r="E409" t="s">
        <v>292</v>
      </c>
      <c r="F409" t="s">
        <v>88</v>
      </c>
      <c r="G409" t="s">
        <v>126</v>
      </c>
      <c r="H409" t="s">
        <v>102</v>
      </c>
      <c r="I409">
        <v>1</v>
      </c>
      <c r="J409" s="4">
        <v>164</v>
      </c>
      <c r="K409" s="4">
        <v>201.72</v>
      </c>
      <c r="L409" s="4">
        <f>K409-J409</f>
      </c>
      <c r="M409" s="4">
        <f>L409*16.67%</f>
      </c>
      <c r="N409" s="4">
        <f>(K409*6.9%)-(K409*6.9%)*10%</f>
      </c>
      <c r="O409" s="4">
        <f>K409*0.35%</f>
      </c>
      <c r="P409" s="4">
        <v>0.4</v>
      </c>
      <c r="Q409" s="4">
        <f>(N409+O409+P409)*20%</f>
      </c>
      <c r="R409" s="4">
        <f>N409+O409+P409+Q409</f>
      </c>
      <c r="S409" s="4">
        <v>0</v>
      </c>
      <c r="T409" s="4">
        <v>0</v>
      </c>
      <c r="U409" s="4">
        <v>0</v>
      </c>
      <c r="V409" s="4">
        <f>U409*20%</f>
      </c>
      <c r="W409" s="4">
        <v>1</v>
      </c>
      <c r="X409" s="4">
        <f>Q409+T409+V409</f>
      </c>
      <c r="Y409" s="4">
        <f>L409-M409-R409-S409-T409-U409-V409-W409</f>
      </c>
      <c r="Z409" s="4">
        <f>(Y409-AB409)/J409*100</f>
      </c>
      <c r="AA409" s="4">
        <f>M409-X409</f>
      </c>
      <c r="AC409" s="4">
        <f>Y409-AB409</f>
      </c>
      <c r="AH409" t="s">
        <v>1</v>
      </c>
    </row>
    <row r="410" spans="1:34" x14ac:dyDescent="0.25">
      <c r="A410" s="8">
        <v>46161.5</v>
      </c>
      <c r="B410" t="s">
        <v>2199</v>
      </c>
      <c r="C410" t="s">
        <v>1</v>
      </c>
      <c r="D410" s="9" t="s">
        <v>2200</v>
      </c>
      <c r="E410" t="s">
        <v>292</v>
      </c>
      <c r="F410" t="s">
        <v>70</v>
      </c>
      <c r="G410" t="s">
        <v>126</v>
      </c>
      <c r="H410" t="s">
        <v>78</v>
      </c>
      <c r="I410">
        <v>1</v>
      </c>
      <c r="J410" s="4">
        <v>165</v>
      </c>
      <c r="K410" s="4">
        <v>214.5</v>
      </c>
      <c r="L410" s="4">
        <f>K410-J410</f>
      </c>
      <c r="M410" s="4">
        <f>L410*16.67%</f>
      </c>
      <c r="N410" s="4">
        <f>(K410*6.9%)-(K410*6.9%)*10%</f>
      </c>
      <c r="O410" s="4">
        <f>K410*0.35%</f>
      </c>
      <c r="P410" s="4">
        <v>0.4</v>
      </c>
      <c r="Q410" s="4">
        <f>(N410+O410+P410)*20%</f>
      </c>
      <c r="R410" s="4">
        <f>N410+O410+P410+Q410</f>
      </c>
      <c r="S410" s="4">
        <v>0</v>
      </c>
      <c r="T410" s="4">
        <v>0</v>
      </c>
      <c r="U410" s="4">
        <v>0</v>
      </c>
      <c r="V410" s="4">
        <f>U410*20%</f>
      </c>
      <c r="W410" s="4">
        <v>1</v>
      </c>
      <c r="X410" s="4">
        <f>Q410+T410+V410</f>
      </c>
      <c r="Y410" s="4">
        <f>L410-M410-R410-S410-T410-U410-V410-W410</f>
      </c>
      <c r="Z410" s="4">
        <f>(Y410-AB410)/J410*100</f>
      </c>
      <c r="AA410" s="4">
        <f>M410-X410</f>
      </c>
      <c r="AC410" s="4">
        <f>Y410-AB410</f>
      </c>
      <c r="AH410" t="s">
        <v>1</v>
      </c>
    </row>
    <row r="411" spans="1:34" x14ac:dyDescent="0.25">
      <c r="A411" s="8">
        <v>46161.5</v>
      </c>
      <c r="B411" t="s">
        <v>2201</v>
      </c>
      <c r="C411" t="s">
        <v>1</v>
      </c>
      <c r="D411" s="9" t="s">
        <v>2202</v>
      </c>
      <c r="E411" t="s">
        <v>172</v>
      </c>
      <c r="F411" t="s">
        <v>88</v>
      </c>
      <c r="G411" t="s">
        <v>65</v>
      </c>
      <c r="H411" t="s">
        <v>102</v>
      </c>
      <c r="I411">
        <v>1</v>
      </c>
      <c r="J411" s="4">
        <v>171</v>
      </c>
      <c r="K411" s="4">
        <v>239.4</v>
      </c>
      <c r="L411" s="4">
        <f>K411-J411</f>
      </c>
      <c r="M411" s="4">
        <f>L411*16.67%</f>
      </c>
      <c r="N411" s="4">
        <f>(K411*6.9%)-(K411*6.9%)*10%</f>
      </c>
      <c r="O411" s="4">
        <f>K411*0.35%</f>
      </c>
      <c r="P411" s="4">
        <v>0.4</v>
      </c>
      <c r="Q411" s="4">
        <f>(N411+O411+P411)*20%</f>
      </c>
      <c r="R411" s="4">
        <f>N411+O411+P411+Q411</f>
      </c>
      <c r="S411" s="4">
        <v>0</v>
      </c>
      <c r="T411" s="4">
        <v>0</v>
      </c>
      <c r="U411" s="4">
        <v>0</v>
      </c>
      <c r="V411" s="4">
        <f>U411*20%</f>
      </c>
      <c r="W411" s="4">
        <v>1</v>
      </c>
      <c r="X411" s="4">
        <f>Q411+T411+V411</f>
      </c>
      <c r="Y411" s="4">
        <f>L411-M411-R411-S411-T411-U411-V411-W411</f>
      </c>
      <c r="Z411" s="4">
        <f>(Y411-AB411)/J411*100</f>
      </c>
      <c r="AA411" s="4">
        <f>M411-X411</f>
      </c>
      <c r="AC411" s="4">
        <f>Y411-AB411</f>
      </c>
      <c r="AH411" t="s">
        <v>1</v>
      </c>
    </row>
    <row r="412" spans="1:34" x14ac:dyDescent="0.25">
      <c r="A412" s="8">
        <v>46161.5</v>
      </c>
      <c r="B412" t="s">
        <v>2203</v>
      </c>
      <c r="C412" t="s">
        <v>1</v>
      </c>
      <c r="D412" s="9" t="s">
        <v>2204</v>
      </c>
      <c r="E412" t="s">
        <v>94</v>
      </c>
      <c r="F412" t="s">
        <v>105</v>
      </c>
      <c r="G412" t="s">
        <v>95</v>
      </c>
      <c r="H412" t="s">
        <v>75</v>
      </c>
      <c r="I412">
        <v>1</v>
      </c>
      <c r="J412" s="4">
        <v>81</v>
      </c>
      <c r="K412" s="4">
        <v>117.45</v>
      </c>
      <c r="L412" s="4">
        <f>K412-J412</f>
      </c>
      <c r="M412" s="4">
        <f>L412*16.67%</f>
      </c>
      <c r="N412" s="4">
        <f>(K412*6.9%)-(K412*6.9%)*10%</f>
      </c>
      <c r="O412" s="4">
        <f>K412*0.35%</f>
      </c>
      <c r="P412" s="4">
        <v>0.4</v>
      </c>
      <c r="Q412" s="4">
        <f>(N412+O412+P412)*20%</f>
      </c>
      <c r="R412" s="4">
        <f>N412+O412+P412+Q412</f>
      </c>
      <c r="S412" s="4">
        <v>0</v>
      </c>
      <c r="T412" s="4">
        <v>0</v>
      </c>
      <c r="U412" s="4">
        <v>0</v>
      </c>
      <c r="V412" s="4">
        <f>U412*20%</f>
      </c>
      <c r="W412" s="4">
        <v>1</v>
      </c>
      <c r="X412" s="4">
        <f>Q412+T412+V412</f>
      </c>
      <c r="Y412" s="4">
        <f>L412-M412-R412-S412-T412-U412-V412-W412</f>
      </c>
      <c r="Z412" s="4">
        <f>(Y412-AB412)/J412*100</f>
      </c>
      <c r="AA412" s="4">
        <f>M412-X412</f>
      </c>
      <c r="AC412" s="4">
        <f>Y412-AB412</f>
      </c>
      <c r="AH412" t="s">
        <v>1</v>
      </c>
    </row>
    <row r="413" spans="1:34" x14ac:dyDescent="0.25">
      <c r="A413" s="8">
        <v>46161.5</v>
      </c>
      <c r="B413" t="s">
        <v>2205</v>
      </c>
      <c r="C413" t="s">
        <v>174</v>
      </c>
      <c r="D413" s="9" t="s">
        <v>1</v>
      </c>
      <c r="E413" t="s">
        <v>174</v>
      </c>
      <c r="F413" t="s">
        <v>1</v>
      </c>
      <c r="G413" t="s">
        <v>1</v>
      </c>
      <c r="H413" t="s">
        <v>66</v>
      </c>
      <c r="I413">
        <v>4</v>
      </c>
      <c r="J413" s="4">
        <v>17</v>
      </c>
      <c r="K413" s="4">
        <v>21.08</v>
      </c>
      <c r="L413" s="4">
        <f>K413-J413</f>
      </c>
      <c r="M413" s="4">
        <f>L413*16.67%</f>
      </c>
      <c r="N413" s="4">
        <f>(K413*6.9%)-(K413*6.9%)*10%</f>
      </c>
      <c r="O413" s="4">
        <f>K413*0.35%</f>
      </c>
      <c r="P413" s="4">
        <v>0.4</v>
      </c>
      <c r="Q413" s="4">
        <f>(N413+O413+P413)*20%</f>
      </c>
      <c r="R413" s="4">
        <f>N413+O413+P413+Q413</f>
      </c>
      <c r="S413" s="4">
        <v>0</v>
      </c>
      <c r="T413" s="4">
        <v>0</v>
      </c>
      <c r="U413" s="4">
        <v>0</v>
      </c>
      <c r="V413" s="4">
        <f>U413*20%</f>
      </c>
      <c r="W413" s="4">
        <v>0</v>
      </c>
      <c r="X413" s="4">
        <f>Q413+T413+V413</f>
      </c>
      <c r="Y413" s="4">
        <f>L413-M413-R413-S413-T413-U413-V413-W413</f>
      </c>
      <c r="Z413" s="4">
        <f>(Y413-AB413)/J413*100</f>
      </c>
      <c r="AA413" s="4">
        <f>M413-X413</f>
      </c>
      <c r="AC413" s="4">
        <f>Y413-AB413</f>
      </c>
      <c r="AH413" t="s">
        <v>1</v>
      </c>
    </row>
    <row r="414" spans="1:34" x14ac:dyDescent="0.25">
      <c r="A414" s="8">
        <v>46161.5</v>
      </c>
      <c r="B414" t="s">
        <v>2206</v>
      </c>
      <c r="C414" t="s">
        <v>185</v>
      </c>
      <c r="D414" s="9" t="s">
        <v>1</v>
      </c>
      <c r="E414" t="s">
        <v>185</v>
      </c>
      <c r="F414" t="s">
        <v>1</v>
      </c>
      <c r="G414" t="s">
        <v>1</v>
      </c>
      <c r="H414" t="s">
        <v>102</v>
      </c>
      <c r="I414">
        <v>1</v>
      </c>
      <c r="J414" s="4">
        <v>1.2</v>
      </c>
      <c r="K414" s="4">
        <v>1.64</v>
      </c>
      <c r="L414" s="4">
        <f>K414-J414</f>
      </c>
      <c r="M414" s="4">
        <f>L414*16.67%</f>
      </c>
      <c r="N414" s="4">
        <f>(K414*6.9%)-(K414*6.9%)*10%</f>
      </c>
      <c r="O414" s="4">
        <f>K414*0.35%</f>
      </c>
      <c r="P414" s="4">
        <v>0.4</v>
      </c>
      <c r="Q414" s="4">
        <f>(N414+O414+P414)*20%</f>
      </c>
      <c r="R414" s="4">
        <f>N414+O414+P414+Q414</f>
      </c>
      <c r="S414" s="4">
        <v>0</v>
      </c>
      <c r="T414" s="4">
        <v>0</v>
      </c>
      <c r="U414" s="4">
        <v>0</v>
      </c>
      <c r="V414" s="4">
        <f>U414*20%</f>
      </c>
      <c r="W414" s="4">
        <v>0</v>
      </c>
      <c r="X414" s="4">
        <f>Q414+T414+V414</f>
      </c>
      <c r="Y414" s="4">
        <f>L414-M414-R414-S414-T414-U414-V414-W414</f>
      </c>
      <c r="Z414" s="4">
        <f>(Y414-AB414)/J414*100</f>
      </c>
      <c r="AA414" s="4">
        <f>M414-X414</f>
      </c>
      <c r="AC414" s="4">
        <f>Y414-AB414</f>
      </c>
      <c r="AH414" t="s">
        <v>1</v>
      </c>
    </row>
    <row r="415" spans="1:34" x14ac:dyDescent="0.25">
      <c r="A415" s="8">
        <v>46161.5</v>
      </c>
      <c r="B415" t="s">
        <v>2207</v>
      </c>
      <c r="C415" t="s">
        <v>1</v>
      </c>
      <c r="D415" s="9" t="s">
        <v>1</v>
      </c>
      <c r="E415" t="s">
        <v>1</v>
      </c>
      <c r="F415" t="s">
        <v>1</v>
      </c>
      <c r="G415" t="s">
        <v>1</v>
      </c>
      <c r="H415" t="s">
        <v>66</v>
      </c>
      <c r="I415">
        <v>1</v>
      </c>
      <c r="J415" s="4">
        <v>332</v>
      </c>
      <c r="K415" s="4">
        <v>471.44</v>
      </c>
      <c r="L415" s="4">
        <f>K415-J415</f>
      </c>
      <c r="M415" s="4">
        <f>L415*16.67%</f>
      </c>
      <c r="N415" s="4">
        <f>(K415*6.9%)-(K415*6.9%)*10%</f>
      </c>
      <c r="O415" s="4">
        <f>K415*0.35%</f>
      </c>
      <c r="P415" s="4">
        <v>0.4</v>
      </c>
      <c r="Q415" s="4">
        <f>(N415+O415+P415)*20%</f>
      </c>
      <c r="R415" s="4">
        <f>N415+O415+P415+Q415</f>
      </c>
      <c r="S415" s="4">
        <v>0</v>
      </c>
      <c r="T415" s="4">
        <v>0</v>
      </c>
      <c r="U415" s="4">
        <v>0</v>
      </c>
      <c r="V415" s="4">
        <f>U415*20%</f>
      </c>
      <c r="W415" s="4">
        <v>1</v>
      </c>
      <c r="X415" s="4">
        <f>Q415+T415+V415</f>
      </c>
      <c r="Y415" s="4">
        <f>L415-M415-R415-S415-T415-U415-V415-W415</f>
      </c>
      <c r="Z415" s="4">
        <f>(Y415-AB415)/J415*100</f>
      </c>
      <c r="AA415" s="4">
        <f>M415-X415</f>
      </c>
      <c r="AC415" s="4">
        <f>Y415-AB415</f>
      </c>
      <c r="AH415" t="s">
        <v>1</v>
      </c>
    </row>
    <row r="416" spans="1:34" x14ac:dyDescent="0.25">
      <c r="A416" s="8">
        <v>46160.5</v>
      </c>
      <c r="B416" t="s">
        <v>2208</v>
      </c>
      <c r="C416" t="s">
        <v>1</v>
      </c>
      <c r="D416" s="9" t="s">
        <v>2209</v>
      </c>
      <c r="E416" t="s">
        <v>131</v>
      </c>
      <c r="F416" t="s">
        <v>99</v>
      </c>
      <c r="G416" t="s">
        <v>65</v>
      </c>
      <c r="H416" t="s">
        <v>102</v>
      </c>
      <c r="I416">
        <v>1</v>
      </c>
      <c r="J416" s="4">
        <v>267</v>
      </c>
      <c r="K416" s="4">
        <v>360.45</v>
      </c>
      <c r="L416" s="4">
        <f>K416-J416</f>
      </c>
      <c r="M416" s="4">
        <f>L416*16.67%</f>
      </c>
      <c r="N416" s="4">
        <f>(K416*6.9%)-(K416*6.9%)*10%</f>
      </c>
      <c r="O416" s="4">
        <f>K416*0.35%</f>
      </c>
      <c r="P416" s="4">
        <v>0.4</v>
      </c>
      <c r="Q416" s="4">
        <f>(N416+O416+P416)*20%</f>
      </c>
      <c r="R416" s="4">
        <f>N416+O416+P416+Q416</f>
      </c>
      <c r="S416" s="4">
        <v>0</v>
      </c>
      <c r="T416" s="4">
        <v>0</v>
      </c>
      <c r="U416" s="4">
        <v>0</v>
      </c>
      <c r="V416" s="4">
        <f>U416*20%</f>
      </c>
      <c r="W416" s="4">
        <v>1</v>
      </c>
      <c r="X416" s="4">
        <f>Q416+T416+V416</f>
      </c>
      <c r="Y416" s="4">
        <f>L416-M416-R416-S416-T416-U416-V416-W416</f>
      </c>
      <c r="Z416" s="4">
        <f>(Y416-AB416)/J416*100</f>
      </c>
      <c r="AA416" s="4">
        <f>M416-X416</f>
      </c>
      <c r="AC416" s="4">
        <f>Y416-AB416</f>
      </c>
      <c r="AH416" t="s">
        <v>1</v>
      </c>
    </row>
    <row r="417" spans="1:34" x14ac:dyDescent="0.25">
      <c r="A417" s="8">
        <v>46160.5</v>
      </c>
      <c r="B417" t="s">
        <v>2210</v>
      </c>
      <c r="C417" t="s">
        <v>1</v>
      </c>
      <c r="D417" s="9" t="s">
        <v>2211</v>
      </c>
      <c r="E417" t="s">
        <v>292</v>
      </c>
      <c r="F417" t="s">
        <v>74</v>
      </c>
      <c r="G417" t="s">
        <v>126</v>
      </c>
      <c r="H417" t="s">
        <v>61</v>
      </c>
      <c r="I417">
        <v>1</v>
      </c>
      <c r="J417" s="4">
        <v>172</v>
      </c>
      <c r="K417" s="4">
        <v>239.08</v>
      </c>
      <c r="L417" s="4">
        <f>K417-J417</f>
      </c>
      <c r="M417" s="4">
        <f>L417*16.67%</f>
      </c>
      <c r="N417" s="4">
        <f>(K417*6.9%)-(K417*6.9%)*10%</f>
      </c>
      <c r="O417" s="4">
        <f>K417*0.35%</f>
      </c>
      <c r="P417" s="4">
        <v>0.4</v>
      </c>
      <c r="Q417" s="4">
        <f>(N417+O417+P417)*20%</f>
      </c>
      <c r="R417" s="4">
        <f>N417+O417+P417+Q417</f>
      </c>
      <c r="S417" s="4">
        <v>0</v>
      </c>
      <c r="T417" s="4">
        <v>0</v>
      </c>
      <c r="U417" s="4">
        <v>0</v>
      </c>
      <c r="V417" s="4">
        <f>U417*20%</f>
      </c>
      <c r="W417" s="4">
        <v>1</v>
      </c>
      <c r="X417" s="4">
        <f>Q417+T417+V417</f>
      </c>
      <c r="Y417" s="4">
        <f>L417-M417-R417-S417-T417-U417-V417-W417</f>
      </c>
      <c r="Z417" s="4">
        <f>(Y417-AB417)/J417*100</f>
      </c>
      <c r="AA417" s="4">
        <f>M417-X417</f>
      </c>
      <c r="AC417" s="4">
        <f>Y417-AB417</f>
      </c>
      <c r="AH417" t="s">
        <v>1</v>
      </c>
    </row>
    <row r="418" spans="1:34" x14ac:dyDescent="0.25">
      <c r="A418" s="8">
        <v>46160.5</v>
      </c>
      <c r="B418" t="s">
        <v>2212</v>
      </c>
      <c r="C418" t="s">
        <v>1</v>
      </c>
      <c r="D418" s="9" t="s">
        <v>2213</v>
      </c>
      <c r="E418" t="s">
        <v>292</v>
      </c>
      <c r="F418" t="s">
        <v>59</v>
      </c>
      <c r="G418" t="s">
        <v>126</v>
      </c>
      <c r="H418" t="s">
        <v>66</v>
      </c>
      <c r="I418">
        <v>1</v>
      </c>
      <c r="J418" s="4">
        <v>152</v>
      </c>
      <c r="K418" s="4">
        <v>203.68</v>
      </c>
      <c r="L418" s="4">
        <f>K418-J418</f>
      </c>
      <c r="M418" s="4">
        <f>L418*16.67%</f>
      </c>
      <c r="N418" s="4">
        <f>(K418*6.9%)-(K418*6.9%)*10%</f>
      </c>
      <c r="O418" s="4">
        <f>K418*0.35%</f>
      </c>
      <c r="P418" s="4">
        <v>0.4</v>
      </c>
      <c r="Q418" s="4">
        <f>(N418+O418+P418)*20%</f>
      </c>
      <c r="R418" s="4">
        <f>N418+O418+P418+Q418</f>
      </c>
      <c r="S418" s="4">
        <v>0</v>
      </c>
      <c r="T418" s="4">
        <v>0</v>
      </c>
      <c r="U418" s="4">
        <v>0</v>
      </c>
      <c r="V418" s="4">
        <f>U418*20%</f>
      </c>
      <c r="W418" s="4">
        <v>1</v>
      </c>
      <c r="X418" s="4">
        <f>Q418+T418+V418</f>
      </c>
      <c r="Y418" s="4">
        <f>L418-M418-R418-S418-T418-U418-V418-W418</f>
      </c>
      <c r="Z418" s="4">
        <f>(Y418-AB418)/J418*100</f>
      </c>
      <c r="AA418" s="4">
        <f>M418-X418</f>
      </c>
      <c r="AC418" s="4">
        <f>Y418-AB418</f>
      </c>
      <c r="AH418" t="s">
        <v>1</v>
      </c>
    </row>
    <row r="419" spans="1:34" x14ac:dyDescent="0.25">
      <c r="A419" s="8">
        <v>46160.5</v>
      </c>
      <c r="B419" t="s">
        <v>2214</v>
      </c>
      <c r="C419" t="s">
        <v>1</v>
      </c>
      <c r="D419" s="9" t="s">
        <v>2215</v>
      </c>
      <c r="E419" t="s">
        <v>134</v>
      </c>
      <c r="F419" t="s">
        <v>59</v>
      </c>
      <c r="G419" t="s">
        <v>95</v>
      </c>
      <c r="H419" t="s">
        <v>102</v>
      </c>
      <c r="I419">
        <v>1</v>
      </c>
      <c r="J419" s="4">
        <v>106</v>
      </c>
      <c r="K419" s="4">
        <v>134.62</v>
      </c>
      <c r="L419" s="4">
        <f>K419-J419</f>
      </c>
      <c r="M419" s="4">
        <f>L419*16.67%</f>
      </c>
      <c r="N419" s="4">
        <f>(K419*6.9%)-(K419*6.9%)*10%</f>
      </c>
      <c r="O419" s="4">
        <f>K419*0.35%</f>
      </c>
      <c r="P419" s="4">
        <v>0.4</v>
      </c>
      <c r="Q419" s="4">
        <f>(N419+O419+P419)*20%</f>
      </c>
      <c r="R419" s="4">
        <f>N419+O419+P419+Q419</f>
      </c>
      <c r="S419" s="4">
        <v>0</v>
      </c>
      <c r="T419" s="4">
        <v>0</v>
      </c>
      <c r="U419" s="4">
        <v>0</v>
      </c>
      <c r="V419" s="4">
        <f>U419*20%</f>
      </c>
      <c r="W419" s="4">
        <v>1</v>
      </c>
      <c r="X419" s="4">
        <f>Q419+T419+V419</f>
      </c>
      <c r="Y419" s="4">
        <f>L419-M419-R419-S419-T419-U419-V419-W419</f>
      </c>
      <c r="Z419" s="4">
        <f>(Y419-AB419)/J419*100</f>
      </c>
      <c r="AA419" s="4">
        <f>M419-X419</f>
      </c>
      <c r="AC419" s="4">
        <f>Y419-AB419</f>
      </c>
      <c r="AH419" t="s">
        <v>1</v>
      </c>
    </row>
    <row r="420" spans="1:34" x14ac:dyDescent="0.25">
      <c r="A420" s="8">
        <v>46160.5</v>
      </c>
      <c r="B420" t="s">
        <v>2216</v>
      </c>
      <c r="C420" t="s">
        <v>1</v>
      </c>
      <c r="D420" s="9" t="s">
        <v>2217</v>
      </c>
      <c r="E420" t="s">
        <v>125</v>
      </c>
      <c r="F420" t="s">
        <v>88</v>
      </c>
      <c r="G420" t="s">
        <v>126</v>
      </c>
      <c r="H420" t="s">
        <v>78</v>
      </c>
      <c r="I420">
        <v>1</v>
      </c>
      <c r="J420" s="4">
        <v>234</v>
      </c>
      <c r="K420" s="4">
        <v>304.2</v>
      </c>
      <c r="L420" s="4">
        <f>K420-J420</f>
      </c>
      <c r="M420" s="4">
        <f>L420*16.67%</f>
      </c>
      <c r="N420" s="4">
        <f>(K420*6.9%)-(K420*6.9%)*10%</f>
      </c>
      <c r="O420" s="4">
        <f>K420*0.35%</f>
      </c>
      <c r="P420" s="4">
        <v>0.4</v>
      </c>
      <c r="Q420" s="4">
        <f>(N420+O420+P420)*20%</f>
      </c>
      <c r="R420" s="4">
        <f>N420+O420+P420+Q420</f>
      </c>
      <c r="S420" s="4">
        <v>0</v>
      </c>
      <c r="T420" s="4">
        <v>0</v>
      </c>
      <c r="U420" s="4">
        <v>0</v>
      </c>
      <c r="V420" s="4">
        <f>U420*20%</f>
      </c>
      <c r="W420" s="4">
        <v>1</v>
      </c>
      <c r="X420" s="4">
        <f>Q420+T420+V420</f>
      </c>
      <c r="Y420" s="4">
        <f>L420-M420-R420-S420-T420-U420-V420-W420</f>
      </c>
      <c r="Z420" s="4">
        <f>(Y420-AB420)/J420*100</f>
      </c>
      <c r="AA420" s="4">
        <f>M420-X420</f>
      </c>
      <c r="AC420" s="4">
        <f>Y420-AB420</f>
      </c>
      <c r="AH420" t="s">
        <v>1</v>
      </c>
    </row>
    <row r="421" spans="1:34" x14ac:dyDescent="0.25">
      <c r="A421" s="8">
        <v>46160.5</v>
      </c>
      <c r="B421" t="s">
        <v>2218</v>
      </c>
      <c r="C421" t="s">
        <v>1</v>
      </c>
      <c r="D421" s="9" t="s">
        <v>2219</v>
      </c>
      <c r="E421" t="s">
        <v>172</v>
      </c>
      <c r="F421" t="s">
        <v>70</v>
      </c>
      <c r="G421" t="s">
        <v>65</v>
      </c>
      <c r="H421" t="s">
        <v>66</v>
      </c>
      <c r="I421">
        <v>1</v>
      </c>
      <c r="J421" s="4">
        <v>176</v>
      </c>
      <c r="K421" s="4">
        <v>205.92</v>
      </c>
      <c r="L421" s="4">
        <f>K421-J421</f>
      </c>
      <c r="M421" s="4">
        <f>L421*16.67%</f>
      </c>
      <c r="N421" s="4">
        <f>(K421*6.9%)-(K421*6.9%)*10%</f>
      </c>
      <c r="O421" s="4">
        <f>K421*0.35%</f>
      </c>
      <c r="P421" s="4">
        <v>0.4</v>
      </c>
      <c r="Q421" s="4">
        <f>(N421+O421+P421)*20%</f>
      </c>
      <c r="R421" s="4">
        <f>N421+O421+P421+Q421</f>
      </c>
      <c r="S421" s="4">
        <v>0</v>
      </c>
      <c r="T421" s="4">
        <v>0</v>
      </c>
      <c r="U421" s="4">
        <v>0</v>
      </c>
      <c r="V421" s="4">
        <f>U421*20%</f>
      </c>
      <c r="W421" s="4">
        <v>1</v>
      </c>
      <c r="X421" s="4">
        <f>Q421+T421+V421</f>
      </c>
      <c r="Y421" s="4">
        <f>L421-M421-R421-S421-T421-U421-V421-W421</f>
      </c>
      <c r="Z421" s="4">
        <f>(Y421-AB421)/J421*100</f>
      </c>
      <c r="AA421" s="4">
        <f>M421-X421</f>
      </c>
      <c r="AC421" s="4">
        <f>Y421-AB421</f>
      </c>
      <c r="AH421" t="s">
        <v>1</v>
      </c>
    </row>
    <row r="422" spans="1:34" x14ac:dyDescent="0.25">
      <c r="A422" s="8">
        <v>46160.5</v>
      </c>
      <c r="B422" t="s">
        <v>2220</v>
      </c>
      <c r="C422" t="s">
        <v>1</v>
      </c>
      <c r="D422" s="9" t="s">
        <v>2221</v>
      </c>
      <c r="E422" t="s">
        <v>69</v>
      </c>
      <c r="F422" t="s">
        <v>99</v>
      </c>
      <c r="G422" t="s">
        <v>60</v>
      </c>
      <c r="H422" t="s">
        <v>75</v>
      </c>
      <c r="I422">
        <v>1</v>
      </c>
      <c r="J422" s="4">
        <v>496</v>
      </c>
      <c r="K422" s="4">
        <v>615.04</v>
      </c>
      <c r="L422" s="4">
        <f>K422-J422</f>
      </c>
      <c r="M422" s="4">
        <f>L422*16.67%</f>
      </c>
      <c r="N422" s="4">
        <f>(K422*6.9%)-(K422*6.9%)*10%</f>
      </c>
      <c r="O422" s="4">
        <f>K422*0.35%</f>
      </c>
      <c r="P422" s="4">
        <v>0.4</v>
      </c>
      <c r="Q422" s="4">
        <f>(N422+O422+P422)*20%</f>
      </c>
      <c r="R422" s="4">
        <f>N422+O422+P422+Q422</f>
      </c>
      <c r="S422" s="4">
        <v>0</v>
      </c>
      <c r="T422" s="4">
        <v>0</v>
      </c>
      <c r="U422" s="4">
        <v>0</v>
      </c>
      <c r="V422" s="4">
        <f>U422*20%</f>
      </c>
      <c r="W422" s="4">
        <v>1</v>
      </c>
      <c r="X422" s="4">
        <f>Q422+T422+V422</f>
      </c>
      <c r="Y422" s="4">
        <f>L422-M422-R422-S422-T422-U422-V422-W422</f>
      </c>
      <c r="Z422" s="4">
        <f>(Y422-AB422)/J422*100</f>
      </c>
      <c r="AA422" s="4">
        <f>M422-X422</f>
      </c>
      <c r="AC422" s="4">
        <f>Y422-AB422</f>
      </c>
      <c r="AH422" t="s">
        <v>1</v>
      </c>
    </row>
    <row r="423" spans="1:34" x14ac:dyDescent="0.25">
      <c r="A423" s="8">
        <v>46160.5</v>
      </c>
      <c r="B423" t="s">
        <v>2222</v>
      </c>
      <c r="C423" t="s">
        <v>174</v>
      </c>
      <c r="D423" s="9" t="s">
        <v>1</v>
      </c>
      <c r="E423" t="s">
        <v>174</v>
      </c>
      <c r="F423" t="s">
        <v>1</v>
      </c>
      <c r="G423" t="s">
        <v>1</v>
      </c>
      <c r="H423" t="s">
        <v>66</v>
      </c>
      <c r="I423">
        <v>2</v>
      </c>
      <c r="J423" s="4">
        <v>8.5</v>
      </c>
      <c r="K423" s="4">
        <v>11.3</v>
      </c>
      <c r="L423" s="4">
        <f>K423-J423</f>
      </c>
      <c r="M423" s="4">
        <f>L423*16.67%</f>
      </c>
      <c r="N423" s="4">
        <f>(K423*6.9%)-(K423*6.9%)*10%</f>
      </c>
      <c r="O423" s="4">
        <f>K423*0.35%</f>
      </c>
      <c r="P423" s="4">
        <v>0.4</v>
      </c>
      <c r="Q423" s="4">
        <f>(N423+O423+P423)*20%</f>
      </c>
      <c r="R423" s="4">
        <f>N423+O423+P423+Q423</f>
      </c>
      <c r="S423" s="4">
        <v>0</v>
      </c>
      <c r="T423" s="4">
        <v>0</v>
      </c>
      <c r="U423" s="4">
        <v>0</v>
      </c>
      <c r="V423" s="4">
        <f>U423*20%</f>
      </c>
      <c r="W423" s="4">
        <v>0</v>
      </c>
      <c r="X423" s="4">
        <f>Q423+T423+V423</f>
      </c>
      <c r="Y423" s="4">
        <f>L423-M423-R423-S423-T423-U423-V423-W423</f>
      </c>
      <c r="Z423" s="4">
        <f>(Y423-AB423)/J423*100</f>
      </c>
      <c r="AA423" s="4">
        <f>M423-X423</f>
      </c>
      <c r="AC423" s="4">
        <f>Y423-AB423</f>
      </c>
      <c r="AH423" t="s">
        <v>1</v>
      </c>
    </row>
    <row r="424" spans="1:34" x14ac:dyDescent="0.25">
      <c r="A424" s="8">
        <v>46160.5</v>
      </c>
      <c r="B424" t="s">
        <v>2223</v>
      </c>
      <c r="C424" t="s">
        <v>177</v>
      </c>
      <c r="D424" s="9" t="s">
        <v>1</v>
      </c>
      <c r="E424" t="s">
        <v>177</v>
      </c>
      <c r="F424" t="s">
        <v>1</v>
      </c>
      <c r="G424" t="s">
        <v>1</v>
      </c>
      <c r="H424" t="s">
        <v>78</v>
      </c>
      <c r="I424">
        <v>3</v>
      </c>
      <c r="J424" s="4">
        <v>0.45</v>
      </c>
      <c r="K424" s="4">
        <v>0.58</v>
      </c>
      <c r="L424" s="4">
        <f>K424-J424</f>
      </c>
      <c r="M424" s="4">
        <f>L424*16.67%</f>
      </c>
      <c r="N424" s="4">
        <f>(K424*6.9%)-(K424*6.9%)*10%</f>
      </c>
      <c r="O424" s="4">
        <f>K424*0.35%</f>
      </c>
      <c r="P424" s="4">
        <v>0.4</v>
      </c>
      <c r="Q424" s="4">
        <f>(N424+O424+P424)*20%</f>
      </c>
      <c r="R424" s="4">
        <f>N424+O424+P424+Q424</f>
      </c>
      <c r="S424" s="4">
        <v>0</v>
      </c>
      <c r="T424" s="4">
        <v>0</v>
      </c>
      <c r="U424" s="4">
        <v>0</v>
      </c>
      <c r="V424" s="4">
        <f>U424*20%</f>
      </c>
      <c r="W424" s="4">
        <v>0</v>
      </c>
      <c r="X424" s="4">
        <f>Q424+T424+V424</f>
      </c>
      <c r="Y424" s="4">
        <f>L424-M424-R424-S424-T424-U424-V424-W424</f>
      </c>
      <c r="Z424" s="4">
        <f>(Y424-AB424)/J424*100</f>
      </c>
      <c r="AA424" s="4">
        <f>M424-X424</f>
      </c>
      <c r="AC424" s="4">
        <f>Y424-AB424</f>
      </c>
      <c r="AH424" t="s">
        <v>1</v>
      </c>
    </row>
    <row r="425" spans="1:34" x14ac:dyDescent="0.25">
      <c r="A425" s="8">
        <v>46159.5</v>
      </c>
      <c r="B425" t="s">
        <v>2224</v>
      </c>
      <c r="C425" t="s">
        <v>1</v>
      </c>
      <c r="D425" s="9" t="s">
        <v>2225</v>
      </c>
      <c r="E425" t="s">
        <v>81</v>
      </c>
      <c r="F425" t="s">
        <v>70</v>
      </c>
      <c r="G425" t="s">
        <v>65</v>
      </c>
      <c r="H425" t="s">
        <v>78</v>
      </c>
      <c r="I425">
        <v>1</v>
      </c>
      <c r="J425" s="4">
        <v>543</v>
      </c>
      <c r="K425" s="4">
        <v>695.04</v>
      </c>
      <c r="L425" s="4">
        <f>K425-J425</f>
      </c>
      <c r="M425" s="4">
        <f>L425*16.67%</f>
      </c>
      <c r="N425" s="4">
        <f>(K425*6.9%)-(K425*6.9%)*10%</f>
      </c>
      <c r="O425" s="4">
        <f>K425*0.35%</f>
      </c>
      <c r="P425" s="4">
        <v>0.4</v>
      </c>
      <c r="Q425" s="4">
        <f>(N425+O425+P425)*20%</f>
      </c>
      <c r="R425" s="4">
        <f>N425+O425+P425+Q425</f>
      </c>
      <c r="S425" s="4">
        <v>0</v>
      </c>
      <c r="T425" s="4">
        <v>0</v>
      </c>
      <c r="U425" s="4">
        <v>0</v>
      </c>
      <c r="V425" s="4">
        <f>U425*20%</f>
      </c>
      <c r="W425" s="4">
        <v>1</v>
      </c>
      <c r="X425" s="4">
        <f>Q425+T425+V425</f>
      </c>
      <c r="Y425" s="4">
        <f>L425-M425-R425-S425-T425-U425-V425-W425</f>
      </c>
      <c r="Z425" s="4">
        <f>(Y425-AB425)/J425*100</f>
      </c>
      <c r="AA425" s="4">
        <f>M425-X425</f>
      </c>
      <c r="AC425" s="4">
        <f>Y425-AB425</f>
      </c>
      <c r="AH425" t="s">
        <v>1</v>
      </c>
    </row>
    <row r="426" spans="1:34" x14ac:dyDescent="0.25">
      <c r="A426" s="8">
        <v>46159.5</v>
      </c>
      <c r="B426" t="s">
        <v>2226</v>
      </c>
      <c r="C426" t="s">
        <v>1</v>
      </c>
      <c r="D426" s="9" t="s">
        <v>2227</v>
      </c>
      <c r="E426" t="s">
        <v>125</v>
      </c>
      <c r="F426" t="s">
        <v>99</v>
      </c>
      <c r="G426" t="s">
        <v>126</v>
      </c>
      <c r="H426" t="s">
        <v>78</v>
      </c>
      <c r="I426">
        <v>1</v>
      </c>
      <c r="J426" s="4">
        <v>262</v>
      </c>
      <c r="K426" s="4">
        <v>319.64</v>
      </c>
      <c r="L426" s="4">
        <f>K426-J426</f>
      </c>
      <c r="M426" s="4">
        <f>L426*16.67%</f>
      </c>
      <c r="N426" s="4">
        <f>(K426*6.9%)-(K426*6.9%)*10%</f>
      </c>
      <c r="O426" s="4">
        <f>K426*0.35%</f>
      </c>
      <c r="P426" s="4">
        <v>0.4</v>
      </c>
      <c r="Q426" s="4">
        <f>(N426+O426+P426)*20%</f>
      </c>
      <c r="R426" s="4">
        <f>N426+O426+P426+Q426</f>
      </c>
      <c r="S426" s="4">
        <v>0</v>
      </c>
      <c r="T426" s="4">
        <v>0</v>
      </c>
      <c r="U426" s="4">
        <v>0</v>
      </c>
      <c r="V426" s="4">
        <f>U426*20%</f>
      </c>
      <c r="W426" s="4">
        <v>1</v>
      </c>
      <c r="X426" s="4">
        <f>Q426+T426+V426</f>
      </c>
      <c r="Y426" s="4">
        <f>L426-M426-R426-S426-T426-U426-V426-W426</f>
      </c>
      <c r="Z426" s="4">
        <f>(Y426-AB426)/J426*100</f>
      </c>
      <c r="AA426" s="4">
        <f>M426-X426</f>
      </c>
      <c r="AC426" s="4">
        <f>Y426-AB426</f>
      </c>
      <c r="AH426" t="s">
        <v>1</v>
      </c>
    </row>
    <row r="427" spans="1:34" x14ac:dyDescent="0.25">
      <c r="A427" s="8">
        <v>46159.5</v>
      </c>
      <c r="B427" t="s">
        <v>2228</v>
      </c>
      <c r="C427" t="s">
        <v>1</v>
      </c>
      <c r="D427" s="9" t="s">
        <v>2229</v>
      </c>
      <c r="E427" t="s">
        <v>58</v>
      </c>
      <c r="F427" t="s">
        <v>74</v>
      </c>
      <c r="G427" t="s">
        <v>60</v>
      </c>
      <c r="H427" t="s">
        <v>78</v>
      </c>
      <c r="I427">
        <v>1</v>
      </c>
      <c r="J427" s="4">
        <v>474</v>
      </c>
      <c r="K427" s="4">
        <v>554.58</v>
      </c>
      <c r="L427" s="4">
        <f>K427-J427</f>
      </c>
      <c r="M427" s="4">
        <f>L427*16.67%</f>
      </c>
      <c r="N427" s="4">
        <f>(K427*6.9%)-(K427*6.9%)*10%</f>
      </c>
      <c r="O427" s="4">
        <f>K427*0.35%</f>
      </c>
      <c r="P427" s="4">
        <v>0.4</v>
      </c>
      <c r="Q427" s="4">
        <f>(N427+O427+P427)*20%</f>
      </c>
      <c r="R427" s="4">
        <f>N427+O427+P427+Q427</f>
      </c>
      <c r="S427" s="4">
        <v>0</v>
      </c>
      <c r="T427" s="4">
        <v>0</v>
      </c>
      <c r="U427" s="4">
        <v>0</v>
      </c>
      <c r="V427" s="4">
        <f>U427*20%</f>
      </c>
      <c r="W427" s="4">
        <v>1</v>
      </c>
      <c r="X427" s="4">
        <f>Q427+T427+V427</f>
      </c>
      <c r="Y427" s="4">
        <f>L427-M427-R427-S427-T427-U427-V427-W427</f>
      </c>
      <c r="Z427" s="4">
        <f>(Y427-AB427)/J427*100</f>
      </c>
      <c r="AA427" s="4">
        <f>M427-X427</f>
      </c>
      <c r="AC427" s="4">
        <f>Y427-AB427</f>
      </c>
      <c r="AH427" t="s">
        <v>1</v>
      </c>
    </row>
    <row r="428" spans="1:34" x14ac:dyDescent="0.25">
      <c r="A428" s="8">
        <v>46159.5</v>
      </c>
      <c r="B428" t="s">
        <v>2230</v>
      </c>
      <c r="C428" t="s">
        <v>1</v>
      </c>
      <c r="D428" s="9" t="s">
        <v>2231</v>
      </c>
      <c r="E428" t="s">
        <v>64</v>
      </c>
      <c r="F428" t="s">
        <v>74</v>
      </c>
      <c r="G428" t="s">
        <v>65</v>
      </c>
      <c r="H428" t="s">
        <v>78</v>
      </c>
      <c r="I428">
        <v>1</v>
      </c>
      <c r="J428" s="4">
        <v>241</v>
      </c>
      <c r="K428" s="4">
        <v>301.25</v>
      </c>
      <c r="L428" s="4">
        <f>K428-J428</f>
      </c>
      <c r="M428" s="4">
        <f>L428*16.67%</f>
      </c>
      <c r="N428" s="4">
        <f>(K428*6.9%)-(K428*6.9%)*10%</f>
      </c>
      <c r="O428" s="4">
        <f>K428*0.35%</f>
      </c>
      <c r="P428" s="4">
        <v>0.4</v>
      </c>
      <c r="Q428" s="4">
        <f>(N428+O428+P428)*20%</f>
      </c>
      <c r="R428" s="4">
        <f>N428+O428+P428+Q428</f>
      </c>
      <c r="S428" s="4">
        <v>0</v>
      </c>
      <c r="T428" s="4">
        <v>0</v>
      </c>
      <c r="U428" s="4">
        <v>0</v>
      </c>
      <c r="V428" s="4">
        <f>U428*20%</f>
      </c>
      <c r="W428" s="4">
        <v>1</v>
      </c>
      <c r="X428" s="4">
        <f>Q428+T428+V428</f>
      </c>
      <c r="Y428" s="4">
        <f>L428-M428-R428-S428-T428-U428-V428-W428</f>
      </c>
      <c r="Z428" s="4">
        <f>(Y428-AB428)/J428*100</f>
      </c>
      <c r="AA428" s="4">
        <f>M428-X428</f>
      </c>
      <c r="AC428" s="4">
        <f>Y428-AB428</f>
      </c>
      <c r="AH428" t="s">
        <v>1</v>
      </c>
    </row>
    <row r="429" spans="1:34" x14ac:dyDescent="0.25">
      <c r="A429" s="8">
        <v>46159.5</v>
      </c>
      <c r="B429" t="s">
        <v>2232</v>
      </c>
      <c r="C429" t="s">
        <v>177</v>
      </c>
      <c r="D429" s="9" t="s">
        <v>1</v>
      </c>
      <c r="E429" t="s">
        <v>177</v>
      </c>
      <c r="F429" t="s">
        <v>1</v>
      </c>
      <c r="G429" t="s">
        <v>1</v>
      </c>
      <c r="H429" t="s">
        <v>78</v>
      </c>
      <c r="I429">
        <v>3</v>
      </c>
      <c r="J429" s="4">
        <v>0.45</v>
      </c>
      <c r="K429" s="4">
        <v>0.63</v>
      </c>
      <c r="L429" s="4">
        <f>K429-J429</f>
      </c>
      <c r="M429" s="4">
        <f>L429*16.67%</f>
      </c>
      <c r="N429" s="4">
        <f>(K429*6.9%)-(K429*6.9%)*10%</f>
      </c>
      <c r="O429" s="4">
        <f>K429*0.35%</f>
      </c>
      <c r="P429" s="4">
        <v>0.4</v>
      </c>
      <c r="Q429" s="4">
        <f>(N429+O429+P429)*20%</f>
      </c>
      <c r="R429" s="4">
        <f>N429+O429+P429+Q429</f>
      </c>
      <c r="S429" s="4">
        <v>0</v>
      </c>
      <c r="T429" s="4">
        <v>0</v>
      </c>
      <c r="U429" s="4">
        <v>0</v>
      </c>
      <c r="V429" s="4">
        <f>U429*20%</f>
      </c>
      <c r="W429" s="4">
        <v>0</v>
      </c>
      <c r="X429" s="4">
        <f>Q429+T429+V429</f>
      </c>
      <c r="Y429" s="4">
        <f>L429-M429-R429-S429-T429-U429-V429-W429</f>
      </c>
      <c r="Z429" s="4">
        <f>(Y429-AB429)/J429*100</f>
      </c>
      <c r="AA429" s="4">
        <f>M429-X429</f>
      </c>
      <c r="AC429" s="4">
        <f>Y429-AB429</f>
      </c>
      <c r="AH429" t="s">
        <v>1</v>
      </c>
    </row>
    <row r="430" spans="1:34" x14ac:dyDescent="0.25">
      <c r="A430" s="8">
        <v>46159.5</v>
      </c>
      <c r="B430" t="s">
        <v>2233</v>
      </c>
      <c r="C430" t="s">
        <v>182</v>
      </c>
      <c r="D430" s="9" t="s">
        <v>1</v>
      </c>
      <c r="E430" t="s">
        <v>182</v>
      </c>
      <c r="F430" t="s">
        <v>1</v>
      </c>
      <c r="G430" t="s">
        <v>1</v>
      </c>
      <c r="H430" t="s">
        <v>75</v>
      </c>
      <c r="I430">
        <v>3</v>
      </c>
      <c r="J430" s="4">
        <v>5.7</v>
      </c>
      <c r="K430" s="4">
        <v>7.92</v>
      </c>
      <c r="L430" s="4">
        <f>K430-J430</f>
      </c>
      <c r="M430" s="4">
        <f>L430*16.67%</f>
      </c>
      <c r="N430" s="4">
        <f>(K430*6.9%)-(K430*6.9%)*10%</f>
      </c>
      <c r="O430" s="4">
        <f>K430*0.35%</f>
      </c>
      <c r="P430" s="4">
        <v>0.4</v>
      </c>
      <c r="Q430" s="4">
        <f>(N430+O430+P430)*20%</f>
      </c>
      <c r="R430" s="4">
        <f>N430+O430+P430+Q430</f>
      </c>
      <c r="S430" s="4">
        <v>0</v>
      </c>
      <c r="T430" s="4">
        <v>0</v>
      </c>
      <c r="U430" s="4">
        <v>0</v>
      </c>
      <c r="V430" s="4">
        <f>U430*20%</f>
      </c>
      <c r="W430" s="4">
        <v>0</v>
      </c>
      <c r="X430" s="4">
        <f>Q430+T430+V430</f>
      </c>
      <c r="Y430" s="4">
        <f>L430-M430-R430-S430-T430-U430-V430-W430</f>
      </c>
      <c r="Z430" s="4">
        <f>(Y430-AB430)/J430*100</f>
      </c>
      <c r="AA430" s="4">
        <f>M430-X430</f>
      </c>
      <c r="AC430" s="4">
        <f>Y430-AB430</f>
      </c>
      <c r="AH430" t="s">
        <v>1</v>
      </c>
    </row>
    <row r="431" spans="1:34" x14ac:dyDescent="0.25">
      <c r="A431" s="8">
        <v>46159.5</v>
      </c>
      <c r="B431" t="s">
        <v>2234</v>
      </c>
      <c r="C431" t="s">
        <v>185</v>
      </c>
      <c r="D431" s="9" t="s">
        <v>1</v>
      </c>
      <c r="E431" t="s">
        <v>185</v>
      </c>
      <c r="F431" t="s">
        <v>1</v>
      </c>
      <c r="G431" t="s">
        <v>1</v>
      </c>
      <c r="H431" t="s">
        <v>102</v>
      </c>
      <c r="I431">
        <v>2</v>
      </c>
      <c r="J431" s="4">
        <v>2.4</v>
      </c>
      <c r="K431" s="4">
        <v>3.07</v>
      </c>
      <c r="L431" s="4">
        <f>K431-J431</f>
      </c>
      <c r="M431" s="4">
        <f>L431*16.67%</f>
      </c>
      <c r="N431" s="4">
        <f>(K431*6.9%)-(K431*6.9%)*10%</f>
      </c>
      <c r="O431" s="4">
        <f>K431*0.35%</f>
      </c>
      <c r="P431" s="4">
        <v>0.4</v>
      </c>
      <c r="Q431" s="4">
        <f>(N431+O431+P431)*20%</f>
      </c>
      <c r="R431" s="4">
        <f>N431+O431+P431+Q431</f>
      </c>
      <c r="S431" s="4">
        <v>0</v>
      </c>
      <c r="T431" s="4">
        <v>0</v>
      </c>
      <c r="U431" s="4">
        <v>0</v>
      </c>
      <c r="V431" s="4">
        <f>U431*20%</f>
      </c>
      <c r="W431" s="4">
        <v>0</v>
      </c>
      <c r="X431" s="4">
        <f>Q431+T431+V431</f>
      </c>
      <c r="Y431" s="4">
        <f>L431-M431-R431-S431-T431-U431-V431-W431</f>
      </c>
      <c r="Z431" s="4">
        <f>(Y431-AB431)/J431*100</f>
      </c>
      <c r="AA431" s="4">
        <f>M431-X431</f>
      </c>
      <c r="AC431" s="4">
        <f>Y431-AB431</f>
      </c>
      <c r="AH431" t="s">
        <v>1</v>
      </c>
    </row>
    <row r="432" spans="1:34" x14ac:dyDescent="0.25">
      <c r="A432" s="8">
        <v>46158.5</v>
      </c>
      <c r="B432" t="s">
        <v>2235</v>
      </c>
      <c r="C432" t="s">
        <v>1</v>
      </c>
      <c r="D432" s="9" t="s">
        <v>2236</v>
      </c>
      <c r="E432" t="s">
        <v>64</v>
      </c>
      <c r="F432" t="s">
        <v>85</v>
      </c>
      <c r="G432" t="s">
        <v>65</v>
      </c>
      <c r="H432" t="s">
        <v>102</v>
      </c>
      <c r="I432">
        <v>1</v>
      </c>
      <c r="J432" s="4">
        <v>242</v>
      </c>
      <c r="K432" s="4">
        <v>324.28</v>
      </c>
      <c r="L432" s="4">
        <f>K432-J432</f>
      </c>
      <c r="M432" s="4">
        <f>L432*16.67%</f>
      </c>
      <c r="N432" s="4">
        <f>(K432*6.9%)-(K432*6.9%)*10%</f>
      </c>
      <c r="O432" s="4">
        <f>K432*0.35%</f>
      </c>
      <c r="P432" s="4">
        <v>0.4</v>
      </c>
      <c r="Q432" s="4">
        <f>(N432+O432+P432)*20%</f>
      </c>
      <c r="R432" s="4">
        <f>N432+O432+P432+Q432</f>
      </c>
      <c r="S432" s="4">
        <v>0</v>
      </c>
      <c r="T432" s="4">
        <v>0</v>
      </c>
      <c r="U432" s="4">
        <v>0</v>
      </c>
      <c r="V432" s="4">
        <f>U432*20%</f>
      </c>
      <c r="W432" s="4">
        <v>1</v>
      </c>
      <c r="X432" s="4">
        <f>Q432+T432+V432</f>
      </c>
      <c r="Y432" s="4">
        <f>L432-M432-R432-S432-T432-U432-V432-W432</f>
      </c>
      <c r="Z432" s="4">
        <f>(Y432-AB432)/J432*100</f>
      </c>
      <c r="AA432" s="4">
        <f>M432-X432</f>
      </c>
      <c r="AC432" s="4">
        <f>Y432-AB432</f>
      </c>
      <c r="AH432" t="s">
        <v>1</v>
      </c>
    </row>
    <row r="433" spans="1:34" x14ac:dyDescent="0.25">
      <c r="A433" s="8">
        <v>46158.5</v>
      </c>
      <c r="B433" t="s">
        <v>2237</v>
      </c>
      <c r="C433" t="s">
        <v>1</v>
      </c>
      <c r="D433" s="9" t="s">
        <v>2238</v>
      </c>
      <c r="E433" t="s">
        <v>131</v>
      </c>
      <c r="F433" t="s">
        <v>99</v>
      </c>
      <c r="G433" t="s">
        <v>65</v>
      </c>
      <c r="H433" t="s">
        <v>66</v>
      </c>
      <c r="I433">
        <v>1</v>
      </c>
      <c r="J433" s="4">
        <v>271</v>
      </c>
      <c r="K433" s="4">
        <v>371.27</v>
      </c>
      <c r="L433" s="4">
        <f>K433-J433</f>
      </c>
      <c r="M433" s="4">
        <f>L433*16.67%</f>
      </c>
      <c r="N433" s="4">
        <f>(K433*6.9%)-(K433*6.9%)*10%</f>
      </c>
      <c r="O433" s="4">
        <f>K433*0.35%</f>
      </c>
      <c r="P433" s="4">
        <v>0.4</v>
      </c>
      <c r="Q433" s="4">
        <f>(N433+O433+P433)*20%</f>
      </c>
      <c r="R433" s="4">
        <f>N433+O433+P433+Q433</f>
      </c>
      <c r="S433" s="4">
        <v>0</v>
      </c>
      <c r="T433" s="4">
        <v>0</v>
      </c>
      <c r="U433" s="4">
        <v>0</v>
      </c>
      <c r="V433" s="4">
        <f>U433*20%</f>
      </c>
      <c r="W433" s="4">
        <v>1</v>
      </c>
      <c r="X433" s="4">
        <f>Q433+T433+V433</f>
      </c>
      <c r="Y433" s="4">
        <f>L433-M433-R433-S433-T433-U433-V433-W433</f>
      </c>
      <c r="Z433" s="4">
        <f>(Y433-AB433)/J433*100</f>
      </c>
      <c r="AA433" s="4">
        <f>M433-X433</f>
      </c>
      <c r="AC433" s="4">
        <f>Y433-AB433</f>
      </c>
      <c r="AH433" t="s">
        <v>1</v>
      </c>
    </row>
    <row r="434" spans="1:34" x14ac:dyDescent="0.25">
      <c r="A434" s="8">
        <v>46158.5</v>
      </c>
      <c r="B434" t="s">
        <v>2239</v>
      </c>
      <c r="C434" t="s">
        <v>1</v>
      </c>
      <c r="D434" s="9" t="s">
        <v>2240</v>
      </c>
      <c r="E434" t="s">
        <v>91</v>
      </c>
      <c r="F434" t="s">
        <v>59</v>
      </c>
      <c r="G434" t="s">
        <v>95</v>
      </c>
      <c r="H434" t="s">
        <v>66</v>
      </c>
      <c r="I434">
        <v>1</v>
      </c>
      <c r="J434" s="4">
        <v>128</v>
      </c>
      <c r="K434" s="4">
        <v>177.92</v>
      </c>
      <c r="L434" s="4">
        <f>K434-J434</f>
      </c>
      <c r="M434" s="4">
        <f>L434*16.67%</f>
      </c>
      <c r="N434" s="4">
        <f>(K434*6.9%)-(K434*6.9%)*10%</f>
      </c>
      <c r="O434" s="4">
        <f>K434*0.35%</f>
      </c>
      <c r="P434" s="4">
        <v>0.4</v>
      </c>
      <c r="Q434" s="4">
        <f>(N434+O434+P434)*20%</f>
      </c>
      <c r="R434" s="4">
        <f>N434+O434+P434+Q434</f>
      </c>
      <c r="S434" s="4">
        <v>0</v>
      </c>
      <c r="T434" s="4">
        <v>0</v>
      </c>
      <c r="U434" s="4">
        <v>0</v>
      </c>
      <c r="V434" s="4">
        <f>U434*20%</f>
      </c>
      <c r="W434" s="4">
        <v>1</v>
      </c>
      <c r="X434" s="4">
        <f>Q434+T434+V434</f>
      </c>
      <c r="Y434" s="4">
        <f>L434-M434-R434-S434-T434-U434-V434-W434</f>
      </c>
      <c r="Z434" s="4">
        <f>(Y434-AB434)/J434*100</f>
      </c>
      <c r="AA434" s="4">
        <f>M434-X434</f>
      </c>
      <c r="AC434" s="4">
        <f>Y434-AB434</f>
      </c>
      <c r="AH434" t="s">
        <v>1</v>
      </c>
    </row>
    <row r="435" spans="1:34" x14ac:dyDescent="0.25">
      <c r="A435" s="8">
        <v>46158.5</v>
      </c>
      <c r="B435" t="s">
        <v>2241</v>
      </c>
      <c r="C435" t="s">
        <v>177</v>
      </c>
      <c r="D435" s="9" t="s">
        <v>1</v>
      </c>
      <c r="E435" t="s">
        <v>177</v>
      </c>
      <c r="F435" t="s">
        <v>1</v>
      </c>
      <c r="G435" t="s">
        <v>1</v>
      </c>
      <c r="H435" t="s">
        <v>78</v>
      </c>
      <c r="I435">
        <v>2</v>
      </c>
      <c r="J435" s="4">
        <v>0.3</v>
      </c>
      <c r="K435" s="4">
        <v>0.36</v>
      </c>
      <c r="L435" s="4">
        <f>K435-J435</f>
      </c>
      <c r="M435" s="4">
        <f>L435*16.67%</f>
      </c>
      <c r="N435" s="4">
        <f>(K435*6.9%)-(K435*6.9%)*10%</f>
      </c>
      <c r="O435" s="4">
        <f>K435*0.35%</f>
      </c>
      <c r="P435" s="4">
        <v>0.4</v>
      </c>
      <c r="Q435" s="4">
        <f>(N435+O435+P435)*20%</f>
      </c>
      <c r="R435" s="4">
        <f>N435+O435+P435+Q435</f>
      </c>
      <c r="S435" s="4">
        <v>0</v>
      </c>
      <c r="T435" s="4">
        <v>0</v>
      </c>
      <c r="U435" s="4">
        <v>0</v>
      </c>
      <c r="V435" s="4">
        <f>U435*20%</f>
      </c>
      <c r="W435" s="4">
        <v>0</v>
      </c>
      <c r="X435" s="4">
        <f>Q435+T435+V435</f>
      </c>
      <c r="Y435" s="4">
        <f>L435-M435-R435-S435-T435-U435-V435-W435</f>
      </c>
      <c r="Z435" s="4">
        <f>(Y435-AB435)/J435*100</f>
      </c>
      <c r="AA435" s="4">
        <f>M435-X435</f>
      </c>
      <c r="AC435" s="4">
        <f>Y435-AB435</f>
      </c>
      <c r="AH435" t="s">
        <v>1</v>
      </c>
    </row>
    <row r="436" spans="1:34" x14ac:dyDescent="0.25">
      <c r="A436" s="8">
        <v>46158.5</v>
      </c>
      <c r="B436" t="s">
        <v>2242</v>
      </c>
      <c r="C436" t="s">
        <v>182</v>
      </c>
      <c r="D436" s="9" t="s">
        <v>1</v>
      </c>
      <c r="E436" t="s">
        <v>182</v>
      </c>
      <c r="F436" t="s">
        <v>1</v>
      </c>
      <c r="G436" t="s">
        <v>1</v>
      </c>
      <c r="H436" t="s">
        <v>75</v>
      </c>
      <c r="I436">
        <v>4</v>
      </c>
      <c r="J436" s="4">
        <v>7.6</v>
      </c>
      <c r="K436" s="4">
        <v>8.74</v>
      </c>
      <c r="L436" s="4">
        <f>K436-J436</f>
      </c>
      <c r="M436" s="4">
        <f>L436*16.67%</f>
      </c>
      <c r="N436" s="4">
        <f>(K436*6.9%)-(K436*6.9%)*10%</f>
      </c>
      <c r="O436" s="4">
        <f>K436*0.35%</f>
      </c>
      <c r="P436" s="4">
        <v>0.4</v>
      </c>
      <c r="Q436" s="4">
        <f>(N436+O436+P436)*20%</f>
      </c>
      <c r="R436" s="4">
        <f>N436+O436+P436+Q436</f>
      </c>
      <c r="S436" s="4">
        <v>0</v>
      </c>
      <c r="T436" s="4">
        <v>0</v>
      </c>
      <c r="U436" s="4">
        <v>0</v>
      </c>
      <c r="V436" s="4">
        <f>U436*20%</f>
      </c>
      <c r="W436" s="4">
        <v>0</v>
      </c>
      <c r="X436" s="4">
        <f>Q436+T436+V436</f>
      </c>
      <c r="Y436" s="4">
        <f>L436-M436-R436-S436-T436-U436-V436-W436</f>
      </c>
      <c r="Z436" s="4">
        <f>(Y436-AB436)/J436*100</f>
      </c>
      <c r="AA436" s="4">
        <f>M436-X436</f>
      </c>
      <c r="AC436" s="4">
        <f>Y436-AB436</f>
      </c>
      <c r="AH436" t="s">
        <v>1</v>
      </c>
    </row>
    <row r="437" spans="1:34" x14ac:dyDescent="0.25">
      <c r="A437" s="10">
        <v>46157.5</v>
      </c>
      <c r="B437" s="11" t="s">
        <v>2243</v>
      </c>
      <c r="C437" s="11" t="s">
        <v>1</v>
      </c>
      <c r="D437" s="12" t="s">
        <v>2244</v>
      </c>
      <c r="E437" s="11" t="s">
        <v>58</v>
      </c>
      <c r="F437" s="11" t="s">
        <v>59</v>
      </c>
      <c r="G437" s="11" t="s">
        <v>60</v>
      </c>
      <c r="H437" s="11" t="s">
        <v>61</v>
      </c>
      <c r="I437" s="11">
        <v>1</v>
      </c>
      <c r="J437" s="13">
        <v>443</v>
      </c>
      <c r="K437" s="13">
        <v>602.48</v>
      </c>
      <c r="L437" s="13">
        <f>K437-J437</f>
      </c>
      <c r="M437" s="13">
        <f>L437*16.67%</f>
      </c>
      <c r="N437" s="13">
        <f>(K437*6.9%)-(K437*6.9%)*10%</f>
      </c>
      <c r="O437" s="13">
        <f>K437*0.35%</f>
      </c>
      <c r="P437" s="13">
        <v>0.4</v>
      </c>
      <c r="Q437" s="13">
        <f>(N437+O437+P437)*20%</f>
      </c>
      <c r="R437" s="13">
        <f>N437+O437+P437+Q437</f>
      </c>
      <c r="S437" s="13">
        <v>0</v>
      </c>
      <c r="T437" s="13">
        <v>0</v>
      </c>
      <c r="U437" s="13">
        <v>0</v>
      </c>
      <c r="V437" s="13">
        <f>U437*20%</f>
      </c>
      <c r="W437" s="13">
        <v>1</v>
      </c>
      <c r="X437" s="13">
        <f>Q437+T437+V437</f>
      </c>
      <c r="Y437" s="13">
        <v>0</v>
      </c>
      <c r="Z437" s="13">
        <f>(Y437-AB437)/J437*100</f>
      </c>
      <c r="AA437" s="13">
        <f>M437-X437</f>
      </c>
      <c r="AB437" s="11"/>
      <c r="AC437" s="13">
        <f>Y437-AB437</f>
      </c>
      <c r="AD437" s="10">
        <v>46241.5</v>
      </c>
      <c r="AE437" s="11" t="s">
        <v>678</v>
      </c>
      <c r="AF437" s="11">
        <v>2</v>
      </c>
      <c r="AG437" s="11" t="s">
        <v>679</v>
      </c>
      <c r="AH437" s="11" t="s">
        <v>1</v>
      </c>
    </row>
    <row r="438" spans="1:34" x14ac:dyDescent="0.25">
      <c r="A438" s="8">
        <v>46157.5</v>
      </c>
      <c r="B438" t="s">
        <v>2245</v>
      </c>
      <c r="C438" t="s">
        <v>1</v>
      </c>
      <c r="D438" s="9" t="s">
        <v>2246</v>
      </c>
      <c r="E438" t="s">
        <v>91</v>
      </c>
      <c r="F438" t="s">
        <v>70</v>
      </c>
      <c r="G438" t="s">
        <v>65</v>
      </c>
      <c r="H438" t="s">
        <v>102</v>
      </c>
      <c r="I438">
        <v>1</v>
      </c>
      <c r="J438" s="4">
        <v>102</v>
      </c>
      <c r="K438" s="4">
        <v>126.48</v>
      </c>
      <c r="L438" s="4">
        <f>K438-J438</f>
      </c>
      <c r="M438" s="4">
        <f>L438*16.67%</f>
      </c>
      <c r="N438" s="4">
        <f>(K438*6.9%)-(K438*6.9%)*10%</f>
      </c>
      <c r="O438" s="4">
        <f>K438*0.35%</f>
      </c>
      <c r="P438" s="4">
        <v>0.4</v>
      </c>
      <c r="Q438" s="4">
        <f>(N438+O438+P438)*20%</f>
      </c>
      <c r="R438" s="4">
        <f>N438+O438+P438+Q438</f>
      </c>
      <c r="S438" s="4">
        <v>0</v>
      </c>
      <c r="T438" s="4">
        <v>0</v>
      </c>
      <c r="U438" s="4">
        <v>0</v>
      </c>
      <c r="V438" s="4">
        <f>U438*20%</f>
      </c>
      <c r="W438" s="4">
        <v>1</v>
      </c>
      <c r="X438" s="4">
        <f>Q438+T438+V438</f>
      </c>
      <c r="Y438" s="4">
        <f>L438-M438-R438-S438-T438-U438-V438-W438</f>
      </c>
      <c r="Z438" s="4">
        <f>(Y438-AB438)/J438*100</f>
      </c>
      <c r="AA438" s="4">
        <f>M438-X438</f>
      </c>
      <c r="AC438" s="4">
        <f>Y438-AB438</f>
      </c>
      <c r="AH438" t="s">
        <v>1</v>
      </c>
    </row>
    <row r="439" spans="1:34" x14ac:dyDescent="0.25">
      <c r="A439" s="8">
        <v>46157.5</v>
      </c>
      <c r="B439" t="s">
        <v>2247</v>
      </c>
      <c r="C439" t="s">
        <v>1</v>
      </c>
      <c r="D439" s="9" t="s">
        <v>2248</v>
      </c>
      <c r="E439" t="s">
        <v>98</v>
      </c>
      <c r="F439" t="s">
        <v>88</v>
      </c>
      <c r="G439" t="s">
        <v>60</v>
      </c>
      <c r="H439" t="s">
        <v>61</v>
      </c>
      <c r="I439">
        <v>1</v>
      </c>
      <c r="J439" s="4">
        <v>333</v>
      </c>
      <c r="K439" s="4">
        <v>402.93</v>
      </c>
      <c r="L439" s="4">
        <f>K439-J439</f>
      </c>
      <c r="M439" s="4">
        <f>L439*16.67%</f>
      </c>
      <c r="N439" s="4">
        <f>(K439*6.9%)-(K439*6.9%)*10%</f>
      </c>
      <c r="O439" s="4">
        <f>K439*0.35%</f>
      </c>
      <c r="P439" s="4">
        <v>0.4</v>
      </c>
      <c r="Q439" s="4">
        <f>(N439+O439+P439)*20%</f>
      </c>
      <c r="R439" s="4">
        <f>N439+O439+P439+Q439</f>
      </c>
      <c r="S439" s="4">
        <v>0</v>
      </c>
      <c r="T439" s="4">
        <v>0</v>
      </c>
      <c r="U439" s="4">
        <v>0</v>
      </c>
      <c r="V439" s="4">
        <f>U439*20%</f>
      </c>
      <c r="W439" s="4">
        <v>1</v>
      </c>
      <c r="X439" s="4">
        <f>Q439+T439+V439</f>
      </c>
      <c r="Y439" s="4">
        <f>L439-M439-R439-S439-T439-U439-V439-W439</f>
      </c>
      <c r="Z439" s="4">
        <f>(Y439-AB439)/J439*100</f>
      </c>
      <c r="AA439" s="4">
        <f>M439-X439</f>
      </c>
      <c r="AC439" s="4">
        <f>Y439-AB439</f>
      </c>
      <c r="AH439" t="s">
        <v>1</v>
      </c>
    </row>
    <row r="440" spans="1:34" x14ac:dyDescent="0.25">
      <c r="A440" s="10">
        <v>46157.5</v>
      </c>
      <c r="B440" s="11" t="s">
        <v>2249</v>
      </c>
      <c r="C440" s="11" t="s">
        <v>1</v>
      </c>
      <c r="D440" s="12" t="s">
        <v>2250</v>
      </c>
      <c r="E440" s="11" t="s">
        <v>134</v>
      </c>
      <c r="F440" s="11" t="s">
        <v>99</v>
      </c>
      <c r="G440" s="11" t="s">
        <v>95</v>
      </c>
      <c r="H440" s="11" t="s">
        <v>102</v>
      </c>
      <c r="I440" s="11">
        <v>1</v>
      </c>
      <c r="J440" s="13">
        <v>118</v>
      </c>
      <c r="K440" s="13">
        <v>152.22</v>
      </c>
      <c r="L440" s="13">
        <f>K440-J440</f>
      </c>
      <c r="M440" s="13">
        <f>L440*16.67%</f>
      </c>
      <c r="N440" s="13">
        <f>(K440*6.9%)-(K440*6.9%)*10%</f>
      </c>
      <c r="O440" s="13">
        <f>K440*0.35%</f>
      </c>
      <c r="P440" s="13">
        <v>0.4</v>
      </c>
      <c r="Q440" s="13">
        <f>(N440+O440+P440)*20%</f>
      </c>
      <c r="R440" s="13">
        <f>N440+O440+P440+Q440</f>
      </c>
      <c r="S440" s="13">
        <v>0</v>
      </c>
      <c r="T440" s="13">
        <v>0</v>
      </c>
      <c r="U440" s="13">
        <v>0</v>
      </c>
      <c r="V440" s="13">
        <f>U440*20%</f>
      </c>
      <c r="W440" s="13">
        <v>1</v>
      </c>
      <c r="X440" s="13">
        <f>Q440+T440+V440</f>
      </c>
      <c r="Y440" s="13">
        <v>0</v>
      </c>
      <c r="Z440" s="13">
        <f>(Y440-AB440)/J440*100</f>
      </c>
      <c r="AA440" s="13">
        <f>M440-X440</f>
      </c>
      <c r="AB440" s="11"/>
      <c r="AC440" s="13">
        <f>Y440-AB440</f>
      </c>
      <c r="AD440" s="10">
        <v>46241.5</v>
      </c>
      <c r="AE440" s="11" t="s">
        <v>678</v>
      </c>
      <c r="AF440" s="11">
        <v>2</v>
      </c>
      <c r="AG440" s="11" t="s">
        <v>679</v>
      </c>
      <c r="AH440" s="11" t="s">
        <v>1</v>
      </c>
    </row>
    <row r="441" spans="1:34" x14ac:dyDescent="0.25">
      <c r="A441" s="8">
        <v>46157.5</v>
      </c>
      <c r="B441" t="s">
        <v>2251</v>
      </c>
      <c r="C441" t="s">
        <v>189</v>
      </c>
      <c r="D441" s="9" t="s">
        <v>1</v>
      </c>
      <c r="E441" t="s">
        <v>189</v>
      </c>
      <c r="F441" t="s">
        <v>1</v>
      </c>
      <c r="G441" t="s">
        <v>1</v>
      </c>
      <c r="H441" t="s">
        <v>66</v>
      </c>
      <c r="I441">
        <v>1</v>
      </c>
      <c r="J441" s="4">
        <v>3.5</v>
      </c>
      <c r="K441" s="4">
        <v>4.34</v>
      </c>
      <c r="L441" s="4">
        <f>K441-J441</f>
      </c>
      <c r="M441" s="4">
        <f>L441*16.67%</f>
      </c>
      <c r="N441" s="4">
        <f>(K441*6.9%)-(K441*6.9%)*10%</f>
      </c>
      <c r="O441" s="4">
        <f>K441*0.35%</f>
      </c>
      <c r="P441" s="4">
        <v>0.4</v>
      </c>
      <c r="Q441" s="4">
        <f>(N441+O441+P441)*20%</f>
      </c>
      <c r="R441" s="4">
        <f>N441+O441+P441+Q441</f>
      </c>
      <c r="S441" s="4">
        <v>0</v>
      </c>
      <c r="T441" s="4">
        <v>0</v>
      </c>
      <c r="U441" s="4">
        <v>0</v>
      </c>
      <c r="V441" s="4">
        <f>U441*20%</f>
      </c>
      <c r="W441" s="4">
        <v>0</v>
      </c>
      <c r="X441" s="4">
        <f>Q441+T441+V441</f>
      </c>
      <c r="Y441" s="4">
        <f>L441-M441-R441-S441-T441-U441-V441-W441</f>
      </c>
      <c r="Z441" s="4">
        <f>(Y441-AB441)/J441*100</f>
      </c>
      <c r="AA441" s="4">
        <f>M441-X441</f>
      </c>
      <c r="AC441" s="4">
        <f>Y441-AB441</f>
      </c>
      <c r="AH441" t="s">
        <v>1</v>
      </c>
    </row>
    <row r="442" spans="1:34" x14ac:dyDescent="0.25">
      <c r="A442" s="8">
        <v>46157.5</v>
      </c>
      <c r="B442" t="s">
        <v>2252</v>
      </c>
      <c r="C442" t="s">
        <v>182</v>
      </c>
      <c r="D442" s="9" t="s">
        <v>1</v>
      </c>
      <c r="E442" t="s">
        <v>182</v>
      </c>
      <c r="F442" t="s">
        <v>1</v>
      </c>
      <c r="G442" t="s">
        <v>1</v>
      </c>
      <c r="H442" t="s">
        <v>75</v>
      </c>
      <c r="I442">
        <v>1</v>
      </c>
      <c r="J442" s="4">
        <v>1.9</v>
      </c>
      <c r="K442" s="4">
        <v>2.32</v>
      </c>
      <c r="L442" s="4">
        <f>K442-J442</f>
      </c>
      <c r="M442" s="4">
        <f>L442*16.67%</f>
      </c>
      <c r="N442" s="4">
        <f>(K442*6.9%)-(K442*6.9%)*10%</f>
      </c>
      <c r="O442" s="4">
        <f>K442*0.35%</f>
      </c>
      <c r="P442" s="4">
        <v>0.4</v>
      </c>
      <c r="Q442" s="4">
        <f>(N442+O442+P442)*20%</f>
      </c>
      <c r="R442" s="4">
        <f>N442+O442+P442+Q442</f>
      </c>
      <c r="S442" s="4">
        <v>0</v>
      </c>
      <c r="T442" s="4">
        <v>0</v>
      </c>
      <c r="U442" s="4">
        <v>0</v>
      </c>
      <c r="V442" s="4">
        <f>U442*20%</f>
      </c>
      <c r="W442" s="4">
        <v>0</v>
      </c>
      <c r="X442" s="4">
        <f>Q442+T442+V442</f>
      </c>
      <c r="Y442" s="4">
        <f>L442-M442-R442-S442-T442-U442-V442-W442</f>
      </c>
      <c r="Z442" s="4">
        <f>(Y442-AB442)/J442*100</f>
      </c>
      <c r="AA442" s="4">
        <f>M442-X442</f>
      </c>
      <c r="AC442" s="4">
        <f>Y442-AB442</f>
      </c>
      <c r="AH442" t="s">
        <v>1</v>
      </c>
    </row>
    <row r="443" spans="1:34" x14ac:dyDescent="0.25">
      <c r="A443" s="8">
        <v>46156.5</v>
      </c>
      <c r="B443" t="s">
        <v>2253</v>
      </c>
      <c r="C443" t="s">
        <v>1</v>
      </c>
      <c r="D443" s="9" t="s">
        <v>2254</v>
      </c>
      <c r="E443" t="s">
        <v>125</v>
      </c>
      <c r="F443" t="s">
        <v>85</v>
      </c>
      <c r="G443" t="s">
        <v>126</v>
      </c>
      <c r="H443" t="s">
        <v>102</v>
      </c>
      <c r="I443">
        <v>1</v>
      </c>
      <c r="J443" s="4">
        <v>283</v>
      </c>
      <c r="K443" s="4">
        <v>401.86</v>
      </c>
      <c r="L443" s="4">
        <f>K443-J443</f>
      </c>
      <c r="M443" s="4">
        <f>L443*16.67%</f>
      </c>
      <c r="N443" s="4">
        <f>(K443*6.9%)-(K443*6.9%)*10%</f>
      </c>
      <c r="O443" s="4">
        <f>K443*0.35%</f>
      </c>
      <c r="P443" s="4">
        <v>0.4</v>
      </c>
      <c r="Q443" s="4">
        <f>(N443+O443+P443)*20%</f>
      </c>
      <c r="R443" s="4">
        <f>N443+O443+P443+Q443</f>
      </c>
      <c r="S443" s="4">
        <v>0</v>
      </c>
      <c r="T443" s="4">
        <v>0</v>
      </c>
      <c r="U443" s="4">
        <v>0</v>
      </c>
      <c r="V443" s="4">
        <f>U443*20%</f>
      </c>
      <c r="W443" s="4">
        <v>1</v>
      </c>
      <c r="X443" s="4">
        <f>Q443+T443+V443</f>
      </c>
      <c r="Y443" s="4">
        <f>L443-M443-R443-S443-T443-U443-V443-W443</f>
      </c>
      <c r="Z443" s="4">
        <f>(Y443-AB443)/J443*100</f>
      </c>
      <c r="AA443" s="4">
        <f>M443-X443</f>
      </c>
      <c r="AC443" s="4">
        <f>Y443-AB443</f>
      </c>
      <c r="AH443" t="s">
        <v>1</v>
      </c>
    </row>
    <row r="444" spans="1:34" x14ac:dyDescent="0.25">
      <c r="A444" s="8">
        <v>46156.5</v>
      </c>
      <c r="B444" t="s">
        <v>2255</v>
      </c>
      <c r="C444" t="s">
        <v>1</v>
      </c>
      <c r="D444" s="9" t="s">
        <v>2256</v>
      </c>
      <c r="E444" t="s">
        <v>139</v>
      </c>
      <c r="F444" t="s">
        <v>59</v>
      </c>
      <c r="G444" t="s">
        <v>60</v>
      </c>
      <c r="H444" t="s">
        <v>102</v>
      </c>
      <c r="I444">
        <v>1</v>
      </c>
      <c r="J444" s="4">
        <v>344</v>
      </c>
      <c r="K444" s="4">
        <v>402.48</v>
      </c>
      <c r="L444" s="4">
        <f>K444-J444</f>
      </c>
      <c r="M444" s="4">
        <f>L444*16.67%</f>
      </c>
      <c r="N444" s="4">
        <f>(K444*6.9%)-(K444*6.9%)*10%</f>
      </c>
      <c r="O444" s="4">
        <f>K444*0.35%</f>
      </c>
      <c r="P444" s="4">
        <v>0.4</v>
      </c>
      <c r="Q444" s="4">
        <f>(N444+O444+P444)*20%</f>
      </c>
      <c r="R444" s="4">
        <f>N444+O444+P444+Q444</f>
      </c>
      <c r="S444" s="4">
        <v>0</v>
      </c>
      <c r="T444" s="4">
        <v>0</v>
      </c>
      <c r="U444" s="4">
        <v>0</v>
      </c>
      <c r="V444" s="4">
        <f>U444*20%</f>
      </c>
      <c r="W444" s="4">
        <v>1</v>
      </c>
      <c r="X444" s="4">
        <f>Q444+T444+V444</f>
      </c>
      <c r="Y444" s="4">
        <f>L444-M444-R444-S444-T444-U444-V444-W444</f>
      </c>
      <c r="Z444" s="4">
        <f>(Y444-AB444)/J444*100</f>
      </c>
      <c r="AA444" s="4">
        <f>M444-X444</f>
      </c>
      <c r="AC444" s="4">
        <f>Y444-AB444</f>
      </c>
      <c r="AH444" t="s">
        <v>1</v>
      </c>
    </row>
    <row r="445" spans="1:34" x14ac:dyDescent="0.25">
      <c r="A445" s="8">
        <v>46156.5</v>
      </c>
      <c r="B445" t="s">
        <v>2257</v>
      </c>
      <c r="C445" t="s">
        <v>1</v>
      </c>
      <c r="D445" s="9" t="s">
        <v>2258</v>
      </c>
      <c r="E445" t="s">
        <v>125</v>
      </c>
      <c r="F445" t="s">
        <v>59</v>
      </c>
      <c r="G445" t="s">
        <v>126</v>
      </c>
      <c r="H445" t="s">
        <v>102</v>
      </c>
      <c r="I445">
        <v>1</v>
      </c>
      <c r="J445" s="4">
        <v>279</v>
      </c>
      <c r="K445" s="4">
        <v>382.23</v>
      </c>
      <c r="L445" s="4">
        <f>K445-J445</f>
      </c>
      <c r="M445" s="4">
        <f>L445*16.67%</f>
      </c>
      <c r="N445" s="4">
        <f>(K445*6.9%)-(K445*6.9%)*10%</f>
      </c>
      <c r="O445" s="4">
        <f>K445*0.35%</f>
      </c>
      <c r="P445" s="4">
        <v>0.4</v>
      </c>
      <c r="Q445" s="4">
        <f>(N445+O445+P445)*20%</f>
      </c>
      <c r="R445" s="4">
        <f>N445+O445+P445+Q445</f>
      </c>
      <c r="S445" s="4">
        <v>0</v>
      </c>
      <c r="T445" s="4">
        <v>0</v>
      </c>
      <c r="U445" s="4">
        <v>0</v>
      </c>
      <c r="V445" s="4">
        <f>U445*20%</f>
      </c>
      <c r="W445" s="4">
        <v>1</v>
      </c>
      <c r="X445" s="4">
        <f>Q445+T445+V445</f>
      </c>
      <c r="Y445" s="4">
        <f>L445-M445-R445-S445-T445-U445-V445-W445</f>
      </c>
      <c r="Z445" s="4">
        <f>(Y445-AB445)/J445*100</f>
      </c>
      <c r="AA445" s="4">
        <f>M445-X445</f>
      </c>
      <c r="AC445" s="4">
        <f>Y445-AB445</f>
      </c>
      <c r="AH445" t="s">
        <v>1</v>
      </c>
    </row>
    <row r="446" spans="1:34" x14ac:dyDescent="0.25">
      <c r="A446" s="8">
        <v>46156.5</v>
      </c>
      <c r="B446" t="s">
        <v>2259</v>
      </c>
      <c r="C446" t="s">
        <v>1</v>
      </c>
      <c r="D446" s="9" t="s">
        <v>2260</v>
      </c>
      <c r="E446" t="s">
        <v>64</v>
      </c>
      <c r="F446" t="s">
        <v>99</v>
      </c>
      <c r="G446" t="s">
        <v>65</v>
      </c>
      <c r="H446" t="s">
        <v>61</v>
      </c>
      <c r="I446">
        <v>1</v>
      </c>
      <c r="J446" s="4">
        <v>234</v>
      </c>
      <c r="K446" s="4">
        <v>332.28</v>
      </c>
      <c r="L446" s="4">
        <f>K446-J446</f>
      </c>
      <c r="M446" s="4">
        <f>L446*16.67%</f>
      </c>
      <c r="N446" s="4">
        <f>(K446*6.9%)-(K446*6.9%)*10%</f>
      </c>
      <c r="O446" s="4">
        <f>K446*0.35%</f>
      </c>
      <c r="P446" s="4">
        <v>0.4</v>
      </c>
      <c r="Q446" s="4">
        <f>(N446+O446+P446)*20%</f>
      </c>
      <c r="R446" s="4">
        <f>N446+O446+P446+Q446</f>
      </c>
      <c r="S446" s="4">
        <v>0</v>
      </c>
      <c r="T446" s="4">
        <v>0</v>
      </c>
      <c r="U446" s="4">
        <v>0</v>
      </c>
      <c r="V446" s="4">
        <f>U446*20%</f>
      </c>
      <c r="W446" s="4">
        <v>1</v>
      </c>
      <c r="X446" s="4">
        <f>Q446+T446+V446</f>
      </c>
      <c r="Y446" s="4">
        <f>L446-M446-R446-S446-T446-U446-V446-W446</f>
      </c>
      <c r="Z446" s="4">
        <f>(Y446-AB446)/J446*100</f>
      </c>
      <c r="AA446" s="4">
        <f>M446-X446</f>
      </c>
      <c r="AC446" s="4">
        <f>Y446-AB446</f>
      </c>
      <c r="AH446" t="s">
        <v>1</v>
      </c>
    </row>
    <row r="447" spans="1:34" x14ac:dyDescent="0.25">
      <c r="A447" s="8">
        <v>46156.5</v>
      </c>
      <c r="B447" t="s">
        <v>2261</v>
      </c>
      <c r="C447" t="s">
        <v>1</v>
      </c>
      <c r="D447" s="9" t="s">
        <v>2262</v>
      </c>
      <c r="E447" t="s">
        <v>98</v>
      </c>
      <c r="F447" t="s">
        <v>74</v>
      </c>
      <c r="G447" t="s">
        <v>65</v>
      </c>
      <c r="H447" t="s">
        <v>102</v>
      </c>
      <c r="I447">
        <v>1</v>
      </c>
      <c r="J447" s="4">
        <v>285</v>
      </c>
      <c r="K447" s="4">
        <v>413.25</v>
      </c>
      <c r="L447" s="4">
        <f>K447-J447</f>
      </c>
      <c r="M447" s="4">
        <f>L447*16.67%</f>
      </c>
      <c r="N447" s="4">
        <f>(K447*6.9%)-(K447*6.9%)*10%</f>
      </c>
      <c r="O447" s="4">
        <f>K447*0.35%</f>
      </c>
      <c r="P447" s="4">
        <v>0.4</v>
      </c>
      <c r="Q447" s="4">
        <f>(N447+O447+P447)*20%</f>
      </c>
      <c r="R447" s="4">
        <f>N447+O447+P447+Q447</f>
      </c>
      <c r="S447" s="4">
        <v>0</v>
      </c>
      <c r="T447" s="4">
        <v>0</v>
      </c>
      <c r="U447" s="4">
        <v>0</v>
      </c>
      <c r="V447" s="4">
        <f>U447*20%</f>
      </c>
      <c r="W447" s="4">
        <v>1</v>
      </c>
      <c r="X447" s="4">
        <f>Q447+T447+V447</f>
      </c>
      <c r="Y447" s="4">
        <f>L447-M447-R447-S447-T447-U447-V447-W447</f>
      </c>
      <c r="Z447" s="4">
        <f>(Y447-AB447)/J447*100</f>
      </c>
      <c r="AA447" s="4">
        <f>M447-X447</f>
      </c>
      <c r="AC447" s="4">
        <f>Y447-AB447</f>
      </c>
      <c r="AH447" t="s">
        <v>1</v>
      </c>
    </row>
    <row r="448" spans="1:34" x14ac:dyDescent="0.25">
      <c r="A448" s="8">
        <v>46156.5</v>
      </c>
      <c r="B448" t="s">
        <v>2263</v>
      </c>
      <c r="C448" t="s">
        <v>254</v>
      </c>
      <c r="D448" s="9" t="s">
        <v>1</v>
      </c>
      <c r="E448" t="s">
        <v>254</v>
      </c>
      <c r="F448" t="s">
        <v>1</v>
      </c>
      <c r="G448" t="s">
        <v>1</v>
      </c>
      <c r="H448" t="s">
        <v>61</v>
      </c>
      <c r="I448">
        <v>3</v>
      </c>
      <c r="J448" s="4">
        <v>2.4</v>
      </c>
      <c r="K448" s="4">
        <v>3.34</v>
      </c>
      <c r="L448" s="4">
        <f>K448-J448</f>
      </c>
      <c r="M448" s="4">
        <f>L448*16.67%</f>
      </c>
      <c r="N448" s="4">
        <f>(K448*6.9%)-(K448*6.9%)*10%</f>
      </c>
      <c r="O448" s="4">
        <f>K448*0.35%</f>
      </c>
      <c r="P448" s="4">
        <v>0.4</v>
      </c>
      <c r="Q448" s="4">
        <f>(N448+O448+P448)*20%</f>
      </c>
      <c r="R448" s="4">
        <f>N448+O448+P448+Q448</f>
      </c>
      <c r="S448" s="4">
        <v>0</v>
      </c>
      <c r="T448" s="4">
        <v>0</v>
      </c>
      <c r="U448" s="4">
        <v>0</v>
      </c>
      <c r="V448" s="4">
        <f>U448*20%</f>
      </c>
      <c r="W448" s="4">
        <v>0</v>
      </c>
      <c r="X448" s="4">
        <f>Q448+T448+V448</f>
      </c>
      <c r="Y448" s="4">
        <f>L448-M448-R448-S448-T448-U448-V448-W448</f>
      </c>
      <c r="Z448" s="4">
        <f>(Y448-AB448)/J448*100</f>
      </c>
      <c r="AA448" s="4">
        <f>M448-X448</f>
      </c>
      <c r="AC448" s="4">
        <f>Y448-AB448</f>
      </c>
      <c r="AH448" t="s">
        <v>1</v>
      </c>
    </row>
    <row r="449" spans="1:34" x14ac:dyDescent="0.25">
      <c r="A449" s="8">
        <v>46155.5</v>
      </c>
      <c r="B449" t="s">
        <v>2264</v>
      </c>
      <c r="C449" t="s">
        <v>1</v>
      </c>
      <c r="D449" s="9" t="s">
        <v>2265</v>
      </c>
      <c r="E449" t="s">
        <v>114</v>
      </c>
      <c r="F449" t="s">
        <v>70</v>
      </c>
      <c r="G449" t="s">
        <v>95</v>
      </c>
      <c r="H449" t="s">
        <v>75</v>
      </c>
      <c r="I449">
        <v>1</v>
      </c>
      <c r="J449" s="4">
        <v>238</v>
      </c>
      <c r="K449" s="4">
        <v>276.08</v>
      </c>
      <c r="L449" s="4">
        <f>K449-J449</f>
      </c>
      <c r="M449" s="4">
        <f>L449*16.67%</f>
      </c>
      <c r="N449" s="4">
        <f>(K449*6.9%)-(K449*6.9%)*10%</f>
      </c>
      <c r="O449" s="4">
        <f>K449*0.35%</f>
      </c>
      <c r="P449" s="4">
        <v>0.4</v>
      </c>
      <c r="Q449" s="4">
        <f>(N449+O449+P449)*20%</f>
      </c>
      <c r="R449" s="4">
        <f>N449+O449+P449+Q449</f>
      </c>
      <c r="S449" s="4">
        <v>0</v>
      </c>
      <c r="T449" s="4">
        <v>0</v>
      </c>
      <c r="U449" s="4">
        <v>0</v>
      </c>
      <c r="V449" s="4">
        <f>U449*20%</f>
      </c>
      <c r="W449" s="4">
        <v>1</v>
      </c>
      <c r="X449" s="4">
        <f>Q449+T449+V449</f>
      </c>
      <c r="Y449" s="4">
        <f>L449-M449-R449-S449-T449-U449-V449-W449</f>
      </c>
      <c r="Z449" s="4">
        <f>(Y449-AB449)/J449*100</f>
      </c>
      <c r="AA449" s="4">
        <f>M449-X449</f>
      </c>
      <c r="AC449" s="4">
        <f>Y449-AB449</f>
      </c>
      <c r="AH449" t="s">
        <v>1</v>
      </c>
    </row>
    <row r="450" spans="1:34" x14ac:dyDescent="0.25">
      <c r="A450" s="8">
        <v>46154.5</v>
      </c>
      <c r="B450" t="s">
        <v>2266</v>
      </c>
      <c r="C450" t="s">
        <v>1</v>
      </c>
      <c r="D450" s="9" t="s">
        <v>2267</v>
      </c>
      <c r="E450" t="s">
        <v>172</v>
      </c>
      <c r="F450" t="s">
        <v>74</v>
      </c>
      <c r="G450" t="s">
        <v>65</v>
      </c>
      <c r="H450" t="s">
        <v>75</v>
      </c>
      <c r="I450">
        <v>1</v>
      </c>
      <c r="J450" s="4">
        <v>170</v>
      </c>
      <c r="K450" s="4">
        <v>232.9</v>
      </c>
      <c r="L450" s="4">
        <f>K450-J450</f>
      </c>
      <c r="M450" s="4">
        <f>L450*16.67%</f>
      </c>
      <c r="N450" s="4">
        <f>(K450*6.9%)-(K450*6.9%)*10%</f>
      </c>
      <c r="O450" s="4">
        <f>K450*0.35%</f>
      </c>
      <c r="P450" s="4">
        <v>0.4</v>
      </c>
      <c r="Q450" s="4">
        <f>(N450+O450+P450)*20%</f>
      </c>
      <c r="R450" s="4">
        <f>N450+O450+P450+Q450</f>
      </c>
      <c r="S450" s="4">
        <v>0</v>
      </c>
      <c r="T450" s="4">
        <v>0</v>
      </c>
      <c r="U450" s="4">
        <v>0</v>
      </c>
      <c r="V450" s="4">
        <f>U450*20%</f>
      </c>
      <c r="W450" s="4">
        <v>1</v>
      </c>
      <c r="X450" s="4">
        <f>Q450+T450+V450</f>
      </c>
      <c r="Y450" s="4">
        <f>L450-M450-R450-S450-T450-U450-V450-W450</f>
      </c>
      <c r="Z450" s="4">
        <f>(Y450-AB450)/J450*100</f>
      </c>
      <c r="AA450" s="4">
        <f>M450-X450</f>
      </c>
      <c r="AC450" s="4">
        <f>Y450-AB450</f>
      </c>
      <c r="AH450" t="s">
        <v>1</v>
      </c>
    </row>
    <row r="451" spans="1:34" x14ac:dyDescent="0.25">
      <c r="A451" s="8">
        <v>46154.5</v>
      </c>
      <c r="B451" t="s">
        <v>2268</v>
      </c>
      <c r="C451" t="s">
        <v>1</v>
      </c>
      <c r="D451" s="9" t="s">
        <v>2269</v>
      </c>
      <c r="E451" t="s">
        <v>172</v>
      </c>
      <c r="F451" t="s">
        <v>70</v>
      </c>
      <c r="G451" t="s">
        <v>65</v>
      </c>
      <c r="H451" t="s">
        <v>66</v>
      </c>
      <c r="I451">
        <v>1</v>
      </c>
      <c r="J451" s="4">
        <v>144</v>
      </c>
      <c r="K451" s="4">
        <v>198.72</v>
      </c>
      <c r="L451" s="4">
        <f>K451-J451</f>
      </c>
      <c r="M451" s="4">
        <f>L451*16.67%</f>
      </c>
      <c r="N451" s="4">
        <f>(K451*6.9%)-(K451*6.9%)*10%</f>
      </c>
      <c r="O451" s="4">
        <f>K451*0.35%</f>
      </c>
      <c r="P451" s="4">
        <v>0.4</v>
      </c>
      <c r="Q451" s="4">
        <f>(N451+O451+P451)*20%</f>
      </c>
      <c r="R451" s="4">
        <f>N451+O451+P451+Q451</f>
      </c>
      <c r="S451" s="4">
        <v>0</v>
      </c>
      <c r="T451" s="4">
        <v>0</v>
      </c>
      <c r="U451" s="4">
        <v>0</v>
      </c>
      <c r="V451" s="4">
        <f>U451*20%</f>
      </c>
      <c r="W451" s="4">
        <v>1</v>
      </c>
      <c r="X451" s="4">
        <f>Q451+T451+V451</f>
      </c>
      <c r="Y451" s="4">
        <f>L451-M451-R451-S451-T451-U451-V451-W451</f>
      </c>
      <c r="Z451" s="4">
        <f>(Y451-AB451)/J451*100</f>
      </c>
      <c r="AA451" s="4">
        <f>M451-X451</f>
      </c>
      <c r="AC451" s="4">
        <f>Y451-AB451</f>
      </c>
      <c r="AH451" t="s">
        <v>1</v>
      </c>
    </row>
    <row r="452" spans="1:34" x14ac:dyDescent="0.25">
      <c r="A452" s="8">
        <v>46154.5</v>
      </c>
      <c r="B452" t="s">
        <v>2270</v>
      </c>
      <c r="C452" t="s">
        <v>1</v>
      </c>
      <c r="D452" s="9" t="s">
        <v>1</v>
      </c>
      <c r="E452" t="s">
        <v>1</v>
      </c>
      <c r="F452" t="s">
        <v>1</v>
      </c>
      <c r="G452" t="s">
        <v>1</v>
      </c>
      <c r="H452" t="s">
        <v>61</v>
      </c>
      <c r="I452">
        <v>1</v>
      </c>
      <c r="J452" s="4">
        <v>735</v>
      </c>
      <c r="K452" s="4">
        <v>962.85</v>
      </c>
      <c r="L452" s="4">
        <f>K452-J452</f>
      </c>
      <c r="M452" s="4">
        <f>L452*16.67%</f>
      </c>
      <c r="N452" s="4">
        <f>(K452*6.9%)-(K452*6.9%)*10%</f>
      </c>
      <c r="O452" s="4">
        <f>K452*0.35%</f>
      </c>
      <c r="P452" s="4">
        <v>0.4</v>
      </c>
      <c r="Q452" s="4">
        <f>(N452+O452+P452)*20%</f>
      </c>
      <c r="R452" s="4">
        <f>N452+O452+P452+Q452</f>
      </c>
      <c r="S452" s="4">
        <v>0</v>
      </c>
      <c r="T452" s="4">
        <v>0</v>
      </c>
      <c r="U452" s="4">
        <v>0</v>
      </c>
      <c r="V452" s="4">
        <f>U452*20%</f>
      </c>
      <c r="W452" s="4">
        <v>1</v>
      </c>
      <c r="X452" s="4">
        <f>Q452+T452+V452</f>
      </c>
      <c r="Y452" s="4">
        <f>L452-M452-R452-S452-T452-U452-V452-W452</f>
      </c>
      <c r="Z452" s="4">
        <f>(Y452-AB452)/J452*100</f>
      </c>
      <c r="AA452" s="4">
        <f>M452-X452</f>
      </c>
      <c r="AC452" s="4">
        <f>Y452-AB452</f>
      </c>
      <c r="AH452" t="s">
        <v>1</v>
      </c>
    </row>
    <row r="453" spans="1:34" x14ac:dyDescent="0.25">
      <c r="A453" s="8">
        <v>46153.5</v>
      </c>
      <c r="B453" t="s">
        <v>2271</v>
      </c>
      <c r="C453" t="s">
        <v>1</v>
      </c>
      <c r="D453" s="9" t="s">
        <v>2272</v>
      </c>
      <c r="E453" t="s">
        <v>81</v>
      </c>
      <c r="F453" t="s">
        <v>99</v>
      </c>
      <c r="G453" t="s">
        <v>60</v>
      </c>
      <c r="H453" t="s">
        <v>102</v>
      </c>
      <c r="I453">
        <v>1</v>
      </c>
      <c r="J453" s="4">
        <v>534</v>
      </c>
      <c r="K453" s="4">
        <v>742.26</v>
      </c>
      <c r="L453" s="4">
        <f>K453-J453</f>
      </c>
      <c r="M453" s="4">
        <f>L453*16.67%</f>
      </c>
      <c r="N453" s="4">
        <f>(K453*6.9%)-(K453*6.9%)*10%</f>
      </c>
      <c r="O453" s="4">
        <f>K453*0.35%</f>
      </c>
      <c r="P453" s="4">
        <v>0.4</v>
      </c>
      <c r="Q453" s="4">
        <f>(N453+O453+P453)*20%</f>
      </c>
      <c r="R453" s="4">
        <f>N453+O453+P453+Q453</f>
      </c>
      <c r="S453" s="4">
        <v>0</v>
      </c>
      <c r="T453" s="4">
        <v>0</v>
      </c>
      <c r="U453" s="4">
        <v>0</v>
      </c>
      <c r="V453" s="4">
        <f>U453*20%</f>
      </c>
      <c r="W453" s="4">
        <v>1</v>
      </c>
      <c r="X453" s="4">
        <f>Q453+T453+V453</f>
      </c>
      <c r="Y453" s="4">
        <f>L453-M453-R453-S453-T453-U453-V453-W453</f>
      </c>
      <c r="Z453" s="4">
        <f>(Y453-AB453)/J453*100</f>
      </c>
      <c r="AA453" s="4">
        <f>M453-X453</f>
      </c>
      <c r="AC453" s="4">
        <f>Y453-AB453</f>
      </c>
      <c r="AH453" t="s">
        <v>1</v>
      </c>
    </row>
    <row r="454" spans="1:34" x14ac:dyDescent="0.25">
      <c r="A454" s="8">
        <v>46153.5</v>
      </c>
      <c r="B454" t="s">
        <v>2273</v>
      </c>
      <c r="C454" t="s">
        <v>1</v>
      </c>
      <c r="D454" s="9" t="s">
        <v>2274</v>
      </c>
      <c r="E454" t="s">
        <v>84</v>
      </c>
      <c r="F454" t="s">
        <v>70</v>
      </c>
      <c r="G454" t="s">
        <v>60</v>
      </c>
      <c r="H454" t="s">
        <v>75</v>
      </c>
      <c r="I454">
        <v>1</v>
      </c>
      <c r="J454" s="4">
        <v>729</v>
      </c>
      <c r="K454" s="4">
        <v>1013.31</v>
      </c>
      <c r="L454" s="4">
        <f>K454-J454</f>
      </c>
      <c r="M454" s="4">
        <f>L454*16.67%</f>
      </c>
      <c r="N454" s="4">
        <f>(K454*6.9%)-(K454*6.9%)*10%</f>
      </c>
      <c r="O454" s="4">
        <f>K454*0.35%</f>
      </c>
      <c r="P454" s="4">
        <v>0.4</v>
      </c>
      <c r="Q454" s="4">
        <f>(N454+O454+P454)*20%</f>
      </c>
      <c r="R454" s="4">
        <f>N454+O454+P454+Q454</f>
      </c>
      <c r="S454" s="4">
        <v>0</v>
      </c>
      <c r="T454" s="4">
        <v>0</v>
      </c>
      <c r="U454" s="4">
        <v>0</v>
      </c>
      <c r="V454" s="4">
        <f>U454*20%</f>
      </c>
      <c r="W454" s="4">
        <v>1</v>
      </c>
      <c r="X454" s="4">
        <f>Q454+T454+V454</f>
      </c>
      <c r="Y454" s="4">
        <f>L454-M454-R454-S454-T454-U454-V454-W454</f>
      </c>
      <c r="Z454" s="4">
        <f>(Y454-AB454)/J454*100</f>
      </c>
      <c r="AA454" s="4">
        <f>M454-X454</f>
      </c>
      <c r="AC454" s="4">
        <f>Y454-AB454</f>
      </c>
      <c r="AH454" t="s">
        <v>1</v>
      </c>
    </row>
    <row r="455" spans="1:34" x14ac:dyDescent="0.25">
      <c r="A455" s="8">
        <v>46153.5</v>
      </c>
      <c r="B455" t="s">
        <v>2275</v>
      </c>
      <c r="C455" t="s">
        <v>1</v>
      </c>
      <c r="D455" s="9" t="s">
        <v>2276</v>
      </c>
      <c r="E455" t="s">
        <v>69</v>
      </c>
      <c r="F455" t="s">
        <v>88</v>
      </c>
      <c r="G455" t="s">
        <v>60</v>
      </c>
      <c r="H455" t="s">
        <v>78</v>
      </c>
      <c r="I455">
        <v>1</v>
      </c>
      <c r="J455" s="4">
        <v>556</v>
      </c>
      <c r="K455" s="4">
        <v>667.2</v>
      </c>
      <c r="L455" s="4">
        <f>K455-J455</f>
      </c>
      <c r="M455" s="4">
        <f>L455*16.67%</f>
      </c>
      <c r="N455" s="4">
        <f>(K455*6.9%)-(K455*6.9%)*10%</f>
      </c>
      <c r="O455" s="4">
        <f>K455*0.35%</f>
      </c>
      <c r="P455" s="4">
        <v>0.4</v>
      </c>
      <c r="Q455" s="4">
        <f>(N455+O455+P455)*20%</f>
      </c>
      <c r="R455" s="4">
        <f>N455+O455+P455+Q455</f>
      </c>
      <c r="S455" s="4">
        <v>0</v>
      </c>
      <c r="T455" s="4">
        <v>0</v>
      </c>
      <c r="U455" s="4">
        <v>0</v>
      </c>
      <c r="V455" s="4">
        <f>U455*20%</f>
      </c>
      <c r="W455" s="4">
        <v>1</v>
      </c>
      <c r="X455" s="4">
        <f>Q455+T455+V455</f>
      </c>
      <c r="Y455" s="4">
        <f>L455-M455-R455-S455-T455-U455-V455-W455</f>
      </c>
      <c r="Z455" s="4">
        <f>(Y455-AB455)/J455*100</f>
      </c>
      <c r="AA455" s="4">
        <f>M455-X455</f>
      </c>
      <c r="AC455" s="4">
        <f>Y455-AB455</f>
      </c>
      <c r="AH455" t="s">
        <v>1</v>
      </c>
    </row>
    <row r="456" spans="1:34" x14ac:dyDescent="0.25">
      <c r="A456" s="8">
        <v>46153.5</v>
      </c>
      <c r="B456" t="s">
        <v>2277</v>
      </c>
      <c r="C456" t="s">
        <v>1</v>
      </c>
      <c r="D456" s="9" t="s">
        <v>2278</v>
      </c>
      <c r="E456" t="s">
        <v>81</v>
      </c>
      <c r="F456" t="s">
        <v>99</v>
      </c>
      <c r="G456" t="s">
        <v>60</v>
      </c>
      <c r="H456" t="s">
        <v>61</v>
      </c>
      <c r="I456">
        <v>1</v>
      </c>
      <c r="J456" s="4">
        <v>560</v>
      </c>
      <c r="K456" s="4">
        <v>677.6</v>
      </c>
      <c r="L456" s="4">
        <f>K456-J456</f>
      </c>
      <c r="M456" s="4">
        <f>L456*16.67%</f>
      </c>
      <c r="N456" s="4">
        <f>(K456*6.9%)-(K456*6.9%)*10%</f>
      </c>
      <c r="O456" s="4">
        <f>K456*0.35%</f>
      </c>
      <c r="P456" s="4">
        <v>0.4</v>
      </c>
      <c r="Q456" s="4">
        <f>(N456+O456+P456)*20%</f>
      </c>
      <c r="R456" s="4">
        <f>N456+O456+P456+Q456</f>
      </c>
      <c r="S456" s="4">
        <v>0</v>
      </c>
      <c r="T456" s="4">
        <v>0</v>
      </c>
      <c r="U456" s="4">
        <v>0</v>
      </c>
      <c r="V456" s="4">
        <f>U456*20%</f>
      </c>
      <c r="W456" s="4">
        <v>1</v>
      </c>
      <c r="X456" s="4">
        <f>Q456+T456+V456</f>
      </c>
      <c r="Y456" s="4">
        <f>L456-M456-R456-S456-T456-U456-V456-W456</f>
      </c>
      <c r="Z456" s="4">
        <f>(Y456-AB456)/J456*100</f>
      </c>
      <c r="AA456" s="4">
        <f>M456-X456</f>
      </c>
      <c r="AC456" s="4">
        <f>Y456-AB456</f>
      </c>
      <c r="AH456" t="s">
        <v>1</v>
      </c>
    </row>
    <row r="457" spans="1:34" x14ac:dyDescent="0.25">
      <c r="A457" s="8">
        <v>46152.5</v>
      </c>
      <c r="B457" t="s">
        <v>2279</v>
      </c>
      <c r="C457" t="s">
        <v>1</v>
      </c>
      <c r="D457" s="9" t="s">
        <v>2280</v>
      </c>
      <c r="E457" t="s">
        <v>84</v>
      </c>
      <c r="F457" t="s">
        <v>70</v>
      </c>
      <c r="G457" t="s">
        <v>60</v>
      </c>
      <c r="H457" t="s">
        <v>61</v>
      </c>
      <c r="I457">
        <v>1</v>
      </c>
      <c r="J457" s="4">
        <v>767</v>
      </c>
      <c r="K457" s="4">
        <v>951.08</v>
      </c>
      <c r="L457" s="4">
        <f>K457-J457</f>
      </c>
      <c r="M457" s="4">
        <f>L457*16.67%</f>
      </c>
      <c r="N457" s="4">
        <f>(K457*6.9%)-(K457*6.9%)*10%</f>
      </c>
      <c r="O457" s="4">
        <f>K457*0.35%</f>
      </c>
      <c r="P457" s="4">
        <v>0.4</v>
      </c>
      <c r="Q457" s="4">
        <f>(N457+O457+P457)*20%</f>
      </c>
      <c r="R457" s="4">
        <f>N457+O457+P457+Q457</f>
      </c>
      <c r="S457" s="4">
        <v>0</v>
      </c>
      <c r="T457" s="4">
        <v>0</v>
      </c>
      <c r="U457" s="4">
        <v>0</v>
      </c>
      <c r="V457" s="4">
        <f>U457*20%</f>
      </c>
      <c r="W457" s="4">
        <v>1</v>
      </c>
      <c r="X457" s="4">
        <f>Q457+T457+V457</f>
      </c>
      <c r="Y457" s="4">
        <f>L457-M457-R457-S457-T457-U457-V457-W457</f>
      </c>
      <c r="Z457" s="4">
        <f>(Y457-AB457)/J457*100</f>
      </c>
      <c r="AA457" s="4">
        <f>M457-X457</f>
      </c>
      <c r="AC457" s="4">
        <f>Y457-AB457</f>
      </c>
      <c r="AH457" t="s">
        <v>1</v>
      </c>
    </row>
    <row r="458" spans="1:34" x14ac:dyDescent="0.25">
      <c r="A458" s="8">
        <v>46152.5</v>
      </c>
      <c r="B458" t="s">
        <v>2281</v>
      </c>
      <c r="C458" t="s">
        <v>1</v>
      </c>
      <c r="D458" s="9" t="s">
        <v>2282</v>
      </c>
      <c r="E458" t="s">
        <v>134</v>
      </c>
      <c r="F458" t="s">
        <v>88</v>
      </c>
      <c r="G458" t="s">
        <v>65</v>
      </c>
      <c r="H458" t="s">
        <v>102</v>
      </c>
      <c r="I458">
        <v>1</v>
      </c>
      <c r="J458" s="4">
        <v>117</v>
      </c>
      <c r="K458" s="4">
        <v>135.72</v>
      </c>
      <c r="L458" s="4">
        <f>K458-J458</f>
      </c>
      <c r="M458" s="4">
        <f>L458*16.67%</f>
      </c>
      <c r="N458" s="4">
        <f>(K458*6.9%)-(K458*6.9%)*10%</f>
      </c>
      <c r="O458" s="4">
        <f>K458*0.35%</f>
      </c>
      <c r="P458" s="4">
        <v>0.4</v>
      </c>
      <c r="Q458" s="4">
        <f>(N458+O458+P458)*20%</f>
      </c>
      <c r="R458" s="4">
        <f>N458+O458+P458+Q458</f>
      </c>
      <c r="S458" s="4">
        <v>0</v>
      </c>
      <c r="T458" s="4">
        <v>0</v>
      </c>
      <c r="U458" s="4">
        <v>0</v>
      </c>
      <c r="V458" s="4">
        <f>U458*20%</f>
      </c>
      <c r="W458" s="4">
        <v>1</v>
      </c>
      <c r="X458" s="4">
        <f>Q458+T458+V458</f>
      </c>
      <c r="Y458" s="4">
        <f>L458-M458-R458-S458-T458-U458-V458-W458</f>
      </c>
      <c r="Z458" s="4">
        <f>(Y458-AB458)/J458*100</f>
      </c>
      <c r="AA458" s="4">
        <f>M458-X458</f>
      </c>
      <c r="AC458" s="4">
        <f>Y458-AB458</f>
      </c>
      <c r="AH458" t="s">
        <v>1</v>
      </c>
    </row>
    <row r="459" spans="1:34" x14ac:dyDescent="0.25">
      <c r="A459" s="8">
        <v>46152.5</v>
      </c>
      <c r="B459" t="s">
        <v>2283</v>
      </c>
      <c r="C459" t="s">
        <v>1</v>
      </c>
      <c r="D459" s="9" t="s">
        <v>2284</v>
      </c>
      <c r="E459" t="s">
        <v>292</v>
      </c>
      <c r="F459" t="s">
        <v>88</v>
      </c>
      <c r="G459" t="s">
        <v>126</v>
      </c>
      <c r="H459" t="s">
        <v>75</v>
      </c>
      <c r="I459">
        <v>1</v>
      </c>
      <c r="J459" s="4">
        <v>163</v>
      </c>
      <c r="K459" s="4">
        <v>224.94</v>
      </c>
      <c r="L459" s="4">
        <f>K459-J459</f>
      </c>
      <c r="M459" s="4">
        <f>L459*16.67%</f>
      </c>
      <c r="N459" s="4">
        <f>(K459*6.9%)-(K459*6.9%)*10%</f>
      </c>
      <c r="O459" s="4">
        <f>K459*0.35%</f>
      </c>
      <c r="P459" s="4">
        <v>0.4</v>
      </c>
      <c r="Q459" s="4">
        <f>(N459+O459+P459)*20%</f>
      </c>
      <c r="R459" s="4">
        <f>N459+O459+P459+Q459</f>
      </c>
      <c r="S459" s="4">
        <v>0</v>
      </c>
      <c r="T459" s="4">
        <v>0</v>
      </c>
      <c r="U459" s="4">
        <v>0</v>
      </c>
      <c r="V459" s="4">
        <f>U459*20%</f>
      </c>
      <c r="W459" s="4">
        <v>1</v>
      </c>
      <c r="X459" s="4">
        <f>Q459+T459+V459</f>
      </c>
      <c r="Y459" s="4">
        <f>L459-M459-R459-S459-T459-U459-V459-W459</f>
      </c>
      <c r="Z459" s="4">
        <f>(Y459-AB459)/J459*100</f>
      </c>
      <c r="AA459" s="4">
        <f>M459-X459</f>
      </c>
      <c r="AC459" s="4">
        <f>Y459-AB459</f>
      </c>
      <c r="AH459" t="s">
        <v>1</v>
      </c>
    </row>
    <row r="460" spans="1:34" x14ac:dyDescent="0.25">
      <c r="A460" s="8">
        <v>46152.5</v>
      </c>
      <c r="B460" t="s">
        <v>2285</v>
      </c>
      <c r="C460" t="s">
        <v>185</v>
      </c>
      <c r="D460" s="9" t="s">
        <v>1</v>
      </c>
      <c r="E460" t="s">
        <v>185</v>
      </c>
      <c r="F460" t="s">
        <v>1</v>
      </c>
      <c r="G460" t="s">
        <v>1</v>
      </c>
      <c r="H460" t="s">
        <v>102</v>
      </c>
      <c r="I460">
        <v>4</v>
      </c>
      <c r="J460" s="4">
        <v>4.8</v>
      </c>
      <c r="K460" s="4">
        <v>6.19</v>
      </c>
      <c r="L460" s="4">
        <f>K460-J460</f>
      </c>
      <c r="M460" s="4">
        <f>L460*16.67%</f>
      </c>
      <c r="N460" s="4">
        <f>(K460*6.9%)-(K460*6.9%)*10%</f>
      </c>
      <c r="O460" s="4">
        <f>K460*0.35%</f>
      </c>
      <c r="P460" s="4">
        <v>0.4</v>
      </c>
      <c r="Q460" s="4">
        <f>(N460+O460+P460)*20%</f>
      </c>
      <c r="R460" s="4">
        <f>N460+O460+P460+Q460</f>
      </c>
      <c r="S460" s="4">
        <v>0</v>
      </c>
      <c r="T460" s="4">
        <v>0</v>
      </c>
      <c r="U460" s="4">
        <v>0</v>
      </c>
      <c r="V460" s="4">
        <f>U460*20%</f>
      </c>
      <c r="W460" s="4">
        <v>0</v>
      </c>
      <c r="X460" s="4">
        <f>Q460+T460+V460</f>
      </c>
      <c r="Y460" s="4">
        <f>L460-M460-R460-S460-T460-U460-V460-W460</f>
      </c>
      <c r="Z460" s="4">
        <f>(Y460-AB460)/J460*100</f>
      </c>
      <c r="AA460" s="4">
        <f>M460-X460</f>
      </c>
      <c r="AC460" s="4">
        <f>Y460-AB460</f>
      </c>
      <c r="AH460" t="s">
        <v>1</v>
      </c>
    </row>
    <row r="461" spans="1:34" x14ac:dyDescent="0.25">
      <c r="A461" s="8">
        <v>46152.5</v>
      </c>
      <c r="B461" t="s">
        <v>2286</v>
      </c>
      <c r="C461" t="s">
        <v>174</v>
      </c>
      <c r="D461" s="9" t="s">
        <v>1</v>
      </c>
      <c r="E461" t="s">
        <v>174</v>
      </c>
      <c r="F461" t="s">
        <v>1</v>
      </c>
      <c r="G461" t="s">
        <v>1</v>
      </c>
      <c r="H461" t="s">
        <v>66</v>
      </c>
      <c r="I461">
        <v>4</v>
      </c>
      <c r="J461" s="4">
        <v>17</v>
      </c>
      <c r="K461" s="4">
        <v>20.23</v>
      </c>
      <c r="L461" s="4">
        <f>K461-J461</f>
      </c>
      <c r="M461" s="4">
        <f>L461*16.67%</f>
      </c>
      <c r="N461" s="4">
        <f>(K461*6.9%)-(K461*6.9%)*10%</f>
      </c>
      <c r="O461" s="4">
        <f>K461*0.35%</f>
      </c>
      <c r="P461" s="4">
        <v>0.4</v>
      </c>
      <c r="Q461" s="4">
        <f>(N461+O461+P461)*20%</f>
      </c>
      <c r="R461" s="4">
        <f>N461+O461+P461+Q461</f>
      </c>
      <c r="S461" s="4">
        <v>0</v>
      </c>
      <c r="T461" s="4">
        <v>0</v>
      </c>
      <c r="U461" s="4">
        <v>0</v>
      </c>
      <c r="V461" s="4">
        <f>U461*20%</f>
      </c>
      <c r="W461" s="4">
        <v>0</v>
      </c>
      <c r="X461" s="4">
        <f>Q461+T461+V461</f>
      </c>
      <c r="Y461" s="4">
        <f>L461-M461-R461-S461-T461-U461-V461-W461</f>
      </c>
      <c r="Z461" s="4">
        <f>(Y461-AB461)/J461*100</f>
      </c>
      <c r="AA461" s="4">
        <f>M461-X461</f>
      </c>
      <c r="AC461" s="4">
        <f>Y461-AB461</f>
      </c>
      <c r="AH461" t="s">
        <v>1</v>
      </c>
    </row>
    <row r="462" spans="1:34" x14ac:dyDescent="0.25">
      <c r="A462" s="8">
        <v>46152.5</v>
      </c>
      <c r="B462" t="s">
        <v>2287</v>
      </c>
      <c r="C462" t="s">
        <v>177</v>
      </c>
      <c r="D462" s="9" t="s">
        <v>1</v>
      </c>
      <c r="E462" t="s">
        <v>177</v>
      </c>
      <c r="F462" t="s">
        <v>1</v>
      </c>
      <c r="G462" t="s">
        <v>1</v>
      </c>
      <c r="H462" t="s">
        <v>78</v>
      </c>
      <c r="I462">
        <v>3</v>
      </c>
      <c r="J462" s="4">
        <v>0.45</v>
      </c>
      <c r="K462" s="4">
        <v>0.55</v>
      </c>
      <c r="L462" s="4">
        <f>K462-J462</f>
      </c>
      <c r="M462" s="4">
        <f>L462*16.67%</f>
      </c>
      <c r="N462" s="4">
        <f>(K462*6.9%)-(K462*6.9%)*10%</f>
      </c>
      <c r="O462" s="4">
        <f>K462*0.35%</f>
      </c>
      <c r="P462" s="4">
        <v>0.4</v>
      </c>
      <c r="Q462" s="4">
        <f>(N462+O462+P462)*20%</f>
      </c>
      <c r="R462" s="4">
        <f>N462+O462+P462+Q462</f>
      </c>
      <c r="S462" s="4">
        <v>0</v>
      </c>
      <c r="T462" s="4">
        <v>0</v>
      </c>
      <c r="U462" s="4">
        <v>0</v>
      </c>
      <c r="V462" s="4">
        <f>U462*20%</f>
      </c>
      <c r="W462" s="4">
        <v>0</v>
      </c>
      <c r="X462" s="4">
        <f>Q462+T462+V462</f>
      </c>
      <c r="Y462" s="4">
        <f>L462-M462-R462-S462-T462-U462-V462-W462</f>
      </c>
      <c r="Z462" s="4">
        <f>(Y462-AB462)/J462*100</f>
      </c>
      <c r="AA462" s="4">
        <f>M462-X462</f>
      </c>
      <c r="AC462" s="4">
        <f>Y462-AB462</f>
      </c>
      <c r="AH462" t="s">
        <v>1</v>
      </c>
    </row>
    <row r="463" spans="1:34" x14ac:dyDescent="0.25">
      <c r="A463" s="8">
        <v>46151.5</v>
      </c>
      <c r="B463" t="s">
        <v>2288</v>
      </c>
      <c r="C463" t="s">
        <v>1</v>
      </c>
      <c r="D463" s="9" t="s">
        <v>2289</v>
      </c>
      <c r="E463" t="s">
        <v>73</v>
      </c>
      <c r="F463" t="s">
        <v>99</v>
      </c>
      <c r="G463" t="s">
        <v>60</v>
      </c>
      <c r="H463" t="s">
        <v>102</v>
      </c>
      <c r="I463">
        <v>1</v>
      </c>
      <c r="J463" s="4">
        <v>375</v>
      </c>
      <c r="K463" s="4">
        <v>453.75</v>
      </c>
      <c r="L463" s="4">
        <f>K463-J463</f>
      </c>
      <c r="M463" s="4">
        <f>L463*16.67%</f>
      </c>
      <c r="N463" s="4">
        <f>(K463*6.9%)-(K463*6.9%)*10%</f>
      </c>
      <c r="O463" s="4">
        <f>K463*0.35%</f>
      </c>
      <c r="P463" s="4">
        <v>0.4</v>
      </c>
      <c r="Q463" s="4">
        <f>(N463+O463+P463)*20%</f>
      </c>
      <c r="R463" s="4">
        <f>N463+O463+P463+Q463</f>
      </c>
      <c r="S463" s="4">
        <v>0</v>
      </c>
      <c r="T463" s="4">
        <v>0</v>
      </c>
      <c r="U463" s="4">
        <v>0</v>
      </c>
      <c r="V463" s="4">
        <f>U463*20%</f>
      </c>
      <c r="W463" s="4">
        <v>1</v>
      </c>
      <c r="X463" s="4">
        <f>Q463+T463+V463</f>
      </c>
      <c r="Y463" s="4">
        <f>L463-M463-R463-S463-T463-U463-V463-W463</f>
      </c>
      <c r="Z463" s="4">
        <f>(Y463-AB463)/J463*100</f>
      </c>
      <c r="AA463" s="4">
        <f>M463-X463</f>
      </c>
      <c r="AC463" s="4">
        <f>Y463-AB463</f>
      </c>
      <c r="AH463" t="s">
        <v>1</v>
      </c>
    </row>
    <row r="464" spans="1:34" x14ac:dyDescent="0.25">
      <c r="A464" s="8">
        <v>46151.5</v>
      </c>
      <c r="B464" t="s">
        <v>2290</v>
      </c>
      <c r="C464" t="s">
        <v>1</v>
      </c>
      <c r="D464" s="9" t="s">
        <v>2291</v>
      </c>
      <c r="E464" t="s">
        <v>69</v>
      </c>
      <c r="F464" t="s">
        <v>70</v>
      </c>
      <c r="G464" t="s">
        <v>60</v>
      </c>
      <c r="H464" t="s">
        <v>66</v>
      </c>
      <c r="I464">
        <v>1</v>
      </c>
      <c r="J464" s="4">
        <v>555</v>
      </c>
      <c r="K464" s="4">
        <v>699.3</v>
      </c>
      <c r="L464" s="4">
        <f>K464-J464</f>
      </c>
      <c r="M464" s="4">
        <f>L464*16.67%</f>
      </c>
      <c r="N464" s="4">
        <f>(K464*6.9%)-(K464*6.9%)*10%</f>
      </c>
      <c r="O464" s="4">
        <f>K464*0.35%</f>
      </c>
      <c r="P464" s="4">
        <v>0.4</v>
      </c>
      <c r="Q464" s="4">
        <f>(N464+O464+P464)*20%</f>
      </c>
      <c r="R464" s="4">
        <f>N464+O464+P464+Q464</f>
      </c>
      <c r="S464" s="4">
        <v>0</v>
      </c>
      <c r="T464" s="4">
        <v>0</v>
      </c>
      <c r="U464" s="4">
        <v>0</v>
      </c>
      <c r="V464" s="4">
        <f>U464*20%</f>
      </c>
      <c r="W464" s="4">
        <v>1</v>
      </c>
      <c r="X464" s="4">
        <f>Q464+T464+V464</f>
      </c>
      <c r="Y464" s="4">
        <f>L464-M464-R464-S464-T464-U464-V464-W464</f>
      </c>
      <c r="Z464" s="4">
        <f>(Y464-AB464)/J464*100</f>
      </c>
      <c r="AA464" s="4">
        <f>M464-X464</f>
      </c>
      <c r="AC464" s="4">
        <f>Y464-AB464</f>
      </c>
      <c r="AH464" t="s">
        <v>1</v>
      </c>
    </row>
    <row r="465" spans="1:34" x14ac:dyDescent="0.25">
      <c r="A465" s="10">
        <v>46150.5</v>
      </c>
      <c r="B465" s="11" t="s">
        <v>2292</v>
      </c>
      <c r="C465" s="11" t="s">
        <v>1</v>
      </c>
      <c r="D465" s="12" t="s">
        <v>2293</v>
      </c>
      <c r="E465" s="11" t="s">
        <v>131</v>
      </c>
      <c r="F465" s="11" t="s">
        <v>99</v>
      </c>
      <c r="G465" s="11" t="s">
        <v>65</v>
      </c>
      <c r="H465" s="11" t="s">
        <v>102</v>
      </c>
      <c r="I465" s="11">
        <v>1</v>
      </c>
      <c r="J465" s="13">
        <v>327</v>
      </c>
      <c r="K465" s="13">
        <v>395.67</v>
      </c>
      <c r="L465" s="13">
        <f>K465-J465</f>
      </c>
      <c r="M465" s="13">
        <f>L465*16.67%</f>
      </c>
      <c r="N465" s="13">
        <f>(K465*6.9%)-(K465*6.9%)*10%</f>
      </c>
      <c r="O465" s="13">
        <f>K465*0.35%</f>
      </c>
      <c r="P465" s="13">
        <v>0.4</v>
      </c>
      <c r="Q465" s="13">
        <f>(N465+O465+P465)*20%</f>
      </c>
      <c r="R465" s="13">
        <f>N465+O465+P465+Q465</f>
      </c>
      <c r="S465" s="13">
        <v>0</v>
      </c>
      <c r="T465" s="13">
        <v>0</v>
      </c>
      <c r="U465" s="13">
        <v>0</v>
      </c>
      <c r="V465" s="13">
        <f>U465*20%</f>
      </c>
      <c r="W465" s="13">
        <v>1</v>
      </c>
      <c r="X465" s="13">
        <f>Q465+T465+V465</f>
      </c>
      <c r="Y465" s="13">
        <v>0</v>
      </c>
      <c r="Z465" s="13">
        <f>(Y465-AB465)/J465*100</f>
      </c>
      <c r="AA465" s="13">
        <f>M465-X465</f>
      </c>
      <c r="AB465" s="11"/>
      <c r="AC465" s="13">
        <f>Y465-AB465</f>
      </c>
      <c r="AD465" s="10">
        <v>46241.5</v>
      </c>
      <c r="AE465" s="11" t="s">
        <v>678</v>
      </c>
      <c r="AF465" s="11">
        <v>2</v>
      </c>
      <c r="AG465" s="11" t="s">
        <v>679</v>
      </c>
      <c r="AH465" s="11" t="s">
        <v>1</v>
      </c>
    </row>
    <row r="466" spans="1:34" x14ac:dyDescent="0.25">
      <c r="A466" s="8">
        <v>46150.5</v>
      </c>
      <c r="B466" t="s">
        <v>2294</v>
      </c>
      <c r="C466" t="s">
        <v>1</v>
      </c>
      <c r="D466" s="9" t="s">
        <v>2295</v>
      </c>
      <c r="E466" t="s">
        <v>58</v>
      </c>
      <c r="F466" t="s">
        <v>85</v>
      </c>
      <c r="G466" t="s">
        <v>60</v>
      </c>
      <c r="H466" t="s">
        <v>66</v>
      </c>
      <c r="I466">
        <v>1</v>
      </c>
      <c r="J466" s="4">
        <v>473</v>
      </c>
      <c r="K466" s="4">
        <v>548.68</v>
      </c>
      <c r="L466" s="4">
        <f>K466-J466</f>
      </c>
      <c r="M466" s="4">
        <f>L466*16.67%</f>
      </c>
      <c r="N466" s="4">
        <f>(K466*6.9%)-(K466*6.9%)*10%</f>
      </c>
      <c r="O466" s="4">
        <f>K466*0.35%</f>
      </c>
      <c r="P466" s="4">
        <v>0.4</v>
      </c>
      <c r="Q466" s="4">
        <f>(N466+O466+P466)*20%</f>
      </c>
      <c r="R466" s="4">
        <f>N466+O466+P466+Q466</f>
      </c>
      <c r="S466" s="4">
        <v>0</v>
      </c>
      <c r="T466" s="4">
        <v>0</v>
      </c>
      <c r="U466" s="4">
        <v>0</v>
      </c>
      <c r="V466" s="4">
        <f>U466*20%</f>
      </c>
      <c r="W466" s="4">
        <v>1</v>
      </c>
      <c r="X466" s="4">
        <f>Q466+T466+V466</f>
      </c>
      <c r="Y466" s="4">
        <f>L466-M466-R466-S466-T466-U466-V466-W466</f>
      </c>
      <c r="Z466" s="4">
        <f>(Y466-AB466)/J466*100</f>
      </c>
      <c r="AA466" s="4">
        <f>M466-X466</f>
      </c>
      <c r="AC466" s="4">
        <f>Y466-AB466</f>
      </c>
      <c r="AH466" t="s">
        <v>1</v>
      </c>
    </row>
    <row r="467" spans="1:34" x14ac:dyDescent="0.25">
      <c r="A467" s="8">
        <v>46150.5</v>
      </c>
      <c r="B467" t="s">
        <v>2296</v>
      </c>
      <c r="C467" t="s">
        <v>1</v>
      </c>
      <c r="D467" s="9" t="s">
        <v>2297</v>
      </c>
      <c r="E467" t="s">
        <v>94</v>
      </c>
      <c r="F467" t="s">
        <v>99</v>
      </c>
      <c r="G467" t="s">
        <v>95</v>
      </c>
      <c r="H467" t="s">
        <v>78</v>
      </c>
      <c r="I467">
        <v>1</v>
      </c>
      <c r="J467" s="4">
        <v>64</v>
      </c>
      <c r="K467" s="4">
        <v>77.44</v>
      </c>
      <c r="L467" s="4">
        <f>K467-J467</f>
      </c>
      <c r="M467" s="4">
        <f>L467*16.67%</f>
      </c>
      <c r="N467" s="4">
        <f>(K467*6.9%)-(K467*6.9%)*10%</f>
      </c>
      <c r="O467" s="4">
        <f>K467*0.35%</f>
      </c>
      <c r="P467" s="4">
        <v>0.4</v>
      </c>
      <c r="Q467" s="4">
        <f>(N467+O467+P467)*20%</f>
      </c>
      <c r="R467" s="4">
        <f>N467+O467+P467+Q467</f>
      </c>
      <c r="S467" s="4">
        <v>0</v>
      </c>
      <c r="T467" s="4">
        <v>0</v>
      </c>
      <c r="U467" s="4">
        <v>0</v>
      </c>
      <c r="V467" s="4">
        <f>U467*20%</f>
      </c>
      <c r="W467" s="4">
        <v>1</v>
      </c>
      <c r="X467" s="4">
        <f>Q467+T467+V467</f>
      </c>
      <c r="Y467" s="4">
        <f>L467-M467-R467-S467-T467-U467-V467-W467</f>
      </c>
      <c r="Z467" s="4">
        <f>(Y467-AB467)/J467*100</f>
      </c>
      <c r="AA467" s="4">
        <f>M467-X467</f>
      </c>
      <c r="AC467" s="4">
        <f>Y467-AB467</f>
      </c>
      <c r="AH467" t="s">
        <v>1</v>
      </c>
    </row>
    <row r="468" spans="1:34" x14ac:dyDescent="0.25">
      <c r="A468" s="8">
        <v>46150.5</v>
      </c>
      <c r="B468" t="s">
        <v>2298</v>
      </c>
      <c r="C468" t="s">
        <v>1</v>
      </c>
      <c r="D468" s="9" t="s">
        <v>2299</v>
      </c>
      <c r="E468" t="s">
        <v>134</v>
      </c>
      <c r="F468" t="s">
        <v>74</v>
      </c>
      <c r="G468" t="s">
        <v>65</v>
      </c>
      <c r="H468" t="s">
        <v>75</v>
      </c>
      <c r="I468">
        <v>1</v>
      </c>
      <c r="J468" s="4">
        <v>128</v>
      </c>
      <c r="K468" s="4">
        <v>148.48</v>
      </c>
      <c r="L468" s="4">
        <f>K468-J468</f>
      </c>
      <c r="M468" s="4">
        <f>L468*16.67%</f>
      </c>
      <c r="N468" s="4">
        <f>(K468*6.9%)-(K468*6.9%)*10%</f>
      </c>
      <c r="O468" s="4">
        <f>K468*0.35%</f>
      </c>
      <c r="P468" s="4">
        <v>0.4</v>
      </c>
      <c r="Q468" s="4">
        <f>(N468+O468+P468)*20%</f>
      </c>
      <c r="R468" s="4">
        <f>N468+O468+P468+Q468</f>
      </c>
      <c r="S468" s="4">
        <v>0</v>
      </c>
      <c r="T468" s="4">
        <v>0</v>
      </c>
      <c r="U468" s="4">
        <v>0</v>
      </c>
      <c r="V468" s="4">
        <f>U468*20%</f>
      </c>
      <c r="W468" s="4">
        <v>1</v>
      </c>
      <c r="X468" s="4">
        <f>Q468+T468+V468</f>
      </c>
      <c r="Y468" s="4">
        <f>L468-M468-R468-S468-T468-U468-V468-W468</f>
      </c>
      <c r="Z468" s="4">
        <f>(Y468-AB468)/J468*100</f>
      </c>
      <c r="AA468" s="4">
        <f>M468-X468</f>
      </c>
      <c r="AC468" s="4">
        <f>Y468-AB468</f>
      </c>
      <c r="AH468" t="s">
        <v>1</v>
      </c>
    </row>
    <row r="469" spans="1:34" x14ac:dyDescent="0.25">
      <c r="A469" s="8">
        <v>46150.5</v>
      </c>
      <c r="B469" t="s">
        <v>2300</v>
      </c>
      <c r="C469" t="s">
        <v>1</v>
      </c>
      <c r="D469" s="9" t="s">
        <v>2301</v>
      </c>
      <c r="E469" t="s">
        <v>69</v>
      </c>
      <c r="F469" t="s">
        <v>99</v>
      </c>
      <c r="G469" t="s">
        <v>60</v>
      </c>
      <c r="H469" t="s">
        <v>78</v>
      </c>
      <c r="I469">
        <v>1</v>
      </c>
      <c r="J469" s="4">
        <v>496</v>
      </c>
      <c r="K469" s="4">
        <v>684.48</v>
      </c>
      <c r="L469" s="4">
        <f>K469-J469</f>
      </c>
      <c r="M469" s="4">
        <f>L469*16.67%</f>
      </c>
      <c r="N469" s="4">
        <f>(K469*6.9%)-(K469*6.9%)*10%</f>
      </c>
      <c r="O469" s="4">
        <f>K469*0.35%</f>
      </c>
      <c r="P469" s="4">
        <v>0.4</v>
      </c>
      <c r="Q469" s="4">
        <f>(N469+O469+P469)*20%</f>
      </c>
      <c r="R469" s="4">
        <f>N469+O469+P469+Q469</f>
      </c>
      <c r="S469" s="4">
        <v>0</v>
      </c>
      <c r="T469" s="4">
        <v>0</v>
      </c>
      <c r="U469" s="4">
        <v>0</v>
      </c>
      <c r="V469" s="4">
        <f>U469*20%</f>
      </c>
      <c r="W469" s="4">
        <v>1</v>
      </c>
      <c r="X469" s="4">
        <f>Q469+T469+V469</f>
      </c>
      <c r="Y469" s="4">
        <f>L469-M469-R469-S469-T469-U469-V469-W469</f>
      </c>
      <c r="Z469" s="4">
        <f>(Y469-AB469)/J469*100</f>
      </c>
      <c r="AA469" s="4">
        <f>M469-X469</f>
      </c>
      <c r="AC469" s="4">
        <f>Y469-AB469</f>
      </c>
      <c r="AH469" t="s">
        <v>1</v>
      </c>
    </row>
    <row r="470" spans="1:34" x14ac:dyDescent="0.25">
      <c r="A470" s="8">
        <v>46150.5</v>
      </c>
      <c r="B470" t="s">
        <v>2302</v>
      </c>
      <c r="C470" t="s">
        <v>185</v>
      </c>
      <c r="D470" s="9" t="s">
        <v>1</v>
      </c>
      <c r="E470" t="s">
        <v>185</v>
      </c>
      <c r="F470" t="s">
        <v>1</v>
      </c>
      <c r="G470" t="s">
        <v>1</v>
      </c>
      <c r="H470" t="s">
        <v>102</v>
      </c>
      <c r="I470">
        <v>4</v>
      </c>
      <c r="J470" s="4">
        <v>4.8</v>
      </c>
      <c r="K470" s="4">
        <v>6.91</v>
      </c>
      <c r="L470" s="4">
        <f>K470-J470</f>
      </c>
      <c r="M470" s="4">
        <f>L470*16.67%</f>
      </c>
      <c r="N470" s="4">
        <f>(K470*6.9%)-(K470*6.9%)*10%</f>
      </c>
      <c r="O470" s="4">
        <f>K470*0.35%</f>
      </c>
      <c r="P470" s="4">
        <v>0.4</v>
      </c>
      <c r="Q470" s="4">
        <f>(N470+O470+P470)*20%</f>
      </c>
      <c r="R470" s="4">
        <f>N470+O470+P470+Q470</f>
      </c>
      <c r="S470" s="4">
        <v>0</v>
      </c>
      <c r="T470" s="4">
        <v>0</v>
      </c>
      <c r="U470" s="4">
        <v>0</v>
      </c>
      <c r="V470" s="4">
        <f>U470*20%</f>
      </c>
      <c r="W470" s="4">
        <v>0</v>
      </c>
      <c r="X470" s="4">
        <f>Q470+T470+V470</f>
      </c>
      <c r="Y470" s="4">
        <f>L470-M470-R470-S470-T470-U470-V470-W470</f>
      </c>
      <c r="Z470" s="4">
        <f>(Y470-AB470)/J470*100</f>
      </c>
      <c r="AA470" s="4">
        <f>M470-X470</f>
      </c>
      <c r="AC470" s="4">
        <f>Y470-AB470</f>
      </c>
      <c r="AH470" t="s">
        <v>1</v>
      </c>
    </row>
    <row r="471" spans="1:34" x14ac:dyDescent="0.25">
      <c r="A471" s="8">
        <v>46149.5</v>
      </c>
      <c r="B471" t="s">
        <v>2303</v>
      </c>
      <c r="C471" t="s">
        <v>1</v>
      </c>
      <c r="D471" s="9" t="s">
        <v>2304</v>
      </c>
      <c r="E471" t="s">
        <v>131</v>
      </c>
      <c r="F471" t="s">
        <v>105</v>
      </c>
      <c r="G471" t="s">
        <v>65</v>
      </c>
      <c r="H471" t="s">
        <v>102</v>
      </c>
      <c r="I471">
        <v>1</v>
      </c>
      <c r="J471" s="4">
        <v>265</v>
      </c>
      <c r="K471" s="4">
        <v>307.4</v>
      </c>
      <c r="L471" s="4">
        <f>K471-J471</f>
      </c>
      <c r="M471" s="4">
        <f>L471*16.67%</f>
      </c>
      <c r="N471" s="4">
        <f>(K471*6.9%)-(K471*6.9%)*10%</f>
      </c>
      <c r="O471" s="4">
        <f>K471*0.35%</f>
      </c>
      <c r="P471" s="4">
        <v>0.4</v>
      </c>
      <c r="Q471" s="4">
        <f>(N471+O471+P471)*20%</f>
      </c>
      <c r="R471" s="4">
        <f>N471+O471+P471+Q471</f>
      </c>
      <c r="S471" s="4">
        <v>0</v>
      </c>
      <c r="T471" s="4">
        <v>0</v>
      </c>
      <c r="U471" s="4">
        <v>0</v>
      </c>
      <c r="V471" s="4">
        <f>U471*20%</f>
      </c>
      <c r="W471" s="4">
        <v>1</v>
      </c>
      <c r="X471" s="4">
        <f>Q471+T471+V471</f>
      </c>
      <c r="Y471" s="4">
        <f>L471-M471-R471-S471-T471-U471-V471-W471</f>
      </c>
      <c r="Z471" s="4">
        <f>(Y471-AB471)/J471*100</f>
      </c>
      <c r="AA471" s="4">
        <f>M471-X471</f>
      </c>
      <c r="AC471" s="4">
        <f>Y471-AB471</f>
      </c>
      <c r="AH471" t="s">
        <v>1</v>
      </c>
    </row>
    <row r="472" spans="1:34" x14ac:dyDescent="0.25">
      <c r="A472" s="8">
        <v>46149.5</v>
      </c>
      <c r="B472" t="s">
        <v>2305</v>
      </c>
      <c r="C472" t="s">
        <v>1</v>
      </c>
      <c r="D472" s="9" t="s">
        <v>2306</v>
      </c>
      <c r="E472" t="s">
        <v>234</v>
      </c>
      <c r="F472" t="s">
        <v>88</v>
      </c>
      <c r="G472" t="s">
        <v>65</v>
      </c>
      <c r="H472" t="s">
        <v>78</v>
      </c>
      <c r="I472">
        <v>1</v>
      </c>
      <c r="J472" s="4">
        <v>154</v>
      </c>
      <c r="K472" s="4">
        <v>206.36</v>
      </c>
      <c r="L472" s="4">
        <f>K472-J472</f>
      </c>
      <c r="M472" s="4">
        <f>L472*16.67%</f>
      </c>
      <c r="N472" s="4">
        <f>(K472*6.9%)-(K472*6.9%)*10%</f>
      </c>
      <c r="O472" s="4">
        <f>K472*0.35%</f>
      </c>
      <c r="P472" s="4">
        <v>0.4</v>
      </c>
      <c r="Q472" s="4">
        <f>(N472+O472+P472)*20%</f>
      </c>
      <c r="R472" s="4">
        <f>N472+O472+P472+Q472</f>
      </c>
      <c r="S472" s="4">
        <v>0</v>
      </c>
      <c r="T472" s="4">
        <v>0</v>
      </c>
      <c r="U472" s="4">
        <v>0</v>
      </c>
      <c r="V472" s="4">
        <f>U472*20%</f>
      </c>
      <c r="W472" s="4">
        <v>1</v>
      </c>
      <c r="X472" s="4">
        <f>Q472+T472+V472</f>
      </c>
      <c r="Y472" s="4">
        <f>L472-M472-R472-S472-T472-U472-V472-W472</f>
      </c>
      <c r="Z472" s="4">
        <f>(Y472-AB472)/J472*100</f>
      </c>
      <c r="AA472" s="4">
        <f>M472-X472</f>
      </c>
      <c r="AC472" s="4">
        <f>Y472-AB472</f>
      </c>
      <c r="AH472" t="s">
        <v>1</v>
      </c>
    </row>
    <row r="473" spans="1:34" x14ac:dyDescent="0.25">
      <c r="A473" s="8">
        <v>46147.5</v>
      </c>
      <c r="B473" t="s">
        <v>2307</v>
      </c>
      <c r="C473" t="s">
        <v>1</v>
      </c>
      <c r="D473" s="9" t="s">
        <v>2308</v>
      </c>
      <c r="E473" t="s">
        <v>234</v>
      </c>
      <c r="F473" t="s">
        <v>88</v>
      </c>
      <c r="G473" t="s">
        <v>65</v>
      </c>
      <c r="H473" t="s">
        <v>102</v>
      </c>
      <c r="I473">
        <v>1</v>
      </c>
      <c r="J473" s="4">
        <v>188</v>
      </c>
      <c r="K473" s="4">
        <v>229.36</v>
      </c>
      <c r="L473" s="4">
        <f>K473-J473</f>
      </c>
      <c r="M473" s="4">
        <f>L473*16.67%</f>
      </c>
      <c r="N473" s="4">
        <f>(K473*6.9%)-(K473*6.9%)*10%</f>
      </c>
      <c r="O473" s="4">
        <f>K473*0.35%</f>
      </c>
      <c r="P473" s="4">
        <v>0.4</v>
      </c>
      <c r="Q473" s="4">
        <f>(N473+O473+P473)*20%</f>
      </c>
      <c r="R473" s="4">
        <f>N473+O473+P473+Q473</f>
      </c>
      <c r="S473" s="4">
        <v>0</v>
      </c>
      <c r="T473" s="4">
        <v>0</v>
      </c>
      <c r="U473" s="4">
        <v>0</v>
      </c>
      <c r="V473" s="4">
        <f>U473*20%</f>
      </c>
      <c r="W473" s="4">
        <v>1</v>
      </c>
      <c r="X473" s="4">
        <f>Q473+T473+V473</f>
      </c>
      <c r="Y473" s="4">
        <f>L473-M473-R473-S473-T473-U473-V473-W473</f>
      </c>
      <c r="Z473" s="4">
        <f>(Y473-AB473)/J473*100</f>
      </c>
      <c r="AA473" s="4">
        <f>M473-X473</f>
      </c>
      <c r="AC473" s="4">
        <f>Y473-AB473</f>
      </c>
      <c r="AH473" t="s">
        <v>1</v>
      </c>
    </row>
    <row r="474" spans="1:34" x14ac:dyDescent="0.25">
      <c r="A474" s="8">
        <v>46147.5</v>
      </c>
      <c r="B474" t="s">
        <v>2309</v>
      </c>
      <c r="C474" t="s">
        <v>1</v>
      </c>
      <c r="D474" s="9" t="s">
        <v>2310</v>
      </c>
      <c r="E474" t="s">
        <v>81</v>
      </c>
      <c r="F474" t="s">
        <v>59</v>
      </c>
      <c r="G474" t="s">
        <v>60</v>
      </c>
      <c r="H474" t="s">
        <v>61</v>
      </c>
      <c r="I474">
        <v>1</v>
      </c>
      <c r="J474" s="4">
        <v>563</v>
      </c>
      <c r="K474" s="4">
        <v>788.2</v>
      </c>
      <c r="L474" s="4">
        <f>K474-J474</f>
      </c>
      <c r="M474" s="4">
        <f>L474*16.67%</f>
      </c>
      <c r="N474" s="4">
        <f>(K474*6.9%)-(K474*6.9%)*10%</f>
      </c>
      <c r="O474" s="4">
        <f>K474*0.35%</f>
      </c>
      <c r="P474" s="4">
        <v>0.4</v>
      </c>
      <c r="Q474" s="4">
        <f>(N474+O474+P474)*20%</f>
      </c>
      <c r="R474" s="4">
        <f>N474+O474+P474+Q474</f>
      </c>
      <c r="S474" s="4">
        <v>0</v>
      </c>
      <c r="T474" s="4">
        <v>0</v>
      </c>
      <c r="U474" s="4">
        <v>0</v>
      </c>
      <c r="V474" s="4">
        <f>U474*20%</f>
      </c>
      <c r="W474" s="4">
        <v>1</v>
      </c>
      <c r="X474" s="4">
        <f>Q474+T474+V474</f>
      </c>
      <c r="Y474" s="4">
        <f>L474-M474-R474-S474-T474-U474-V474-W474</f>
      </c>
      <c r="Z474" s="4">
        <f>(Y474-AB474)/J474*100</f>
      </c>
      <c r="AA474" s="4">
        <f>M474-X474</f>
      </c>
      <c r="AC474" s="4">
        <f>Y474-AB474</f>
      </c>
      <c r="AH474" t="s">
        <v>1</v>
      </c>
    </row>
    <row r="475" spans="1:34" x14ac:dyDescent="0.25">
      <c r="A475" s="8">
        <v>46147.5</v>
      </c>
      <c r="B475" t="s">
        <v>2311</v>
      </c>
      <c r="C475" t="s">
        <v>1</v>
      </c>
      <c r="D475" s="9" t="s">
        <v>2312</v>
      </c>
      <c r="E475" t="s">
        <v>84</v>
      </c>
      <c r="F475" t="s">
        <v>59</v>
      </c>
      <c r="G475" t="s">
        <v>60</v>
      </c>
      <c r="H475" t="s">
        <v>66</v>
      </c>
      <c r="I475">
        <v>1</v>
      </c>
      <c r="J475" s="4">
        <v>754</v>
      </c>
      <c r="K475" s="4">
        <v>897.26</v>
      </c>
      <c r="L475" s="4">
        <f>K475-J475</f>
      </c>
      <c r="M475" s="4">
        <f>L475*16.67%</f>
      </c>
      <c r="N475" s="4">
        <f>(K475*6.9%)-(K475*6.9%)*10%</f>
      </c>
      <c r="O475" s="4">
        <f>K475*0.35%</f>
      </c>
      <c r="P475" s="4">
        <v>0.4</v>
      </c>
      <c r="Q475" s="4">
        <f>(N475+O475+P475)*20%</f>
      </c>
      <c r="R475" s="4">
        <f>N475+O475+P475+Q475</f>
      </c>
      <c r="S475" s="4">
        <v>0</v>
      </c>
      <c r="T475" s="4">
        <v>0</v>
      </c>
      <c r="U475" s="4">
        <v>0</v>
      </c>
      <c r="V475" s="4">
        <f>U475*20%</f>
      </c>
      <c r="W475" s="4">
        <v>1</v>
      </c>
      <c r="X475" s="4">
        <f>Q475+T475+V475</f>
      </c>
      <c r="Y475" s="4">
        <f>L475-M475-R475-S475-T475-U475-V475-W475</f>
      </c>
      <c r="Z475" s="4">
        <f>(Y475-AB475)/J475*100</f>
      </c>
      <c r="AA475" s="4">
        <f>M475-X475</f>
      </c>
      <c r="AC475" s="4">
        <f>Y475-AB475</f>
      </c>
      <c r="AH475" t="s">
        <v>1</v>
      </c>
    </row>
    <row r="476" spans="1:34" x14ac:dyDescent="0.25">
      <c r="A476" s="8">
        <v>46147.5</v>
      </c>
      <c r="B476" t="s">
        <v>2313</v>
      </c>
      <c r="C476" t="s">
        <v>1</v>
      </c>
      <c r="D476" s="9" t="s">
        <v>2314</v>
      </c>
      <c r="E476" t="s">
        <v>292</v>
      </c>
      <c r="F476" t="s">
        <v>74</v>
      </c>
      <c r="G476" t="s">
        <v>126</v>
      </c>
      <c r="H476" t="s">
        <v>102</v>
      </c>
      <c r="I476">
        <v>1</v>
      </c>
      <c r="J476" s="4">
        <v>151</v>
      </c>
      <c r="K476" s="4">
        <v>179.69</v>
      </c>
      <c r="L476" s="4">
        <f>K476-J476</f>
      </c>
      <c r="M476" s="4">
        <f>L476*16.67%</f>
      </c>
      <c r="N476" s="4">
        <f>(K476*6.9%)-(K476*6.9%)*10%</f>
      </c>
      <c r="O476" s="4">
        <f>K476*0.35%</f>
      </c>
      <c r="P476" s="4">
        <v>0.4</v>
      </c>
      <c r="Q476" s="4">
        <f>(N476+O476+P476)*20%</f>
      </c>
      <c r="R476" s="4">
        <f>N476+O476+P476+Q476</f>
      </c>
      <c r="S476" s="4">
        <v>0</v>
      </c>
      <c r="T476" s="4">
        <v>0</v>
      </c>
      <c r="U476" s="4">
        <v>0</v>
      </c>
      <c r="V476" s="4">
        <f>U476*20%</f>
      </c>
      <c r="W476" s="4">
        <v>1</v>
      </c>
      <c r="X476" s="4">
        <f>Q476+T476+V476</f>
      </c>
      <c r="Y476" s="4">
        <f>L476-M476-R476-S476-T476-U476-V476-W476</f>
      </c>
      <c r="Z476" s="4">
        <f>(Y476-AB476)/J476*100</f>
      </c>
      <c r="AA476" s="4">
        <f>M476-X476</f>
      </c>
      <c r="AC476" s="4">
        <f>Y476-AB476</f>
      </c>
      <c r="AH476" t="s">
        <v>1</v>
      </c>
    </row>
    <row r="477" spans="1:34" x14ac:dyDescent="0.25">
      <c r="A477" s="8">
        <v>46147.5</v>
      </c>
      <c r="B477" t="s">
        <v>2315</v>
      </c>
      <c r="C477" t="s">
        <v>1</v>
      </c>
      <c r="D477" s="9" t="s">
        <v>1</v>
      </c>
      <c r="E477" t="s">
        <v>1</v>
      </c>
      <c r="F477" t="s">
        <v>1</v>
      </c>
      <c r="G477" t="s">
        <v>1</v>
      </c>
      <c r="H477" t="s">
        <v>66</v>
      </c>
      <c r="I477">
        <v>1</v>
      </c>
      <c r="J477" s="4">
        <v>318</v>
      </c>
      <c r="K477" s="4">
        <v>400.68</v>
      </c>
      <c r="L477" s="4">
        <f>K477-J477</f>
      </c>
      <c r="M477" s="4">
        <f>L477*16.67%</f>
      </c>
      <c r="N477" s="4">
        <f>(K477*6.9%)-(K477*6.9%)*10%</f>
      </c>
      <c r="O477" s="4">
        <f>K477*0.35%</f>
      </c>
      <c r="P477" s="4">
        <v>0.4</v>
      </c>
      <c r="Q477" s="4">
        <f>(N477+O477+P477)*20%</f>
      </c>
      <c r="R477" s="4">
        <f>N477+O477+P477+Q477</f>
      </c>
      <c r="S477" s="4">
        <v>0</v>
      </c>
      <c r="T477" s="4">
        <v>0</v>
      </c>
      <c r="U477" s="4">
        <v>0</v>
      </c>
      <c r="V477" s="4">
        <f>U477*20%</f>
      </c>
      <c r="W477" s="4">
        <v>1</v>
      </c>
      <c r="X477" s="4">
        <f>Q477+T477+V477</f>
      </c>
      <c r="Y477" s="4">
        <f>L477-M477-R477-S477-T477-U477-V477-W477</f>
      </c>
      <c r="Z477" s="4">
        <f>(Y477-AB477)/J477*100</f>
      </c>
      <c r="AA477" s="4">
        <f>M477-X477</f>
      </c>
      <c r="AC477" s="4">
        <f>Y477-AB477</f>
      </c>
      <c r="AH477" t="s">
        <v>1</v>
      </c>
    </row>
    <row r="478" spans="1:34" x14ac:dyDescent="0.25">
      <c r="A478" s="8">
        <v>46147.5</v>
      </c>
      <c r="B478" t="s">
        <v>2316</v>
      </c>
      <c r="C478" t="s">
        <v>177</v>
      </c>
      <c r="D478" s="9" t="s">
        <v>1</v>
      </c>
      <c r="E478" t="s">
        <v>177</v>
      </c>
      <c r="F478" t="s">
        <v>1</v>
      </c>
      <c r="G478" t="s">
        <v>1</v>
      </c>
      <c r="H478" t="s">
        <v>78</v>
      </c>
      <c r="I478">
        <v>1</v>
      </c>
      <c r="J478" s="4">
        <v>0.15</v>
      </c>
      <c r="K478" s="4">
        <v>0.21</v>
      </c>
      <c r="L478" s="4">
        <f>K478-J478</f>
      </c>
      <c r="M478" s="4">
        <f>L478*16.67%</f>
      </c>
      <c r="N478" s="4">
        <f>(K478*6.9%)-(K478*6.9%)*10%</f>
      </c>
      <c r="O478" s="4">
        <f>K478*0.35%</f>
      </c>
      <c r="P478" s="4">
        <v>0.4</v>
      </c>
      <c r="Q478" s="4">
        <f>(N478+O478+P478)*20%</f>
      </c>
      <c r="R478" s="4">
        <f>N478+O478+P478+Q478</f>
      </c>
      <c r="S478" s="4">
        <v>0</v>
      </c>
      <c r="T478" s="4">
        <v>0</v>
      </c>
      <c r="U478" s="4">
        <v>0</v>
      </c>
      <c r="V478" s="4">
        <f>U478*20%</f>
      </c>
      <c r="W478" s="4">
        <v>0</v>
      </c>
      <c r="X478" s="4">
        <f>Q478+T478+V478</f>
      </c>
      <c r="Y478" s="4">
        <f>L478-M478-R478-S478-T478-U478-V478-W478</f>
      </c>
      <c r="Z478" s="4">
        <f>(Y478-AB478)/J478*100</f>
      </c>
      <c r="AA478" s="4">
        <f>M478-X478</f>
      </c>
      <c r="AC478" s="4">
        <f>Y478-AB478</f>
      </c>
      <c r="AH478" t="s">
        <v>1</v>
      </c>
    </row>
    <row r="479" spans="1:34" x14ac:dyDescent="0.25">
      <c r="A479" s="8">
        <v>46147.5</v>
      </c>
      <c r="B479" t="s">
        <v>2317</v>
      </c>
      <c r="C479" t="s">
        <v>185</v>
      </c>
      <c r="D479" s="9" t="s">
        <v>1</v>
      </c>
      <c r="E479" t="s">
        <v>185</v>
      </c>
      <c r="F479" t="s">
        <v>1</v>
      </c>
      <c r="G479" t="s">
        <v>1</v>
      </c>
      <c r="H479" t="s">
        <v>102</v>
      </c>
      <c r="I479">
        <v>4</v>
      </c>
      <c r="J479" s="4">
        <v>4.8</v>
      </c>
      <c r="K479" s="4">
        <v>6.91</v>
      </c>
      <c r="L479" s="4">
        <f>K479-J479</f>
      </c>
      <c r="M479" s="4">
        <f>L479*16.67%</f>
      </c>
      <c r="N479" s="4">
        <f>(K479*6.9%)-(K479*6.9%)*10%</f>
      </c>
      <c r="O479" s="4">
        <f>K479*0.35%</f>
      </c>
      <c r="P479" s="4">
        <v>0.4</v>
      </c>
      <c r="Q479" s="4">
        <f>(N479+O479+P479)*20%</f>
      </c>
      <c r="R479" s="4">
        <f>N479+O479+P479+Q479</f>
      </c>
      <c r="S479" s="4">
        <v>0</v>
      </c>
      <c r="T479" s="4">
        <v>0</v>
      </c>
      <c r="U479" s="4">
        <v>0</v>
      </c>
      <c r="V479" s="4">
        <f>U479*20%</f>
      </c>
      <c r="W479" s="4">
        <v>0</v>
      </c>
      <c r="X479" s="4">
        <f>Q479+T479+V479</f>
      </c>
      <c r="Y479" s="4">
        <f>L479-M479-R479-S479-T479-U479-V479-W479</f>
      </c>
      <c r="Z479" s="4">
        <f>(Y479-AB479)/J479*100</f>
      </c>
      <c r="AA479" s="4">
        <f>M479-X479</f>
      </c>
      <c r="AC479" s="4">
        <f>Y479-AB479</f>
      </c>
      <c r="AH479" t="s">
        <v>1</v>
      </c>
    </row>
    <row r="480" spans="1:34" x14ac:dyDescent="0.25">
      <c r="A480" s="8">
        <v>46146.5</v>
      </c>
      <c r="B480" t="s">
        <v>2318</v>
      </c>
      <c r="C480" t="s">
        <v>177</v>
      </c>
      <c r="D480" s="9" t="s">
        <v>1</v>
      </c>
      <c r="E480" t="s">
        <v>177</v>
      </c>
      <c r="F480" t="s">
        <v>1</v>
      </c>
      <c r="G480" t="s">
        <v>1</v>
      </c>
      <c r="H480" t="s">
        <v>78</v>
      </c>
      <c r="I480">
        <v>3</v>
      </c>
      <c r="J480" s="4">
        <v>0.45</v>
      </c>
      <c r="K480" s="4">
        <v>0.53</v>
      </c>
      <c r="L480" s="4">
        <f>K480-J480</f>
      </c>
      <c r="M480" s="4">
        <f>L480*16.67%</f>
      </c>
      <c r="N480" s="4">
        <f>(K480*6.9%)-(K480*6.9%)*10%</f>
      </c>
      <c r="O480" s="4">
        <f>K480*0.35%</f>
      </c>
      <c r="P480" s="4">
        <v>0.4</v>
      </c>
      <c r="Q480" s="4">
        <f>(N480+O480+P480)*20%</f>
      </c>
      <c r="R480" s="4">
        <f>N480+O480+P480+Q480</f>
      </c>
      <c r="S480" s="4">
        <v>0</v>
      </c>
      <c r="T480" s="4">
        <v>0</v>
      </c>
      <c r="U480" s="4">
        <v>0</v>
      </c>
      <c r="V480" s="4">
        <f>U480*20%</f>
      </c>
      <c r="W480" s="4">
        <v>0</v>
      </c>
      <c r="X480" s="4">
        <f>Q480+T480+V480</f>
      </c>
      <c r="Y480" s="4">
        <f>L480-M480-R480-S480-T480-U480-V480-W480</f>
      </c>
      <c r="Z480" s="4">
        <f>(Y480-AB480)/J480*100</f>
      </c>
      <c r="AA480" s="4">
        <f>M480-X480</f>
      </c>
      <c r="AC480" s="4">
        <f>Y480-AB480</f>
      </c>
      <c r="AH480" t="s">
        <v>1</v>
      </c>
    </row>
    <row r="481" spans="1:34" x14ac:dyDescent="0.25">
      <c r="A481" s="8">
        <v>46145.5</v>
      </c>
      <c r="B481" t="s">
        <v>2319</v>
      </c>
      <c r="C481" t="s">
        <v>1</v>
      </c>
      <c r="D481" s="9" t="s">
        <v>2320</v>
      </c>
      <c r="E481" t="s">
        <v>125</v>
      </c>
      <c r="F481" t="s">
        <v>70</v>
      </c>
      <c r="G481" t="s">
        <v>126</v>
      </c>
      <c r="H481" t="s">
        <v>75</v>
      </c>
      <c r="I481">
        <v>1</v>
      </c>
      <c r="J481" s="4">
        <v>257</v>
      </c>
      <c r="K481" s="4">
        <v>354.66</v>
      </c>
      <c r="L481" s="4">
        <f>K481-J481</f>
      </c>
      <c r="M481" s="4">
        <f>L481*16.67%</f>
      </c>
      <c r="N481" s="4">
        <f>(K481*6.9%)-(K481*6.9%)*10%</f>
      </c>
      <c r="O481" s="4">
        <f>K481*0.35%</f>
      </c>
      <c r="P481" s="4">
        <v>0.4</v>
      </c>
      <c r="Q481" s="4">
        <f>(N481+O481+P481)*20%</f>
      </c>
      <c r="R481" s="4">
        <f>N481+O481+P481+Q481</f>
      </c>
      <c r="S481" s="4">
        <v>0</v>
      </c>
      <c r="T481" s="4">
        <v>0</v>
      </c>
      <c r="U481" s="4">
        <v>0</v>
      </c>
      <c r="V481" s="4">
        <f>U481*20%</f>
      </c>
      <c r="W481" s="4">
        <v>1</v>
      </c>
      <c r="X481" s="4">
        <f>Q481+T481+V481</f>
      </c>
      <c r="Y481" s="4">
        <f>L481-M481-R481-S481-T481-U481-V481-W481</f>
      </c>
      <c r="Z481" s="4">
        <f>(Y481-AB481)/J481*100</f>
      </c>
      <c r="AA481" s="4">
        <f>M481-X481</f>
      </c>
      <c r="AC481" s="4">
        <f>Y481-AB481</f>
      </c>
      <c r="AH481" t="s">
        <v>1</v>
      </c>
    </row>
    <row r="482" spans="1:34" x14ac:dyDescent="0.25">
      <c r="A482" s="8">
        <v>46145.5</v>
      </c>
      <c r="B482" t="s">
        <v>2321</v>
      </c>
      <c r="C482" t="s">
        <v>182</v>
      </c>
      <c r="D482" s="9" t="s">
        <v>1</v>
      </c>
      <c r="E482" t="s">
        <v>182</v>
      </c>
      <c r="F482" t="s">
        <v>1</v>
      </c>
      <c r="G482" t="s">
        <v>1</v>
      </c>
      <c r="H482" t="s">
        <v>75</v>
      </c>
      <c r="I482">
        <v>3</v>
      </c>
      <c r="J482" s="4">
        <v>5.7</v>
      </c>
      <c r="K482" s="4">
        <v>6.73</v>
      </c>
      <c r="L482" s="4">
        <f>K482-J482</f>
      </c>
      <c r="M482" s="4">
        <f>L482*16.67%</f>
      </c>
      <c r="N482" s="4">
        <f>(K482*6.9%)-(K482*6.9%)*10%</f>
      </c>
      <c r="O482" s="4">
        <f>K482*0.35%</f>
      </c>
      <c r="P482" s="4">
        <v>0.4</v>
      </c>
      <c r="Q482" s="4">
        <f>(N482+O482+P482)*20%</f>
      </c>
      <c r="R482" s="4">
        <f>N482+O482+P482+Q482</f>
      </c>
      <c r="S482" s="4">
        <v>0</v>
      </c>
      <c r="T482" s="4">
        <v>0</v>
      </c>
      <c r="U482" s="4">
        <v>0</v>
      </c>
      <c r="V482" s="4">
        <f>U482*20%</f>
      </c>
      <c r="W482" s="4">
        <v>0</v>
      </c>
      <c r="X482" s="4">
        <f>Q482+T482+V482</f>
      </c>
      <c r="Y482" s="4">
        <f>L482-M482-R482-S482-T482-U482-V482-W482</f>
      </c>
      <c r="Z482" s="4">
        <f>(Y482-AB482)/J482*100</f>
      </c>
      <c r="AA482" s="4">
        <f>M482-X482</f>
      </c>
      <c r="AC482" s="4">
        <f>Y482-AB482</f>
      </c>
      <c r="AH482" t="s">
        <v>1</v>
      </c>
    </row>
    <row r="483" spans="1:34" x14ac:dyDescent="0.25">
      <c r="A483" s="8">
        <v>46144.5</v>
      </c>
      <c r="B483" t="s">
        <v>2322</v>
      </c>
      <c r="C483" t="s">
        <v>174</v>
      </c>
      <c r="D483" s="9" t="s">
        <v>1</v>
      </c>
      <c r="E483" t="s">
        <v>174</v>
      </c>
      <c r="F483" t="s">
        <v>1</v>
      </c>
      <c r="G483" t="s">
        <v>1</v>
      </c>
      <c r="H483" t="s">
        <v>66</v>
      </c>
      <c r="I483">
        <v>2</v>
      </c>
      <c r="J483" s="4">
        <v>8.5</v>
      </c>
      <c r="K483" s="4">
        <v>10.46</v>
      </c>
      <c r="L483" s="4">
        <f>K483-J483</f>
      </c>
      <c r="M483" s="4">
        <f>L483*16.67%</f>
      </c>
      <c r="N483" s="4">
        <f>(K483*6.9%)-(K483*6.9%)*10%</f>
      </c>
      <c r="O483" s="4">
        <f>K483*0.35%</f>
      </c>
      <c r="P483" s="4">
        <v>0.4</v>
      </c>
      <c r="Q483" s="4">
        <f>(N483+O483+P483)*20%</f>
      </c>
      <c r="R483" s="4">
        <f>N483+O483+P483+Q483</f>
      </c>
      <c r="S483" s="4">
        <v>0</v>
      </c>
      <c r="T483" s="4">
        <v>0</v>
      </c>
      <c r="U483" s="4">
        <v>0</v>
      </c>
      <c r="V483" s="4">
        <f>U483*20%</f>
      </c>
      <c r="W483" s="4">
        <v>0</v>
      </c>
      <c r="X483" s="4">
        <f>Q483+T483+V483</f>
      </c>
      <c r="Y483" s="4">
        <f>L483-M483-R483-S483-T483-U483-V483-W483</f>
      </c>
      <c r="Z483" s="4">
        <f>(Y483-AB483)/J483*100</f>
      </c>
      <c r="AA483" s="4">
        <f>M483-X483</f>
      </c>
      <c r="AC483" s="4">
        <f>Y483-AB483</f>
      </c>
      <c r="AH483" t="s">
        <v>1</v>
      </c>
    </row>
    <row r="484" spans="1:34" x14ac:dyDescent="0.25">
      <c r="A484" s="8">
        <v>46144.5</v>
      </c>
      <c r="B484" t="s">
        <v>2323</v>
      </c>
      <c r="C484" t="s">
        <v>177</v>
      </c>
      <c r="D484" s="9" t="s">
        <v>1</v>
      </c>
      <c r="E484" t="s">
        <v>177</v>
      </c>
      <c r="F484" t="s">
        <v>1</v>
      </c>
      <c r="G484" t="s">
        <v>1</v>
      </c>
      <c r="H484" t="s">
        <v>78</v>
      </c>
      <c r="I484">
        <v>2</v>
      </c>
      <c r="J484" s="4">
        <v>0.3</v>
      </c>
      <c r="K484" s="4">
        <v>0.43</v>
      </c>
      <c r="L484" s="4">
        <f>K484-J484</f>
      </c>
      <c r="M484" s="4">
        <f>L484*16.67%</f>
      </c>
      <c r="N484" s="4">
        <f>(K484*6.9%)-(K484*6.9%)*10%</f>
      </c>
      <c r="O484" s="4">
        <f>K484*0.35%</f>
      </c>
      <c r="P484" s="4">
        <v>0.4</v>
      </c>
      <c r="Q484" s="4">
        <f>(N484+O484+P484)*20%</f>
      </c>
      <c r="R484" s="4">
        <f>N484+O484+P484+Q484</f>
      </c>
      <c r="S484" s="4">
        <v>0</v>
      </c>
      <c r="T484" s="4">
        <v>0</v>
      </c>
      <c r="U484" s="4">
        <v>0</v>
      </c>
      <c r="V484" s="4">
        <f>U484*20%</f>
      </c>
      <c r="W484" s="4">
        <v>0</v>
      </c>
      <c r="X484" s="4">
        <f>Q484+T484+V484</f>
      </c>
      <c r="Y484" s="4">
        <f>L484-M484-R484-S484-T484-U484-V484-W484</f>
      </c>
      <c r="Z484" s="4">
        <f>(Y484-AB484)/J484*100</f>
      </c>
      <c r="AA484" s="4">
        <f>M484-X484</f>
      </c>
      <c r="AC484" s="4">
        <f>Y484-AB484</f>
      </c>
      <c r="AH484" t="s">
        <v>1</v>
      </c>
    </row>
    <row r="485" spans="1:34" x14ac:dyDescent="0.25">
      <c r="A485" s="8">
        <v>46142.5</v>
      </c>
      <c r="B485" t="s">
        <v>2324</v>
      </c>
      <c r="C485" t="s">
        <v>185</v>
      </c>
      <c r="D485" s="9" t="s">
        <v>1</v>
      </c>
      <c r="E485" t="s">
        <v>185</v>
      </c>
      <c r="F485" t="s">
        <v>1</v>
      </c>
      <c r="G485" t="s">
        <v>1</v>
      </c>
      <c r="H485" t="s">
        <v>102</v>
      </c>
      <c r="I485">
        <v>3</v>
      </c>
      <c r="J485" s="4">
        <v>3.6</v>
      </c>
      <c r="K485" s="4">
        <v>4.46</v>
      </c>
      <c r="L485" s="4">
        <f>K485-J485</f>
      </c>
      <c r="M485" s="4">
        <f>L485*16.67%</f>
      </c>
      <c r="N485" s="4">
        <f>(K485*6.9%)-(K485*6.9%)*10%</f>
      </c>
      <c r="O485" s="4">
        <f>K485*0.35%</f>
      </c>
      <c r="P485" s="4">
        <v>0.4</v>
      </c>
      <c r="Q485" s="4">
        <f>(N485+O485+P485)*20%</f>
      </c>
      <c r="R485" s="4">
        <f>N485+O485+P485+Q485</f>
      </c>
      <c r="S485" s="4">
        <v>0</v>
      </c>
      <c r="T485" s="4">
        <v>0</v>
      </c>
      <c r="U485" s="4">
        <v>0</v>
      </c>
      <c r="V485" s="4">
        <f>U485*20%</f>
      </c>
      <c r="W485" s="4">
        <v>0</v>
      </c>
      <c r="X485" s="4">
        <f>Q485+T485+V485</f>
      </c>
      <c r="Y485" s="4">
        <f>L485-M485-R485-S485-T485-U485-V485-W485</f>
      </c>
      <c r="Z485" s="4">
        <f>(Y485-AB485)/J485*100</f>
      </c>
      <c r="AA485" s="4">
        <f>M485-X485</f>
      </c>
      <c r="AC485" s="4">
        <f>Y485-AB485</f>
      </c>
      <c r="AH485" t="s">
        <v>1</v>
      </c>
    </row>
    <row r="486" spans="1:34" x14ac:dyDescent="0.25">
      <c r="A486" s="8">
        <v>46142.5</v>
      </c>
      <c r="B486" t="s">
        <v>2325</v>
      </c>
      <c r="C486" t="s">
        <v>177</v>
      </c>
      <c r="D486" s="9" t="s">
        <v>1</v>
      </c>
      <c r="E486" t="s">
        <v>177</v>
      </c>
      <c r="F486" t="s">
        <v>1</v>
      </c>
      <c r="G486" t="s">
        <v>1</v>
      </c>
      <c r="H486" t="s">
        <v>78</v>
      </c>
      <c r="I486">
        <v>2</v>
      </c>
      <c r="J486" s="4">
        <v>0.3</v>
      </c>
      <c r="K486" s="4">
        <v>0.42</v>
      </c>
      <c r="L486" s="4">
        <f>K486-J486</f>
      </c>
      <c r="M486" s="4">
        <f>L486*16.67%</f>
      </c>
      <c r="N486" s="4">
        <f>(K486*6.9%)-(K486*6.9%)*10%</f>
      </c>
      <c r="O486" s="4">
        <f>K486*0.35%</f>
      </c>
      <c r="P486" s="4">
        <v>0.4</v>
      </c>
      <c r="Q486" s="4">
        <f>(N486+O486+P486)*20%</f>
      </c>
      <c r="R486" s="4">
        <f>N486+O486+P486+Q486</f>
      </c>
      <c r="S486" s="4">
        <v>0</v>
      </c>
      <c r="T486" s="4">
        <v>0</v>
      </c>
      <c r="U486" s="4">
        <v>0</v>
      </c>
      <c r="V486" s="4">
        <f>U486*20%</f>
      </c>
      <c r="W486" s="4">
        <v>0</v>
      </c>
      <c r="X486" s="4">
        <f>Q486+T486+V486</f>
      </c>
      <c r="Y486" s="4">
        <f>L486-M486-R486-S486-T486-U486-V486-W486</f>
      </c>
      <c r="Z486" s="4">
        <f>(Y486-AB486)/J486*100</f>
      </c>
      <c r="AA486" s="4">
        <f>M486-X486</f>
      </c>
      <c r="AC486" s="4">
        <f>Y486-AB486</f>
      </c>
      <c r="AH486" t="s">
        <v>1</v>
      </c>
    </row>
    <row r="487" spans="1:34" x14ac:dyDescent="0.25">
      <c r="A487" s="8">
        <v>46142.5</v>
      </c>
      <c r="B487" t="s">
        <v>2326</v>
      </c>
      <c r="C487" t="s">
        <v>254</v>
      </c>
      <c r="D487" s="9" t="s">
        <v>1</v>
      </c>
      <c r="E487" t="s">
        <v>254</v>
      </c>
      <c r="F487" t="s">
        <v>1</v>
      </c>
      <c r="G487" t="s">
        <v>1</v>
      </c>
      <c r="H487" t="s">
        <v>61</v>
      </c>
      <c r="I487">
        <v>3</v>
      </c>
      <c r="J487" s="4">
        <v>2.4</v>
      </c>
      <c r="K487" s="4">
        <v>3.31</v>
      </c>
      <c r="L487" s="4">
        <f>K487-J487</f>
      </c>
      <c r="M487" s="4">
        <f>L487*16.67%</f>
      </c>
      <c r="N487" s="4">
        <f>(K487*6.9%)-(K487*6.9%)*10%</f>
      </c>
      <c r="O487" s="4">
        <f>K487*0.35%</f>
      </c>
      <c r="P487" s="4">
        <v>0.4</v>
      </c>
      <c r="Q487" s="4">
        <f>(N487+O487+P487)*20%</f>
      </c>
      <c r="R487" s="4">
        <f>N487+O487+P487+Q487</f>
      </c>
      <c r="S487" s="4">
        <v>0</v>
      </c>
      <c r="T487" s="4">
        <v>0</v>
      </c>
      <c r="U487" s="4">
        <v>0</v>
      </c>
      <c r="V487" s="4">
        <f>U487*20%</f>
      </c>
      <c r="W487" s="4">
        <v>0</v>
      </c>
      <c r="X487" s="4">
        <f>Q487+T487+V487</f>
      </c>
      <c r="Y487" s="4">
        <f>L487-M487-R487-S487-T487-U487-V487-W487</f>
      </c>
      <c r="Z487" s="4">
        <f>(Y487-AB487)/J487*100</f>
      </c>
      <c r="AA487" s="4">
        <f>M487-X487</f>
      </c>
      <c r="AC487" s="4">
        <f>Y487-AB487</f>
      </c>
      <c r="AH487" t="s">
        <v>1</v>
      </c>
    </row>
    <row r="488" spans="1:34" x14ac:dyDescent="0.25">
      <c r="A488" s="8">
        <v>46142.5</v>
      </c>
      <c r="B488" t="s">
        <v>2327</v>
      </c>
      <c r="C488" t="s">
        <v>182</v>
      </c>
      <c r="D488" s="9" t="s">
        <v>1</v>
      </c>
      <c r="E488" t="s">
        <v>182</v>
      </c>
      <c r="F488" t="s">
        <v>1</v>
      </c>
      <c r="G488" t="s">
        <v>1</v>
      </c>
      <c r="H488" t="s">
        <v>75</v>
      </c>
      <c r="I488">
        <v>4</v>
      </c>
      <c r="J488" s="4">
        <v>7.6</v>
      </c>
      <c r="K488" s="4">
        <v>9.8</v>
      </c>
      <c r="L488" s="4">
        <f>K488-J488</f>
      </c>
      <c r="M488" s="4">
        <f>L488*16.67%</f>
      </c>
      <c r="N488" s="4">
        <f>(K488*6.9%)-(K488*6.9%)*10%</f>
      </c>
      <c r="O488" s="4">
        <f>K488*0.35%</f>
      </c>
      <c r="P488" s="4">
        <v>0.4</v>
      </c>
      <c r="Q488" s="4">
        <f>(N488+O488+P488)*20%</f>
      </c>
      <c r="R488" s="4">
        <f>N488+O488+P488+Q488</f>
      </c>
      <c r="S488" s="4">
        <v>0</v>
      </c>
      <c r="T488" s="4">
        <v>0</v>
      </c>
      <c r="U488" s="4">
        <v>0</v>
      </c>
      <c r="V488" s="4">
        <f>U488*20%</f>
      </c>
      <c r="W488" s="4">
        <v>0</v>
      </c>
      <c r="X488" s="4">
        <f>Q488+T488+V488</f>
      </c>
      <c r="Y488" s="4">
        <f>L488-M488-R488-S488-T488-U488-V488-W488</f>
      </c>
      <c r="Z488" s="4">
        <f>(Y488-AB488)/J488*100</f>
      </c>
      <c r="AA488" s="4">
        <f>M488-X488</f>
      </c>
      <c r="AC488" s="4">
        <f>Y488-AB488</f>
      </c>
      <c r="AH488" t="s">
        <v>1</v>
      </c>
    </row>
    <row r="489" spans="1:34" x14ac:dyDescent="0.25">
      <c r="A489" s="8"/>
      <c r="D489" s="9"/>
      <c r="J489" s="4"/>
      <c r="K489" s="4"/>
      <c r="L489" s="4">
        <f>IF($K489="","",K489-J489)</f>
      </c>
      <c r="M489" s="4">
        <f>IF($K489="","",L489*16.67%)</f>
      </c>
      <c r="N489" s="4">
        <f>IF($K489="","",(K489*6.9%)-(K489*6.9%)*10%)</f>
      </c>
      <c r="O489" s="4">
        <f>IF($K489="","",K489*0.35%)</f>
      </c>
      <c r="P489" s="4">
        <v>0.4</v>
      </c>
      <c r="Q489" s="4">
        <f>IF($K489="","",(N489+O489+P489)*20%)</f>
      </c>
      <c r="R489" s="4">
        <f>IF($K489="","",N489+O489+P489+Q489)</f>
      </c>
      <c r="S489" s="4"/>
      <c r="T489" s="4"/>
      <c r="U489" s="4"/>
      <c r="V489" s="4">
        <f>IF($K489="","",U489*20%)</f>
      </c>
      <c r="W489" s="4">
        <v>1</v>
      </c>
      <c r="X489" s="4">
        <f>IF($K489="","",Q489+T489+V489)</f>
      </c>
      <c r="Y489" s="4">
        <f>IF($K489="","",L489-M489-R489-S489-T489-U489-V489-W489)</f>
      </c>
      <c r="Z489" s="4">
        <f>IF($K489="","",(Y489-AB489)/J489*100)</f>
      </c>
      <c r="AA489" s="4">
        <f>IF($K489="","",M489-X489)</f>
      </c>
      <c r="AC489" s="4">
        <f>IF($K489="","",Y489-AB489)</f>
      </c>
    </row>
    <row r="490" spans="1:34" x14ac:dyDescent="0.25">
      <c r="A490" s="8"/>
      <c r="D490" s="9"/>
      <c r="J490" s="4"/>
      <c r="K490" s="4"/>
      <c r="L490" s="4">
        <f>IF($K490="","",K490-J490)</f>
      </c>
      <c r="M490" s="4">
        <f>IF($K490="","",L490*16.67%)</f>
      </c>
      <c r="N490" s="4">
        <f>IF($K490="","",(K490*6.9%)-(K490*6.9%)*10%)</f>
      </c>
      <c r="O490" s="4">
        <f>IF($K490="","",K490*0.35%)</f>
      </c>
      <c r="P490" s="4">
        <v>0.4</v>
      </c>
      <c r="Q490" s="4">
        <f>IF($K490="","",(N490+O490+P490)*20%)</f>
      </c>
      <c r="R490" s="4">
        <f>IF($K490="","",N490+O490+P490+Q490)</f>
      </c>
      <c r="S490" s="4"/>
      <c r="T490" s="4"/>
      <c r="U490" s="4"/>
      <c r="V490" s="4">
        <f>IF($K490="","",U490*20%)</f>
      </c>
      <c r="W490" s="4">
        <v>1</v>
      </c>
      <c r="X490" s="4">
        <f>IF($K490="","",Q490+T490+V490)</f>
      </c>
      <c r="Y490" s="4">
        <f>IF($K490="","",L490-M490-R490-S490-T490-U490-V490-W490)</f>
      </c>
      <c r="Z490" s="4">
        <f>IF($K490="","",(Y490-AB490)/J490*100)</f>
      </c>
      <c r="AA490" s="4">
        <f>IF($K490="","",M490-X490)</f>
      </c>
      <c r="AC490" s="4">
        <f>IF($K490="","",Y490-AB490)</f>
      </c>
    </row>
    <row r="491" spans="1:34" x14ac:dyDescent="0.25">
      <c r="A491" s="8"/>
      <c r="D491" s="9"/>
      <c r="J491" s="4"/>
      <c r="K491" s="4"/>
      <c r="L491" s="4">
        <f>IF($K491="","",K491-J491)</f>
      </c>
      <c r="M491" s="4">
        <f>IF($K491="","",L491*16.67%)</f>
      </c>
      <c r="N491" s="4">
        <f>IF($K491="","",(K491*6.9%)-(K491*6.9%)*10%)</f>
      </c>
      <c r="O491" s="4">
        <f>IF($K491="","",K491*0.35%)</f>
      </c>
      <c r="P491" s="4">
        <v>0.4</v>
      </c>
      <c r="Q491" s="4">
        <f>IF($K491="","",(N491+O491+P491)*20%)</f>
      </c>
      <c r="R491" s="4">
        <f>IF($K491="","",N491+O491+P491+Q491)</f>
      </c>
      <c r="S491" s="4"/>
      <c r="T491" s="4"/>
      <c r="U491" s="4"/>
      <c r="V491" s="4">
        <f>IF($K491="","",U491*20%)</f>
      </c>
      <c r="W491" s="4">
        <v>1</v>
      </c>
      <c r="X491" s="4">
        <f>IF($K491="","",Q491+T491+V491)</f>
      </c>
      <c r="Y491" s="4">
        <f>IF($K491="","",L491-M491-R491-S491-T491-U491-V491-W491)</f>
      </c>
      <c r="Z491" s="4">
        <f>IF($K491="","",(Y491-AB491)/J491*100)</f>
      </c>
      <c r="AA491" s="4">
        <f>IF($K491="","",M491-X491)</f>
      </c>
      <c r="AC491" s="4">
        <f>IF($K491="","",Y491-AB491)</f>
      </c>
    </row>
    <row r="492" spans="1:34" x14ac:dyDescent="0.25">
      <c r="A492" s="8"/>
      <c r="D492" s="9"/>
      <c r="J492" s="4"/>
      <c r="K492" s="4"/>
      <c r="L492" s="4">
        <f>IF($K492="","",K492-J492)</f>
      </c>
      <c r="M492" s="4">
        <f>IF($K492="","",L492*16.67%)</f>
      </c>
      <c r="N492" s="4">
        <f>IF($K492="","",(K492*6.9%)-(K492*6.9%)*10%)</f>
      </c>
      <c r="O492" s="4">
        <f>IF($K492="","",K492*0.35%)</f>
      </c>
      <c r="P492" s="4">
        <v>0.4</v>
      </c>
      <c r="Q492" s="4">
        <f>IF($K492="","",(N492+O492+P492)*20%)</f>
      </c>
      <c r="R492" s="4">
        <f>IF($K492="","",N492+O492+P492+Q492)</f>
      </c>
      <c r="S492" s="4"/>
      <c r="T492" s="4"/>
      <c r="U492" s="4"/>
      <c r="V492" s="4">
        <f>IF($K492="","",U492*20%)</f>
      </c>
      <c r="W492" s="4">
        <v>1</v>
      </c>
      <c r="X492" s="4">
        <f>IF($K492="","",Q492+T492+V492)</f>
      </c>
      <c r="Y492" s="4">
        <f>IF($K492="","",L492-M492-R492-S492-T492-U492-V492-W492)</f>
      </c>
      <c r="Z492" s="4">
        <f>IF($K492="","",(Y492-AB492)/J492*100)</f>
      </c>
      <c r="AA492" s="4">
        <f>IF($K492="","",M492-X492)</f>
      </c>
      <c r="AC492" s="4">
        <f>IF($K492="","",Y492-AB492)</f>
      </c>
    </row>
    <row r="493" spans="1:34" x14ac:dyDescent="0.25">
      <c r="A493" s="8"/>
      <c r="D493" s="9"/>
      <c r="J493" s="4"/>
      <c r="K493" s="4"/>
      <c r="L493" s="4">
        <f>IF($K493="","",K493-J493)</f>
      </c>
      <c r="M493" s="4">
        <f>IF($K493="","",L493*16.67%)</f>
      </c>
      <c r="N493" s="4">
        <f>IF($K493="","",(K493*6.9%)-(K493*6.9%)*10%)</f>
      </c>
      <c r="O493" s="4">
        <f>IF($K493="","",K493*0.35%)</f>
      </c>
      <c r="P493" s="4">
        <v>0.4</v>
      </c>
      <c r="Q493" s="4">
        <f>IF($K493="","",(N493+O493+P493)*20%)</f>
      </c>
      <c r="R493" s="4">
        <f>IF($K493="","",N493+O493+P493+Q493)</f>
      </c>
      <c r="S493" s="4"/>
      <c r="T493" s="4"/>
      <c r="U493" s="4"/>
      <c r="V493" s="4">
        <f>IF($K493="","",U493*20%)</f>
      </c>
      <c r="W493" s="4">
        <v>1</v>
      </c>
      <c r="X493" s="4">
        <f>IF($K493="","",Q493+T493+V493)</f>
      </c>
      <c r="Y493" s="4">
        <f>IF($K493="","",L493-M493-R493-S493-T493-U493-V493-W493)</f>
      </c>
      <c r="Z493" s="4">
        <f>IF($K493="","",(Y493-AB493)/J493*100)</f>
      </c>
      <c r="AA493" s="4">
        <f>IF($K493="","",M493-X493)</f>
      </c>
      <c r="AC493" s="4">
        <f>IF($K493="","",Y493-AB493)</f>
      </c>
    </row>
    <row r="494" spans="1:34" x14ac:dyDescent="0.25">
      <c r="A494" s="8"/>
      <c r="D494" s="9"/>
      <c r="J494" s="4"/>
      <c r="K494" s="4"/>
      <c r="L494" s="4">
        <f>IF($K494="","",K494-J494)</f>
      </c>
      <c r="M494" s="4">
        <f>IF($K494="","",L494*16.67%)</f>
      </c>
      <c r="N494" s="4">
        <f>IF($K494="","",(K494*6.9%)-(K494*6.9%)*10%)</f>
      </c>
      <c r="O494" s="4">
        <f>IF($K494="","",K494*0.35%)</f>
      </c>
      <c r="P494" s="4">
        <v>0.4</v>
      </c>
      <c r="Q494" s="4">
        <f>IF($K494="","",(N494+O494+P494)*20%)</f>
      </c>
      <c r="R494" s="4">
        <f>IF($K494="","",N494+O494+P494+Q494)</f>
      </c>
      <c r="S494" s="4"/>
      <c r="T494" s="4"/>
      <c r="U494" s="4"/>
      <c r="V494" s="4">
        <f>IF($K494="","",U494*20%)</f>
      </c>
      <c r="W494" s="4">
        <v>1</v>
      </c>
      <c r="X494" s="4">
        <f>IF($K494="","",Q494+T494+V494)</f>
      </c>
      <c r="Y494" s="4">
        <f>IF($K494="","",L494-M494-R494-S494-T494-U494-V494-W494)</f>
      </c>
      <c r="Z494" s="4">
        <f>IF($K494="","",(Y494-AB494)/J494*100)</f>
      </c>
      <c r="AA494" s="4">
        <f>IF($K494="","",M494-X494)</f>
      </c>
      <c r="AC494" s="4">
        <f>IF($K494="","",Y494-AB494)</f>
      </c>
    </row>
    <row r="495" spans="1:34" x14ac:dyDescent="0.25">
      <c r="A495" s="8"/>
      <c r="D495" s="9"/>
      <c r="J495" s="4"/>
      <c r="K495" s="4"/>
      <c r="L495" s="4">
        <f>IF($K495="","",K495-J495)</f>
      </c>
      <c r="M495" s="4">
        <f>IF($K495="","",L495*16.67%)</f>
      </c>
      <c r="N495" s="4">
        <f>IF($K495="","",(K495*6.9%)-(K495*6.9%)*10%)</f>
      </c>
      <c r="O495" s="4">
        <f>IF($K495="","",K495*0.35%)</f>
      </c>
      <c r="P495" s="4">
        <v>0.4</v>
      </c>
      <c r="Q495" s="4">
        <f>IF($K495="","",(N495+O495+P495)*20%)</f>
      </c>
      <c r="R495" s="4">
        <f>IF($K495="","",N495+O495+P495+Q495)</f>
      </c>
      <c r="S495" s="4"/>
      <c r="T495" s="4"/>
      <c r="U495" s="4"/>
      <c r="V495" s="4">
        <f>IF($K495="","",U495*20%)</f>
      </c>
      <c r="W495" s="4">
        <v>1</v>
      </c>
      <c r="X495" s="4">
        <f>IF($K495="","",Q495+T495+V495)</f>
      </c>
      <c r="Y495" s="4">
        <f>IF($K495="","",L495-M495-R495-S495-T495-U495-V495-W495)</f>
      </c>
      <c r="Z495" s="4">
        <f>IF($K495="","",(Y495-AB495)/J495*100)</f>
      </c>
      <c r="AA495" s="4">
        <f>IF($K495="","",M495-X495)</f>
      </c>
      <c r="AC495" s="4">
        <f>IF($K495="","",Y495-AB495)</f>
      </c>
    </row>
    <row r="496" spans="1:34" x14ac:dyDescent="0.25">
      <c r="A496" s="8"/>
      <c r="D496" s="9"/>
      <c r="J496" s="4"/>
      <c r="K496" s="4"/>
      <c r="L496" s="4">
        <f>IF($K496="","",K496-J496)</f>
      </c>
      <c r="M496" s="4">
        <f>IF($K496="","",L496*16.67%)</f>
      </c>
      <c r="N496" s="4">
        <f>IF($K496="","",(K496*6.9%)-(K496*6.9%)*10%)</f>
      </c>
      <c r="O496" s="4">
        <f>IF($K496="","",K496*0.35%)</f>
      </c>
      <c r="P496" s="4">
        <v>0.4</v>
      </c>
      <c r="Q496" s="4">
        <f>IF($K496="","",(N496+O496+P496)*20%)</f>
      </c>
      <c r="R496" s="4">
        <f>IF($K496="","",N496+O496+P496+Q496)</f>
      </c>
      <c r="S496" s="4"/>
      <c r="T496" s="4"/>
      <c r="U496" s="4"/>
      <c r="V496" s="4">
        <f>IF($K496="","",U496*20%)</f>
      </c>
      <c r="W496" s="4">
        <v>1</v>
      </c>
      <c r="X496" s="4">
        <f>IF($K496="","",Q496+T496+V496)</f>
      </c>
      <c r="Y496" s="4">
        <f>IF($K496="","",L496-M496-R496-S496-T496-U496-V496-W496)</f>
      </c>
      <c r="Z496" s="4">
        <f>IF($K496="","",(Y496-AB496)/J496*100)</f>
      </c>
      <c r="AA496" s="4">
        <f>IF($K496="","",M496-X496)</f>
      </c>
      <c r="AC496" s="4">
        <f>IF($K496="","",Y496-AB496)</f>
      </c>
    </row>
    <row r="497" spans="1:34" x14ac:dyDescent="0.25">
      <c r="A497" s="8"/>
      <c r="D497" s="9"/>
      <c r="J497" s="4"/>
      <c r="K497" s="4"/>
      <c r="L497" s="4">
        <f>IF($K497="","",K497-J497)</f>
      </c>
      <c r="M497" s="4">
        <f>IF($K497="","",L497*16.67%)</f>
      </c>
      <c r="N497" s="4">
        <f>IF($K497="","",(K497*6.9%)-(K497*6.9%)*10%)</f>
      </c>
      <c r="O497" s="4">
        <f>IF($K497="","",K497*0.35%)</f>
      </c>
      <c r="P497" s="4">
        <v>0.4</v>
      </c>
      <c r="Q497" s="4">
        <f>IF($K497="","",(N497+O497+P497)*20%)</f>
      </c>
      <c r="R497" s="4">
        <f>IF($K497="","",N497+O497+P497+Q497)</f>
      </c>
      <c r="S497" s="4"/>
      <c r="T497" s="4"/>
      <c r="U497" s="4"/>
      <c r="V497" s="4">
        <f>IF($K497="","",U497*20%)</f>
      </c>
      <c r="W497" s="4">
        <v>1</v>
      </c>
      <c r="X497" s="4">
        <f>IF($K497="","",Q497+T497+V497)</f>
      </c>
      <c r="Y497" s="4">
        <f>IF($K497="","",L497-M497-R497-S497-T497-U497-V497-W497)</f>
      </c>
      <c r="Z497" s="4">
        <f>IF($K497="","",(Y497-AB497)/J497*100)</f>
      </c>
      <c r="AA497" s="4">
        <f>IF($K497="","",M497-X497)</f>
      </c>
      <c r="AC497" s="4">
        <f>IF($K497="","",Y497-AB497)</f>
      </c>
    </row>
    <row r="498" spans="1:34" x14ac:dyDescent="0.25">
      <c r="A498" s="8"/>
      <c r="D498" s="9"/>
      <c r="J498" s="4"/>
      <c r="K498" s="4"/>
      <c r="L498" s="4">
        <f>IF($K498="","",K498-J498)</f>
      </c>
      <c r="M498" s="4">
        <f>IF($K498="","",L498*16.67%)</f>
      </c>
      <c r="N498" s="4">
        <f>IF($K498="","",(K498*6.9%)-(K498*6.9%)*10%)</f>
      </c>
      <c r="O498" s="4">
        <f>IF($K498="","",K498*0.35%)</f>
      </c>
      <c r="P498" s="4">
        <v>0.4</v>
      </c>
      <c r="Q498" s="4">
        <f>IF($K498="","",(N498+O498+P498)*20%)</f>
      </c>
      <c r="R498" s="4">
        <f>IF($K498="","",N498+O498+P498+Q498)</f>
      </c>
      <c r="S498" s="4"/>
      <c r="T498" s="4"/>
      <c r="U498" s="4"/>
      <c r="V498" s="4">
        <f>IF($K498="","",U498*20%)</f>
      </c>
      <c r="W498" s="4">
        <v>1</v>
      </c>
      <c r="X498" s="4">
        <f>IF($K498="","",Q498+T498+V498)</f>
      </c>
      <c r="Y498" s="4">
        <f>IF($K498="","",L498-M498-R498-S498-T498-U498-V498-W498)</f>
      </c>
      <c r="Z498" s="4">
        <f>IF($K498="","",(Y498-AB498)/J498*100)</f>
      </c>
      <c r="AA498" s="4">
        <f>IF($K498="","",M498-X498)</f>
      </c>
      <c r="AC498" s="4">
        <f>IF($K498="","",Y498-AB498)</f>
      </c>
    </row>
    <row r="499" spans="1:34" x14ac:dyDescent="0.25">
      <c r="A499" s="8"/>
      <c r="D499" s="9"/>
      <c r="J499" s="4"/>
      <c r="K499" s="4"/>
      <c r="L499" s="4">
        <f>IF($K499="","",K499-J499)</f>
      </c>
      <c r="M499" s="4">
        <f>IF($K499="","",L499*16.67%)</f>
      </c>
      <c r="N499" s="4">
        <f>IF($K499="","",(K499*6.9%)-(K499*6.9%)*10%)</f>
      </c>
      <c r="O499" s="4">
        <f>IF($K499="","",K499*0.35%)</f>
      </c>
      <c r="P499" s="4">
        <v>0.4</v>
      </c>
      <c r="Q499" s="4">
        <f>IF($K499="","",(N499+O499+P499)*20%)</f>
      </c>
      <c r="R499" s="4">
        <f>IF($K499="","",N499+O499+P499+Q499)</f>
      </c>
      <c r="S499" s="4"/>
      <c r="T499" s="4"/>
      <c r="U499" s="4"/>
      <c r="V499" s="4">
        <f>IF($K499="","",U499*20%)</f>
      </c>
      <c r="W499" s="4">
        <v>1</v>
      </c>
      <c r="X499" s="4">
        <f>IF($K499="","",Q499+T499+V499)</f>
      </c>
      <c r="Y499" s="4">
        <f>IF($K499="","",L499-M499-R499-S499-T499-U499-V499-W499)</f>
      </c>
      <c r="Z499" s="4">
        <f>IF($K499="","",(Y499-AB499)/J499*100)</f>
      </c>
      <c r="AA499" s="4">
        <f>IF($K499="","",M499-X499)</f>
      </c>
      <c r="AC499" s="4">
        <f>IF($K499="","",Y499-AB499)</f>
      </c>
    </row>
    <row r="500" spans="1:34" x14ac:dyDescent="0.25">
      <c r="A500" s="8"/>
      <c r="D500" s="9"/>
      <c r="J500" s="4"/>
      <c r="K500" s="4"/>
      <c r="L500" s="4">
        <f>IF($K500="","",K500-J500)</f>
      </c>
      <c r="M500" s="4">
        <f>IF($K500="","",L500*16.67%)</f>
      </c>
      <c r="N500" s="4">
        <f>IF($K500="","",(K500*6.9%)-(K500*6.9%)*10%)</f>
      </c>
      <c r="O500" s="4">
        <f>IF($K500="","",K500*0.35%)</f>
      </c>
      <c r="P500" s="4">
        <v>0.4</v>
      </c>
      <c r="Q500" s="4">
        <f>IF($K500="","",(N500+O500+P500)*20%)</f>
      </c>
      <c r="R500" s="4">
        <f>IF($K500="","",N500+O500+P500+Q500)</f>
      </c>
      <c r="S500" s="4"/>
      <c r="T500" s="4"/>
      <c r="U500" s="4"/>
      <c r="V500" s="4">
        <f>IF($K500="","",U500*20%)</f>
      </c>
      <c r="W500" s="4">
        <v>1</v>
      </c>
      <c r="X500" s="4">
        <f>IF($K500="","",Q500+T500+V500)</f>
      </c>
      <c r="Y500" s="4">
        <f>IF($K500="","",L500-M500-R500-S500-T500-U500-V500-W500)</f>
      </c>
      <c r="Z500" s="4">
        <f>IF($K500="","",(Y500-AB500)/J500*100)</f>
      </c>
      <c r="AA500" s="4">
        <f>IF($K500="","",M500-X500)</f>
      </c>
      <c r="AC500" s="4">
        <f>IF($K500="","",Y500-AB500)</f>
      </c>
    </row>
    <row r="501" spans="1:34" x14ac:dyDescent="0.25">
      <c r="A501" s="8"/>
      <c r="D501" s="9"/>
      <c r="J501" s="4"/>
      <c r="K501" s="4"/>
      <c r="L501" s="4">
        <f>IF($K501="","",K501-J501)</f>
      </c>
      <c r="M501" s="4">
        <f>IF($K501="","",L501*16.67%)</f>
      </c>
      <c r="N501" s="4">
        <f>IF($K501="","",(K501*6.9%)-(K501*6.9%)*10%)</f>
      </c>
      <c r="O501" s="4">
        <f>IF($K501="","",K501*0.35%)</f>
      </c>
      <c r="P501" s="4">
        <v>0.4</v>
      </c>
      <c r="Q501" s="4">
        <f>IF($K501="","",(N501+O501+P501)*20%)</f>
      </c>
      <c r="R501" s="4">
        <f>IF($K501="","",N501+O501+P501+Q501)</f>
      </c>
      <c r="S501" s="4"/>
      <c r="T501" s="4"/>
      <c r="U501" s="4"/>
      <c r="V501" s="4">
        <f>IF($K501="","",U501*20%)</f>
      </c>
      <c r="W501" s="4">
        <v>1</v>
      </c>
      <c r="X501" s="4">
        <f>IF($K501="","",Q501+T501+V501)</f>
      </c>
      <c r="Y501" s="4">
        <f>IF($K501="","",L501-M501-R501-S501-T501-U501-V501-W501)</f>
      </c>
      <c r="Z501" s="4">
        <f>IF($K501="","",(Y501-AB501)/J501*100)</f>
      </c>
      <c r="AA501" s="4">
        <f>IF($K501="","",M501-X501)</f>
      </c>
      <c r="AC501" s="4">
        <f>IF($K501="","",Y501-AB501)</f>
      </c>
    </row>
    <row r="502" spans="1:34" x14ac:dyDescent="0.25">
      <c r="A502" s="8"/>
      <c r="D502" s="9"/>
      <c r="J502" s="4"/>
      <c r="K502" s="4"/>
      <c r="L502" s="4">
        <f>IF($K502="","",K502-J502)</f>
      </c>
      <c r="M502" s="4">
        <f>IF($K502="","",L502*16.67%)</f>
      </c>
      <c r="N502" s="4">
        <f>IF($K502="","",(K502*6.9%)-(K502*6.9%)*10%)</f>
      </c>
      <c r="O502" s="4">
        <f>IF($K502="","",K502*0.35%)</f>
      </c>
      <c r="P502" s="4">
        <v>0.4</v>
      </c>
      <c r="Q502" s="4">
        <f>IF($K502="","",(N502+O502+P502)*20%)</f>
      </c>
      <c r="R502" s="4">
        <f>IF($K502="","",N502+O502+P502+Q502)</f>
      </c>
      <c r="S502" s="4"/>
      <c r="T502" s="4"/>
      <c r="U502" s="4"/>
      <c r="V502" s="4">
        <f>IF($K502="","",U502*20%)</f>
      </c>
      <c r="W502" s="4">
        <v>1</v>
      </c>
      <c r="X502" s="4">
        <f>IF($K502="","",Q502+T502+V502)</f>
      </c>
      <c r="Y502" s="4">
        <f>IF($K502="","",L502-M502-R502-S502-T502-U502-V502-W502)</f>
      </c>
      <c r="Z502" s="4">
        <f>IF($K502="","",(Y502-AB502)/J502*100)</f>
      </c>
      <c r="AA502" s="4">
        <f>IF($K502="","",M502-X502)</f>
      </c>
      <c r="AC502" s="4">
        <f>IF($K502="","",Y502-AB502)</f>
      </c>
    </row>
    <row r="503" spans="1:34" x14ac:dyDescent="0.25">
      <c r="A503" s="8"/>
      <c r="D503" s="9"/>
      <c r="J503" s="4"/>
      <c r="K503" s="4"/>
      <c r="L503" s="4">
        <f>IF($K503="","",K503-J503)</f>
      </c>
      <c r="M503" s="4">
        <f>IF($K503="","",L503*16.67%)</f>
      </c>
      <c r="N503" s="4">
        <f>IF($K503="","",(K503*6.9%)-(K503*6.9%)*10%)</f>
      </c>
      <c r="O503" s="4">
        <f>IF($K503="","",K503*0.35%)</f>
      </c>
      <c r="P503" s="4">
        <v>0.4</v>
      </c>
      <c r="Q503" s="4">
        <f>IF($K503="","",(N503+O503+P503)*20%)</f>
      </c>
      <c r="R503" s="4">
        <f>IF($K503="","",N503+O503+P503+Q503)</f>
      </c>
      <c r="S503" s="4"/>
      <c r="T503" s="4"/>
      <c r="U503" s="4"/>
      <c r="V503" s="4">
        <f>IF($K503="","",U503*20%)</f>
      </c>
      <c r="W503" s="4">
        <v>1</v>
      </c>
      <c r="X503" s="4">
        <f>IF($K503="","",Q503+T503+V503)</f>
      </c>
      <c r="Y503" s="4">
        <f>IF($K503="","",L503-M503-R503-S503-T503-U503-V503-W503)</f>
      </c>
      <c r="Z503" s="4">
        <f>IF($K503="","",(Y503-AB503)/J503*100)</f>
      </c>
      <c r="AA503" s="4">
        <f>IF($K503="","",M503-X503)</f>
      </c>
      <c r="AC503" s="4">
        <f>IF($K503="","",Y503-AB503)</f>
      </c>
    </row>
    <row r="504" spans="1:34" x14ac:dyDescent="0.25">
      <c r="A504" s="8"/>
      <c r="D504" s="9"/>
      <c r="J504" s="4"/>
      <c r="K504" s="4"/>
      <c r="L504" s="4">
        <f>IF($K504="","",K504-J504)</f>
      </c>
      <c r="M504" s="4">
        <f>IF($K504="","",L504*16.67%)</f>
      </c>
      <c r="N504" s="4">
        <f>IF($K504="","",(K504*6.9%)-(K504*6.9%)*10%)</f>
      </c>
      <c r="O504" s="4">
        <f>IF($K504="","",K504*0.35%)</f>
      </c>
      <c r="P504" s="4">
        <v>0.4</v>
      </c>
      <c r="Q504" s="4">
        <f>IF($K504="","",(N504+O504+P504)*20%)</f>
      </c>
      <c r="R504" s="4">
        <f>IF($K504="","",N504+O504+P504+Q504)</f>
      </c>
      <c r="S504" s="4"/>
      <c r="T504" s="4"/>
      <c r="U504" s="4"/>
      <c r="V504" s="4">
        <f>IF($K504="","",U504*20%)</f>
      </c>
      <c r="W504" s="4">
        <v>1</v>
      </c>
      <c r="X504" s="4">
        <f>IF($K504="","",Q504+T504+V504)</f>
      </c>
      <c r="Y504" s="4">
        <f>IF($K504="","",L504-M504-R504-S504-T504-U504-V504-W504)</f>
      </c>
      <c r="Z504" s="4">
        <f>IF($K504="","",(Y504-AB504)/J504*100)</f>
      </c>
      <c r="AA504" s="4">
        <f>IF($K504="","",M504-X504)</f>
      </c>
      <c r="AC504" s="4">
        <f>IF($K504="","",Y504-AB504)</f>
      </c>
    </row>
    <row r="505" spans="1:34" x14ac:dyDescent="0.25">
      <c r="A505" s="8"/>
      <c r="D505" s="9"/>
      <c r="J505" s="4"/>
      <c r="K505" s="4"/>
      <c r="L505" s="4">
        <f>IF($K505="","",K505-J505)</f>
      </c>
      <c r="M505" s="4">
        <f>IF($K505="","",L505*16.67%)</f>
      </c>
      <c r="N505" s="4">
        <f>IF($K505="","",(K505*6.9%)-(K505*6.9%)*10%)</f>
      </c>
      <c r="O505" s="4">
        <f>IF($K505="","",K505*0.35%)</f>
      </c>
      <c r="P505" s="4">
        <v>0.4</v>
      </c>
      <c r="Q505" s="4">
        <f>IF($K505="","",(N505+O505+P505)*20%)</f>
      </c>
      <c r="R505" s="4">
        <f>IF($K505="","",N505+O505+P505+Q505)</f>
      </c>
      <c r="S505" s="4"/>
      <c r="T505" s="4"/>
      <c r="U505" s="4"/>
      <c r="V505" s="4">
        <f>IF($K505="","",U505*20%)</f>
      </c>
      <c r="W505" s="4">
        <v>1</v>
      </c>
      <c r="X505" s="4">
        <f>IF($K505="","",Q505+T505+V505)</f>
      </c>
      <c r="Y505" s="4">
        <f>IF($K505="","",L505-M505-R505-S505-T505-U505-V505-W505)</f>
      </c>
      <c r="Z505" s="4">
        <f>IF($K505="","",(Y505-AB505)/J505*100)</f>
      </c>
      <c r="AA505" s="4">
        <f>IF($K505="","",M505-X505)</f>
      </c>
      <c r="AC505" s="4">
        <f>IF($K505="","",Y505-AB505)</f>
      </c>
    </row>
    <row r="506" spans="1:34" x14ac:dyDescent="0.25">
      <c r="A506" s="8"/>
      <c r="D506" s="9"/>
      <c r="J506" s="4"/>
      <c r="K506" s="4"/>
      <c r="L506" s="4">
        <f>IF($K506="","",K506-J506)</f>
      </c>
      <c r="M506" s="4">
        <f>IF($K506="","",L506*16.67%)</f>
      </c>
      <c r="N506" s="4">
        <f>IF($K506="","",(K506*6.9%)-(K506*6.9%)*10%)</f>
      </c>
      <c r="O506" s="4">
        <f>IF($K506="","",K506*0.35%)</f>
      </c>
      <c r="P506" s="4">
        <v>0.4</v>
      </c>
      <c r="Q506" s="4">
        <f>IF($K506="","",(N506+O506+P506)*20%)</f>
      </c>
      <c r="R506" s="4">
        <f>IF($K506="","",N506+O506+P506+Q506)</f>
      </c>
      <c r="S506" s="4"/>
      <c r="T506" s="4"/>
      <c r="U506" s="4"/>
      <c r="V506" s="4">
        <f>IF($K506="","",U506*20%)</f>
      </c>
      <c r="W506" s="4">
        <v>1</v>
      </c>
      <c r="X506" s="4">
        <f>IF($K506="","",Q506+T506+V506)</f>
      </c>
      <c r="Y506" s="4">
        <f>IF($K506="","",L506-M506-R506-S506-T506-U506-V506-W506)</f>
      </c>
      <c r="Z506" s="4">
        <f>IF($K506="","",(Y506-AB506)/J506*100)</f>
      </c>
      <c r="AA506" s="4">
        <f>IF($K506="","",M506-X506)</f>
      </c>
      <c r="AC506" s="4">
        <f>IF($K506="","",Y506-AB506)</f>
      </c>
    </row>
    <row r="507" spans="1:34" x14ac:dyDescent="0.25">
      <c r="A507" s="8"/>
      <c r="D507" s="9"/>
      <c r="J507" s="4"/>
      <c r="K507" s="4"/>
      <c r="L507" s="4">
        <f>IF($K507="","",K507-J507)</f>
      </c>
      <c r="M507" s="4">
        <f>IF($K507="","",L507*16.67%)</f>
      </c>
      <c r="N507" s="4">
        <f>IF($K507="","",(K507*6.9%)-(K507*6.9%)*10%)</f>
      </c>
      <c r="O507" s="4">
        <f>IF($K507="","",K507*0.35%)</f>
      </c>
      <c r="P507" s="4">
        <v>0.4</v>
      </c>
      <c r="Q507" s="4">
        <f>IF($K507="","",(N507+O507+P507)*20%)</f>
      </c>
      <c r="R507" s="4">
        <f>IF($K507="","",N507+O507+P507+Q507)</f>
      </c>
      <c r="S507" s="4"/>
      <c r="T507" s="4"/>
      <c r="U507" s="4"/>
      <c r="V507" s="4">
        <f>IF($K507="","",U507*20%)</f>
      </c>
      <c r="W507" s="4">
        <v>1</v>
      </c>
      <c r="X507" s="4">
        <f>IF($K507="","",Q507+T507+V507)</f>
      </c>
      <c r="Y507" s="4">
        <f>IF($K507="","",L507-M507-R507-S507-T507-U507-V507-W507)</f>
      </c>
      <c r="Z507" s="4">
        <f>IF($K507="","",(Y507-AB507)/J507*100)</f>
      </c>
      <c r="AA507" s="4">
        <f>IF($K507="","",M507-X507)</f>
      </c>
      <c r="AC507" s="4">
        <f>IF($K507="","",Y507-AB507)</f>
      </c>
    </row>
    <row r="508" spans="1:34" x14ac:dyDescent="0.25">
      <c r="A508" s="8"/>
      <c r="D508" s="9"/>
      <c r="J508" s="4"/>
      <c r="K508" s="4"/>
      <c r="L508" s="4">
        <f>IF($K508="","",K508-J508)</f>
      </c>
      <c r="M508" s="4">
        <f>IF($K508="","",L508*16.67%)</f>
      </c>
      <c r="N508" s="4">
        <f>IF($K508="","",(K508*6.9%)-(K508*6.9%)*10%)</f>
      </c>
      <c r="O508" s="4">
        <f>IF($K508="","",K508*0.35%)</f>
      </c>
      <c r="P508" s="4">
        <v>0.4</v>
      </c>
      <c r="Q508" s="4">
        <f>IF($K508="","",(N508+O508+P508)*20%)</f>
      </c>
      <c r="R508" s="4">
        <f>IF($K508="","",N508+O508+P508+Q508)</f>
      </c>
      <c r="S508" s="4"/>
      <c r="T508" s="4"/>
      <c r="U508" s="4"/>
      <c r="V508" s="4">
        <f>IF($K508="","",U508*20%)</f>
      </c>
      <c r="W508" s="4">
        <v>1</v>
      </c>
      <c r="X508" s="4">
        <f>IF($K508="","",Q508+T508+V508)</f>
      </c>
      <c r="Y508" s="4">
        <f>IF($K508="","",L508-M508-R508-S508-T508-U508-V508-W508)</f>
      </c>
      <c r="Z508" s="4">
        <f>IF($K508="","",(Y508-AB508)/J508*100)</f>
      </c>
      <c r="AA508" s="4">
        <f>IF($K508="","",M508-X508)</f>
      </c>
      <c r="AC508" s="4">
        <f>IF($K508="","",Y508-AB508)</f>
      </c>
    </row>
    <row r="509" spans="1:34" x14ac:dyDescent="0.25">
      <c r="A509" s="8"/>
      <c r="D509" s="9"/>
      <c r="J509" s="4"/>
      <c r="K509" s="4"/>
      <c r="L509" s="4">
        <f>IF($K509="","",K509-J509)</f>
      </c>
      <c r="M509" s="4">
        <f>IF($K509="","",L509*16.67%)</f>
      </c>
      <c r="N509" s="4">
        <f>IF($K509="","",(K509*6.9%)-(K509*6.9%)*10%)</f>
      </c>
      <c r="O509" s="4">
        <f>IF($K509="","",K509*0.35%)</f>
      </c>
      <c r="P509" s="4">
        <v>0.4</v>
      </c>
      <c r="Q509" s="4">
        <f>IF($K509="","",(N509+O509+P509)*20%)</f>
      </c>
      <c r="R509" s="4">
        <f>IF($K509="","",N509+O509+P509+Q509)</f>
      </c>
      <c r="S509" s="4"/>
      <c r="T509" s="4"/>
      <c r="U509" s="4"/>
      <c r="V509" s="4">
        <f>IF($K509="","",U509*20%)</f>
      </c>
      <c r="W509" s="4">
        <v>1</v>
      </c>
      <c r="X509" s="4">
        <f>IF($K509="","",Q509+T509+V509)</f>
      </c>
      <c r="Y509" s="4">
        <f>IF($K509="","",L509-M509-R509-S509-T509-U509-V509-W509)</f>
      </c>
      <c r="Z509" s="4">
        <f>IF($K509="","",(Y509-AB509)/J509*100)</f>
      </c>
      <c r="AA509" s="4">
        <f>IF($K509="","",M509-X509)</f>
      </c>
      <c r="AC509" s="4">
        <f>IF($K509="","",Y509-AB509)</f>
      </c>
    </row>
    <row r="510" spans="1:34" x14ac:dyDescent="0.25">
      <c r="A510" s="8"/>
      <c r="D510" s="9"/>
      <c r="J510" s="4"/>
      <c r="K510" s="4"/>
      <c r="L510" s="4">
        <f>IF($K510="","",K510-J510)</f>
      </c>
      <c r="M510" s="4">
        <f>IF($K510="","",L510*16.67%)</f>
      </c>
      <c r="N510" s="4">
        <f>IF($K510="","",(K510*6.9%)-(K510*6.9%)*10%)</f>
      </c>
      <c r="O510" s="4">
        <f>IF($K510="","",K510*0.35%)</f>
      </c>
      <c r="P510" s="4">
        <v>0.4</v>
      </c>
      <c r="Q510" s="4">
        <f>IF($K510="","",(N510+O510+P510)*20%)</f>
      </c>
      <c r="R510" s="4">
        <f>IF($K510="","",N510+O510+P510+Q510)</f>
      </c>
      <c r="S510" s="4"/>
      <c r="T510" s="4"/>
      <c r="U510" s="4"/>
      <c r="V510" s="4">
        <f>IF($K510="","",U510*20%)</f>
      </c>
      <c r="W510" s="4">
        <v>1</v>
      </c>
      <c r="X510" s="4">
        <f>IF($K510="","",Q510+T510+V510)</f>
      </c>
      <c r="Y510" s="4">
        <f>IF($K510="","",L510-M510-R510-S510-T510-U510-V510-W510)</f>
      </c>
      <c r="Z510" s="4">
        <f>IF($K510="","",(Y510-AB510)/J510*100)</f>
      </c>
      <c r="AA510" s="4">
        <f>IF($K510="","",M510-X510)</f>
      </c>
      <c r="AC510" s="4">
        <f>IF($K510="","",Y510-AB510)</f>
      </c>
    </row>
    <row r="511" spans="1:34" x14ac:dyDescent="0.25">
      <c r="A511" s="8"/>
      <c r="D511" s="9"/>
      <c r="J511" s="4"/>
      <c r="K511" s="4"/>
      <c r="L511" s="4">
        <f>IF($K511="","",K511-J511)</f>
      </c>
      <c r="M511" s="4">
        <f>IF($K511="","",L511*16.67%)</f>
      </c>
      <c r="N511" s="4">
        <f>IF($K511="","",(K511*6.9%)-(K511*6.9%)*10%)</f>
      </c>
      <c r="O511" s="4">
        <f>IF($K511="","",K511*0.35%)</f>
      </c>
      <c r="P511" s="4">
        <v>0.4</v>
      </c>
      <c r="Q511" s="4">
        <f>IF($K511="","",(N511+O511+P511)*20%)</f>
      </c>
      <c r="R511" s="4">
        <f>IF($K511="","",N511+O511+P511+Q511)</f>
      </c>
      <c r="S511" s="4"/>
      <c r="T511" s="4"/>
      <c r="U511" s="4"/>
      <c r="V511" s="4">
        <f>IF($K511="","",U511*20%)</f>
      </c>
      <c r="W511" s="4">
        <v>1</v>
      </c>
      <c r="X511" s="4">
        <f>IF($K511="","",Q511+T511+V511)</f>
      </c>
      <c r="Y511" s="4">
        <f>IF($K511="","",L511-M511-R511-S511-T511-U511-V511-W511)</f>
      </c>
      <c r="Z511" s="4">
        <f>IF($K511="","",(Y511-AB511)/J511*100)</f>
      </c>
      <c r="AA511" s="4">
        <f>IF($K511="","",M511-X511)</f>
      </c>
      <c r="AC511" s="4">
        <f>IF($K511="","",Y511-AB511)</f>
      </c>
    </row>
    <row r="512" spans="1:34" x14ac:dyDescent="0.25">
      <c r="A512" s="8"/>
      <c r="D512" s="9"/>
      <c r="J512" s="4"/>
      <c r="K512" s="4"/>
      <c r="L512" s="4">
        <f>IF($K512="","",K512-J512)</f>
      </c>
      <c r="M512" s="4">
        <f>IF($K512="","",L512*16.67%)</f>
      </c>
      <c r="N512" s="4">
        <f>IF($K512="","",(K512*6.9%)-(K512*6.9%)*10%)</f>
      </c>
      <c r="O512" s="4">
        <f>IF($K512="","",K512*0.35%)</f>
      </c>
      <c r="P512" s="4">
        <v>0.4</v>
      </c>
      <c r="Q512" s="4">
        <f>IF($K512="","",(N512+O512+P512)*20%)</f>
      </c>
      <c r="R512" s="4">
        <f>IF($K512="","",N512+O512+P512+Q512)</f>
      </c>
      <c r="S512" s="4"/>
      <c r="T512" s="4"/>
      <c r="U512" s="4"/>
      <c r="V512" s="4">
        <f>IF($K512="","",U512*20%)</f>
      </c>
      <c r="W512" s="4">
        <v>1</v>
      </c>
      <c r="X512" s="4">
        <f>IF($K512="","",Q512+T512+V512)</f>
      </c>
      <c r="Y512" s="4">
        <f>IF($K512="","",L512-M512-R512-S512-T512-U512-V512-W512)</f>
      </c>
      <c r="Z512" s="4">
        <f>IF($K512="","",(Y512-AB512)/J512*100)</f>
      </c>
      <c r="AA512" s="4">
        <f>IF($K512="","",M512-X512)</f>
      </c>
      <c r="AC512" s="4">
        <f>IF($K512="","",Y512-AB512)</f>
      </c>
    </row>
    <row r="513" spans="1:34" x14ac:dyDescent="0.25">
      <c r="A513" s="8"/>
      <c r="D513" s="9"/>
      <c r="J513" s="4"/>
      <c r="K513" s="4"/>
      <c r="L513" s="4">
        <f>IF($K513="","",K513-J513)</f>
      </c>
      <c r="M513" s="4">
        <f>IF($K513="","",L513*16.67%)</f>
      </c>
      <c r="N513" s="4">
        <f>IF($K513="","",(K513*6.9%)-(K513*6.9%)*10%)</f>
      </c>
      <c r="O513" s="4">
        <f>IF($K513="","",K513*0.35%)</f>
      </c>
      <c r="P513" s="4">
        <v>0.4</v>
      </c>
      <c r="Q513" s="4">
        <f>IF($K513="","",(N513+O513+P513)*20%)</f>
      </c>
      <c r="R513" s="4">
        <f>IF($K513="","",N513+O513+P513+Q513)</f>
      </c>
      <c r="S513" s="4"/>
      <c r="T513" s="4"/>
      <c r="U513" s="4"/>
      <c r="V513" s="4">
        <f>IF($K513="","",U513*20%)</f>
      </c>
      <c r="W513" s="4">
        <v>1</v>
      </c>
      <c r="X513" s="4">
        <f>IF($K513="","",Q513+T513+V513)</f>
      </c>
      <c r="Y513" s="4">
        <f>IF($K513="","",L513-M513-R513-S513-T513-U513-V513-W513)</f>
      </c>
      <c r="Z513" s="4">
        <f>IF($K513="","",(Y513-AB513)/J513*100)</f>
      </c>
      <c r="AA513" s="4">
        <f>IF($K513="","",M513-X513)</f>
      </c>
      <c r="AC513" s="4">
        <f>IF($K513="","",Y513-AB513)</f>
      </c>
    </row>
    <row r="514" spans="1:34" x14ac:dyDescent="0.25">
      <c r="A514" s="8"/>
      <c r="D514" s="9"/>
      <c r="J514" s="4"/>
      <c r="K514" s="4"/>
      <c r="L514" s="4">
        <f>IF($K514="","",K514-J514)</f>
      </c>
      <c r="M514" s="4">
        <f>IF($K514="","",L514*16.67%)</f>
      </c>
      <c r="N514" s="4">
        <f>IF($K514="","",(K514*6.9%)-(K514*6.9%)*10%)</f>
      </c>
      <c r="O514" s="4">
        <f>IF($K514="","",K514*0.35%)</f>
      </c>
      <c r="P514" s="4">
        <v>0.4</v>
      </c>
      <c r="Q514" s="4">
        <f>IF($K514="","",(N514+O514+P514)*20%)</f>
      </c>
      <c r="R514" s="4">
        <f>IF($K514="","",N514+O514+P514+Q514)</f>
      </c>
      <c r="S514" s="4"/>
      <c r="T514" s="4"/>
      <c r="U514" s="4"/>
      <c r="V514" s="4">
        <f>IF($K514="","",U514*20%)</f>
      </c>
      <c r="W514" s="4">
        <v>1</v>
      </c>
      <c r="X514" s="4">
        <f>IF($K514="","",Q514+T514+V514)</f>
      </c>
      <c r="Y514" s="4">
        <f>IF($K514="","",L514-M514-R514-S514-T514-U514-V514-W514)</f>
      </c>
      <c r="Z514" s="4">
        <f>IF($K514="","",(Y514-AB514)/J514*100)</f>
      </c>
      <c r="AA514" s="4">
        <f>IF($K514="","",M514-X514)</f>
      </c>
      <c r="AC514" s="4">
        <f>IF($K514="","",Y514-AB514)</f>
      </c>
    </row>
    <row r="515" spans="1:34" x14ac:dyDescent="0.25">
      <c r="A515" s="8"/>
      <c r="D515" s="9"/>
      <c r="J515" s="4"/>
      <c r="K515" s="4"/>
      <c r="L515" s="4">
        <f>IF($K515="","",K515-J515)</f>
      </c>
      <c r="M515" s="4">
        <f>IF($K515="","",L515*16.67%)</f>
      </c>
      <c r="N515" s="4">
        <f>IF($K515="","",(K515*6.9%)-(K515*6.9%)*10%)</f>
      </c>
      <c r="O515" s="4">
        <f>IF($K515="","",K515*0.35%)</f>
      </c>
      <c r="P515" s="4">
        <v>0.4</v>
      </c>
      <c r="Q515" s="4">
        <f>IF($K515="","",(N515+O515+P515)*20%)</f>
      </c>
      <c r="R515" s="4">
        <f>IF($K515="","",N515+O515+P515+Q515)</f>
      </c>
      <c r="S515" s="4"/>
      <c r="T515" s="4"/>
      <c r="U515" s="4"/>
      <c r="V515" s="4">
        <f>IF($K515="","",U515*20%)</f>
      </c>
      <c r="W515" s="4">
        <v>1</v>
      </c>
      <c r="X515" s="4">
        <f>IF($K515="","",Q515+T515+V515)</f>
      </c>
      <c r="Y515" s="4">
        <f>IF($K515="","",L515-M515-R515-S515-T515-U515-V515-W515)</f>
      </c>
      <c r="Z515" s="4">
        <f>IF($K515="","",(Y515-AB515)/J515*100)</f>
      </c>
      <c r="AA515" s="4">
        <f>IF($K515="","",M515-X515)</f>
      </c>
      <c r="AC515" s="4">
        <f>IF($K515="","",Y515-AB515)</f>
      </c>
    </row>
    <row r="516" spans="1:34" x14ac:dyDescent="0.25">
      <c r="A516" s="8"/>
      <c r="D516" s="9"/>
      <c r="J516" s="4"/>
      <c r="K516" s="4"/>
      <c r="L516" s="4">
        <f>IF($K516="","",K516-J516)</f>
      </c>
      <c r="M516" s="4">
        <f>IF($K516="","",L516*16.67%)</f>
      </c>
      <c r="N516" s="4">
        <f>IF($K516="","",(K516*6.9%)-(K516*6.9%)*10%)</f>
      </c>
      <c r="O516" s="4">
        <f>IF($K516="","",K516*0.35%)</f>
      </c>
      <c r="P516" s="4">
        <v>0.4</v>
      </c>
      <c r="Q516" s="4">
        <f>IF($K516="","",(N516+O516+P516)*20%)</f>
      </c>
      <c r="R516" s="4">
        <f>IF($K516="","",N516+O516+P516+Q516)</f>
      </c>
      <c r="S516" s="4"/>
      <c r="T516" s="4"/>
      <c r="U516" s="4"/>
      <c r="V516" s="4">
        <f>IF($K516="","",U516*20%)</f>
      </c>
      <c r="W516" s="4">
        <v>1</v>
      </c>
      <c r="X516" s="4">
        <f>IF($K516="","",Q516+T516+V516)</f>
      </c>
      <c r="Y516" s="4">
        <f>IF($K516="","",L516-M516-R516-S516-T516-U516-V516-W516)</f>
      </c>
      <c r="Z516" s="4">
        <f>IF($K516="","",(Y516-AB516)/J516*100)</f>
      </c>
      <c r="AA516" s="4">
        <f>IF($K516="","",M516-X516)</f>
      </c>
      <c r="AC516" s="4">
        <f>IF($K516="","",Y516-AB516)</f>
      </c>
    </row>
    <row r="517" spans="1:34" x14ac:dyDescent="0.25">
      <c r="A517" s="8"/>
      <c r="D517" s="9"/>
      <c r="J517" s="4"/>
      <c r="K517" s="4"/>
      <c r="L517" s="4">
        <f>IF($K517="","",K517-J517)</f>
      </c>
      <c r="M517" s="4">
        <f>IF($K517="","",L517*16.67%)</f>
      </c>
      <c r="N517" s="4">
        <f>IF($K517="","",(K517*6.9%)-(K517*6.9%)*10%)</f>
      </c>
      <c r="O517" s="4">
        <f>IF($K517="","",K517*0.35%)</f>
      </c>
      <c r="P517" s="4">
        <v>0.4</v>
      </c>
      <c r="Q517" s="4">
        <f>IF($K517="","",(N517+O517+P517)*20%)</f>
      </c>
      <c r="R517" s="4">
        <f>IF($K517="","",N517+O517+P517+Q517)</f>
      </c>
      <c r="S517" s="4"/>
      <c r="T517" s="4"/>
      <c r="U517" s="4"/>
      <c r="V517" s="4">
        <f>IF($K517="","",U517*20%)</f>
      </c>
      <c r="W517" s="4">
        <v>1</v>
      </c>
      <c r="X517" s="4">
        <f>IF($K517="","",Q517+T517+V517)</f>
      </c>
      <c r="Y517" s="4">
        <f>IF($K517="","",L517-M517-R517-S517-T517-U517-V517-W517)</f>
      </c>
      <c r="Z517" s="4">
        <f>IF($K517="","",(Y517-AB517)/J517*100)</f>
      </c>
      <c r="AA517" s="4">
        <f>IF($K517="","",M517-X517)</f>
      </c>
      <c r="AC517" s="4">
        <f>IF($K517="","",Y517-AB517)</f>
      </c>
    </row>
    <row r="518" spans="1:34" x14ac:dyDescent="0.25">
      <c r="A518" s="8"/>
      <c r="D518" s="9"/>
      <c r="J518" s="4"/>
      <c r="K518" s="4"/>
      <c r="L518" s="4">
        <f>IF($K518="","",K518-J518)</f>
      </c>
      <c r="M518" s="4">
        <f>IF($K518="","",L518*16.67%)</f>
      </c>
      <c r="N518" s="4">
        <f>IF($K518="","",(K518*6.9%)-(K518*6.9%)*10%)</f>
      </c>
      <c r="O518" s="4">
        <f>IF($K518="","",K518*0.35%)</f>
      </c>
      <c r="P518" s="4">
        <v>0.4</v>
      </c>
      <c r="Q518" s="4">
        <f>IF($K518="","",(N518+O518+P518)*20%)</f>
      </c>
      <c r="R518" s="4">
        <f>IF($K518="","",N518+O518+P518+Q518)</f>
      </c>
      <c r="S518" s="4"/>
      <c r="T518" s="4"/>
      <c r="U518" s="4"/>
      <c r="V518" s="4">
        <f>IF($K518="","",U518*20%)</f>
      </c>
      <c r="W518" s="4">
        <v>1</v>
      </c>
      <c r="X518" s="4">
        <f>IF($K518="","",Q518+T518+V518)</f>
      </c>
      <c r="Y518" s="4">
        <f>IF($K518="","",L518-M518-R518-S518-T518-U518-V518-W518)</f>
      </c>
      <c r="Z518" s="4">
        <f>IF($K518="","",(Y518-AB518)/J518*100)</f>
      </c>
      <c r="AA518" s="4">
        <f>IF($K518="","",M518-X518)</f>
      </c>
      <c r="AC518" s="4">
        <f>IF($K518="","",Y518-AB518)</f>
      </c>
    </row>
    <row r="519" spans="1:34" x14ac:dyDescent="0.25">
      <c r="A519" s="8"/>
      <c r="D519" s="9"/>
      <c r="J519" s="4"/>
      <c r="K519" s="4"/>
      <c r="L519" s="4">
        <f>IF($K519="","",K519-J519)</f>
      </c>
      <c r="M519" s="4">
        <f>IF($K519="","",L519*16.67%)</f>
      </c>
      <c r="N519" s="4">
        <f>IF($K519="","",(K519*6.9%)-(K519*6.9%)*10%)</f>
      </c>
      <c r="O519" s="4">
        <f>IF($K519="","",K519*0.35%)</f>
      </c>
      <c r="P519" s="4">
        <v>0.4</v>
      </c>
      <c r="Q519" s="4">
        <f>IF($K519="","",(N519+O519+P519)*20%)</f>
      </c>
      <c r="R519" s="4">
        <f>IF($K519="","",N519+O519+P519+Q519)</f>
      </c>
      <c r="S519" s="4"/>
      <c r="T519" s="4"/>
      <c r="U519" s="4"/>
      <c r="V519" s="4">
        <f>IF($K519="","",U519*20%)</f>
      </c>
      <c r="W519" s="4">
        <v>1</v>
      </c>
      <c r="X519" s="4">
        <f>IF($K519="","",Q519+T519+V519)</f>
      </c>
      <c r="Y519" s="4">
        <f>IF($K519="","",L519-M519-R519-S519-T519-U519-V519-W519)</f>
      </c>
      <c r="Z519" s="4">
        <f>IF($K519="","",(Y519-AB519)/J519*100)</f>
      </c>
      <c r="AA519" s="4">
        <f>IF($K519="","",M519-X519)</f>
      </c>
      <c r="AC519" s="4">
        <f>IF($K519="","",Y519-AB519)</f>
      </c>
    </row>
    <row r="520" spans="1:34" x14ac:dyDescent="0.25">
      <c r="A520" s="8"/>
      <c r="D520" s="9"/>
      <c r="J520" s="4"/>
      <c r="K520" s="4"/>
      <c r="L520" s="4">
        <f>IF($K520="","",K520-J520)</f>
      </c>
      <c r="M520" s="4">
        <f>IF($K520="","",L520*16.67%)</f>
      </c>
      <c r="N520" s="4">
        <f>IF($K520="","",(K520*6.9%)-(K520*6.9%)*10%)</f>
      </c>
      <c r="O520" s="4">
        <f>IF($K520="","",K520*0.35%)</f>
      </c>
      <c r="P520" s="4">
        <v>0.4</v>
      </c>
      <c r="Q520" s="4">
        <f>IF($K520="","",(N520+O520+P520)*20%)</f>
      </c>
      <c r="R520" s="4">
        <f>IF($K520="","",N520+O520+P520+Q520)</f>
      </c>
      <c r="S520" s="4"/>
      <c r="T520" s="4"/>
      <c r="U520" s="4"/>
      <c r="V520" s="4">
        <f>IF($K520="","",U520*20%)</f>
      </c>
      <c r="W520" s="4">
        <v>1</v>
      </c>
      <c r="X520" s="4">
        <f>IF($K520="","",Q520+T520+V520)</f>
      </c>
      <c r="Y520" s="4">
        <f>IF($K520="","",L520-M520-R520-S520-T520-U520-V520-W520)</f>
      </c>
      <c r="Z520" s="4">
        <f>IF($K520="","",(Y520-AB520)/J520*100)</f>
      </c>
      <c r="AA520" s="4">
        <f>IF($K520="","",M520-X520)</f>
      </c>
      <c r="AC520" s="4">
        <f>IF($K520="","",Y520-AB520)</f>
      </c>
    </row>
    <row r="521" spans="1:34" x14ac:dyDescent="0.25">
      <c r="A521" s="8"/>
      <c r="D521" s="9"/>
      <c r="J521" s="4"/>
      <c r="K521" s="4"/>
      <c r="L521" s="4">
        <f>IF($K521="","",K521-J521)</f>
      </c>
      <c r="M521" s="4">
        <f>IF($K521="","",L521*16.67%)</f>
      </c>
      <c r="N521" s="4">
        <f>IF($K521="","",(K521*6.9%)-(K521*6.9%)*10%)</f>
      </c>
      <c r="O521" s="4">
        <f>IF($K521="","",K521*0.35%)</f>
      </c>
      <c r="P521" s="4">
        <v>0.4</v>
      </c>
      <c r="Q521" s="4">
        <f>IF($K521="","",(N521+O521+P521)*20%)</f>
      </c>
      <c r="R521" s="4">
        <f>IF($K521="","",N521+O521+P521+Q521)</f>
      </c>
      <c r="S521" s="4"/>
      <c r="T521" s="4"/>
      <c r="U521" s="4"/>
      <c r="V521" s="4">
        <f>IF($K521="","",U521*20%)</f>
      </c>
      <c r="W521" s="4">
        <v>1</v>
      </c>
      <c r="X521" s="4">
        <f>IF($K521="","",Q521+T521+V521)</f>
      </c>
      <c r="Y521" s="4">
        <f>IF($K521="","",L521-M521-R521-S521-T521-U521-V521-W521)</f>
      </c>
      <c r="Z521" s="4">
        <f>IF($K521="","",(Y521-AB521)/J521*100)</f>
      </c>
      <c r="AA521" s="4">
        <f>IF($K521="","",M521-X521)</f>
      </c>
      <c r="AC521" s="4">
        <f>IF($K521="","",Y521-AB521)</f>
      </c>
    </row>
    <row r="522" spans="1:34" x14ac:dyDescent="0.25">
      <c r="A522" s="8"/>
      <c r="D522" s="9"/>
      <c r="J522" s="4"/>
      <c r="K522" s="4"/>
      <c r="L522" s="4">
        <f>IF($K522="","",K522-J522)</f>
      </c>
      <c r="M522" s="4">
        <f>IF($K522="","",L522*16.67%)</f>
      </c>
      <c r="N522" s="4">
        <f>IF($K522="","",(K522*6.9%)-(K522*6.9%)*10%)</f>
      </c>
      <c r="O522" s="4">
        <f>IF($K522="","",K522*0.35%)</f>
      </c>
      <c r="P522" s="4">
        <v>0.4</v>
      </c>
      <c r="Q522" s="4">
        <f>IF($K522="","",(N522+O522+P522)*20%)</f>
      </c>
      <c r="R522" s="4">
        <f>IF($K522="","",N522+O522+P522+Q522)</f>
      </c>
      <c r="S522" s="4"/>
      <c r="T522" s="4"/>
      <c r="U522" s="4"/>
      <c r="V522" s="4">
        <f>IF($K522="","",U522*20%)</f>
      </c>
      <c r="W522" s="4">
        <v>1</v>
      </c>
      <c r="X522" s="4">
        <f>IF($K522="","",Q522+T522+V522)</f>
      </c>
      <c r="Y522" s="4">
        <f>IF($K522="","",L522-M522-R522-S522-T522-U522-V522-W522)</f>
      </c>
      <c r="Z522" s="4">
        <f>IF($K522="","",(Y522-AB522)/J522*100)</f>
      </c>
      <c r="AA522" s="4">
        <f>IF($K522="","",M522-X522)</f>
      </c>
      <c r="AC522" s="4">
        <f>IF($K522="","",Y522-AB522)</f>
      </c>
    </row>
    <row r="523" spans="1:34" x14ac:dyDescent="0.25">
      <c r="A523" s="8"/>
      <c r="D523" s="9"/>
      <c r="J523" s="4"/>
      <c r="K523" s="4"/>
      <c r="L523" s="4">
        <f>IF($K523="","",K523-J523)</f>
      </c>
      <c r="M523" s="4">
        <f>IF($K523="","",L523*16.67%)</f>
      </c>
      <c r="N523" s="4">
        <f>IF($K523="","",(K523*6.9%)-(K523*6.9%)*10%)</f>
      </c>
      <c r="O523" s="4">
        <f>IF($K523="","",K523*0.35%)</f>
      </c>
      <c r="P523" s="4">
        <v>0.4</v>
      </c>
      <c r="Q523" s="4">
        <f>IF($K523="","",(N523+O523+P523)*20%)</f>
      </c>
      <c r="R523" s="4">
        <f>IF($K523="","",N523+O523+P523+Q523)</f>
      </c>
      <c r="S523" s="4"/>
      <c r="T523" s="4"/>
      <c r="U523" s="4"/>
      <c r="V523" s="4">
        <f>IF($K523="","",U523*20%)</f>
      </c>
      <c r="W523" s="4">
        <v>1</v>
      </c>
      <c r="X523" s="4">
        <f>IF($K523="","",Q523+T523+V523)</f>
      </c>
      <c r="Y523" s="4">
        <f>IF($K523="","",L523-M523-R523-S523-T523-U523-V523-W523)</f>
      </c>
      <c r="Z523" s="4">
        <f>IF($K523="","",(Y523-AB523)/J523*100)</f>
      </c>
      <c r="AA523" s="4">
        <f>IF($K523="","",M523-X523)</f>
      </c>
      <c r="AC523" s="4">
        <f>IF($K523="","",Y523-AB523)</f>
      </c>
    </row>
    <row r="524" spans="1:34" x14ac:dyDescent="0.25">
      <c r="A524" s="8"/>
      <c r="D524" s="9"/>
      <c r="J524" s="4"/>
      <c r="K524" s="4"/>
      <c r="L524" s="4">
        <f>IF($K524="","",K524-J524)</f>
      </c>
      <c r="M524" s="4">
        <f>IF($K524="","",L524*16.67%)</f>
      </c>
      <c r="N524" s="4">
        <f>IF($K524="","",(K524*6.9%)-(K524*6.9%)*10%)</f>
      </c>
      <c r="O524" s="4">
        <f>IF($K524="","",K524*0.35%)</f>
      </c>
      <c r="P524" s="4">
        <v>0.4</v>
      </c>
      <c r="Q524" s="4">
        <f>IF($K524="","",(N524+O524+P524)*20%)</f>
      </c>
      <c r="R524" s="4">
        <f>IF($K524="","",N524+O524+P524+Q524)</f>
      </c>
      <c r="S524" s="4"/>
      <c r="T524" s="4"/>
      <c r="U524" s="4"/>
      <c r="V524" s="4">
        <f>IF($K524="","",U524*20%)</f>
      </c>
      <c r="W524" s="4">
        <v>1</v>
      </c>
      <c r="X524" s="4">
        <f>IF($K524="","",Q524+T524+V524)</f>
      </c>
      <c r="Y524" s="4">
        <f>IF($K524="","",L524-M524-R524-S524-T524-U524-V524-W524)</f>
      </c>
      <c r="Z524" s="4">
        <f>IF($K524="","",(Y524-AB524)/J524*100)</f>
      </c>
      <c r="AA524" s="4">
        <f>IF($K524="","",M524-X524)</f>
      </c>
      <c r="AC524" s="4">
        <f>IF($K524="","",Y524-AB524)</f>
      </c>
    </row>
    <row r="525" spans="1:34" x14ac:dyDescent="0.25">
      <c r="A525" s="8"/>
      <c r="D525" s="9"/>
      <c r="J525" s="4"/>
      <c r="K525" s="4"/>
      <c r="L525" s="4">
        <f>IF($K525="","",K525-J525)</f>
      </c>
      <c r="M525" s="4">
        <f>IF($K525="","",L525*16.67%)</f>
      </c>
      <c r="N525" s="4">
        <f>IF($K525="","",(K525*6.9%)-(K525*6.9%)*10%)</f>
      </c>
      <c r="O525" s="4">
        <f>IF($K525="","",K525*0.35%)</f>
      </c>
      <c r="P525" s="4">
        <v>0.4</v>
      </c>
      <c r="Q525" s="4">
        <f>IF($K525="","",(N525+O525+P525)*20%)</f>
      </c>
      <c r="R525" s="4">
        <f>IF($K525="","",N525+O525+P525+Q525)</f>
      </c>
      <c r="S525" s="4"/>
      <c r="T525" s="4"/>
      <c r="U525" s="4"/>
      <c r="V525" s="4">
        <f>IF($K525="","",U525*20%)</f>
      </c>
      <c r="W525" s="4">
        <v>1</v>
      </c>
      <c r="X525" s="4">
        <f>IF($K525="","",Q525+T525+V525)</f>
      </c>
      <c r="Y525" s="4">
        <f>IF($K525="","",L525-M525-R525-S525-T525-U525-V525-W525)</f>
      </c>
      <c r="Z525" s="4">
        <f>IF($K525="","",(Y525-AB525)/J525*100)</f>
      </c>
      <c r="AA525" s="4">
        <f>IF($K525="","",M525-X525)</f>
      </c>
      <c r="AC525" s="4">
        <f>IF($K525="","",Y525-AB525)</f>
      </c>
    </row>
    <row r="526" spans="1:34" x14ac:dyDescent="0.25">
      <c r="A526" s="8"/>
      <c r="D526" s="9"/>
      <c r="J526" s="4"/>
      <c r="K526" s="4"/>
      <c r="L526" s="4">
        <f>IF($K526="","",K526-J526)</f>
      </c>
      <c r="M526" s="4">
        <f>IF($K526="","",L526*16.67%)</f>
      </c>
      <c r="N526" s="4">
        <f>IF($K526="","",(K526*6.9%)-(K526*6.9%)*10%)</f>
      </c>
      <c r="O526" s="4">
        <f>IF($K526="","",K526*0.35%)</f>
      </c>
      <c r="P526" s="4">
        <v>0.4</v>
      </c>
      <c r="Q526" s="4">
        <f>IF($K526="","",(N526+O526+P526)*20%)</f>
      </c>
      <c r="R526" s="4">
        <f>IF($K526="","",N526+O526+P526+Q526)</f>
      </c>
      <c r="S526" s="4"/>
      <c r="T526" s="4"/>
      <c r="U526" s="4"/>
      <c r="V526" s="4">
        <f>IF($K526="","",U526*20%)</f>
      </c>
      <c r="W526" s="4">
        <v>1</v>
      </c>
      <c r="X526" s="4">
        <f>IF($K526="","",Q526+T526+V526)</f>
      </c>
      <c r="Y526" s="4">
        <f>IF($K526="","",L526-M526-R526-S526-T526-U526-V526-W526)</f>
      </c>
      <c r="Z526" s="4">
        <f>IF($K526="","",(Y526-AB526)/J526*100)</f>
      </c>
      <c r="AA526" s="4">
        <f>IF($K526="","",M526-X526)</f>
      </c>
      <c r="AC526" s="4">
        <f>IF($K526="","",Y526-AB526)</f>
      </c>
    </row>
    <row r="527" spans="1:34" x14ac:dyDescent="0.25">
      <c r="A527" s="8"/>
      <c r="D527" s="9"/>
      <c r="J527" s="4"/>
      <c r="K527" s="4"/>
      <c r="L527" s="4">
        <f>IF($K527="","",K527-J527)</f>
      </c>
      <c r="M527" s="4">
        <f>IF($K527="","",L527*16.67%)</f>
      </c>
      <c r="N527" s="4">
        <f>IF($K527="","",(K527*6.9%)-(K527*6.9%)*10%)</f>
      </c>
      <c r="O527" s="4">
        <f>IF($K527="","",K527*0.35%)</f>
      </c>
      <c r="P527" s="4">
        <v>0.4</v>
      </c>
      <c r="Q527" s="4">
        <f>IF($K527="","",(N527+O527+P527)*20%)</f>
      </c>
      <c r="R527" s="4">
        <f>IF($K527="","",N527+O527+P527+Q527)</f>
      </c>
      <c r="S527" s="4"/>
      <c r="T527" s="4"/>
      <c r="U527" s="4"/>
      <c r="V527" s="4">
        <f>IF($K527="","",U527*20%)</f>
      </c>
      <c r="W527" s="4">
        <v>1</v>
      </c>
      <c r="X527" s="4">
        <f>IF($K527="","",Q527+T527+V527)</f>
      </c>
      <c r="Y527" s="4">
        <f>IF($K527="","",L527-M527-R527-S527-T527-U527-V527-W527)</f>
      </c>
      <c r="Z527" s="4">
        <f>IF($K527="","",(Y527-AB527)/J527*100)</f>
      </c>
      <c r="AA527" s="4">
        <f>IF($K527="","",M527-X527)</f>
      </c>
      <c r="AC527" s="4">
        <f>IF($K527="","",Y527-AB527)</f>
      </c>
    </row>
    <row r="528" spans="1:34" x14ac:dyDescent="0.25">
      <c r="A528" s="8"/>
      <c r="D528" s="9"/>
      <c r="J528" s="4"/>
      <c r="K528" s="4"/>
      <c r="L528" s="4">
        <f>IF($K528="","",K528-J528)</f>
      </c>
      <c r="M528" s="4">
        <f>IF($K528="","",L528*16.67%)</f>
      </c>
      <c r="N528" s="4">
        <f>IF($K528="","",(K528*6.9%)-(K528*6.9%)*10%)</f>
      </c>
      <c r="O528" s="4">
        <f>IF($K528="","",K528*0.35%)</f>
      </c>
      <c r="P528" s="4">
        <v>0.4</v>
      </c>
      <c r="Q528" s="4">
        <f>IF($K528="","",(N528+O528+P528)*20%)</f>
      </c>
      <c r="R528" s="4">
        <f>IF($K528="","",N528+O528+P528+Q528)</f>
      </c>
      <c r="S528" s="4"/>
      <c r="T528" s="4"/>
      <c r="U528" s="4"/>
      <c r="V528" s="4">
        <f>IF($K528="","",U528*20%)</f>
      </c>
      <c r="W528" s="4">
        <v>1</v>
      </c>
      <c r="X528" s="4">
        <f>IF($K528="","",Q528+T528+V528)</f>
      </c>
      <c r="Y528" s="4">
        <f>IF($K528="","",L528-M528-R528-S528-T528-U528-V528-W528)</f>
      </c>
      <c r="Z528" s="4">
        <f>IF($K528="","",(Y528-AB528)/J528*100)</f>
      </c>
      <c r="AA528" s="4">
        <f>IF($K528="","",M528-X528)</f>
      </c>
      <c r="AC528" s="4">
        <f>IF($K528="","",Y528-AB528)</f>
      </c>
    </row>
    <row r="529" spans="1:34" x14ac:dyDescent="0.25">
      <c r="A529" s="8"/>
      <c r="D529" s="9"/>
      <c r="J529" s="4"/>
      <c r="K529" s="4"/>
      <c r="L529" s="4">
        <f>IF($K529="","",K529-J529)</f>
      </c>
      <c r="M529" s="4">
        <f>IF($K529="","",L529*16.67%)</f>
      </c>
      <c r="N529" s="4">
        <f>IF($K529="","",(K529*6.9%)-(K529*6.9%)*10%)</f>
      </c>
      <c r="O529" s="4">
        <f>IF($K529="","",K529*0.35%)</f>
      </c>
      <c r="P529" s="4">
        <v>0.4</v>
      </c>
      <c r="Q529" s="4">
        <f>IF($K529="","",(N529+O529+P529)*20%)</f>
      </c>
      <c r="R529" s="4">
        <f>IF($K529="","",N529+O529+P529+Q529)</f>
      </c>
      <c r="S529" s="4"/>
      <c r="T529" s="4"/>
      <c r="U529" s="4"/>
      <c r="V529" s="4">
        <f>IF($K529="","",U529*20%)</f>
      </c>
      <c r="W529" s="4">
        <v>1</v>
      </c>
      <c r="X529" s="4">
        <f>IF($K529="","",Q529+T529+V529)</f>
      </c>
      <c r="Y529" s="4">
        <f>IF($K529="","",L529-M529-R529-S529-T529-U529-V529-W529)</f>
      </c>
      <c r="Z529" s="4">
        <f>IF($K529="","",(Y529-AB529)/J529*100)</f>
      </c>
      <c r="AA529" s="4">
        <f>IF($K529="","",M529-X529)</f>
      </c>
      <c r="AC529" s="4">
        <f>IF($K529="","",Y529-AB529)</f>
      </c>
    </row>
    <row r="530" spans="1:34" x14ac:dyDescent="0.25">
      <c r="A530" s="8"/>
      <c r="D530" s="9"/>
      <c r="J530" s="4"/>
      <c r="K530" s="4"/>
      <c r="L530" s="4">
        <f>IF($K530="","",K530-J530)</f>
      </c>
      <c r="M530" s="4">
        <f>IF($K530="","",L530*16.67%)</f>
      </c>
      <c r="N530" s="4">
        <f>IF($K530="","",(K530*6.9%)-(K530*6.9%)*10%)</f>
      </c>
      <c r="O530" s="4">
        <f>IF($K530="","",K530*0.35%)</f>
      </c>
      <c r="P530" s="4">
        <v>0.4</v>
      </c>
      <c r="Q530" s="4">
        <f>IF($K530="","",(N530+O530+P530)*20%)</f>
      </c>
      <c r="R530" s="4">
        <f>IF($K530="","",N530+O530+P530+Q530)</f>
      </c>
      <c r="S530" s="4"/>
      <c r="T530" s="4"/>
      <c r="U530" s="4"/>
      <c r="V530" s="4">
        <f>IF($K530="","",U530*20%)</f>
      </c>
      <c r="W530" s="4">
        <v>1</v>
      </c>
      <c r="X530" s="4">
        <f>IF($K530="","",Q530+T530+V530)</f>
      </c>
      <c r="Y530" s="4">
        <f>IF($K530="","",L530-M530-R530-S530-T530-U530-V530-W530)</f>
      </c>
      <c r="Z530" s="4">
        <f>IF($K530="","",(Y530-AB530)/J530*100)</f>
      </c>
      <c r="AA530" s="4">
        <f>IF($K530="","",M530-X530)</f>
      </c>
      <c r="AC530" s="4">
        <f>IF($K530="","",Y530-AB530)</f>
      </c>
    </row>
    <row r="531" spans="1:34" x14ac:dyDescent="0.25">
      <c r="A531" s="8"/>
      <c r="D531" s="9"/>
      <c r="J531" s="4"/>
      <c r="K531" s="4"/>
      <c r="L531" s="4">
        <f>IF($K531="","",K531-J531)</f>
      </c>
      <c r="M531" s="4">
        <f>IF($K531="","",L531*16.67%)</f>
      </c>
      <c r="N531" s="4">
        <f>IF($K531="","",(K531*6.9%)-(K531*6.9%)*10%)</f>
      </c>
      <c r="O531" s="4">
        <f>IF($K531="","",K531*0.35%)</f>
      </c>
      <c r="P531" s="4">
        <v>0.4</v>
      </c>
      <c r="Q531" s="4">
        <f>IF($K531="","",(N531+O531+P531)*20%)</f>
      </c>
      <c r="R531" s="4">
        <f>IF($K531="","",N531+O531+P531+Q531)</f>
      </c>
      <c r="S531" s="4"/>
      <c r="T531" s="4"/>
      <c r="U531" s="4"/>
      <c r="V531" s="4">
        <f>IF($K531="","",U531*20%)</f>
      </c>
      <c r="W531" s="4">
        <v>1</v>
      </c>
      <c r="X531" s="4">
        <f>IF($K531="","",Q531+T531+V531)</f>
      </c>
      <c r="Y531" s="4">
        <f>IF($K531="","",L531-M531-R531-S531-T531-U531-V531-W531)</f>
      </c>
      <c r="Z531" s="4">
        <f>IF($K531="","",(Y531-AB531)/J531*100)</f>
      </c>
      <c r="AA531" s="4">
        <f>IF($K531="","",M531-X531)</f>
      </c>
      <c r="AC531" s="4">
        <f>IF($K531="","",Y531-AB531)</f>
      </c>
    </row>
    <row r="532" spans="1:34" x14ac:dyDescent="0.25">
      <c r="A532" s="8"/>
      <c r="D532" s="9"/>
      <c r="J532" s="4"/>
      <c r="K532" s="4"/>
      <c r="L532" s="4">
        <f>IF($K532="","",K532-J532)</f>
      </c>
      <c r="M532" s="4">
        <f>IF($K532="","",L532*16.67%)</f>
      </c>
      <c r="N532" s="4">
        <f>IF($K532="","",(K532*6.9%)-(K532*6.9%)*10%)</f>
      </c>
      <c r="O532" s="4">
        <f>IF($K532="","",K532*0.35%)</f>
      </c>
      <c r="P532" s="4">
        <v>0.4</v>
      </c>
      <c r="Q532" s="4">
        <f>IF($K532="","",(N532+O532+P532)*20%)</f>
      </c>
      <c r="R532" s="4">
        <f>IF($K532="","",N532+O532+P532+Q532)</f>
      </c>
      <c r="S532" s="4"/>
      <c r="T532" s="4"/>
      <c r="U532" s="4"/>
      <c r="V532" s="4">
        <f>IF($K532="","",U532*20%)</f>
      </c>
      <c r="W532" s="4">
        <v>1</v>
      </c>
      <c r="X532" s="4">
        <f>IF($K532="","",Q532+T532+V532)</f>
      </c>
      <c r="Y532" s="4">
        <f>IF($K532="","",L532-M532-R532-S532-T532-U532-V532-W532)</f>
      </c>
      <c r="Z532" s="4">
        <f>IF($K532="","",(Y532-AB532)/J532*100)</f>
      </c>
      <c r="AA532" s="4">
        <f>IF($K532="","",M532-X532)</f>
      </c>
      <c r="AC532" s="4">
        <f>IF($K532="","",Y532-AB532)</f>
      </c>
    </row>
    <row r="533" spans="1:34" x14ac:dyDescent="0.25">
      <c r="A533" s="8"/>
      <c r="D533" s="9"/>
      <c r="J533" s="4"/>
      <c r="K533" s="4"/>
      <c r="L533" s="4">
        <f>IF($K533="","",K533-J533)</f>
      </c>
      <c r="M533" s="4">
        <f>IF($K533="","",L533*16.67%)</f>
      </c>
      <c r="N533" s="4">
        <f>IF($K533="","",(K533*6.9%)-(K533*6.9%)*10%)</f>
      </c>
      <c r="O533" s="4">
        <f>IF($K533="","",K533*0.35%)</f>
      </c>
      <c r="P533" s="4">
        <v>0.4</v>
      </c>
      <c r="Q533" s="4">
        <f>IF($K533="","",(N533+O533+P533)*20%)</f>
      </c>
      <c r="R533" s="4">
        <f>IF($K533="","",N533+O533+P533+Q533)</f>
      </c>
      <c r="S533" s="4"/>
      <c r="T533" s="4"/>
      <c r="U533" s="4"/>
      <c r="V533" s="4">
        <f>IF($K533="","",U533*20%)</f>
      </c>
      <c r="W533" s="4">
        <v>1</v>
      </c>
      <c r="X533" s="4">
        <f>IF($K533="","",Q533+T533+V533)</f>
      </c>
      <c r="Y533" s="4">
        <f>IF($K533="","",L533-M533-R533-S533-T533-U533-V533-W533)</f>
      </c>
      <c r="Z533" s="4">
        <f>IF($K533="","",(Y533-AB533)/J533*100)</f>
      </c>
      <c r="AA533" s="4">
        <f>IF($K533="","",M533-X533)</f>
      </c>
      <c r="AC533" s="4">
        <f>IF($K533="","",Y533-AB533)</f>
      </c>
    </row>
    <row r="534" spans="1:34" x14ac:dyDescent="0.25">
      <c r="A534" s="8"/>
      <c r="D534" s="9"/>
      <c r="J534" s="4"/>
      <c r="K534" s="4"/>
      <c r="L534" s="4">
        <f>IF($K534="","",K534-J534)</f>
      </c>
      <c r="M534" s="4">
        <f>IF($K534="","",L534*16.67%)</f>
      </c>
      <c r="N534" s="4">
        <f>IF($K534="","",(K534*6.9%)-(K534*6.9%)*10%)</f>
      </c>
      <c r="O534" s="4">
        <f>IF($K534="","",K534*0.35%)</f>
      </c>
      <c r="P534" s="4">
        <v>0.4</v>
      </c>
      <c r="Q534" s="4">
        <f>IF($K534="","",(N534+O534+P534)*20%)</f>
      </c>
      <c r="R534" s="4">
        <f>IF($K534="","",N534+O534+P534+Q534)</f>
      </c>
      <c r="S534" s="4"/>
      <c r="T534" s="4"/>
      <c r="U534" s="4"/>
      <c r="V534" s="4">
        <f>IF($K534="","",U534*20%)</f>
      </c>
      <c r="W534" s="4">
        <v>1</v>
      </c>
      <c r="X534" s="4">
        <f>IF($K534="","",Q534+T534+V534)</f>
      </c>
      <c r="Y534" s="4">
        <f>IF($K534="","",L534-M534-R534-S534-T534-U534-V534-W534)</f>
      </c>
      <c r="Z534" s="4">
        <f>IF($K534="","",(Y534-AB534)/J534*100)</f>
      </c>
      <c r="AA534" s="4">
        <f>IF($K534="","",M534-X534)</f>
      </c>
      <c r="AC534" s="4">
        <f>IF($K534="","",Y534-AB534)</f>
      </c>
    </row>
    <row r="535" spans="1:34" x14ac:dyDescent="0.25">
      <c r="A535" s="8"/>
      <c r="D535" s="9"/>
      <c r="J535" s="4"/>
      <c r="K535" s="4"/>
      <c r="L535" s="4">
        <f>IF($K535="","",K535-J535)</f>
      </c>
      <c r="M535" s="4">
        <f>IF($K535="","",L535*16.67%)</f>
      </c>
      <c r="N535" s="4">
        <f>IF($K535="","",(K535*6.9%)-(K535*6.9%)*10%)</f>
      </c>
      <c r="O535" s="4">
        <f>IF($K535="","",K535*0.35%)</f>
      </c>
      <c r="P535" s="4">
        <v>0.4</v>
      </c>
      <c r="Q535" s="4">
        <f>IF($K535="","",(N535+O535+P535)*20%)</f>
      </c>
      <c r="R535" s="4">
        <f>IF($K535="","",N535+O535+P535+Q535)</f>
      </c>
      <c r="S535" s="4"/>
      <c r="T535" s="4"/>
      <c r="U535" s="4"/>
      <c r="V535" s="4">
        <f>IF($K535="","",U535*20%)</f>
      </c>
      <c r="W535" s="4">
        <v>1</v>
      </c>
      <c r="X535" s="4">
        <f>IF($K535="","",Q535+T535+V535)</f>
      </c>
      <c r="Y535" s="4">
        <f>IF($K535="","",L535-M535-R535-S535-T535-U535-V535-W535)</f>
      </c>
      <c r="Z535" s="4">
        <f>IF($K535="","",(Y535-AB535)/J535*100)</f>
      </c>
      <c r="AA535" s="4">
        <f>IF($K535="","",M535-X535)</f>
      </c>
      <c r="AC535" s="4">
        <f>IF($K535="","",Y535-AB535)</f>
      </c>
    </row>
    <row r="536" spans="1:34" x14ac:dyDescent="0.25">
      <c r="A536" s="8"/>
      <c r="D536" s="9"/>
      <c r="J536" s="4"/>
      <c r="K536" s="4"/>
      <c r="L536" s="4">
        <f>IF($K536="","",K536-J536)</f>
      </c>
      <c r="M536" s="4">
        <f>IF($K536="","",L536*16.67%)</f>
      </c>
      <c r="N536" s="4">
        <f>IF($K536="","",(K536*6.9%)-(K536*6.9%)*10%)</f>
      </c>
      <c r="O536" s="4">
        <f>IF($K536="","",K536*0.35%)</f>
      </c>
      <c r="P536" s="4">
        <v>0.4</v>
      </c>
      <c r="Q536" s="4">
        <f>IF($K536="","",(N536+O536+P536)*20%)</f>
      </c>
      <c r="R536" s="4">
        <f>IF($K536="","",N536+O536+P536+Q536)</f>
      </c>
      <c r="S536" s="4"/>
      <c r="T536" s="4"/>
      <c r="U536" s="4"/>
      <c r="V536" s="4">
        <f>IF($K536="","",U536*20%)</f>
      </c>
      <c r="W536" s="4">
        <v>1</v>
      </c>
      <c r="X536" s="4">
        <f>IF($K536="","",Q536+T536+V536)</f>
      </c>
      <c r="Y536" s="4">
        <f>IF($K536="","",L536-M536-R536-S536-T536-U536-V536-W536)</f>
      </c>
      <c r="Z536" s="4">
        <f>IF($K536="","",(Y536-AB536)/J536*100)</f>
      </c>
      <c r="AA536" s="4">
        <f>IF($K536="","",M536-X536)</f>
      </c>
      <c r="AC536" s="4">
        <f>IF($K536="","",Y536-AB536)</f>
      </c>
    </row>
    <row r="537" spans="1:34" x14ac:dyDescent="0.25">
      <c r="A537" s="8"/>
      <c r="D537" s="9"/>
      <c r="J537" s="4"/>
      <c r="K537" s="4"/>
      <c r="L537" s="4">
        <f>IF($K537="","",K537-J537)</f>
      </c>
      <c r="M537" s="4">
        <f>IF($K537="","",L537*16.67%)</f>
      </c>
      <c r="N537" s="4">
        <f>IF($K537="","",(K537*6.9%)-(K537*6.9%)*10%)</f>
      </c>
      <c r="O537" s="4">
        <f>IF($K537="","",K537*0.35%)</f>
      </c>
      <c r="P537" s="4">
        <v>0.4</v>
      </c>
      <c r="Q537" s="4">
        <f>IF($K537="","",(N537+O537+P537)*20%)</f>
      </c>
      <c r="R537" s="4">
        <f>IF($K537="","",N537+O537+P537+Q537)</f>
      </c>
      <c r="S537" s="4"/>
      <c r="T537" s="4"/>
      <c r="U537" s="4"/>
      <c r="V537" s="4">
        <f>IF($K537="","",U537*20%)</f>
      </c>
      <c r="W537" s="4">
        <v>1</v>
      </c>
      <c r="X537" s="4">
        <f>IF($K537="","",Q537+T537+V537)</f>
      </c>
      <c r="Y537" s="4">
        <f>IF($K537="","",L537-M537-R537-S537-T537-U537-V537-W537)</f>
      </c>
      <c r="Z537" s="4">
        <f>IF($K537="","",(Y537-AB537)/J537*100)</f>
      </c>
      <c r="AA537" s="4">
        <f>IF($K537="","",M537-X537)</f>
      </c>
      <c r="AC537" s="4">
        <f>IF($K537="","",Y537-AB537)</f>
      </c>
    </row>
    <row r="538" spans="1:34" x14ac:dyDescent="0.25">
      <c r="A538" s="8"/>
      <c r="D538" s="9"/>
      <c r="J538" s="4"/>
      <c r="K538" s="4"/>
      <c r="L538" s="4">
        <f>IF($K538="","",K538-J538)</f>
      </c>
      <c r="M538" s="4">
        <f>IF($K538="","",L538*16.67%)</f>
      </c>
      <c r="N538" s="4">
        <f>IF($K538="","",(K538*6.9%)-(K538*6.9%)*10%)</f>
      </c>
      <c r="O538" s="4">
        <f>IF($K538="","",K538*0.35%)</f>
      </c>
      <c r="P538" s="4">
        <v>0.4</v>
      </c>
      <c r="Q538" s="4">
        <f>IF($K538="","",(N538+O538+P538)*20%)</f>
      </c>
      <c r="R538" s="4">
        <f>IF($K538="","",N538+O538+P538+Q538)</f>
      </c>
      <c r="S538" s="4"/>
      <c r="T538" s="4"/>
      <c r="U538" s="4"/>
      <c r="V538" s="4">
        <f>IF($K538="","",U538*20%)</f>
      </c>
      <c r="W538" s="4">
        <v>1</v>
      </c>
      <c r="X538" s="4">
        <f>IF($K538="","",Q538+T538+V538)</f>
      </c>
      <c r="Y538" s="4">
        <f>IF($K538="","",L538-M538-R538-S538-T538-U538-V538-W538)</f>
      </c>
      <c r="Z538" s="4">
        <f>IF($K538="","",(Y538-AB538)/J538*100)</f>
      </c>
      <c r="AA538" s="4">
        <f>IF($K538="","",M538-X538)</f>
      </c>
      <c r="AC538" s="4">
        <f>IF($K538="","",Y538-AB538)</f>
      </c>
    </row>
    <row r="539" spans="1:34" x14ac:dyDescent="0.25">
      <c r="A539" s="8"/>
      <c r="D539" s="9"/>
      <c r="J539" s="4"/>
      <c r="K539" s="4"/>
      <c r="L539" s="4">
        <f>IF($K539="","",K539-J539)</f>
      </c>
      <c r="M539" s="4">
        <f>IF($K539="","",L539*16.67%)</f>
      </c>
      <c r="N539" s="4">
        <f>IF($K539="","",(K539*6.9%)-(K539*6.9%)*10%)</f>
      </c>
      <c r="O539" s="4">
        <f>IF($K539="","",K539*0.35%)</f>
      </c>
      <c r="P539" s="4">
        <v>0.4</v>
      </c>
      <c r="Q539" s="4">
        <f>IF($K539="","",(N539+O539+P539)*20%)</f>
      </c>
      <c r="R539" s="4">
        <f>IF($K539="","",N539+O539+P539+Q539)</f>
      </c>
      <c r="S539" s="4"/>
      <c r="T539" s="4"/>
      <c r="U539" s="4"/>
      <c r="V539" s="4">
        <f>IF($K539="","",U539*20%)</f>
      </c>
      <c r="W539" s="4">
        <v>1</v>
      </c>
      <c r="X539" s="4">
        <f>IF($K539="","",Q539+T539+V539)</f>
      </c>
      <c r="Y539" s="4">
        <f>IF($K539="","",L539-M539-R539-S539-T539-U539-V539-W539)</f>
      </c>
      <c r="Z539" s="4">
        <f>IF($K539="","",(Y539-AB539)/J539*100)</f>
      </c>
      <c r="AA539" s="4">
        <f>IF($K539="","",M539-X539)</f>
      </c>
      <c r="AC539" s="4">
        <f>IF($K539="","",Y539-AB539)</f>
      </c>
    </row>
    <row r="540" spans="1:34" x14ac:dyDescent="0.25">
      <c r="A540" s="8"/>
      <c r="D540" s="9"/>
      <c r="J540" s="4"/>
      <c r="K540" s="4"/>
      <c r="L540" s="4">
        <f>IF($K540="","",K540-J540)</f>
      </c>
      <c r="M540" s="4">
        <f>IF($K540="","",L540*16.67%)</f>
      </c>
      <c r="N540" s="4">
        <f>IF($K540="","",(K540*6.9%)-(K540*6.9%)*10%)</f>
      </c>
      <c r="O540" s="4">
        <f>IF($K540="","",K540*0.35%)</f>
      </c>
      <c r="P540" s="4">
        <v>0.4</v>
      </c>
      <c r="Q540" s="4">
        <f>IF($K540="","",(N540+O540+P540)*20%)</f>
      </c>
      <c r="R540" s="4">
        <f>IF($K540="","",N540+O540+P540+Q540)</f>
      </c>
      <c r="S540" s="4"/>
      <c r="T540" s="4"/>
      <c r="U540" s="4"/>
      <c r="V540" s="4">
        <f>IF($K540="","",U540*20%)</f>
      </c>
      <c r="W540" s="4">
        <v>1</v>
      </c>
      <c r="X540" s="4">
        <f>IF($K540="","",Q540+T540+V540)</f>
      </c>
      <c r="Y540" s="4">
        <f>IF($K540="","",L540-M540-R540-S540-T540-U540-V540-W540)</f>
      </c>
      <c r="Z540" s="4">
        <f>IF($K540="","",(Y540-AB540)/J540*100)</f>
      </c>
      <c r="AA540" s="4">
        <f>IF($K540="","",M540-X540)</f>
      </c>
      <c r="AC540" s="4">
        <f>IF($K540="","",Y540-AB540)</f>
      </c>
    </row>
    <row r="541" spans="1:34" x14ac:dyDescent="0.25">
      <c r="A541" s="8"/>
      <c r="D541" s="9"/>
      <c r="J541" s="4"/>
      <c r="K541" s="4"/>
      <c r="L541" s="4">
        <f>IF($K541="","",K541-J541)</f>
      </c>
      <c r="M541" s="4">
        <f>IF($K541="","",L541*16.67%)</f>
      </c>
      <c r="N541" s="4">
        <f>IF($K541="","",(K541*6.9%)-(K541*6.9%)*10%)</f>
      </c>
      <c r="O541" s="4">
        <f>IF($K541="","",K541*0.35%)</f>
      </c>
      <c r="P541" s="4">
        <v>0.4</v>
      </c>
      <c r="Q541" s="4">
        <f>IF($K541="","",(N541+O541+P541)*20%)</f>
      </c>
      <c r="R541" s="4">
        <f>IF($K541="","",N541+O541+P541+Q541)</f>
      </c>
      <c r="S541" s="4"/>
      <c r="T541" s="4"/>
      <c r="U541" s="4"/>
      <c r="V541" s="4">
        <f>IF($K541="","",U541*20%)</f>
      </c>
      <c r="W541" s="4">
        <v>1</v>
      </c>
      <c r="X541" s="4">
        <f>IF($K541="","",Q541+T541+V541)</f>
      </c>
      <c r="Y541" s="4">
        <f>IF($K541="","",L541-M541-R541-S541-T541-U541-V541-W541)</f>
      </c>
      <c r="Z541" s="4">
        <f>IF($K541="","",(Y541-AB541)/J541*100)</f>
      </c>
      <c r="AA541" s="4">
        <f>IF($K541="","",M541-X541)</f>
      </c>
      <c r="AC541" s="4">
        <f>IF($K541="","",Y541-AB541)</f>
      </c>
    </row>
    <row r="542" spans="1:34" x14ac:dyDescent="0.25">
      <c r="A542" s="8"/>
      <c r="D542" s="9"/>
      <c r="J542" s="4"/>
      <c r="K542" s="4"/>
      <c r="L542" s="4">
        <f>IF($K542="","",K542-J542)</f>
      </c>
      <c r="M542" s="4">
        <f>IF($K542="","",L542*16.67%)</f>
      </c>
      <c r="N542" s="4">
        <f>IF($K542="","",(K542*6.9%)-(K542*6.9%)*10%)</f>
      </c>
      <c r="O542" s="4">
        <f>IF($K542="","",K542*0.35%)</f>
      </c>
      <c r="P542" s="4">
        <v>0.4</v>
      </c>
      <c r="Q542" s="4">
        <f>IF($K542="","",(N542+O542+P542)*20%)</f>
      </c>
      <c r="R542" s="4">
        <f>IF($K542="","",N542+O542+P542+Q542)</f>
      </c>
      <c r="S542" s="4"/>
      <c r="T542" s="4"/>
      <c r="U542" s="4"/>
      <c r="V542" s="4">
        <f>IF($K542="","",U542*20%)</f>
      </c>
      <c r="W542" s="4">
        <v>1</v>
      </c>
      <c r="X542" s="4">
        <f>IF($K542="","",Q542+T542+V542)</f>
      </c>
      <c r="Y542" s="4">
        <f>IF($K542="","",L542-M542-R542-S542-T542-U542-V542-W542)</f>
      </c>
      <c r="Z542" s="4">
        <f>IF($K542="","",(Y542-AB542)/J542*100)</f>
      </c>
      <c r="AA542" s="4">
        <f>IF($K542="","",M542-X542)</f>
      </c>
      <c r="AC542" s="4">
        <f>IF($K542="","",Y542-AB542)</f>
      </c>
    </row>
    <row r="543" spans="1:34" x14ac:dyDescent="0.25">
      <c r="A543" s="8"/>
      <c r="D543" s="9"/>
      <c r="J543" s="4"/>
      <c r="K543" s="4"/>
      <c r="L543" s="4">
        <f>IF($K543="","",K543-J543)</f>
      </c>
      <c r="M543" s="4">
        <f>IF($K543="","",L543*16.67%)</f>
      </c>
      <c r="N543" s="4">
        <f>IF($K543="","",(K543*6.9%)-(K543*6.9%)*10%)</f>
      </c>
      <c r="O543" s="4">
        <f>IF($K543="","",K543*0.35%)</f>
      </c>
      <c r="P543" s="4">
        <v>0.4</v>
      </c>
      <c r="Q543" s="4">
        <f>IF($K543="","",(N543+O543+P543)*20%)</f>
      </c>
      <c r="R543" s="4">
        <f>IF($K543="","",N543+O543+P543+Q543)</f>
      </c>
      <c r="S543" s="4"/>
      <c r="T543" s="4"/>
      <c r="U543" s="4"/>
      <c r="V543" s="4">
        <f>IF($K543="","",U543*20%)</f>
      </c>
      <c r="W543" s="4">
        <v>1</v>
      </c>
      <c r="X543" s="4">
        <f>IF($K543="","",Q543+T543+V543)</f>
      </c>
      <c r="Y543" s="4">
        <f>IF($K543="","",L543-M543-R543-S543-T543-U543-V543-W543)</f>
      </c>
      <c r="Z543" s="4">
        <f>IF($K543="","",(Y543-AB543)/J543*100)</f>
      </c>
      <c r="AA543" s="4">
        <f>IF($K543="","",M543-X543)</f>
      </c>
      <c r="AC543" s="4">
        <f>IF($K543="","",Y543-AB543)</f>
      </c>
    </row>
    <row r="544" spans="1:34" x14ac:dyDescent="0.25">
      <c r="A544" s="8"/>
      <c r="D544" s="9"/>
      <c r="J544" s="4"/>
      <c r="K544" s="4"/>
      <c r="L544" s="4">
        <f>IF($K544="","",K544-J544)</f>
      </c>
      <c r="M544" s="4">
        <f>IF($K544="","",L544*16.67%)</f>
      </c>
      <c r="N544" s="4">
        <f>IF($K544="","",(K544*6.9%)-(K544*6.9%)*10%)</f>
      </c>
      <c r="O544" s="4">
        <f>IF($K544="","",K544*0.35%)</f>
      </c>
      <c r="P544" s="4">
        <v>0.4</v>
      </c>
      <c r="Q544" s="4">
        <f>IF($K544="","",(N544+O544+P544)*20%)</f>
      </c>
      <c r="R544" s="4">
        <f>IF($K544="","",N544+O544+P544+Q544)</f>
      </c>
      <c r="S544" s="4"/>
      <c r="T544" s="4"/>
      <c r="U544" s="4"/>
      <c r="V544" s="4">
        <f>IF($K544="","",U544*20%)</f>
      </c>
      <c r="W544" s="4">
        <v>1</v>
      </c>
      <c r="X544" s="4">
        <f>IF($K544="","",Q544+T544+V544)</f>
      </c>
      <c r="Y544" s="4">
        <f>IF($K544="","",L544-M544-R544-S544-T544-U544-V544-W544)</f>
      </c>
      <c r="Z544" s="4">
        <f>IF($K544="","",(Y544-AB544)/J544*100)</f>
      </c>
      <c r="AA544" s="4">
        <f>IF($K544="","",M544-X544)</f>
      </c>
      <c r="AC544" s="4">
        <f>IF($K544="","",Y544-AB544)</f>
      </c>
    </row>
    <row r="545" spans="1:34" x14ac:dyDescent="0.25">
      <c r="A545" s="8"/>
      <c r="D545" s="9"/>
      <c r="J545" s="4"/>
      <c r="K545" s="4"/>
      <c r="L545" s="4">
        <f>IF($K545="","",K545-J545)</f>
      </c>
      <c r="M545" s="4">
        <f>IF($K545="","",L545*16.67%)</f>
      </c>
      <c r="N545" s="4">
        <f>IF($K545="","",(K545*6.9%)-(K545*6.9%)*10%)</f>
      </c>
      <c r="O545" s="4">
        <f>IF($K545="","",K545*0.35%)</f>
      </c>
      <c r="P545" s="4">
        <v>0.4</v>
      </c>
      <c r="Q545" s="4">
        <f>IF($K545="","",(N545+O545+P545)*20%)</f>
      </c>
      <c r="R545" s="4">
        <f>IF($K545="","",N545+O545+P545+Q545)</f>
      </c>
      <c r="S545" s="4"/>
      <c r="T545" s="4"/>
      <c r="U545" s="4"/>
      <c r="V545" s="4">
        <f>IF($K545="","",U545*20%)</f>
      </c>
      <c r="W545" s="4">
        <v>1</v>
      </c>
      <c r="X545" s="4">
        <f>IF($K545="","",Q545+T545+V545)</f>
      </c>
      <c r="Y545" s="4">
        <f>IF($K545="","",L545-M545-R545-S545-T545-U545-V545-W545)</f>
      </c>
      <c r="Z545" s="4">
        <f>IF($K545="","",(Y545-AB545)/J545*100)</f>
      </c>
      <c r="AA545" s="4">
        <f>IF($K545="","",M545-X545)</f>
      </c>
      <c r="AC545" s="4">
        <f>IF($K545="","",Y545-AB545)</f>
      </c>
    </row>
    <row r="546" spans="1:34" x14ac:dyDescent="0.25">
      <c r="A546" s="8"/>
      <c r="D546" s="9"/>
      <c r="J546" s="4"/>
      <c r="K546" s="4"/>
      <c r="L546" s="4">
        <f>IF($K546="","",K546-J546)</f>
      </c>
      <c r="M546" s="4">
        <f>IF($K546="","",L546*16.67%)</f>
      </c>
      <c r="N546" s="4">
        <f>IF($K546="","",(K546*6.9%)-(K546*6.9%)*10%)</f>
      </c>
      <c r="O546" s="4">
        <f>IF($K546="","",K546*0.35%)</f>
      </c>
      <c r="P546" s="4">
        <v>0.4</v>
      </c>
      <c r="Q546" s="4">
        <f>IF($K546="","",(N546+O546+P546)*20%)</f>
      </c>
      <c r="R546" s="4">
        <f>IF($K546="","",N546+O546+P546+Q546)</f>
      </c>
      <c r="S546" s="4"/>
      <c r="T546" s="4"/>
      <c r="U546" s="4"/>
      <c r="V546" s="4">
        <f>IF($K546="","",U546*20%)</f>
      </c>
      <c r="W546" s="4">
        <v>1</v>
      </c>
      <c r="X546" s="4">
        <f>IF($K546="","",Q546+T546+V546)</f>
      </c>
      <c r="Y546" s="4">
        <f>IF($K546="","",L546-M546-R546-S546-T546-U546-V546-W546)</f>
      </c>
      <c r="Z546" s="4">
        <f>IF($K546="","",(Y546-AB546)/J546*100)</f>
      </c>
      <c r="AA546" s="4">
        <f>IF($K546="","",M546-X546)</f>
      </c>
      <c r="AC546" s="4">
        <f>IF($K546="","",Y546-AB546)</f>
      </c>
    </row>
    <row r="547" spans="1:34" x14ac:dyDescent="0.25">
      <c r="A547" s="8"/>
      <c r="D547" s="9"/>
      <c r="J547" s="4"/>
      <c r="K547" s="4"/>
      <c r="L547" s="4">
        <f>IF($K547="","",K547-J547)</f>
      </c>
      <c r="M547" s="4">
        <f>IF($K547="","",L547*16.67%)</f>
      </c>
      <c r="N547" s="4">
        <f>IF($K547="","",(K547*6.9%)-(K547*6.9%)*10%)</f>
      </c>
      <c r="O547" s="4">
        <f>IF($K547="","",K547*0.35%)</f>
      </c>
      <c r="P547" s="4">
        <v>0.4</v>
      </c>
      <c r="Q547" s="4">
        <f>IF($K547="","",(N547+O547+P547)*20%)</f>
      </c>
      <c r="R547" s="4">
        <f>IF($K547="","",N547+O547+P547+Q547)</f>
      </c>
      <c r="S547" s="4"/>
      <c r="T547" s="4"/>
      <c r="U547" s="4"/>
      <c r="V547" s="4">
        <f>IF($K547="","",U547*20%)</f>
      </c>
      <c r="W547" s="4">
        <v>1</v>
      </c>
      <c r="X547" s="4">
        <f>IF($K547="","",Q547+T547+V547)</f>
      </c>
      <c r="Y547" s="4">
        <f>IF($K547="","",L547-M547-R547-S547-T547-U547-V547-W547)</f>
      </c>
      <c r="Z547" s="4">
        <f>IF($K547="","",(Y547-AB547)/J547*100)</f>
      </c>
      <c r="AA547" s="4">
        <f>IF($K547="","",M547-X547)</f>
      </c>
      <c r="AC547" s="4">
        <f>IF($K547="","",Y547-AB547)</f>
      </c>
    </row>
    <row r="548" spans="1:34" x14ac:dyDescent="0.25">
      <c r="A548" s="8"/>
      <c r="D548" s="9"/>
      <c r="J548" s="4"/>
      <c r="K548" s="4"/>
      <c r="L548" s="4">
        <f>IF($K548="","",K548-J548)</f>
      </c>
      <c r="M548" s="4">
        <f>IF($K548="","",L548*16.67%)</f>
      </c>
      <c r="N548" s="4">
        <f>IF($K548="","",(K548*6.9%)-(K548*6.9%)*10%)</f>
      </c>
      <c r="O548" s="4">
        <f>IF($K548="","",K548*0.35%)</f>
      </c>
      <c r="P548" s="4">
        <v>0.4</v>
      </c>
      <c r="Q548" s="4">
        <f>IF($K548="","",(N548+O548+P548)*20%)</f>
      </c>
      <c r="R548" s="4">
        <f>IF($K548="","",N548+O548+P548+Q548)</f>
      </c>
      <c r="S548" s="4"/>
      <c r="T548" s="4"/>
      <c r="U548" s="4"/>
      <c r="V548" s="4">
        <f>IF($K548="","",U548*20%)</f>
      </c>
      <c r="W548" s="4">
        <v>1</v>
      </c>
      <c r="X548" s="4">
        <f>IF($K548="","",Q548+T548+V548)</f>
      </c>
      <c r="Y548" s="4">
        <f>IF($K548="","",L548-M548-R548-S548-T548-U548-V548-W548)</f>
      </c>
      <c r="Z548" s="4">
        <f>IF($K548="","",(Y548-AB548)/J548*100)</f>
      </c>
      <c r="AA548" s="4">
        <f>IF($K548="","",M548-X548)</f>
      </c>
      <c r="AC548" s="4">
        <f>IF($K548="","",Y548-AB548)</f>
      </c>
    </row>
    <row r="549" spans="1:34" x14ac:dyDescent="0.25">
      <c r="A549" s="8"/>
      <c r="D549" s="9"/>
      <c r="J549" s="4"/>
      <c r="K549" s="4"/>
      <c r="L549" s="4">
        <f>IF($K549="","",K549-J549)</f>
      </c>
      <c r="M549" s="4">
        <f>IF($K549="","",L549*16.67%)</f>
      </c>
      <c r="N549" s="4">
        <f>IF($K549="","",(K549*6.9%)-(K549*6.9%)*10%)</f>
      </c>
      <c r="O549" s="4">
        <f>IF($K549="","",K549*0.35%)</f>
      </c>
      <c r="P549" s="4">
        <v>0.4</v>
      </c>
      <c r="Q549" s="4">
        <f>IF($K549="","",(N549+O549+P549)*20%)</f>
      </c>
      <c r="R549" s="4">
        <f>IF($K549="","",N549+O549+P549+Q549)</f>
      </c>
      <c r="S549" s="4"/>
      <c r="T549" s="4"/>
      <c r="U549" s="4"/>
      <c r="V549" s="4">
        <f>IF($K549="","",U549*20%)</f>
      </c>
      <c r="W549" s="4">
        <v>1</v>
      </c>
      <c r="X549" s="4">
        <f>IF($K549="","",Q549+T549+V549)</f>
      </c>
      <c r="Y549" s="4">
        <f>IF($K549="","",L549-M549-R549-S549-T549-U549-V549-W549)</f>
      </c>
      <c r="Z549" s="4">
        <f>IF($K549="","",(Y549-AB549)/J549*100)</f>
      </c>
      <c r="AA549" s="4">
        <f>IF($K549="","",M549-X549)</f>
      </c>
      <c r="AC549" s="4">
        <f>IF($K549="","",Y549-AB549)</f>
      </c>
    </row>
    <row r="550" spans="1:34" x14ac:dyDescent="0.25">
      <c r="A550" s="8"/>
      <c r="D550" s="9"/>
      <c r="J550" s="4"/>
      <c r="K550" s="4"/>
      <c r="L550" s="4">
        <f>IF($K550="","",K550-J550)</f>
      </c>
      <c r="M550" s="4">
        <f>IF($K550="","",L550*16.67%)</f>
      </c>
      <c r="N550" s="4">
        <f>IF($K550="","",(K550*6.9%)-(K550*6.9%)*10%)</f>
      </c>
      <c r="O550" s="4">
        <f>IF($K550="","",K550*0.35%)</f>
      </c>
      <c r="P550" s="4">
        <v>0.4</v>
      </c>
      <c r="Q550" s="4">
        <f>IF($K550="","",(N550+O550+P550)*20%)</f>
      </c>
      <c r="R550" s="4">
        <f>IF($K550="","",N550+O550+P550+Q550)</f>
      </c>
      <c r="S550" s="4"/>
      <c r="T550" s="4"/>
      <c r="U550" s="4"/>
      <c r="V550" s="4">
        <f>IF($K550="","",U550*20%)</f>
      </c>
      <c r="W550" s="4">
        <v>1</v>
      </c>
      <c r="X550" s="4">
        <f>IF($K550="","",Q550+T550+V550)</f>
      </c>
      <c r="Y550" s="4">
        <f>IF($K550="","",L550-M550-R550-S550-T550-U550-V550-W550)</f>
      </c>
      <c r="Z550" s="4">
        <f>IF($K550="","",(Y550-AB550)/J550*100)</f>
      </c>
      <c r="AA550" s="4">
        <f>IF($K550="","",M550-X550)</f>
      </c>
      <c r="AC550" s="4">
        <f>IF($K550="","",Y550-AB550)</f>
      </c>
    </row>
    <row r="551" spans="1:34" x14ac:dyDescent="0.25">
      <c r="A551" s="8"/>
      <c r="D551" s="9"/>
      <c r="J551" s="4"/>
      <c r="K551" s="4"/>
      <c r="L551" s="4">
        <f>IF($K551="","",K551-J551)</f>
      </c>
      <c r="M551" s="4">
        <f>IF($K551="","",L551*16.67%)</f>
      </c>
      <c r="N551" s="4">
        <f>IF($K551="","",(K551*6.9%)-(K551*6.9%)*10%)</f>
      </c>
      <c r="O551" s="4">
        <f>IF($K551="","",K551*0.35%)</f>
      </c>
      <c r="P551" s="4">
        <v>0.4</v>
      </c>
      <c r="Q551" s="4">
        <f>IF($K551="","",(N551+O551+P551)*20%)</f>
      </c>
      <c r="R551" s="4">
        <f>IF($K551="","",N551+O551+P551+Q551)</f>
      </c>
      <c r="S551" s="4"/>
      <c r="T551" s="4"/>
      <c r="U551" s="4"/>
      <c r="V551" s="4">
        <f>IF($K551="","",U551*20%)</f>
      </c>
      <c r="W551" s="4">
        <v>1</v>
      </c>
      <c r="X551" s="4">
        <f>IF($K551="","",Q551+T551+V551)</f>
      </c>
      <c r="Y551" s="4">
        <f>IF($K551="","",L551-M551-R551-S551-T551-U551-V551-W551)</f>
      </c>
      <c r="Z551" s="4">
        <f>IF($K551="","",(Y551-AB551)/J551*100)</f>
      </c>
      <c r="AA551" s="4">
        <f>IF($K551="","",M551-X551)</f>
      </c>
      <c r="AC551" s="4">
        <f>IF($K551="","",Y551-AB551)</f>
      </c>
    </row>
    <row r="552" spans="1:34" x14ac:dyDescent="0.25">
      <c r="A552" s="8"/>
      <c r="D552" s="9"/>
      <c r="J552" s="4"/>
      <c r="K552" s="4"/>
      <c r="L552" s="4">
        <f>IF($K552="","",K552-J552)</f>
      </c>
      <c r="M552" s="4">
        <f>IF($K552="","",L552*16.67%)</f>
      </c>
      <c r="N552" s="4">
        <f>IF($K552="","",(K552*6.9%)-(K552*6.9%)*10%)</f>
      </c>
      <c r="O552" s="4">
        <f>IF($K552="","",K552*0.35%)</f>
      </c>
      <c r="P552" s="4">
        <v>0.4</v>
      </c>
      <c r="Q552" s="4">
        <f>IF($K552="","",(N552+O552+P552)*20%)</f>
      </c>
      <c r="R552" s="4">
        <f>IF($K552="","",N552+O552+P552+Q552)</f>
      </c>
      <c r="S552" s="4"/>
      <c r="T552" s="4"/>
      <c r="U552" s="4"/>
      <c r="V552" s="4">
        <f>IF($K552="","",U552*20%)</f>
      </c>
      <c r="W552" s="4">
        <v>1</v>
      </c>
      <c r="X552" s="4">
        <f>IF($K552="","",Q552+T552+V552)</f>
      </c>
      <c r="Y552" s="4">
        <f>IF($K552="","",L552-M552-R552-S552-T552-U552-V552-W552)</f>
      </c>
      <c r="Z552" s="4">
        <f>IF($K552="","",(Y552-AB552)/J552*100)</f>
      </c>
      <c r="AA552" s="4">
        <f>IF($K552="","",M552-X552)</f>
      </c>
      <c r="AC552" s="4">
        <f>IF($K552="","",Y552-AB552)</f>
      </c>
    </row>
    <row r="553" spans="1:34" x14ac:dyDescent="0.25">
      <c r="A553" s="8"/>
      <c r="D553" s="9"/>
      <c r="J553" s="4"/>
      <c r="K553" s="4"/>
      <c r="L553" s="4">
        <f>IF($K553="","",K553-J553)</f>
      </c>
      <c r="M553" s="4">
        <f>IF($K553="","",L553*16.67%)</f>
      </c>
      <c r="N553" s="4">
        <f>IF($K553="","",(K553*6.9%)-(K553*6.9%)*10%)</f>
      </c>
      <c r="O553" s="4">
        <f>IF($K553="","",K553*0.35%)</f>
      </c>
      <c r="P553" s="4">
        <v>0.4</v>
      </c>
      <c r="Q553" s="4">
        <f>IF($K553="","",(N553+O553+P553)*20%)</f>
      </c>
      <c r="R553" s="4">
        <f>IF($K553="","",N553+O553+P553+Q553)</f>
      </c>
      <c r="S553" s="4"/>
      <c r="T553" s="4"/>
      <c r="U553" s="4"/>
      <c r="V553" s="4">
        <f>IF($K553="","",U553*20%)</f>
      </c>
      <c r="W553" s="4">
        <v>1</v>
      </c>
      <c r="X553" s="4">
        <f>IF($K553="","",Q553+T553+V553)</f>
      </c>
      <c r="Y553" s="4">
        <f>IF($K553="","",L553-M553-R553-S553-T553-U553-V553-W553)</f>
      </c>
      <c r="Z553" s="4">
        <f>IF($K553="","",(Y553-AB553)/J553*100)</f>
      </c>
      <c r="AA553" s="4">
        <f>IF($K553="","",M553-X553)</f>
      </c>
      <c r="AC553" s="4">
        <f>IF($K553="","",Y553-AB553)</f>
      </c>
    </row>
    <row r="554" spans="1:34" x14ac:dyDescent="0.25">
      <c r="A554" s="8"/>
      <c r="D554" s="9"/>
      <c r="J554" s="4"/>
      <c r="K554" s="4"/>
      <c r="L554" s="4">
        <f>IF($K554="","",K554-J554)</f>
      </c>
      <c r="M554" s="4">
        <f>IF($K554="","",L554*16.67%)</f>
      </c>
      <c r="N554" s="4">
        <f>IF($K554="","",(K554*6.9%)-(K554*6.9%)*10%)</f>
      </c>
      <c r="O554" s="4">
        <f>IF($K554="","",K554*0.35%)</f>
      </c>
      <c r="P554" s="4">
        <v>0.4</v>
      </c>
      <c r="Q554" s="4">
        <f>IF($K554="","",(N554+O554+P554)*20%)</f>
      </c>
      <c r="R554" s="4">
        <f>IF($K554="","",N554+O554+P554+Q554)</f>
      </c>
      <c r="S554" s="4"/>
      <c r="T554" s="4"/>
      <c r="U554" s="4"/>
      <c r="V554" s="4">
        <f>IF($K554="","",U554*20%)</f>
      </c>
      <c r="W554" s="4">
        <v>1</v>
      </c>
      <c r="X554" s="4">
        <f>IF($K554="","",Q554+T554+V554)</f>
      </c>
      <c r="Y554" s="4">
        <f>IF($K554="","",L554-M554-R554-S554-T554-U554-V554-W554)</f>
      </c>
      <c r="Z554" s="4">
        <f>IF($K554="","",(Y554-AB554)/J554*100)</f>
      </c>
      <c r="AA554" s="4">
        <f>IF($K554="","",M554-X554)</f>
      </c>
      <c r="AC554" s="4">
        <f>IF($K554="","",Y554-AB554)</f>
      </c>
    </row>
    <row r="555" spans="1:34" x14ac:dyDescent="0.25">
      <c r="A555" s="8"/>
      <c r="D555" s="9"/>
      <c r="J555" s="4"/>
      <c r="K555" s="4"/>
      <c r="L555" s="4">
        <f>IF($K555="","",K555-J555)</f>
      </c>
      <c r="M555" s="4">
        <f>IF($K555="","",L555*16.67%)</f>
      </c>
      <c r="N555" s="4">
        <f>IF($K555="","",(K555*6.9%)-(K555*6.9%)*10%)</f>
      </c>
      <c r="O555" s="4">
        <f>IF($K555="","",K555*0.35%)</f>
      </c>
      <c r="P555" s="4">
        <v>0.4</v>
      </c>
      <c r="Q555" s="4">
        <f>IF($K555="","",(N555+O555+P555)*20%)</f>
      </c>
      <c r="R555" s="4">
        <f>IF($K555="","",N555+O555+P555+Q555)</f>
      </c>
      <c r="S555" s="4"/>
      <c r="T555" s="4"/>
      <c r="U555" s="4"/>
      <c r="V555" s="4">
        <f>IF($K555="","",U555*20%)</f>
      </c>
      <c r="W555" s="4">
        <v>1</v>
      </c>
      <c r="X555" s="4">
        <f>IF($K555="","",Q555+T555+V555)</f>
      </c>
      <c r="Y555" s="4">
        <f>IF($K555="","",L555-M555-R555-S555-T555-U555-V555-W555)</f>
      </c>
      <c r="Z555" s="4">
        <f>IF($K555="","",(Y555-AB555)/J555*100)</f>
      </c>
      <c r="AA555" s="4">
        <f>IF($K555="","",M555-X555)</f>
      </c>
      <c r="AC555" s="4">
        <f>IF($K555="","",Y555-AB555)</f>
      </c>
    </row>
    <row r="556" spans="1:34" x14ac:dyDescent="0.25">
      <c r="A556" s="8"/>
      <c r="D556" s="9"/>
      <c r="J556" s="4"/>
      <c r="K556" s="4"/>
      <c r="L556" s="4">
        <f>IF($K556="","",K556-J556)</f>
      </c>
      <c r="M556" s="4">
        <f>IF($K556="","",L556*16.67%)</f>
      </c>
      <c r="N556" s="4">
        <f>IF($K556="","",(K556*6.9%)-(K556*6.9%)*10%)</f>
      </c>
      <c r="O556" s="4">
        <f>IF($K556="","",K556*0.35%)</f>
      </c>
      <c r="P556" s="4">
        <v>0.4</v>
      </c>
      <c r="Q556" s="4">
        <f>IF($K556="","",(N556+O556+P556)*20%)</f>
      </c>
      <c r="R556" s="4">
        <f>IF($K556="","",N556+O556+P556+Q556)</f>
      </c>
      <c r="S556" s="4"/>
      <c r="T556" s="4"/>
      <c r="U556" s="4"/>
      <c r="V556" s="4">
        <f>IF($K556="","",U556*20%)</f>
      </c>
      <c r="W556" s="4">
        <v>1</v>
      </c>
      <c r="X556" s="4">
        <f>IF($K556="","",Q556+T556+V556)</f>
      </c>
      <c r="Y556" s="4">
        <f>IF($K556="","",L556-M556-R556-S556-T556-U556-V556-W556)</f>
      </c>
      <c r="Z556" s="4">
        <f>IF($K556="","",(Y556-AB556)/J556*100)</f>
      </c>
      <c r="AA556" s="4">
        <f>IF($K556="","",M556-X556)</f>
      </c>
      <c r="AC556" s="4">
        <f>IF($K556="","",Y556-AB556)</f>
      </c>
    </row>
    <row r="557" spans="1:34" x14ac:dyDescent="0.25">
      <c r="A557" s="8"/>
      <c r="D557" s="9"/>
      <c r="J557" s="4"/>
      <c r="K557" s="4"/>
      <c r="L557" s="4">
        <f>IF($K557="","",K557-J557)</f>
      </c>
      <c r="M557" s="4">
        <f>IF($K557="","",L557*16.67%)</f>
      </c>
      <c r="N557" s="4">
        <f>IF($K557="","",(K557*6.9%)-(K557*6.9%)*10%)</f>
      </c>
      <c r="O557" s="4">
        <f>IF($K557="","",K557*0.35%)</f>
      </c>
      <c r="P557" s="4">
        <v>0.4</v>
      </c>
      <c r="Q557" s="4">
        <f>IF($K557="","",(N557+O557+P557)*20%)</f>
      </c>
      <c r="R557" s="4">
        <f>IF($K557="","",N557+O557+P557+Q557)</f>
      </c>
      <c r="S557" s="4"/>
      <c r="T557" s="4"/>
      <c r="U557" s="4"/>
      <c r="V557" s="4">
        <f>IF($K557="","",U557*20%)</f>
      </c>
      <c r="W557" s="4">
        <v>1</v>
      </c>
      <c r="X557" s="4">
        <f>IF($K557="","",Q557+T557+V557)</f>
      </c>
      <c r="Y557" s="4">
        <f>IF($K557="","",L557-M557-R557-S557-T557-U557-V557-W557)</f>
      </c>
      <c r="Z557" s="4">
        <f>IF($K557="","",(Y557-AB557)/J557*100)</f>
      </c>
      <c r="AA557" s="4">
        <f>IF($K557="","",M557-X557)</f>
      </c>
      <c r="AC557" s="4">
        <f>IF($K557="","",Y557-AB557)</f>
      </c>
    </row>
    <row r="558" spans="1:34" x14ac:dyDescent="0.25">
      <c r="A558" s="8"/>
      <c r="D558" s="9"/>
      <c r="J558" s="4"/>
      <c r="K558" s="4"/>
      <c r="L558" s="4">
        <f>IF($K558="","",K558-J558)</f>
      </c>
      <c r="M558" s="4">
        <f>IF($K558="","",L558*16.67%)</f>
      </c>
      <c r="N558" s="4">
        <f>IF($K558="","",(K558*6.9%)-(K558*6.9%)*10%)</f>
      </c>
      <c r="O558" s="4">
        <f>IF($K558="","",K558*0.35%)</f>
      </c>
      <c r="P558" s="4">
        <v>0.4</v>
      </c>
      <c r="Q558" s="4">
        <f>IF($K558="","",(N558+O558+P558)*20%)</f>
      </c>
      <c r="R558" s="4">
        <f>IF($K558="","",N558+O558+P558+Q558)</f>
      </c>
      <c r="S558" s="4"/>
      <c r="T558" s="4"/>
      <c r="U558" s="4"/>
      <c r="V558" s="4">
        <f>IF($K558="","",U558*20%)</f>
      </c>
      <c r="W558" s="4">
        <v>1</v>
      </c>
      <c r="X558" s="4">
        <f>IF($K558="","",Q558+T558+V558)</f>
      </c>
      <c r="Y558" s="4">
        <f>IF($K558="","",L558-M558-R558-S558-T558-U558-V558-W558)</f>
      </c>
      <c r="Z558" s="4">
        <f>IF($K558="","",(Y558-AB558)/J558*100)</f>
      </c>
      <c r="AA558" s="4">
        <f>IF($K558="","",M558-X558)</f>
      </c>
      <c r="AC558" s="4">
        <f>IF($K558="","",Y558-AB558)</f>
      </c>
    </row>
    <row r="559" spans="1:34" x14ac:dyDescent="0.25">
      <c r="A559" s="8"/>
      <c r="D559" s="9"/>
      <c r="J559" s="4"/>
      <c r="K559" s="4"/>
      <c r="L559" s="4">
        <f>IF($K559="","",K559-J559)</f>
      </c>
      <c r="M559" s="4">
        <f>IF($K559="","",L559*16.67%)</f>
      </c>
      <c r="N559" s="4">
        <f>IF($K559="","",(K559*6.9%)-(K559*6.9%)*10%)</f>
      </c>
      <c r="O559" s="4">
        <f>IF($K559="","",K559*0.35%)</f>
      </c>
      <c r="P559" s="4">
        <v>0.4</v>
      </c>
      <c r="Q559" s="4">
        <f>IF($K559="","",(N559+O559+P559)*20%)</f>
      </c>
      <c r="R559" s="4">
        <f>IF($K559="","",N559+O559+P559+Q559)</f>
      </c>
      <c r="S559" s="4"/>
      <c r="T559" s="4"/>
      <c r="U559" s="4"/>
      <c r="V559" s="4">
        <f>IF($K559="","",U559*20%)</f>
      </c>
      <c r="W559" s="4">
        <v>1</v>
      </c>
      <c r="X559" s="4">
        <f>IF($K559="","",Q559+T559+V559)</f>
      </c>
      <c r="Y559" s="4">
        <f>IF($K559="","",L559-M559-R559-S559-T559-U559-V559-W559)</f>
      </c>
      <c r="Z559" s="4">
        <f>IF($K559="","",(Y559-AB559)/J559*100)</f>
      </c>
      <c r="AA559" s="4">
        <f>IF($K559="","",M559-X559)</f>
      </c>
      <c r="AC559" s="4">
        <f>IF($K559="","",Y559-AB559)</f>
      </c>
    </row>
    <row r="560" spans="1:34" x14ac:dyDescent="0.25">
      <c r="A560" s="8"/>
      <c r="D560" s="9"/>
      <c r="J560" s="4"/>
      <c r="K560" s="4"/>
      <c r="L560" s="4">
        <f>IF($K560="","",K560-J560)</f>
      </c>
      <c r="M560" s="4">
        <f>IF($K560="","",L560*16.67%)</f>
      </c>
      <c r="N560" s="4">
        <f>IF($K560="","",(K560*6.9%)-(K560*6.9%)*10%)</f>
      </c>
      <c r="O560" s="4">
        <f>IF($K560="","",K560*0.35%)</f>
      </c>
      <c r="P560" s="4">
        <v>0.4</v>
      </c>
      <c r="Q560" s="4">
        <f>IF($K560="","",(N560+O560+P560)*20%)</f>
      </c>
      <c r="R560" s="4">
        <f>IF($K560="","",N560+O560+P560+Q560)</f>
      </c>
      <c r="S560" s="4"/>
      <c r="T560" s="4"/>
      <c r="U560" s="4"/>
      <c r="V560" s="4">
        <f>IF($K560="","",U560*20%)</f>
      </c>
      <c r="W560" s="4">
        <v>1</v>
      </c>
      <c r="X560" s="4">
        <f>IF($K560="","",Q560+T560+V560)</f>
      </c>
      <c r="Y560" s="4">
        <f>IF($K560="","",L560-M560-R560-S560-T560-U560-V560-W560)</f>
      </c>
      <c r="Z560" s="4">
        <f>IF($K560="","",(Y560-AB560)/J560*100)</f>
      </c>
      <c r="AA560" s="4">
        <f>IF($K560="","",M560-X560)</f>
      </c>
      <c r="AC560" s="4">
        <f>IF($K560="","",Y560-AB560)</f>
      </c>
    </row>
    <row r="561" spans="1:34" x14ac:dyDescent="0.25">
      <c r="A561" s="8"/>
      <c r="D561" s="9"/>
      <c r="J561" s="4"/>
      <c r="K561" s="4"/>
      <c r="L561" s="4">
        <f>IF($K561="","",K561-J561)</f>
      </c>
      <c r="M561" s="4">
        <f>IF($K561="","",L561*16.67%)</f>
      </c>
      <c r="N561" s="4">
        <f>IF($K561="","",(K561*6.9%)-(K561*6.9%)*10%)</f>
      </c>
      <c r="O561" s="4">
        <f>IF($K561="","",K561*0.35%)</f>
      </c>
      <c r="P561" s="4">
        <v>0.4</v>
      </c>
      <c r="Q561" s="4">
        <f>IF($K561="","",(N561+O561+P561)*20%)</f>
      </c>
      <c r="R561" s="4">
        <f>IF($K561="","",N561+O561+P561+Q561)</f>
      </c>
      <c r="S561" s="4"/>
      <c r="T561" s="4"/>
      <c r="U561" s="4"/>
      <c r="V561" s="4">
        <f>IF($K561="","",U561*20%)</f>
      </c>
      <c r="W561" s="4">
        <v>1</v>
      </c>
      <c r="X561" s="4">
        <f>IF($K561="","",Q561+T561+V561)</f>
      </c>
      <c r="Y561" s="4">
        <f>IF($K561="","",L561-M561-R561-S561-T561-U561-V561-W561)</f>
      </c>
      <c r="Z561" s="4">
        <f>IF($K561="","",(Y561-AB561)/J561*100)</f>
      </c>
      <c r="AA561" s="4">
        <f>IF($K561="","",M561-X561)</f>
      </c>
      <c r="AC561" s="4">
        <f>IF($K561="","",Y561-AB561)</f>
      </c>
    </row>
    <row r="562" spans="1:34" x14ac:dyDescent="0.25">
      <c r="A562" s="8"/>
      <c r="D562" s="9"/>
      <c r="J562" s="4"/>
      <c r="K562" s="4"/>
      <c r="L562" s="4">
        <f>IF($K562="","",K562-J562)</f>
      </c>
      <c r="M562" s="4">
        <f>IF($K562="","",L562*16.67%)</f>
      </c>
      <c r="N562" s="4">
        <f>IF($K562="","",(K562*6.9%)-(K562*6.9%)*10%)</f>
      </c>
      <c r="O562" s="4">
        <f>IF($K562="","",K562*0.35%)</f>
      </c>
      <c r="P562" s="4">
        <v>0.4</v>
      </c>
      <c r="Q562" s="4">
        <f>IF($K562="","",(N562+O562+P562)*20%)</f>
      </c>
      <c r="R562" s="4">
        <f>IF($K562="","",N562+O562+P562+Q562)</f>
      </c>
      <c r="S562" s="4"/>
      <c r="T562" s="4"/>
      <c r="U562" s="4"/>
      <c r="V562" s="4">
        <f>IF($K562="","",U562*20%)</f>
      </c>
      <c r="W562" s="4">
        <v>1</v>
      </c>
      <c r="X562" s="4">
        <f>IF($K562="","",Q562+T562+V562)</f>
      </c>
      <c r="Y562" s="4">
        <f>IF($K562="","",L562-M562-R562-S562-T562-U562-V562-W562)</f>
      </c>
      <c r="Z562" s="4">
        <f>IF($K562="","",(Y562-AB562)/J562*100)</f>
      </c>
      <c r="AA562" s="4">
        <f>IF($K562="","",M562-X562)</f>
      </c>
      <c r="AC562" s="4">
        <f>IF($K562="","",Y562-AB562)</f>
      </c>
    </row>
    <row r="563" spans="1:34" x14ac:dyDescent="0.25">
      <c r="A563" s="8"/>
      <c r="D563" s="9"/>
      <c r="J563" s="4"/>
      <c r="K563" s="4"/>
      <c r="L563" s="4">
        <f>IF($K563="","",K563-J563)</f>
      </c>
      <c r="M563" s="4">
        <f>IF($K563="","",L563*16.67%)</f>
      </c>
      <c r="N563" s="4">
        <f>IF($K563="","",(K563*6.9%)-(K563*6.9%)*10%)</f>
      </c>
      <c r="O563" s="4">
        <f>IF($K563="","",K563*0.35%)</f>
      </c>
      <c r="P563" s="4">
        <v>0.4</v>
      </c>
      <c r="Q563" s="4">
        <f>IF($K563="","",(N563+O563+P563)*20%)</f>
      </c>
      <c r="R563" s="4">
        <f>IF($K563="","",N563+O563+P563+Q563)</f>
      </c>
      <c r="S563" s="4"/>
      <c r="T563" s="4"/>
      <c r="U563" s="4"/>
      <c r="V563" s="4">
        <f>IF($K563="","",U563*20%)</f>
      </c>
      <c r="W563" s="4">
        <v>1</v>
      </c>
      <c r="X563" s="4">
        <f>IF($K563="","",Q563+T563+V563)</f>
      </c>
      <c r="Y563" s="4">
        <f>IF($K563="","",L563-M563-R563-S563-T563-U563-V563-W563)</f>
      </c>
      <c r="Z563" s="4">
        <f>IF($K563="","",(Y563-AB563)/J563*100)</f>
      </c>
      <c r="AA563" s="4">
        <f>IF($K563="","",M563-X563)</f>
      </c>
      <c r="AC563" s="4">
        <f>IF($K563="","",Y563-AB563)</f>
      </c>
    </row>
    <row r="564" spans="1:34" x14ac:dyDescent="0.25">
      <c r="A564" s="8"/>
      <c r="D564" s="9"/>
      <c r="J564" s="4"/>
      <c r="K564" s="4"/>
      <c r="L564" s="4">
        <f>IF($K564="","",K564-J564)</f>
      </c>
      <c r="M564" s="4">
        <f>IF($K564="","",L564*16.67%)</f>
      </c>
      <c r="N564" s="4">
        <f>IF($K564="","",(K564*6.9%)-(K564*6.9%)*10%)</f>
      </c>
      <c r="O564" s="4">
        <f>IF($K564="","",K564*0.35%)</f>
      </c>
      <c r="P564" s="4">
        <v>0.4</v>
      </c>
      <c r="Q564" s="4">
        <f>IF($K564="","",(N564+O564+P564)*20%)</f>
      </c>
      <c r="R564" s="4">
        <f>IF($K564="","",N564+O564+P564+Q564)</f>
      </c>
      <c r="S564" s="4"/>
      <c r="T564" s="4"/>
      <c r="U564" s="4"/>
      <c r="V564" s="4">
        <f>IF($K564="","",U564*20%)</f>
      </c>
      <c r="W564" s="4">
        <v>1</v>
      </c>
      <c r="X564" s="4">
        <f>IF($K564="","",Q564+T564+V564)</f>
      </c>
      <c r="Y564" s="4">
        <f>IF($K564="","",L564-M564-R564-S564-T564-U564-V564-W564)</f>
      </c>
      <c r="Z564" s="4">
        <f>IF($K564="","",(Y564-AB564)/J564*100)</f>
      </c>
      <c r="AA564" s="4">
        <f>IF($K564="","",M564-X564)</f>
      </c>
      <c r="AC564" s="4">
        <f>IF($K564="","",Y564-AB564)</f>
      </c>
    </row>
    <row r="565" spans="1:34" x14ac:dyDescent="0.25">
      <c r="A565" s="8"/>
      <c r="D565" s="9"/>
      <c r="J565" s="4"/>
      <c r="K565" s="4"/>
      <c r="L565" s="4">
        <f>IF($K565="","",K565-J565)</f>
      </c>
      <c r="M565" s="4">
        <f>IF($K565="","",L565*16.67%)</f>
      </c>
      <c r="N565" s="4">
        <f>IF($K565="","",(K565*6.9%)-(K565*6.9%)*10%)</f>
      </c>
      <c r="O565" s="4">
        <f>IF($K565="","",K565*0.35%)</f>
      </c>
      <c r="P565" s="4">
        <v>0.4</v>
      </c>
      <c r="Q565" s="4">
        <f>IF($K565="","",(N565+O565+P565)*20%)</f>
      </c>
      <c r="R565" s="4">
        <f>IF($K565="","",N565+O565+P565+Q565)</f>
      </c>
      <c r="S565" s="4"/>
      <c r="T565" s="4"/>
      <c r="U565" s="4"/>
      <c r="V565" s="4">
        <f>IF($K565="","",U565*20%)</f>
      </c>
      <c r="W565" s="4">
        <v>1</v>
      </c>
      <c r="X565" s="4">
        <f>IF($K565="","",Q565+T565+V565)</f>
      </c>
      <c r="Y565" s="4">
        <f>IF($K565="","",L565-M565-R565-S565-T565-U565-V565-W565)</f>
      </c>
      <c r="Z565" s="4">
        <f>IF($K565="","",(Y565-AB565)/J565*100)</f>
      </c>
      <c r="AA565" s="4">
        <f>IF($K565="","",M565-X565)</f>
      </c>
      <c r="AC565" s="4">
        <f>IF($K565="","",Y565-AB565)</f>
      </c>
    </row>
    <row r="566" spans="1:34" x14ac:dyDescent="0.25">
      <c r="A566" s="8"/>
      <c r="D566" s="9"/>
      <c r="J566" s="4"/>
      <c r="K566" s="4"/>
      <c r="L566" s="4">
        <f>IF($K566="","",K566-J566)</f>
      </c>
      <c r="M566" s="4">
        <f>IF($K566="","",L566*16.67%)</f>
      </c>
      <c r="N566" s="4">
        <f>IF($K566="","",(K566*6.9%)-(K566*6.9%)*10%)</f>
      </c>
      <c r="O566" s="4">
        <f>IF($K566="","",K566*0.35%)</f>
      </c>
      <c r="P566" s="4">
        <v>0.4</v>
      </c>
      <c r="Q566" s="4">
        <f>IF($K566="","",(N566+O566+P566)*20%)</f>
      </c>
      <c r="R566" s="4">
        <f>IF($K566="","",N566+O566+P566+Q566)</f>
      </c>
      <c r="S566" s="4"/>
      <c r="T566" s="4"/>
      <c r="U566" s="4"/>
      <c r="V566" s="4">
        <f>IF($K566="","",U566*20%)</f>
      </c>
      <c r="W566" s="4">
        <v>1</v>
      </c>
      <c r="X566" s="4">
        <f>IF($K566="","",Q566+T566+V566)</f>
      </c>
      <c r="Y566" s="4">
        <f>IF($K566="","",L566-M566-R566-S566-T566-U566-V566-W566)</f>
      </c>
      <c r="Z566" s="4">
        <f>IF($K566="","",(Y566-AB566)/J566*100)</f>
      </c>
      <c r="AA566" s="4">
        <f>IF($K566="","",M566-X566)</f>
      </c>
      <c r="AC566" s="4">
        <f>IF($K566="","",Y566-AB566)</f>
      </c>
    </row>
    <row r="567" spans="1:34" x14ac:dyDescent="0.25">
      <c r="A567" s="8"/>
      <c r="D567" s="9"/>
      <c r="J567" s="4"/>
      <c r="K567" s="4"/>
      <c r="L567" s="4">
        <f>IF($K567="","",K567-J567)</f>
      </c>
      <c r="M567" s="4">
        <f>IF($K567="","",L567*16.67%)</f>
      </c>
      <c r="N567" s="4">
        <f>IF($K567="","",(K567*6.9%)-(K567*6.9%)*10%)</f>
      </c>
      <c r="O567" s="4">
        <f>IF($K567="","",K567*0.35%)</f>
      </c>
      <c r="P567" s="4">
        <v>0.4</v>
      </c>
      <c r="Q567" s="4">
        <f>IF($K567="","",(N567+O567+P567)*20%)</f>
      </c>
      <c r="R567" s="4">
        <f>IF($K567="","",N567+O567+P567+Q567)</f>
      </c>
      <c r="S567" s="4"/>
      <c r="T567" s="4"/>
      <c r="U567" s="4"/>
      <c r="V567" s="4">
        <f>IF($K567="","",U567*20%)</f>
      </c>
      <c r="W567" s="4">
        <v>1</v>
      </c>
      <c r="X567" s="4">
        <f>IF($K567="","",Q567+T567+V567)</f>
      </c>
      <c r="Y567" s="4">
        <f>IF($K567="","",L567-M567-R567-S567-T567-U567-V567-W567)</f>
      </c>
      <c r="Z567" s="4">
        <f>IF($K567="","",(Y567-AB567)/J567*100)</f>
      </c>
      <c r="AA567" s="4">
        <f>IF($K567="","",M567-X567)</f>
      </c>
      <c r="AC567" s="4">
        <f>IF($K567="","",Y567-AB567)</f>
      </c>
    </row>
    <row r="568" spans="1:34" x14ac:dyDescent="0.25">
      <c r="A568" s="8"/>
      <c r="D568" s="9"/>
      <c r="J568" s="4"/>
      <c r="K568" s="4"/>
      <c r="L568" s="4">
        <f>IF($K568="","",K568-J568)</f>
      </c>
      <c r="M568" s="4">
        <f>IF($K568="","",L568*16.67%)</f>
      </c>
      <c r="N568" s="4">
        <f>IF($K568="","",(K568*6.9%)-(K568*6.9%)*10%)</f>
      </c>
      <c r="O568" s="4">
        <f>IF($K568="","",K568*0.35%)</f>
      </c>
      <c r="P568" s="4">
        <v>0.4</v>
      </c>
      <c r="Q568" s="4">
        <f>IF($K568="","",(N568+O568+P568)*20%)</f>
      </c>
      <c r="R568" s="4">
        <f>IF($K568="","",N568+O568+P568+Q568)</f>
      </c>
      <c r="S568" s="4"/>
      <c r="T568" s="4"/>
      <c r="U568" s="4"/>
      <c r="V568" s="4">
        <f>IF($K568="","",U568*20%)</f>
      </c>
      <c r="W568" s="4">
        <v>1</v>
      </c>
      <c r="X568" s="4">
        <f>IF($K568="","",Q568+T568+V568)</f>
      </c>
      <c r="Y568" s="4">
        <f>IF($K568="","",L568-M568-R568-S568-T568-U568-V568-W568)</f>
      </c>
      <c r="Z568" s="4">
        <f>IF($K568="","",(Y568-AB568)/J568*100)</f>
      </c>
      <c r="AA568" s="4">
        <f>IF($K568="","",M568-X568)</f>
      </c>
      <c r="AC568" s="4">
        <f>IF($K568="","",Y568-AB568)</f>
      </c>
    </row>
    <row r="569" spans="1:34" x14ac:dyDescent="0.25">
      <c r="A569" s="8"/>
      <c r="D569" s="9"/>
      <c r="J569" s="4"/>
      <c r="K569" s="4"/>
      <c r="L569" s="4">
        <f>IF($K569="","",K569-J569)</f>
      </c>
      <c r="M569" s="4">
        <f>IF($K569="","",L569*16.67%)</f>
      </c>
      <c r="N569" s="4">
        <f>IF($K569="","",(K569*6.9%)-(K569*6.9%)*10%)</f>
      </c>
      <c r="O569" s="4">
        <f>IF($K569="","",K569*0.35%)</f>
      </c>
      <c r="P569" s="4">
        <v>0.4</v>
      </c>
      <c r="Q569" s="4">
        <f>IF($K569="","",(N569+O569+P569)*20%)</f>
      </c>
      <c r="R569" s="4">
        <f>IF($K569="","",N569+O569+P569+Q569)</f>
      </c>
      <c r="S569" s="4"/>
      <c r="T569" s="4"/>
      <c r="U569" s="4"/>
      <c r="V569" s="4">
        <f>IF($K569="","",U569*20%)</f>
      </c>
      <c r="W569" s="4">
        <v>1</v>
      </c>
      <c r="X569" s="4">
        <f>IF($K569="","",Q569+T569+V569)</f>
      </c>
      <c r="Y569" s="4">
        <f>IF($K569="","",L569-M569-R569-S569-T569-U569-V569-W569)</f>
      </c>
      <c r="Z569" s="4">
        <f>IF($K569="","",(Y569-AB569)/J569*100)</f>
      </c>
      <c r="AA569" s="4">
        <f>IF($K569="","",M569-X569)</f>
      </c>
      <c r="AC569" s="4">
        <f>IF($K569="","",Y569-AB569)</f>
      </c>
    </row>
    <row r="570" spans="1:34" x14ac:dyDescent="0.25">
      <c r="A570" s="8"/>
      <c r="D570" s="9"/>
      <c r="J570" s="4"/>
      <c r="K570" s="4"/>
      <c r="L570" s="4">
        <f>IF($K570="","",K570-J570)</f>
      </c>
      <c r="M570" s="4">
        <f>IF($K570="","",L570*16.67%)</f>
      </c>
      <c r="N570" s="4">
        <f>IF($K570="","",(K570*6.9%)-(K570*6.9%)*10%)</f>
      </c>
      <c r="O570" s="4">
        <f>IF($K570="","",K570*0.35%)</f>
      </c>
      <c r="P570" s="4">
        <v>0.4</v>
      </c>
      <c r="Q570" s="4">
        <f>IF($K570="","",(N570+O570+P570)*20%)</f>
      </c>
      <c r="R570" s="4">
        <f>IF($K570="","",N570+O570+P570+Q570)</f>
      </c>
      <c r="S570" s="4"/>
      <c r="T570" s="4"/>
      <c r="U570" s="4"/>
      <c r="V570" s="4">
        <f>IF($K570="","",U570*20%)</f>
      </c>
      <c r="W570" s="4">
        <v>1</v>
      </c>
      <c r="X570" s="4">
        <f>IF($K570="","",Q570+T570+V570)</f>
      </c>
      <c r="Y570" s="4">
        <f>IF($K570="","",L570-M570-R570-S570-T570-U570-V570-W570)</f>
      </c>
      <c r="Z570" s="4">
        <f>IF($K570="","",(Y570-AB570)/J570*100)</f>
      </c>
      <c r="AA570" s="4">
        <f>IF($K570="","",M570-X570)</f>
      </c>
      <c r="AC570" s="4">
        <f>IF($K570="","",Y570-AB570)</f>
      </c>
    </row>
    <row r="571" spans="1:34" x14ac:dyDescent="0.25">
      <c r="A571" s="8"/>
      <c r="D571" s="9"/>
      <c r="J571" s="4"/>
      <c r="K571" s="4"/>
      <c r="L571" s="4">
        <f>IF($K571="","",K571-J571)</f>
      </c>
      <c r="M571" s="4">
        <f>IF($K571="","",L571*16.67%)</f>
      </c>
      <c r="N571" s="4">
        <f>IF($K571="","",(K571*6.9%)-(K571*6.9%)*10%)</f>
      </c>
      <c r="O571" s="4">
        <f>IF($K571="","",K571*0.35%)</f>
      </c>
      <c r="P571" s="4">
        <v>0.4</v>
      </c>
      <c r="Q571" s="4">
        <f>IF($K571="","",(N571+O571+P571)*20%)</f>
      </c>
      <c r="R571" s="4">
        <f>IF($K571="","",N571+O571+P571+Q571)</f>
      </c>
      <c r="S571" s="4"/>
      <c r="T571" s="4"/>
      <c r="U571" s="4"/>
      <c r="V571" s="4">
        <f>IF($K571="","",U571*20%)</f>
      </c>
      <c r="W571" s="4">
        <v>1</v>
      </c>
      <c r="X571" s="4">
        <f>IF($K571="","",Q571+T571+V571)</f>
      </c>
      <c r="Y571" s="4">
        <f>IF($K571="","",L571-M571-R571-S571-T571-U571-V571-W571)</f>
      </c>
      <c r="Z571" s="4">
        <f>IF($K571="","",(Y571-AB571)/J571*100)</f>
      </c>
      <c r="AA571" s="4">
        <f>IF($K571="","",M571-X571)</f>
      </c>
      <c r="AC571" s="4">
        <f>IF($K571="","",Y571-AB571)</f>
      </c>
    </row>
    <row r="572" spans="1:34" x14ac:dyDescent="0.25">
      <c r="A572" s="8"/>
      <c r="D572" s="9"/>
      <c r="J572" s="4"/>
      <c r="K572" s="4"/>
      <c r="L572" s="4">
        <f>IF($K572="","",K572-J572)</f>
      </c>
      <c r="M572" s="4">
        <f>IF($K572="","",L572*16.67%)</f>
      </c>
      <c r="N572" s="4">
        <f>IF($K572="","",(K572*6.9%)-(K572*6.9%)*10%)</f>
      </c>
      <c r="O572" s="4">
        <f>IF($K572="","",K572*0.35%)</f>
      </c>
      <c r="P572" s="4">
        <v>0.4</v>
      </c>
      <c r="Q572" s="4">
        <f>IF($K572="","",(N572+O572+P572)*20%)</f>
      </c>
      <c r="R572" s="4">
        <f>IF($K572="","",N572+O572+P572+Q572)</f>
      </c>
      <c r="S572" s="4"/>
      <c r="T572" s="4"/>
      <c r="U572" s="4"/>
      <c r="V572" s="4">
        <f>IF($K572="","",U572*20%)</f>
      </c>
      <c r="W572" s="4">
        <v>1</v>
      </c>
      <c r="X572" s="4">
        <f>IF($K572="","",Q572+T572+V572)</f>
      </c>
      <c r="Y572" s="4">
        <f>IF($K572="","",L572-M572-R572-S572-T572-U572-V572-W572)</f>
      </c>
      <c r="Z572" s="4">
        <f>IF($K572="","",(Y572-AB572)/J572*100)</f>
      </c>
      <c r="AA572" s="4">
        <f>IF($K572="","",M572-X572)</f>
      </c>
      <c r="AC572" s="4">
        <f>IF($K572="","",Y572-AB572)</f>
      </c>
    </row>
    <row r="573" spans="1:34" x14ac:dyDescent="0.25">
      <c r="A573" s="8"/>
      <c r="D573" s="9"/>
      <c r="J573" s="4"/>
      <c r="K573" s="4"/>
      <c r="L573" s="4">
        <f>IF($K573="","",K573-J573)</f>
      </c>
      <c r="M573" s="4">
        <f>IF($K573="","",L573*16.67%)</f>
      </c>
      <c r="N573" s="4">
        <f>IF($K573="","",(K573*6.9%)-(K573*6.9%)*10%)</f>
      </c>
      <c r="O573" s="4">
        <f>IF($K573="","",K573*0.35%)</f>
      </c>
      <c r="P573" s="4">
        <v>0.4</v>
      </c>
      <c r="Q573" s="4">
        <f>IF($K573="","",(N573+O573+P573)*20%)</f>
      </c>
      <c r="R573" s="4">
        <f>IF($K573="","",N573+O573+P573+Q573)</f>
      </c>
      <c r="S573" s="4"/>
      <c r="T573" s="4"/>
      <c r="U573" s="4"/>
      <c r="V573" s="4">
        <f>IF($K573="","",U573*20%)</f>
      </c>
      <c r="W573" s="4">
        <v>1</v>
      </c>
      <c r="X573" s="4">
        <f>IF($K573="","",Q573+T573+V573)</f>
      </c>
      <c r="Y573" s="4">
        <f>IF($K573="","",L573-M573-R573-S573-T573-U573-V573-W573)</f>
      </c>
      <c r="Z573" s="4">
        <f>IF($K573="","",(Y573-AB573)/J573*100)</f>
      </c>
      <c r="AA573" s="4">
        <f>IF($K573="","",M573-X573)</f>
      </c>
      <c r="AC573" s="4">
        <f>IF($K573="","",Y573-AB573)</f>
      </c>
    </row>
    <row r="574" spans="1:34" x14ac:dyDescent="0.25">
      <c r="A574" s="8"/>
      <c r="D574" s="9"/>
      <c r="J574" s="4"/>
      <c r="K574" s="4"/>
      <c r="L574" s="4">
        <f>IF($K574="","",K574-J574)</f>
      </c>
      <c r="M574" s="4">
        <f>IF($K574="","",L574*16.67%)</f>
      </c>
      <c r="N574" s="4">
        <f>IF($K574="","",(K574*6.9%)-(K574*6.9%)*10%)</f>
      </c>
      <c r="O574" s="4">
        <f>IF($K574="","",K574*0.35%)</f>
      </c>
      <c r="P574" s="4">
        <v>0.4</v>
      </c>
      <c r="Q574" s="4">
        <f>IF($K574="","",(N574+O574+P574)*20%)</f>
      </c>
      <c r="R574" s="4">
        <f>IF($K574="","",N574+O574+P574+Q574)</f>
      </c>
      <c r="S574" s="4"/>
      <c r="T574" s="4"/>
      <c r="U574" s="4"/>
      <c r="V574" s="4">
        <f>IF($K574="","",U574*20%)</f>
      </c>
      <c r="W574" s="4">
        <v>1</v>
      </c>
      <c r="X574" s="4">
        <f>IF($K574="","",Q574+T574+V574)</f>
      </c>
      <c r="Y574" s="4">
        <f>IF($K574="","",L574-M574-R574-S574-T574-U574-V574-W574)</f>
      </c>
      <c r="Z574" s="4">
        <f>IF($K574="","",(Y574-AB574)/J574*100)</f>
      </c>
      <c r="AA574" s="4">
        <f>IF($K574="","",M574-X574)</f>
      </c>
      <c r="AC574" s="4">
        <f>IF($K574="","",Y574-AB574)</f>
      </c>
    </row>
    <row r="575" spans="1:34" x14ac:dyDescent="0.25">
      <c r="A575" s="8"/>
      <c r="D575" s="9"/>
      <c r="J575" s="4"/>
      <c r="K575" s="4"/>
      <c r="L575" s="4">
        <f>IF($K575="","",K575-J575)</f>
      </c>
      <c r="M575" s="4">
        <f>IF($K575="","",L575*16.67%)</f>
      </c>
      <c r="N575" s="4">
        <f>IF($K575="","",(K575*6.9%)-(K575*6.9%)*10%)</f>
      </c>
      <c r="O575" s="4">
        <f>IF($K575="","",K575*0.35%)</f>
      </c>
      <c r="P575" s="4">
        <v>0.4</v>
      </c>
      <c r="Q575" s="4">
        <f>IF($K575="","",(N575+O575+P575)*20%)</f>
      </c>
      <c r="R575" s="4">
        <f>IF($K575="","",N575+O575+P575+Q575)</f>
      </c>
      <c r="S575" s="4"/>
      <c r="T575" s="4"/>
      <c r="U575" s="4"/>
      <c r="V575" s="4">
        <f>IF($K575="","",U575*20%)</f>
      </c>
      <c r="W575" s="4">
        <v>1</v>
      </c>
      <c r="X575" s="4">
        <f>IF($K575="","",Q575+T575+V575)</f>
      </c>
      <c r="Y575" s="4">
        <f>IF($K575="","",L575-M575-R575-S575-T575-U575-V575-W575)</f>
      </c>
      <c r="Z575" s="4">
        <f>IF($K575="","",(Y575-AB575)/J575*100)</f>
      </c>
      <c r="AA575" s="4">
        <f>IF($K575="","",M575-X575)</f>
      </c>
      <c r="AC575" s="4">
        <f>IF($K575="","",Y575-AB575)</f>
      </c>
    </row>
    <row r="576" spans="1:34" x14ac:dyDescent="0.25">
      <c r="A576" s="8"/>
      <c r="D576" s="9"/>
      <c r="J576" s="4"/>
      <c r="K576" s="4"/>
      <c r="L576" s="4">
        <f>IF($K576="","",K576-J576)</f>
      </c>
      <c r="M576" s="4">
        <f>IF($K576="","",L576*16.67%)</f>
      </c>
      <c r="N576" s="4">
        <f>IF($K576="","",(K576*6.9%)-(K576*6.9%)*10%)</f>
      </c>
      <c r="O576" s="4">
        <f>IF($K576="","",K576*0.35%)</f>
      </c>
      <c r="P576" s="4">
        <v>0.4</v>
      </c>
      <c r="Q576" s="4">
        <f>IF($K576="","",(N576+O576+P576)*20%)</f>
      </c>
      <c r="R576" s="4">
        <f>IF($K576="","",N576+O576+P576+Q576)</f>
      </c>
      <c r="S576" s="4"/>
      <c r="T576" s="4"/>
      <c r="U576" s="4"/>
      <c r="V576" s="4">
        <f>IF($K576="","",U576*20%)</f>
      </c>
      <c r="W576" s="4">
        <v>1</v>
      </c>
      <c r="X576" s="4">
        <f>IF($K576="","",Q576+T576+V576)</f>
      </c>
      <c r="Y576" s="4">
        <f>IF($K576="","",L576-M576-R576-S576-T576-U576-V576-W576)</f>
      </c>
      <c r="Z576" s="4">
        <f>IF($K576="","",(Y576-AB576)/J576*100)</f>
      </c>
      <c r="AA576" s="4">
        <f>IF($K576="","",M576-X576)</f>
      </c>
      <c r="AC576" s="4">
        <f>IF($K576="","",Y576-AB576)</f>
      </c>
    </row>
    <row r="577" spans="1:34" x14ac:dyDescent="0.25">
      <c r="A577" s="8"/>
      <c r="D577" s="9"/>
      <c r="J577" s="4"/>
      <c r="K577" s="4"/>
      <c r="L577" s="4">
        <f>IF($K577="","",K577-J577)</f>
      </c>
      <c r="M577" s="4">
        <f>IF($K577="","",L577*16.67%)</f>
      </c>
      <c r="N577" s="4">
        <f>IF($K577="","",(K577*6.9%)-(K577*6.9%)*10%)</f>
      </c>
      <c r="O577" s="4">
        <f>IF($K577="","",K577*0.35%)</f>
      </c>
      <c r="P577" s="4">
        <v>0.4</v>
      </c>
      <c r="Q577" s="4">
        <f>IF($K577="","",(N577+O577+P577)*20%)</f>
      </c>
      <c r="R577" s="4">
        <f>IF($K577="","",N577+O577+P577+Q577)</f>
      </c>
      <c r="S577" s="4"/>
      <c r="T577" s="4"/>
      <c r="U577" s="4"/>
      <c r="V577" s="4">
        <f>IF($K577="","",U577*20%)</f>
      </c>
      <c r="W577" s="4">
        <v>1</v>
      </c>
      <c r="X577" s="4">
        <f>IF($K577="","",Q577+T577+V577)</f>
      </c>
      <c r="Y577" s="4">
        <f>IF($K577="","",L577-M577-R577-S577-T577-U577-V577-W577)</f>
      </c>
      <c r="Z577" s="4">
        <f>IF($K577="","",(Y577-AB577)/J577*100)</f>
      </c>
      <c r="AA577" s="4">
        <f>IF($K577="","",M577-X577)</f>
      </c>
      <c r="AC577" s="4">
        <f>IF($K577="","",Y577-AB577)</f>
      </c>
    </row>
    <row r="578" spans="1:34" x14ac:dyDescent="0.25">
      <c r="A578" s="8"/>
      <c r="D578" s="9"/>
      <c r="J578" s="4"/>
      <c r="K578" s="4"/>
      <c r="L578" s="4">
        <f>IF($K578="","",K578-J578)</f>
      </c>
      <c r="M578" s="4">
        <f>IF($K578="","",L578*16.67%)</f>
      </c>
      <c r="N578" s="4">
        <f>IF($K578="","",(K578*6.9%)-(K578*6.9%)*10%)</f>
      </c>
      <c r="O578" s="4">
        <f>IF($K578="","",K578*0.35%)</f>
      </c>
      <c r="P578" s="4">
        <v>0.4</v>
      </c>
      <c r="Q578" s="4">
        <f>IF($K578="","",(N578+O578+P578)*20%)</f>
      </c>
      <c r="R578" s="4">
        <f>IF($K578="","",N578+O578+P578+Q578)</f>
      </c>
      <c r="S578" s="4"/>
      <c r="T578" s="4"/>
      <c r="U578" s="4"/>
      <c r="V578" s="4">
        <f>IF($K578="","",U578*20%)</f>
      </c>
      <c r="W578" s="4">
        <v>1</v>
      </c>
      <c r="X578" s="4">
        <f>IF($K578="","",Q578+T578+V578)</f>
      </c>
      <c r="Y578" s="4">
        <f>IF($K578="","",L578-M578-R578-S578-T578-U578-V578-W578)</f>
      </c>
      <c r="Z578" s="4">
        <f>IF($K578="","",(Y578-AB578)/J578*100)</f>
      </c>
      <c r="AA578" s="4">
        <f>IF($K578="","",M578-X578)</f>
      </c>
      <c r="AC578" s="4">
        <f>IF($K578="","",Y578-AB578)</f>
      </c>
    </row>
    <row r="579" spans="1:34" x14ac:dyDescent="0.25">
      <c r="A579" s="8"/>
      <c r="D579" s="9"/>
      <c r="J579" s="4"/>
      <c r="K579" s="4"/>
      <c r="L579" s="4">
        <f>IF($K579="","",K579-J579)</f>
      </c>
      <c r="M579" s="4">
        <f>IF($K579="","",L579*16.67%)</f>
      </c>
      <c r="N579" s="4">
        <f>IF($K579="","",(K579*6.9%)-(K579*6.9%)*10%)</f>
      </c>
      <c r="O579" s="4">
        <f>IF($K579="","",K579*0.35%)</f>
      </c>
      <c r="P579" s="4">
        <v>0.4</v>
      </c>
      <c r="Q579" s="4">
        <f>IF($K579="","",(N579+O579+P579)*20%)</f>
      </c>
      <c r="R579" s="4">
        <f>IF($K579="","",N579+O579+P579+Q579)</f>
      </c>
      <c r="S579" s="4"/>
      <c r="T579" s="4"/>
      <c r="U579" s="4"/>
      <c r="V579" s="4">
        <f>IF($K579="","",U579*20%)</f>
      </c>
      <c r="W579" s="4">
        <v>1</v>
      </c>
      <c r="X579" s="4">
        <f>IF($K579="","",Q579+T579+V579)</f>
      </c>
      <c r="Y579" s="4">
        <f>IF($K579="","",L579-M579-R579-S579-T579-U579-V579-W579)</f>
      </c>
      <c r="Z579" s="4">
        <f>IF($K579="","",(Y579-AB579)/J579*100)</f>
      </c>
      <c r="AA579" s="4">
        <f>IF($K579="","",M579-X579)</f>
      </c>
      <c r="AC579" s="4">
        <f>IF($K579="","",Y579-AB579)</f>
      </c>
    </row>
    <row r="580" spans="1:34" x14ac:dyDescent="0.25">
      <c r="A580" s="8"/>
      <c r="D580" s="9"/>
      <c r="J580" s="4"/>
      <c r="K580" s="4"/>
      <c r="L580" s="4">
        <f>IF($K580="","",K580-J580)</f>
      </c>
      <c r="M580" s="4">
        <f>IF($K580="","",L580*16.67%)</f>
      </c>
      <c r="N580" s="4">
        <f>IF($K580="","",(K580*6.9%)-(K580*6.9%)*10%)</f>
      </c>
      <c r="O580" s="4">
        <f>IF($K580="","",K580*0.35%)</f>
      </c>
      <c r="P580" s="4">
        <v>0.4</v>
      </c>
      <c r="Q580" s="4">
        <f>IF($K580="","",(N580+O580+P580)*20%)</f>
      </c>
      <c r="R580" s="4">
        <f>IF($K580="","",N580+O580+P580+Q580)</f>
      </c>
      <c r="S580" s="4"/>
      <c r="T580" s="4"/>
      <c r="U580" s="4"/>
      <c r="V580" s="4">
        <f>IF($K580="","",U580*20%)</f>
      </c>
      <c r="W580" s="4">
        <v>1</v>
      </c>
      <c r="X580" s="4">
        <f>IF($K580="","",Q580+T580+V580)</f>
      </c>
      <c r="Y580" s="4">
        <f>IF($K580="","",L580-M580-R580-S580-T580-U580-V580-W580)</f>
      </c>
      <c r="Z580" s="4">
        <f>IF($K580="","",(Y580-AB580)/J580*100)</f>
      </c>
      <c r="AA580" s="4">
        <f>IF($K580="","",M580-X580)</f>
      </c>
      <c r="AC580" s="4">
        <f>IF($K580="","",Y580-AB580)</f>
      </c>
    </row>
    <row r="581" spans="1:34" x14ac:dyDescent="0.25">
      <c r="A581" s="8"/>
      <c r="D581" s="9"/>
      <c r="J581" s="4"/>
      <c r="K581" s="4"/>
      <c r="L581" s="4">
        <f>IF($K581="","",K581-J581)</f>
      </c>
      <c r="M581" s="4">
        <f>IF($K581="","",L581*16.67%)</f>
      </c>
      <c r="N581" s="4">
        <f>IF($K581="","",(K581*6.9%)-(K581*6.9%)*10%)</f>
      </c>
      <c r="O581" s="4">
        <f>IF($K581="","",K581*0.35%)</f>
      </c>
      <c r="P581" s="4">
        <v>0.4</v>
      </c>
      <c r="Q581" s="4">
        <f>IF($K581="","",(N581+O581+P581)*20%)</f>
      </c>
      <c r="R581" s="4">
        <f>IF($K581="","",N581+O581+P581+Q581)</f>
      </c>
      <c r="S581" s="4"/>
      <c r="T581" s="4"/>
      <c r="U581" s="4"/>
      <c r="V581" s="4">
        <f>IF($K581="","",U581*20%)</f>
      </c>
      <c r="W581" s="4">
        <v>1</v>
      </c>
      <c r="X581" s="4">
        <f>IF($K581="","",Q581+T581+V581)</f>
      </c>
      <c r="Y581" s="4">
        <f>IF($K581="","",L581-M581-R581-S581-T581-U581-V581-W581)</f>
      </c>
      <c r="Z581" s="4">
        <f>IF($K581="","",(Y581-AB581)/J581*100)</f>
      </c>
      <c r="AA581" s="4">
        <f>IF($K581="","",M581-X581)</f>
      </c>
      <c r="AC581" s="4">
        <f>IF($K581="","",Y581-AB581)</f>
      </c>
    </row>
    <row r="582" spans="1:34" x14ac:dyDescent="0.25">
      <c r="A582" s="8"/>
      <c r="D582" s="9"/>
      <c r="J582" s="4"/>
      <c r="K582" s="4"/>
      <c r="L582" s="4">
        <f>IF($K582="","",K582-J582)</f>
      </c>
      <c r="M582" s="4">
        <f>IF($K582="","",L582*16.67%)</f>
      </c>
      <c r="N582" s="4">
        <f>IF($K582="","",(K582*6.9%)-(K582*6.9%)*10%)</f>
      </c>
      <c r="O582" s="4">
        <f>IF($K582="","",K582*0.35%)</f>
      </c>
      <c r="P582" s="4">
        <v>0.4</v>
      </c>
      <c r="Q582" s="4">
        <f>IF($K582="","",(N582+O582+P582)*20%)</f>
      </c>
      <c r="R582" s="4">
        <f>IF($K582="","",N582+O582+P582+Q582)</f>
      </c>
      <c r="S582" s="4"/>
      <c r="T582" s="4"/>
      <c r="U582" s="4"/>
      <c r="V582" s="4">
        <f>IF($K582="","",U582*20%)</f>
      </c>
      <c r="W582" s="4">
        <v>1</v>
      </c>
      <c r="X582" s="4">
        <f>IF($K582="","",Q582+T582+V582)</f>
      </c>
      <c r="Y582" s="4">
        <f>IF($K582="","",L582-M582-R582-S582-T582-U582-V582-W582)</f>
      </c>
      <c r="Z582" s="4">
        <f>IF($K582="","",(Y582-AB582)/J582*100)</f>
      </c>
      <c r="AA582" s="4">
        <f>IF($K582="","",M582-X582)</f>
      </c>
      <c r="AC582" s="4">
        <f>IF($K582="","",Y582-AB582)</f>
      </c>
    </row>
    <row r="583" spans="1:34" x14ac:dyDescent="0.25">
      <c r="A583" s="8"/>
      <c r="D583" s="9"/>
      <c r="J583" s="4"/>
      <c r="K583" s="4"/>
      <c r="L583" s="4">
        <f>IF($K583="","",K583-J583)</f>
      </c>
      <c r="M583" s="4">
        <f>IF($K583="","",L583*16.67%)</f>
      </c>
      <c r="N583" s="4">
        <f>IF($K583="","",(K583*6.9%)-(K583*6.9%)*10%)</f>
      </c>
      <c r="O583" s="4">
        <f>IF($K583="","",K583*0.35%)</f>
      </c>
      <c r="P583" s="4">
        <v>0.4</v>
      </c>
      <c r="Q583" s="4">
        <f>IF($K583="","",(N583+O583+P583)*20%)</f>
      </c>
      <c r="R583" s="4">
        <f>IF($K583="","",N583+O583+P583+Q583)</f>
      </c>
      <c r="S583" s="4"/>
      <c r="T583" s="4"/>
      <c r="U583" s="4"/>
      <c r="V583" s="4">
        <f>IF($K583="","",U583*20%)</f>
      </c>
      <c r="W583" s="4">
        <v>1</v>
      </c>
      <c r="X583" s="4">
        <f>IF($K583="","",Q583+T583+V583)</f>
      </c>
      <c r="Y583" s="4">
        <f>IF($K583="","",L583-M583-R583-S583-T583-U583-V583-W583)</f>
      </c>
      <c r="Z583" s="4">
        <f>IF($K583="","",(Y583-AB583)/J583*100)</f>
      </c>
      <c r="AA583" s="4">
        <f>IF($K583="","",M583-X583)</f>
      </c>
      <c r="AC583" s="4">
        <f>IF($K583="","",Y583-AB583)</f>
      </c>
    </row>
    <row r="584" spans="1:34" x14ac:dyDescent="0.25">
      <c r="A584" s="8"/>
      <c r="D584" s="9"/>
      <c r="J584" s="4"/>
      <c r="K584" s="4"/>
      <c r="L584" s="4">
        <f>IF($K584="","",K584-J584)</f>
      </c>
      <c r="M584" s="4">
        <f>IF($K584="","",L584*16.67%)</f>
      </c>
      <c r="N584" s="4">
        <f>IF($K584="","",(K584*6.9%)-(K584*6.9%)*10%)</f>
      </c>
      <c r="O584" s="4">
        <f>IF($K584="","",K584*0.35%)</f>
      </c>
      <c r="P584" s="4">
        <v>0.4</v>
      </c>
      <c r="Q584" s="4">
        <f>IF($K584="","",(N584+O584+P584)*20%)</f>
      </c>
      <c r="R584" s="4">
        <f>IF($K584="","",N584+O584+P584+Q584)</f>
      </c>
      <c r="S584" s="4"/>
      <c r="T584" s="4"/>
      <c r="U584" s="4"/>
      <c r="V584" s="4">
        <f>IF($K584="","",U584*20%)</f>
      </c>
      <c r="W584" s="4">
        <v>1</v>
      </c>
      <c r="X584" s="4">
        <f>IF($K584="","",Q584+T584+V584)</f>
      </c>
      <c r="Y584" s="4">
        <f>IF($K584="","",L584-M584-R584-S584-T584-U584-V584-W584)</f>
      </c>
      <c r="Z584" s="4">
        <f>IF($K584="","",(Y584-AB584)/J584*100)</f>
      </c>
      <c r="AA584" s="4">
        <f>IF($K584="","",M584-X584)</f>
      </c>
      <c r="AC584" s="4">
        <f>IF($K584="","",Y584-AB584)</f>
      </c>
    </row>
    <row r="585" spans="1:34" x14ac:dyDescent="0.25">
      <c r="A585" s="8"/>
      <c r="D585" s="9"/>
      <c r="J585" s="4"/>
      <c r="K585" s="4"/>
      <c r="L585" s="4">
        <f>IF($K585="","",K585-J585)</f>
      </c>
      <c r="M585" s="4">
        <f>IF($K585="","",L585*16.67%)</f>
      </c>
      <c r="N585" s="4">
        <f>IF($K585="","",(K585*6.9%)-(K585*6.9%)*10%)</f>
      </c>
      <c r="O585" s="4">
        <f>IF($K585="","",K585*0.35%)</f>
      </c>
      <c r="P585" s="4">
        <v>0.4</v>
      </c>
      <c r="Q585" s="4">
        <f>IF($K585="","",(N585+O585+P585)*20%)</f>
      </c>
      <c r="R585" s="4">
        <f>IF($K585="","",N585+O585+P585+Q585)</f>
      </c>
      <c r="S585" s="4"/>
      <c r="T585" s="4"/>
      <c r="U585" s="4"/>
      <c r="V585" s="4">
        <f>IF($K585="","",U585*20%)</f>
      </c>
      <c r="W585" s="4">
        <v>1</v>
      </c>
      <c r="X585" s="4">
        <f>IF($K585="","",Q585+T585+V585)</f>
      </c>
      <c r="Y585" s="4">
        <f>IF($K585="","",L585-M585-R585-S585-T585-U585-V585-W585)</f>
      </c>
      <c r="Z585" s="4">
        <f>IF($K585="","",(Y585-AB585)/J585*100)</f>
      </c>
      <c r="AA585" s="4">
        <f>IF($K585="","",M585-X585)</f>
      </c>
      <c r="AC585" s="4">
        <f>IF($K585="","",Y585-AB585)</f>
      </c>
    </row>
    <row r="586" spans="1:34" x14ac:dyDescent="0.25">
      <c r="A586" s="8"/>
      <c r="D586" s="9"/>
      <c r="J586" s="4"/>
      <c r="K586" s="4"/>
      <c r="L586" s="4">
        <f>IF($K586="","",K586-J586)</f>
      </c>
      <c r="M586" s="4">
        <f>IF($K586="","",L586*16.67%)</f>
      </c>
      <c r="N586" s="4">
        <f>IF($K586="","",(K586*6.9%)-(K586*6.9%)*10%)</f>
      </c>
      <c r="O586" s="4">
        <f>IF($K586="","",K586*0.35%)</f>
      </c>
      <c r="P586" s="4">
        <v>0.4</v>
      </c>
      <c r="Q586" s="4">
        <f>IF($K586="","",(N586+O586+P586)*20%)</f>
      </c>
      <c r="R586" s="4">
        <f>IF($K586="","",N586+O586+P586+Q586)</f>
      </c>
      <c r="S586" s="4"/>
      <c r="T586" s="4"/>
      <c r="U586" s="4"/>
      <c r="V586" s="4">
        <f>IF($K586="","",U586*20%)</f>
      </c>
      <c r="W586" s="4">
        <v>1</v>
      </c>
      <c r="X586" s="4">
        <f>IF($K586="","",Q586+T586+V586)</f>
      </c>
      <c r="Y586" s="4">
        <f>IF($K586="","",L586-M586-R586-S586-T586-U586-V586-W586)</f>
      </c>
      <c r="Z586" s="4">
        <f>IF($K586="","",(Y586-AB586)/J586*100)</f>
      </c>
      <c r="AA586" s="4">
        <f>IF($K586="","",M586-X586)</f>
      </c>
      <c r="AC586" s="4">
        <f>IF($K586="","",Y586-AB586)</f>
      </c>
    </row>
    <row r="587" spans="1:34" x14ac:dyDescent="0.25">
      <c r="A587" s="8"/>
      <c r="D587" s="9"/>
      <c r="J587" s="4"/>
      <c r="K587" s="4"/>
      <c r="L587" s="4">
        <f>IF($K587="","",K587-J587)</f>
      </c>
      <c r="M587" s="4">
        <f>IF($K587="","",L587*16.67%)</f>
      </c>
      <c r="N587" s="4">
        <f>IF($K587="","",(K587*6.9%)-(K587*6.9%)*10%)</f>
      </c>
      <c r="O587" s="4">
        <f>IF($K587="","",K587*0.35%)</f>
      </c>
      <c r="P587" s="4">
        <v>0.4</v>
      </c>
      <c r="Q587" s="4">
        <f>IF($K587="","",(N587+O587+P587)*20%)</f>
      </c>
      <c r="R587" s="4">
        <f>IF($K587="","",N587+O587+P587+Q587)</f>
      </c>
      <c r="S587" s="4"/>
      <c r="T587" s="4"/>
      <c r="U587" s="4"/>
      <c r="V587" s="4">
        <f>IF($K587="","",U587*20%)</f>
      </c>
      <c r="W587" s="4">
        <v>1</v>
      </c>
      <c r="X587" s="4">
        <f>IF($K587="","",Q587+T587+V587)</f>
      </c>
      <c r="Y587" s="4">
        <f>IF($K587="","",L587-M587-R587-S587-T587-U587-V587-W587)</f>
      </c>
      <c r="Z587" s="4">
        <f>IF($K587="","",(Y587-AB587)/J587*100)</f>
      </c>
      <c r="AA587" s="4">
        <f>IF($K587="","",M587-X587)</f>
      </c>
      <c r="AC587" s="4">
        <f>IF($K587="","",Y587-AB587)</f>
      </c>
    </row>
    <row r="588" spans="1:34" x14ac:dyDescent="0.25">
      <c r="A588" s="8"/>
      <c r="D588" s="9"/>
      <c r="J588" s="4"/>
      <c r="K588" s="4"/>
      <c r="L588" s="4">
        <f>IF($K588="","",K588-J588)</f>
      </c>
      <c r="M588" s="4">
        <f>IF($K588="","",L588*16.67%)</f>
      </c>
      <c r="N588" s="4">
        <f>IF($K588="","",(K588*6.9%)-(K588*6.9%)*10%)</f>
      </c>
      <c r="O588" s="4">
        <f>IF($K588="","",K588*0.35%)</f>
      </c>
      <c r="P588" s="4">
        <v>0.4</v>
      </c>
      <c r="Q588" s="4">
        <f>IF($K588="","",(N588+O588+P588)*20%)</f>
      </c>
      <c r="R588" s="4">
        <f>IF($K588="","",N588+O588+P588+Q588)</f>
      </c>
      <c r="S588" s="4"/>
      <c r="T588" s="4"/>
      <c r="U588" s="4"/>
      <c r="V588" s="4">
        <f>IF($K588="","",U588*20%)</f>
      </c>
      <c r="W588" s="4">
        <v>1</v>
      </c>
      <c r="X588" s="4">
        <f>IF($K588="","",Q588+T588+V588)</f>
      </c>
      <c r="Y588" s="4">
        <f>IF($K588="","",L588-M588-R588-S588-T588-U588-V588-W588)</f>
      </c>
      <c r="Z588" s="4">
        <f>IF($K588="","",(Y588-AB588)/J588*100)</f>
      </c>
      <c r="AA588" s="4">
        <f>IF($K588="","",M588-X588)</f>
      </c>
      <c r="AC588" s="4">
        <f>IF($K588="","",Y588-AB588)</f>
      </c>
    </row>
    <row r="589" spans="1:34" x14ac:dyDescent="0.25">
      <c r="A589" s="8"/>
      <c r="D589" s="9"/>
      <c r="J589" s="4"/>
      <c r="K589" s="4"/>
      <c r="L589" s="4">
        <f>IF($K589="","",K589-J589)</f>
      </c>
      <c r="M589" s="4">
        <f>IF($K589="","",L589*16.67%)</f>
      </c>
      <c r="N589" s="4">
        <f>IF($K589="","",(K589*6.9%)-(K589*6.9%)*10%)</f>
      </c>
      <c r="O589" s="4">
        <f>IF($K589="","",K589*0.35%)</f>
      </c>
      <c r="P589" s="4">
        <v>0.4</v>
      </c>
      <c r="Q589" s="4">
        <f>IF($K589="","",(N589+O589+P589)*20%)</f>
      </c>
      <c r="R589" s="4">
        <f>IF($K589="","",N589+O589+P589+Q589)</f>
      </c>
      <c r="S589" s="4"/>
      <c r="T589" s="4"/>
      <c r="U589" s="4"/>
      <c r="V589" s="4">
        <f>IF($K589="","",U589*20%)</f>
      </c>
      <c r="W589" s="4">
        <v>1</v>
      </c>
      <c r="X589" s="4">
        <f>IF($K589="","",Q589+T589+V589)</f>
      </c>
      <c r="Y589" s="4">
        <f>IF($K589="","",L589-M589-R589-S589-T589-U589-V589-W589)</f>
      </c>
      <c r="Z589" s="4">
        <f>IF($K589="","",(Y589-AB589)/J589*100)</f>
      </c>
      <c r="AA589" s="4">
        <f>IF($K589="","",M589-X589)</f>
      </c>
      <c r="AC589" s="4">
        <f>IF($K589="","",Y589-AB589)</f>
      </c>
    </row>
    <row r="590" spans="1:34" x14ac:dyDescent="0.25">
      <c r="A590" s="8"/>
      <c r="D590" s="9"/>
      <c r="J590" s="4"/>
      <c r="K590" s="4"/>
      <c r="L590" s="4">
        <f>IF($K590="","",K590-J590)</f>
      </c>
      <c r="M590" s="4">
        <f>IF($K590="","",L590*16.67%)</f>
      </c>
      <c r="N590" s="4">
        <f>IF($K590="","",(K590*6.9%)-(K590*6.9%)*10%)</f>
      </c>
      <c r="O590" s="4">
        <f>IF($K590="","",K590*0.35%)</f>
      </c>
      <c r="P590" s="4">
        <v>0.4</v>
      </c>
      <c r="Q590" s="4">
        <f>IF($K590="","",(N590+O590+P590)*20%)</f>
      </c>
      <c r="R590" s="4">
        <f>IF($K590="","",N590+O590+P590+Q590)</f>
      </c>
      <c r="S590" s="4"/>
      <c r="T590" s="4"/>
      <c r="U590" s="4"/>
      <c r="V590" s="4">
        <f>IF($K590="","",U590*20%)</f>
      </c>
      <c r="W590" s="4">
        <v>1</v>
      </c>
      <c r="X590" s="4">
        <f>IF($K590="","",Q590+T590+V590)</f>
      </c>
      <c r="Y590" s="4">
        <f>IF($K590="","",L590-M590-R590-S590-T590-U590-V590-W590)</f>
      </c>
      <c r="Z590" s="4">
        <f>IF($K590="","",(Y590-AB590)/J590*100)</f>
      </c>
      <c r="AA590" s="4">
        <f>IF($K590="","",M590-X590)</f>
      </c>
      <c r="AC590" s="4">
        <f>IF($K590="","",Y590-AB590)</f>
      </c>
    </row>
    <row r="591" spans="1:34" x14ac:dyDescent="0.25">
      <c r="A591" s="8"/>
      <c r="D591" s="9"/>
      <c r="J591" s="4"/>
      <c r="K591" s="4"/>
      <c r="L591" s="4">
        <f>IF($K591="","",K591-J591)</f>
      </c>
      <c r="M591" s="4">
        <f>IF($K591="","",L591*16.67%)</f>
      </c>
      <c r="N591" s="4">
        <f>IF($K591="","",(K591*6.9%)-(K591*6.9%)*10%)</f>
      </c>
      <c r="O591" s="4">
        <f>IF($K591="","",K591*0.35%)</f>
      </c>
      <c r="P591" s="4">
        <v>0.4</v>
      </c>
      <c r="Q591" s="4">
        <f>IF($K591="","",(N591+O591+P591)*20%)</f>
      </c>
      <c r="R591" s="4">
        <f>IF($K591="","",N591+O591+P591+Q591)</f>
      </c>
      <c r="S591" s="4"/>
      <c r="T591" s="4"/>
      <c r="U591" s="4"/>
      <c r="V591" s="4">
        <f>IF($K591="","",U591*20%)</f>
      </c>
      <c r="W591" s="4">
        <v>1</v>
      </c>
      <c r="X591" s="4">
        <f>IF($K591="","",Q591+T591+V591)</f>
      </c>
      <c r="Y591" s="4">
        <f>IF($K591="","",L591-M591-R591-S591-T591-U591-V591-W591)</f>
      </c>
      <c r="Z591" s="4">
        <f>IF($K591="","",(Y591-AB591)/J591*100)</f>
      </c>
      <c r="AA591" s="4">
        <f>IF($K591="","",M591-X591)</f>
      </c>
      <c r="AC591" s="4">
        <f>IF($K591="","",Y591-AB591)</f>
      </c>
    </row>
    <row r="592" spans="1:34" x14ac:dyDescent="0.25">
      <c r="A592" s="8"/>
      <c r="D592" s="9"/>
      <c r="J592" s="4"/>
      <c r="K592" s="4"/>
      <c r="L592" s="4">
        <f>IF($K592="","",K592-J592)</f>
      </c>
      <c r="M592" s="4">
        <f>IF($K592="","",L592*16.67%)</f>
      </c>
      <c r="N592" s="4">
        <f>IF($K592="","",(K592*6.9%)-(K592*6.9%)*10%)</f>
      </c>
      <c r="O592" s="4">
        <f>IF($K592="","",K592*0.35%)</f>
      </c>
      <c r="P592" s="4">
        <v>0.4</v>
      </c>
      <c r="Q592" s="4">
        <f>IF($K592="","",(N592+O592+P592)*20%)</f>
      </c>
      <c r="R592" s="4">
        <f>IF($K592="","",N592+O592+P592+Q592)</f>
      </c>
      <c r="S592" s="4"/>
      <c r="T592" s="4"/>
      <c r="U592" s="4"/>
      <c r="V592" s="4">
        <f>IF($K592="","",U592*20%)</f>
      </c>
      <c r="W592" s="4">
        <v>1</v>
      </c>
      <c r="X592" s="4">
        <f>IF($K592="","",Q592+T592+V592)</f>
      </c>
      <c r="Y592" s="4">
        <f>IF($K592="","",L592-M592-R592-S592-T592-U592-V592-W592)</f>
      </c>
      <c r="Z592" s="4">
        <f>IF($K592="","",(Y592-AB592)/J592*100)</f>
      </c>
      <c r="AA592" s="4">
        <f>IF($K592="","",M592-X592)</f>
      </c>
      <c r="AC592" s="4">
        <f>IF($K592="","",Y592-AB592)</f>
      </c>
    </row>
    <row r="593" spans="1:34" x14ac:dyDescent="0.25">
      <c r="A593" s="8"/>
      <c r="D593" s="9"/>
      <c r="J593" s="4"/>
      <c r="K593" s="4"/>
      <c r="L593" s="4">
        <f>IF($K593="","",K593-J593)</f>
      </c>
      <c r="M593" s="4">
        <f>IF($K593="","",L593*16.67%)</f>
      </c>
      <c r="N593" s="4">
        <f>IF($K593="","",(K593*6.9%)-(K593*6.9%)*10%)</f>
      </c>
      <c r="O593" s="4">
        <f>IF($K593="","",K593*0.35%)</f>
      </c>
      <c r="P593" s="4">
        <v>0.4</v>
      </c>
      <c r="Q593" s="4">
        <f>IF($K593="","",(N593+O593+P593)*20%)</f>
      </c>
      <c r="R593" s="4">
        <f>IF($K593="","",N593+O593+P593+Q593)</f>
      </c>
      <c r="S593" s="4"/>
      <c r="T593" s="4"/>
      <c r="U593" s="4"/>
      <c r="V593" s="4">
        <f>IF($K593="","",U593*20%)</f>
      </c>
      <c r="W593" s="4">
        <v>1</v>
      </c>
      <c r="X593" s="4">
        <f>IF($K593="","",Q593+T593+V593)</f>
      </c>
      <c r="Y593" s="4">
        <f>IF($K593="","",L593-M593-R593-S593-T593-U593-V593-W593)</f>
      </c>
      <c r="Z593" s="4">
        <f>IF($K593="","",(Y593-AB593)/J593*100)</f>
      </c>
      <c r="AA593" s="4">
        <f>IF($K593="","",M593-X593)</f>
      </c>
      <c r="AC593" s="4">
        <f>IF($K593="","",Y593-AB593)</f>
      </c>
    </row>
    <row r="594" spans="1:34" x14ac:dyDescent="0.25">
      <c r="A594" s="8"/>
      <c r="D594" s="9"/>
      <c r="J594" s="4"/>
      <c r="K594" s="4"/>
      <c r="L594" s="4">
        <f>IF($K594="","",K594-J594)</f>
      </c>
      <c r="M594" s="4">
        <f>IF($K594="","",L594*16.67%)</f>
      </c>
      <c r="N594" s="4">
        <f>IF($K594="","",(K594*6.9%)-(K594*6.9%)*10%)</f>
      </c>
      <c r="O594" s="4">
        <f>IF($K594="","",K594*0.35%)</f>
      </c>
      <c r="P594" s="4">
        <v>0.4</v>
      </c>
      <c r="Q594" s="4">
        <f>IF($K594="","",(N594+O594+P594)*20%)</f>
      </c>
      <c r="R594" s="4">
        <f>IF($K594="","",N594+O594+P594+Q594)</f>
      </c>
      <c r="S594" s="4"/>
      <c r="T594" s="4"/>
      <c r="U594" s="4"/>
      <c r="V594" s="4">
        <f>IF($K594="","",U594*20%)</f>
      </c>
      <c r="W594" s="4">
        <v>1</v>
      </c>
      <c r="X594" s="4">
        <f>IF($K594="","",Q594+T594+V594)</f>
      </c>
      <c r="Y594" s="4">
        <f>IF($K594="","",L594-M594-R594-S594-T594-U594-V594-W594)</f>
      </c>
      <c r="Z594" s="4">
        <f>IF($K594="","",(Y594-AB594)/J594*100)</f>
      </c>
      <c r="AA594" s="4">
        <f>IF($K594="","",M594-X594)</f>
      </c>
      <c r="AC594" s="4">
        <f>IF($K594="","",Y594-AB594)</f>
      </c>
    </row>
    <row r="595" spans="1:34" x14ac:dyDescent="0.25">
      <c r="A595" s="8"/>
      <c r="D595" s="9"/>
      <c r="J595" s="4"/>
      <c r="K595" s="4"/>
      <c r="L595" s="4">
        <f>IF($K595="","",K595-J595)</f>
      </c>
      <c r="M595" s="4">
        <f>IF($K595="","",L595*16.67%)</f>
      </c>
      <c r="N595" s="4">
        <f>IF($K595="","",(K595*6.9%)-(K595*6.9%)*10%)</f>
      </c>
      <c r="O595" s="4">
        <f>IF($K595="","",K595*0.35%)</f>
      </c>
      <c r="P595" s="4">
        <v>0.4</v>
      </c>
      <c r="Q595" s="4">
        <f>IF($K595="","",(N595+O595+P595)*20%)</f>
      </c>
      <c r="R595" s="4">
        <f>IF($K595="","",N595+O595+P595+Q595)</f>
      </c>
      <c r="S595" s="4"/>
      <c r="T595" s="4"/>
      <c r="U595" s="4"/>
      <c r="V595" s="4">
        <f>IF($K595="","",U595*20%)</f>
      </c>
      <c r="W595" s="4">
        <v>1</v>
      </c>
      <c r="X595" s="4">
        <f>IF($K595="","",Q595+T595+V595)</f>
      </c>
      <c r="Y595" s="4">
        <f>IF($K595="","",L595-M595-R595-S595-T595-U595-V595-W595)</f>
      </c>
      <c r="Z595" s="4">
        <f>IF($K595="","",(Y595-AB595)/J595*100)</f>
      </c>
      <c r="AA595" s="4">
        <f>IF($K595="","",M595-X595)</f>
      </c>
      <c r="AC595" s="4">
        <f>IF($K595="","",Y595-AB595)</f>
      </c>
    </row>
    <row r="596" spans="1:34" x14ac:dyDescent="0.25">
      <c r="A596" s="8"/>
      <c r="D596" s="9"/>
      <c r="J596" s="4"/>
      <c r="K596" s="4"/>
      <c r="L596" s="4">
        <f>IF($K596="","",K596-J596)</f>
      </c>
      <c r="M596" s="4">
        <f>IF($K596="","",L596*16.67%)</f>
      </c>
      <c r="N596" s="4">
        <f>IF($K596="","",(K596*6.9%)-(K596*6.9%)*10%)</f>
      </c>
      <c r="O596" s="4">
        <f>IF($K596="","",K596*0.35%)</f>
      </c>
      <c r="P596" s="4">
        <v>0.4</v>
      </c>
      <c r="Q596" s="4">
        <f>IF($K596="","",(N596+O596+P596)*20%)</f>
      </c>
      <c r="R596" s="4">
        <f>IF($K596="","",N596+O596+P596+Q596)</f>
      </c>
      <c r="S596" s="4"/>
      <c r="T596" s="4"/>
      <c r="U596" s="4"/>
      <c r="V596" s="4">
        <f>IF($K596="","",U596*20%)</f>
      </c>
      <c r="W596" s="4">
        <v>1</v>
      </c>
      <c r="X596" s="4">
        <f>IF($K596="","",Q596+T596+V596)</f>
      </c>
      <c r="Y596" s="4">
        <f>IF($K596="","",L596-M596-R596-S596-T596-U596-V596-W596)</f>
      </c>
      <c r="Z596" s="4">
        <f>IF($K596="","",(Y596-AB596)/J596*100)</f>
      </c>
      <c r="AA596" s="4">
        <f>IF($K596="","",M596-X596)</f>
      </c>
      <c r="AC596" s="4">
        <f>IF($K596="","",Y596-AB596)</f>
      </c>
    </row>
    <row r="597" spans="1:34" x14ac:dyDescent="0.25">
      <c r="A597" s="8"/>
      <c r="D597" s="9"/>
      <c r="J597" s="4"/>
      <c r="K597" s="4"/>
      <c r="L597" s="4">
        <f>IF($K597="","",K597-J597)</f>
      </c>
      <c r="M597" s="4">
        <f>IF($K597="","",L597*16.67%)</f>
      </c>
      <c r="N597" s="4">
        <f>IF($K597="","",(K597*6.9%)-(K597*6.9%)*10%)</f>
      </c>
      <c r="O597" s="4">
        <f>IF($K597="","",K597*0.35%)</f>
      </c>
      <c r="P597" s="4">
        <v>0.4</v>
      </c>
      <c r="Q597" s="4">
        <f>IF($K597="","",(N597+O597+P597)*20%)</f>
      </c>
      <c r="R597" s="4">
        <f>IF($K597="","",N597+O597+P597+Q597)</f>
      </c>
      <c r="S597" s="4"/>
      <c r="T597" s="4"/>
      <c r="U597" s="4"/>
      <c r="V597" s="4">
        <f>IF($K597="","",U597*20%)</f>
      </c>
      <c r="W597" s="4">
        <v>1</v>
      </c>
      <c r="X597" s="4">
        <f>IF($K597="","",Q597+T597+V597)</f>
      </c>
      <c r="Y597" s="4">
        <f>IF($K597="","",L597-M597-R597-S597-T597-U597-V597-W597)</f>
      </c>
      <c r="Z597" s="4">
        <f>IF($K597="","",(Y597-AB597)/J597*100)</f>
      </c>
      <c r="AA597" s="4">
        <f>IF($K597="","",M597-X597)</f>
      </c>
      <c r="AC597" s="4">
        <f>IF($K597="","",Y597-AB597)</f>
      </c>
    </row>
    <row r="598" spans="1:34" x14ac:dyDescent="0.25">
      <c r="A598" s="8"/>
      <c r="D598" s="9"/>
      <c r="J598" s="4"/>
      <c r="K598" s="4"/>
      <c r="L598" s="4">
        <f>IF($K598="","",K598-J598)</f>
      </c>
      <c r="M598" s="4">
        <f>IF($K598="","",L598*16.67%)</f>
      </c>
      <c r="N598" s="4">
        <f>IF($K598="","",(K598*6.9%)-(K598*6.9%)*10%)</f>
      </c>
      <c r="O598" s="4">
        <f>IF($K598="","",K598*0.35%)</f>
      </c>
      <c r="P598" s="4">
        <v>0.4</v>
      </c>
      <c r="Q598" s="4">
        <f>IF($K598="","",(N598+O598+P598)*20%)</f>
      </c>
      <c r="R598" s="4">
        <f>IF($K598="","",N598+O598+P598+Q598)</f>
      </c>
      <c r="S598" s="4"/>
      <c r="T598" s="4"/>
      <c r="U598" s="4"/>
      <c r="V598" s="4">
        <f>IF($K598="","",U598*20%)</f>
      </c>
      <c r="W598" s="4">
        <v>1</v>
      </c>
      <c r="X598" s="4">
        <f>IF($K598="","",Q598+T598+V598)</f>
      </c>
      <c r="Y598" s="4">
        <f>IF($K598="","",L598-M598-R598-S598-T598-U598-V598-W598)</f>
      </c>
      <c r="Z598" s="4">
        <f>IF($K598="","",(Y598-AB598)/J598*100)</f>
      </c>
      <c r="AA598" s="4">
        <f>IF($K598="","",M598-X598)</f>
      </c>
      <c r="AC598" s="4">
        <f>IF($K598="","",Y598-AB598)</f>
      </c>
    </row>
    <row r="599" spans="1:34" x14ac:dyDescent="0.25">
      <c r="A599" s="8"/>
      <c r="D599" s="9"/>
      <c r="J599" s="4"/>
      <c r="K599" s="4"/>
      <c r="L599" s="4">
        <f>IF($K599="","",K599-J599)</f>
      </c>
      <c r="M599" s="4">
        <f>IF($K599="","",L599*16.67%)</f>
      </c>
      <c r="N599" s="4">
        <f>IF($K599="","",(K599*6.9%)-(K599*6.9%)*10%)</f>
      </c>
      <c r="O599" s="4">
        <f>IF($K599="","",K599*0.35%)</f>
      </c>
      <c r="P599" s="4">
        <v>0.4</v>
      </c>
      <c r="Q599" s="4">
        <f>IF($K599="","",(N599+O599+P599)*20%)</f>
      </c>
      <c r="R599" s="4">
        <f>IF($K599="","",N599+O599+P599+Q599)</f>
      </c>
      <c r="S599" s="4"/>
      <c r="T599" s="4"/>
      <c r="U599" s="4"/>
      <c r="V599" s="4">
        <f>IF($K599="","",U599*20%)</f>
      </c>
      <c r="W599" s="4">
        <v>1</v>
      </c>
      <c r="X599" s="4">
        <f>IF($K599="","",Q599+T599+V599)</f>
      </c>
      <c r="Y599" s="4">
        <f>IF($K599="","",L599-M599-R599-S599-T599-U599-V599-W599)</f>
      </c>
      <c r="Z599" s="4">
        <f>IF($K599="","",(Y599-AB599)/J599*100)</f>
      </c>
      <c r="AA599" s="4">
        <f>IF($K599="","",M599-X599)</f>
      </c>
      <c r="AC599" s="4">
        <f>IF($K599="","",Y599-AB599)</f>
      </c>
    </row>
    <row r="600" spans="1:34" x14ac:dyDescent="0.25">
      <c r="A600" s="8"/>
      <c r="D600" s="9"/>
      <c r="J600" s="4"/>
      <c r="K600" s="4"/>
      <c r="L600" s="4">
        <f>IF($K600="","",K600-J600)</f>
      </c>
      <c r="M600" s="4">
        <f>IF($K600="","",L600*16.67%)</f>
      </c>
      <c r="N600" s="4">
        <f>IF($K600="","",(K600*6.9%)-(K600*6.9%)*10%)</f>
      </c>
      <c r="O600" s="4">
        <f>IF($K600="","",K600*0.35%)</f>
      </c>
      <c r="P600" s="4">
        <v>0.4</v>
      </c>
      <c r="Q600" s="4">
        <f>IF($K600="","",(N600+O600+P600)*20%)</f>
      </c>
      <c r="R600" s="4">
        <f>IF($K600="","",N600+O600+P600+Q600)</f>
      </c>
      <c r="S600" s="4"/>
      <c r="T600" s="4"/>
      <c r="U600" s="4"/>
      <c r="V600" s="4">
        <f>IF($K600="","",U600*20%)</f>
      </c>
      <c r="W600" s="4">
        <v>1</v>
      </c>
      <c r="X600" s="4">
        <f>IF($K600="","",Q600+T600+V600)</f>
      </c>
      <c r="Y600" s="4">
        <f>IF($K600="","",L600-M600-R600-S600-T600-U600-V600-W600)</f>
      </c>
      <c r="Z600" s="4">
        <f>IF($K600="","",(Y600-AB600)/J600*100)</f>
      </c>
      <c r="AA600" s="4">
        <f>IF($K600="","",M600-X600)</f>
      </c>
      <c r="AC600" s="4">
        <f>IF($K600="","",Y600-AB600)</f>
      </c>
    </row>
    <row r="601" spans="1:34" x14ac:dyDescent="0.25">
      <c r="A601" s="8"/>
      <c r="D601" s="9"/>
      <c r="J601" s="4"/>
      <c r="K601" s="4"/>
      <c r="L601" s="4">
        <f>IF($K601="","",K601-J601)</f>
      </c>
      <c r="M601" s="4">
        <f>IF($K601="","",L601*16.67%)</f>
      </c>
      <c r="N601" s="4">
        <f>IF($K601="","",(K601*6.9%)-(K601*6.9%)*10%)</f>
      </c>
      <c r="O601" s="4">
        <f>IF($K601="","",K601*0.35%)</f>
      </c>
      <c r="P601" s="4">
        <v>0.4</v>
      </c>
      <c r="Q601" s="4">
        <f>IF($K601="","",(N601+O601+P601)*20%)</f>
      </c>
      <c r="R601" s="4">
        <f>IF($K601="","",N601+O601+P601+Q601)</f>
      </c>
      <c r="S601" s="4"/>
      <c r="T601" s="4"/>
      <c r="U601" s="4"/>
      <c r="V601" s="4">
        <f>IF($K601="","",U601*20%)</f>
      </c>
      <c r="W601" s="4">
        <v>1</v>
      </c>
      <c r="X601" s="4">
        <f>IF($K601="","",Q601+T601+V601)</f>
      </c>
      <c r="Y601" s="4">
        <f>IF($K601="","",L601-M601-R601-S601-T601-U601-V601-W601)</f>
      </c>
      <c r="Z601" s="4">
        <f>IF($K601="","",(Y601-AB601)/J601*100)</f>
      </c>
      <c r="AA601" s="4">
        <f>IF($K601="","",M601-X601)</f>
      </c>
      <c r="AC601" s="4">
        <f>IF($K601="","",Y601-AB601)</f>
      </c>
    </row>
    <row r="602" spans="1:34" x14ac:dyDescent="0.25">
      <c r="A602" s="8"/>
      <c r="D602" s="9"/>
      <c r="J602" s="4"/>
      <c r="K602" s="4"/>
      <c r="L602" s="4">
        <f>IF($K602="","",K602-J602)</f>
      </c>
      <c r="M602" s="4">
        <f>IF($K602="","",L602*16.67%)</f>
      </c>
      <c r="N602" s="4">
        <f>IF($K602="","",(K602*6.9%)-(K602*6.9%)*10%)</f>
      </c>
      <c r="O602" s="4">
        <f>IF($K602="","",K602*0.35%)</f>
      </c>
      <c r="P602" s="4">
        <v>0.4</v>
      </c>
      <c r="Q602" s="4">
        <f>IF($K602="","",(N602+O602+P602)*20%)</f>
      </c>
      <c r="R602" s="4">
        <f>IF($K602="","",N602+O602+P602+Q602)</f>
      </c>
      <c r="S602" s="4"/>
      <c r="T602" s="4"/>
      <c r="U602" s="4"/>
      <c r="V602" s="4">
        <f>IF($K602="","",U602*20%)</f>
      </c>
      <c r="W602" s="4">
        <v>1</v>
      </c>
      <c r="X602" s="4">
        <f>IF($K602="","",Q602+T602+V602)</f>
      </c>
      <c r="Y602" s="4">
        <f>IF($K602="","",L602-M602-R602-S602-T602-U602-V602-W602)</f>
      </c>
      <c r="Z602" s="4">
        <f>IF($K602="","",(Y602-AB602)/J602*100)</f>
      </c>
      <c r="AA602" s="4">
        <f>IF($K602="","",M602-X602)</f>
      </c>
      <c r="AC602" s="4">
        <f>IF($K602="","",Y602-AB602)</f>
      </c>
    </row>
    <row r="603" spans="1:34" x14ac:dyDescent="0.25">
      <c r="A603" s="8"/>
      <c r="D603" s="9"/>
      <c r="J603" s="4"/>
      <c r="K603" s="4"/>
      <c r="L603" s="4">
        <f>IF($K603="","",K603-J603)</f>
      </c>
      <c r="M603" s="4">
        <f>IF($K603="","",L603*16.67%)</f>
      </c>
      <c r="N603" s="4">
        <f>IF($K603="","",(K603*6.9%)-(K603*6.9%)*10%)</f>
      </c>
      <c r="O603" s="4">
        <f>IF($K603="","",K603*0.35%)</f>
      </c>
      <c r="P603" s="4">
        <v>0.4</v>
      </c>
      <c r="Q603" s="4">
        <f>IF($K603="","",(N603+O603+P603)*20%)</f>
      </c>
      <c r="R603" s="4">
        <f>IF($K603="","",N603+O603+P603+Q603)</f>
      </c>
      <c r="S603" s="4"/>
      <c r="T603" s="4"/>
      <c r="U603" s="4"/>
      <c r="V603" s="4">
        <f>IF($K603="","",U603*20%)</f>
      </c>
      <c r="W603" s="4">
        <v>1</v>
      </c>
      <c r="X603" s="4">
        <f>IF($K603="","",Q603+T603+V603)</f>
      </c>
      <c r="Y603" s="4">
        <f>IF($K603="","",L603-M603-R603-S603-T603-U603-V603-W603)</f>
      </c>
      <c r="Z603" s="4">
        <f>IF($K603="","",(Y603-AB603)/J603*100)</f>
      </c>
      <c r="AA603" s="4">
        <f>IF($K603="","",M603-X603)</f>
      </c>
      <c r="AC603" s="4">
        <f>IF($K603="","",Y603-AB603)</f>
      </c>
    </row>
    <row r="604" spans="1:34" x14ac:dyDescent="0.25">
      <c r="A604" s="8"/>
      <c r="D604" s="9"/>
      <c r="J604" s="4"/>
      <c r="K604" s="4"/>
      <c r="L604" s="4">
        <f>IF($K604="","",K604-J604)</f>
      </c>
      <c r="M604" s="4">
        <f>IF($K604="","",L604*16.67%)</f>
      </c>
      <c r="N604" s="4">
        <f>IF($K604="","",(K604*6.9%)-(K604*6.9%)*10%)</f>
      </c>
      <c r="O604" s="4">
        <f>IF($K604="","",K604*0.35%)</f>
      </c>
      <c r="P604" s="4">
        <v>0.4</v>
      </c>
      <c r="Q604" s="4">
        <f>IF($K604="","",(N604+O604+P604)*20%)</f>
      </c>
      <c r="R604" s="4">
        <f>IF($K604="","",N604+O604+P604+Q604)</f>
      </c>
      <c r="S604" s="4"/>
      <c r="T604" s="4"/>
      <c r="U604" s="4"/>
      <c r="V604" s="4">
        <f>IF($K604="","",U604*20%)</f>
      </c>
      <c r="W604" s="4">
        <v>1</v>
      </c>
      <c r="X604" s="4">
        <f>IF($K604="","",Q604+T604+V604)</f>
      </c>
      <c r="Y604" s="4">
        <f>IF($K604="","",L604-M604-R604-S604-T604-U604-V604-W604)</f>
      </c>
      <c r="Z604" s="4">
        <f>IF($K604="","",(Y604-AB604)/J604*100)</f>
      </c>
      <c r="AA604" s="4">
        <f>IF($K604="","",M604-X604)</f>
      </c>
      <c r="AC604" s="4">
        <f>IF($K604="","",Y604-AB604)</f>
      </c>
    </row>
    <row r="605" spans="1:34" x14ac:dyDescent="0.25">
      <c r="A605" s="8"/>
      <c r="D605" s="9"/>
      <c r="J605" s="4"/>
      <c r="K605" s="4"/>
      <c r="L605" s="4">
        <f>IF($K605="","",K605-J605)</f>
      </c>
      <c r="M605" s="4">
        <f>IF($K605="","",L605*16.67%)</f>
      </c>
      <c r="N605" s="4">
        <f>IF($K605="","",(K605*6.9%)-(K605*6.9%)*10%)</f>
      </c>
      <c r="O605" s="4">
        <f>IF($K605="","",K605*0.35%)</f>
      </c>
      <c r="P605" s="4">
        <v>0.4</v>
      </c>
      <c r="Q605" s="4">
        <f>IF($K605="","",(N605+O605+P605)*20%)</f>
      </c>
      <c r="R605" s="4">
        <f>IF($K605="","",N605+O605+P605+Q605)</f>
      </c>
      <c r="S605" s="4"/>
      <c r="T605" s="4"/>
      <c r="U605" s="4"/>
      <c r="V605" s="4">
        <f>IF($K605="","",U605*20%)</f>
      </c>
      <c r="W605" s="4">
        <v>1</v>
      </c>
      <c r="X605" s="4">
        <f>IF($K605="","",Q605+T605+V605)</f>
      </c>
      <c r="Y605" s="4">
        <f>IF($K605="","",L605-M605-R605-S605-T605-U605-V605-W605)</f>
      </c>
      <c r="Z605" s="4">
        <f>IF($K605="","",(Y605-AB605)/J605*100)</f>
      </c>
      <c r="AA605" s="4">
        <f>IF($K605="","",M605-X605)</f>
      </c>
      <c r="AC605" s="4">
        <f>IF($K605="","",Y605-AB605)</f>
      </c>
    </row>
    <row r="606" spans="1:34" x14ac:dyDescent="0.25">
      <c r="A606" s="8"/>
      <c r="D606" s="9"/>
      <c r="J606" s="4"/>
      <c r="K606" s="4"/>
      <c r="L606" s="4">
        <f>IF($K606="","",K606-J606)</f>
      </c>
      <c r="M606" s="4">
        <f>IF($K606="","",L606*16.67%)</f>
      </c>
      <c r="N606" s="4">
        <f>IF($K606="","",(K606*6.9%)-(K606*6.9%)*10%)</f>
      </c>
      <c r="O606" s="4">
        <f>IF($K606="","",K606*0.35%)</f>
      </c>
      <c r="P606" s="4">
        <v>0.4</v>
      </c>
      <c r="Q606" s="4">
        <f>IF($K606="","",(N606+O606+P606)*20%)</f>
      </c>
      <c r="R606" s="4">
        <f>IF($K606="","",N606+O606+P606+Q606)</f>
      </c>
      <c r="S606" s="4"/>
      <c r="T606" s="4"/>
      <c r="U606" s="4"/>
      <c r="V606" s="4">
        <f>IF($K606="","",U606*20%)</f>
      </c>
      <c r="W606" s="4">
        <v>1</v>
      </c>
      <c r="X606" s="4">
        <f>IF($K606="","",Q606+T606+V606)</f>
      </c>
      <c r="Y606" s="4">
        <f>IF($K606="","",L606-M606-R606-S606-T606-U606-V606-W606)</f>
      </c>
      <c r="Z606" s="4">
        <f>IF($K606="","",(Y606-AB606)/J606*100)</f>
      </c>
      <c r="AA606" s="4">
        <f>IF($K606="","",M606-X606)</f>
      </c>
      <c r="AC606" s="4">
        <f>IF($K606="","",Y606-AB606)</f>
      </c>
    </row>
    <row r="607" spans="1:34" x14ac:dyDescent="0.25">
      <c r="A607" s="8"/>
      <c r="D607" s="9"/>
      <c r="J607" s="4"/>
      <c r="K607" s="4"/>
      <c r="L607" s="4">
        <f>IF($K607="","",K607-J607)</f>
      </c>
      <c r="M607" s="4">
        <f>IF($K607="","",L607*16.67%)</f>
      </c>
      <c r="N607" s="4">
        <f>IF($K607="","",(K607*6.9%)-(K607*6.9%)*10%)</f>
      </c>
      <c r="O607" s="4">
        <f>IF($K607="","",K607*0.35%)</f>
      </c>
      <c r="P607" s="4">
        <v>0.4</v>
      </c>
      <c r="Q607" s="4">
        <f>IF($K607="","",(N607+O607+P607)*20%)</f>
      </c>
      <c r="R607" s="4">
        <f>IF($K607="","",N607+O607+P607+Q607)</f>
      </c>
      <c r="S607" s="4"/>
      <c r="T607" s="4"/>
      <c r="U607" s="4"/>
      <c r="V607" s="4">
        <f>IF($K607="","",U607*20%)</f>
      </c>
      <c r="W607" s="4">
        <v>1</v>
      </c>
      <c r="X607" s="4">
        <f>IF($K607="","",Q607+T607+V607)</f>
      </c>
      <c r="Y607" s="4">
        <f>IF($K607="","",L607-M607-R607-S607-T607-U607-V607-W607)</f>
      </c>
      <c r="Z607" s="4">
        <f>IF($K607="","",(Y607-AB607)/J607*100)</f>
      </c>
      <c r="AA607" s="4">
        <f>IF($K607="","",M607-X607)</f>
      </c>
      <c r="AC607" s="4">
        <f>IF($K607="","",Y607-AB607)</f>
      </c>
    </row>
    <row r="608" spans="1:34" x14ac:dyDescent="0.25">
      <c r="A608" s="8"/>
      <c r="D608" s="9"/>
      <c r="J608" s="4"/>
      <c r="K608" s="4"/>
      <c r="L608" s="4">
        <f>IF($K608="","",K608-J608)</f>
      </c>
      <c r="M608" s="4">
        <f>IF($K608="","",L608*16.67%)</f>
      </c>
      <c r="N608" s="4">
        <f>IF($K608="","",(K608*6.9%)-(K608*6.9%)*10%)</f>
      </c>
      <c r="O608" s="4">
        <f>IF($K608="","",K608*0.35%)</f>
      </c>
      <c r="P608" s="4">
        <v>0.4</v>
      </c>
      <c r="Q608" s="4">
        <f>IF($K608="","",(N608+O608+P608)*20%)</f>
      </c>
      <c r="R608" s="4">
        <f>IF($K608="","",N608+O608+P608+Q608)</f>
      </c>
      <c r="S608" s="4"/>
      <c r="T608" s="4"/>
      <c r="U608" s="4"/>
      <c r="V608" s="4">
        <f>IF($K608="","",U608*20%)</f>
      </c>
      <c r="W608" s="4">
        <v>1</v>
      </c>
      <c r="X608" s="4">
        <f>IF($K608="","",Q608+T608+V608)</f>
      </c>
      <c r="Y608" s="4">
        <f>IF($K608="","",L608-M608-R608-S608-T608-U608-V608-W608)</f>
      </c>
      <c r="Z608" s="4">
        <f>IF($K608="","",(Y608-AB608)/J608*100)</f>
      </c>
      <c r="AA608" s="4">
        <f>IF($K608="","",M608-X608)</f>
      </c>
      <c r="AC608" s="4">
        <f>IF($K608="","",Y608-AB608)</f>
      </c>
    </row>
    <row r="609" spans="1:34" x14ac:dyDescent="0.25">
      <c r="A609" s="8"/>
      <c r="D609" s="9"/>
      <c r="J609" s="4"/>
      <c r="K609" s="4"/>
      <c r="L609" s="4">
        <f>IF($K609="","",K609-J609)</f>
      </c>
      <c r="M609" s="4">
        <f>IF($K609="","",L609*16.67%)</f>
      </c>
      <c r="N609" s="4">
        <f>IF($K609="","",(K609*6.9%)-(K609*6.9%)*10%)</f>
      </c>
      <c r="O609" s="4">
        <f>IF($K609="","",K609*0.35%)</f>
      </c>
      <c r="P609" s="4">
        <v>0.4</v>
      </c>
      <c r="Q609" s="4">
        <f>IF($K609="","",(N609+O609+P609)*20%)</f>
      </c>
      <c r="R609" s="4">
        <f>IF($K609="","",N609+O609+P609+Q609)</f>
      </c>
      <c r="S609" s="4"/>
      <c r="T609" s="4"/>
      <c r="U609" s="4"/>
      <c r="V609" s="4">
        <f>IF($K609="","",U609*20%)</f>
      </c>
      <c r="W609" s="4">
        <v>1</v>
      </c>
      <c r="X609" s="4">
        <f>IF($K609="","",Q609+T609+V609)</f>
      </c>
      <c r="Y609" s="4">
        <f>IF($K609="","",L609-M609-R609-S609-T609-U609-V609-W609)</f>
      </c>
      <c r="Z609" s="4">
        <f>IF($K609="","",(Y609-AB609)/J609*100)</f>
      </c>
      <c r="AA609" s="4">
        <f>IF($K609="","",M609-X609)</f>
      </c>
      <c r="AC609" s="4">
        <f>IF($K609="","",Y609-AB609)</f>
      </c>
    </row>
    <row r="610" spans="1:34" x14ac:dyDescent="0.25">
      <c r="A610" s="8"/>
      <c r="D610" s="9"/>
      <c r="J610" s="4"/>
      <c r="K610" s="4"/>
      <c r="L610" s="4">
        <f>IF($K610="","",K610-J610)</f>
      </c>
      <c r="M610" s="4">
        <f>IF($K610="","",L610*16.67%)</f>
      </c>
      <c r="N610" s="4">
        <f>IF($K610="","",(K610*6.9%)-(K610*6.9%)*10%)</f>
      </c>
      <c r="O610" s="4">
        <f>IF($K610="","",K610*0.35%)</f>
      </c>
      <c r="P610" s="4">
        <v>0.4</v>
      </c>
      <c r="Q610" s="4">
        <f>IF($K610="","",(N610+O610+P610)*20%)</f>
      </c>
      <c r="R610" s="4">
        <f>IF($K610="","",N610+O610+P610+Q610)</f>
      </c>
      <c r="S610" s="4"/>
      <c r="T610" s="4"/>
      <c r="U610" s="4"/>
      <c r="V610" s="4">
        <f>IF($K610="","",U610*20%)</f>
      </c>
      <c r="W610" s="4">
        <v>1</v>
      </c>
      <c r="X610" s="4">
        <f>IF($K610="","",Q610+T610+V610)</f>
      </c>
      <c r="Y610" s="4">
        <f>IF($K610="","",L610-M610-R610-S610-T610-U610-V610-W610)</f>
      </c>
      <c r="Z610" s="4">
        <f>IF($K610="","",(Y610-AB610)/J610*100)</f>
      </c>
      <c r="AA610" s="4">
        <f>IF($K610="","",M610-X610)</f>
      </c>
      <c r="AC610" s="4">
        <f>IF($K610="","",Y610-AB610)</f>
      </c>
    </row>
    <row r="611" spans="1:34" x14ac:dyDescent="0.25">
      <c r="A611" s="8"/>
      <c r="D611" s="9"/>
      <c r="J611" s="4"/>
      <c r="K611" s="4"/>
      <c r="L611" s="4">
        <f>IF($K611="","",K611-J611)</f>
      </c>
      <c r="M611" s="4">
        <f>IF($K611="","",L611*16.67%)</f>
      </c>
      <c r="N611" s="4">
        <f>IF($K611="","",(K611*6.9%)-(K611*6.9%)*10%)</f>
      </c>
      <c r="O611" s="4">
        <f>IF($K611="","",K611*0.35%)</f>
      </c>
      <c r="P611" s="4">
        <v>0.4</v>
      </c>
      <c r="Q611" s="4">
        <f>IF($K611="","",(N611+O611+P611)*20%)</f>
      </c>
      <c r="R611" s="4">
        <f>IF($K611="","",N611+O611+P611+Q611)</f>
      </c>
      <c r="S611" s="4"/>
      <c r="T611" s="4"/>
      <c r="U611" s="4"/>
      <c r="V611" s="4">
        <f>IF($K611="","",U611*20%)</f>
      </c>
      <c r="W611" s="4">
        <v>1</v>
      </c>
      <c r="X611" s="4">
        <f>IF($K611="","",Q611+T611+V611)</f>
      </c>
      <c r="Y611" s="4">
        <f>IF($K611="","",L611-M611-R611-S611-T611-U611-V611-W611)</f>
      </c>
      <c r="Z611" s="4">
        <f>IF($K611="","",(Y611-AB611)/J611*100)</f>
      </c>
      <c r="AA611" s="4">
        <f>IF($K611="","",M611-X611)</f>
      </c>
      <c r="AC611" s="4">
        <f>IF($K611="","",Y611-AB611)</f>
      </c>
    </row>
    <row r="612" spans="1:34" x14ac:dyDescent="0.25">
      <c r="A612" s="8"/>
      <c r="D612" s="9"/>
      <c r="J612" s="4"/>
      <c r="K612" s="4"/>
      <c r="L612" s="4">
        <f>IF($K612="","",K612-J612)</f>
      </c>
      <c r="M612" s="4">
        <f>IF($K612="","",L612*16.67%)</f>
      </c>
      <c r="N612" s="4">
        <f>IF($K612="","",(K612*6.9%)-(K612*6.9%)*10%)</f>
      </c>
      <c r="O612" s="4">
        <f>IF($K612="","",K612*0.35%)</f>
      </c>
      <c r="P612" s="4">
        <v>0.4</v>
      </c>
      <c r="Q612" s="4">
        <f>IF($K612="","",(N612+O612+P612)*20%)</f>
      </c>
      <c r="R612" s="4">
        <f>IF($K612="","",N612+O612+P612+Q612)</f>
      </c>
      <c r="S612" s="4"/>
      <c r="T612" s="4"/>
      <c r="U612" s="4"/>
      <c r="V612" s="4">
        <f>IF($K612="","",U612*20%)</f>
      </c>
      <c r="W612" s="4">
        <v>1</v>
      </c>
      <c r="X612" s="4">
        <f>IF($K612="","",Q612+T612+V612)</f>
      </c>
      <c r="Y612" s="4">
        <f>IF($K612="","",L612-M612-R612-S612-T612-U612-V612-W612)</f>
      </c>
      <c r="Z612" s="4">
        <f>IF($K612="","",(Y612-AB612)/J612*100)</f>
      </c>
      <c r="AA612" s="4">
        <f>IF($K612="","",M612-X612)</f>
      </c>
      <c r="AC612" s="4">
        <f>IF($K612="","",Y612-AB612)</f>
      </c>
    </row>
    <row r="613" spans="1:34" x14ac:dyDescent="0.25">
      <c r="A613" s="8"/>
      <c r="D613" s="9"/>
      <c r="J613" s="4"/>
      <c r="K613" s="4"/>
      <c r="L613" s="4">
        <f>IF($K613="","",K613-J613)</f>
      </c>
      <c r="M613" s="4">
        <f>IF($K613="","",L613*16.67%)</f>
      </c>
      <c r="N613" s="4">
        <f>IF($K613="","",(K613*6.9%)-(K613*6.9%)*10%)</f>
      </c>
      <c r="O613" s="4">
        <f>IF($K613="","",K613*0.35%)</f>
      </c>
      <c r="P613" s="4">
        <v>0.4</v>
      </c>
      <c r="Q613" s="4">
        <f>IF($K613="","",(N613+O613+P613)*20%)</f>
      </c>
      <c r="R613" s="4">
        <f>IF($K613="","",N613+O613+P613+Q613)</f>
      </c>
      <c r="S613" s="4"/>
      <c r="T613" s="4"/>
      <c r="U613" s="4"/>
      <c r="V613" s="4">
        <f>IF($K613="","",U613*20%)</f>
      </c>
      <c r="W613" s="4">
        <v>1</v>
      </c>
      <c r="X613" s="4">
        <f>IF($K613="","",Q613+T613+V613)</f>
      </c>
      <c r="Y613" s="4">
        <f>IF($K613="","",L613-M613-R613-S613-T613-U613-V613-W613)</f>
      </c>
      <c r="Z613" s="4">
        <f>IF($K613="","",(Y613-AB613)/J613*100)</f>
      </c>
      <c r="AA613" s="4">
        <f>IF($K613="","",M613-X613)</f>
      </c>
      <c r="AC613" s="4">
        <f>IF($K613="","",Y613-AB613)</f>
      </c>
    </row>
    <row r="614" spans="1:34" x14ac:dyDescent="0.25">
      <c r="A614" s="8"/>
      <c r="D614" s="9"/>
      <c r="J614" s="4"/>
      <c r="K614" s="4"/>
      <c r="L614" s="4">
        <f>IF($K614="","",K614-J614)</f>
      </c>
      <c r="M614" s="4">
        <f>IF($K614="","",L614*16.67%)</f>
      </c>
      <c r="N614" s="4">
        <f>IF($K614="","",(K614*6.9%)-(K614*6.9%)*10%)</f>
      </c>
      <c r="O614" s="4">
        <f>IF($K614="","",K614*0.35%)</f>
      </c>
      <c r="P614" s="4">
        <v>0.4</v>
      </c>
      <c r="Q614" s="4">
        <f>IF($K614="","",(N614+O614+P614)*20%)</f>
      </c>
      <c r="R614" s="4">
        <f>IF($K614="","",N614+O614+P614+Q614)</f>
      </c>
      <c r="S614" s="4"/>
      <c r="T614" s="4"/>
      <c r="U614" s="4"/>
      <c r="V614" s="4">
        <f>IF($K614="","",U614*20%)</f>
      </c>
      <c r="W614" s="4">
        <v>1</v>
      </c>
      <c r="X614" s="4">
        <f>IF($K614="","",Q614+T614+V614)</f>
      </c>
      <c r="Y614" s="4">
        <f>IF($K614="","",L614-M614-R614-S614-T614-U614-V614-W614)</f>
      </c>
      <c r="Z614" s="4">
        <f>IF($K614="","",(Y614-AB614)/J614*100)</f>
      </c>
      <c r="AA614" s="4">
        <f>IF($K614="","",M614-X614)</f>
      </c>
      <c r="AC614" s="4">
        <f>IF($K614="","",Y614-AB614)</f>
      </c>
    </row>
    <row r="615" spans="1:34" x14ac:dyDescent="0.25">
      <c r="A615" s="8"/>
      <c r="D615" s="9"/>
      <c r="J615" s="4"/>
      <c r="K615" s="4"/>
      <c r="L615" s="4">
        <f>IF($K615="","",K615-J615)</f>
      </c>
      <c r="M615" s="4">
        <f>IF($K615="","",L615*16.67%)</f>
      </c>
      <c r="N615" s="4">
        <f>IF($K615="","",(K615*6.9%)-(K615*6.9%)*10%)</f>
      </c>
      <c r="O615" s="4">
        <f>IF($K615="","",K615*0.35%)</f>
      </c>
      <c r="P615" s="4">
        <v>0.4</v>
      </c>
      <c r="Q615" s="4">
        <f>IF($K615="","",(N615+O615+P615)*20%)</f>
      </c>
      <c r="R615" s="4">
        <f>IF($K615="","",N615+O615+P615+Q615)</f>
      </c>
      <c r="S615" s="4"/>
      <c r="T615" s="4"/>
      <c r="U615" s="4"/>
      <c r="V615" s="4">
        <f>IF($K615="","",U615*20%)</f>
      </c>
      <c r="W615" s="4">
        <v>1</v>
      </c>
      <c r="X615" s="4">
        <f>IF($K615="","",Q615+T615+V615)</f>
      </c>
      <c r="Y615" s="4">
        <f>IF($K615="","",L615-M615-R615-S615-T615-U615-V615-W615)</f>
      </c>
      <c r="Z615" s="4">
        <f>IF($K615="","",(Y615-AB615)/J615*100)</f>
      </c>
      <c r="AA615" s="4">
        <f>IF($K615="","",M615-X615)</f>
      </c>
      <c r="AC615" s="4">
        <f>IF($K615="","",Y615-AB615)</f>
      </c>
    </row>
    <row r="616" spans="1:34" x14ac:dyDescent="0.25">
      <c r="A616" s="8"/>
      <c r="D616" s="9"/>
      <c r="J616" s="4"/>
      <c r="K616" s="4"/>
      <c r="L616" s="4">
        <f>IF($K616="","",K616-J616)</f>
      </c>
      <c r="M616" s="4">
        <f>IF($K616="","",L616*16.67%)</f>
      </c>
      <c r="N616" s="4">
        <f>IF($K616="","",(K616*6.9%)-(K616*6.9%)*10%)</f>
      </c>
      <c r="O616" s="4">
        <f>IF($K616="","",K616*0.35%)</f>
      </c>
      <c r="P616" s="4">
        <v>0.4</v>
      </c>
      <c r="Q616" s="4">
        <f>IF($K616="","",(N616+O616+P616)*20%)</f>
      </c>
      <c r="R616" s="4">
        <f>IF($K616="","",N616+O616+P616+Q616)</f>
      </c>
      <c r="S616" s="4"/>
      <c r="T616" s="4"/>
      <c r="U616" s="4"/>
      <c r="V616" s="4">
        <f>IF($K616="","",U616*20%)</f>
      </c>
      <c r="W616" s="4">
        <v>1</v>
      </c>
      <c r="X616" s="4">
        <f>IF($K616="","",Q616+T616+V616)</f>
      </c>
      <c r="Y616" s="4">
        <f>IF($K616="","",L616-M616-R616-S616-T616-U616-V616-W616)</f>
      </c>
      <c r="Z616" s="4">
        <f>IF($K616="","",(Y616-AB616)/J616*100)</f>
      </c>
      <c r="AA616" s="4">
        <f>IF($K616="","",M616-X616)</f>
      </c>
      <c r="AC616" s="4">
        <f>IF($K616="","",Y616-AB616)</f>
      </c>
    </row>
    <row r="617" spans="1:34" x14ac:dyDescent="0.25">
      <c r="A617" s="8"/>
      <c r="D617" s="9"/>
      <c r="J617" s="4"/>
      <c r="K617" s="4"/>
      <c r="L617" s="4">
        <f>IF($K617="","",K617-J617)</f>
      </c>
      <c r="M617" s="4">
        <f>IF($K617="","",L617*16.67%)</f>
      </c>
      <c r="N617" s="4">
        <f>IF($K617="","",(K617*6.9%)-(K617*6.9%)*10%)</f>
      </c>
      <c r="O617" s="4">
        <f>IF($K617="","",K617*0.35%)</f>
      </c>
      <c r="P617" s="4">
        <v>0.4</v>
      </c>
      <c r="Q617" s="4">
        <f>IF($K617="","",(N617+O617+P617)*20%)</f>
      </c>
      <c r="R617" s="4">
        <f>IF($K617="","",N617+O617+P617+Q617)</f>
      </c>
      <c r="S617" s="4"/>
      <c r="T617" s="4"/>
      <c r="U617" s="4"/>
      <c r="V617" s="4">
        <f>IF($K617="","",U617*20%)</f>
      </c>
      <c r="W617" s="4">
        <v>1</v>
      </c>
      <c r="X617" s="4">
        <f>IF($K617="","",Q617+T617+V617)</f>
      </c>
      <c r="Y617" s="4">
        <f>IF($K617="","",L617-M617-R617-S617-T617-U617-V617-W617)</f>
      </c>
      <c r="Z617" s="4">
        <f>IF($K617="","",(Y617-AB617)/J617*100)</f>
      </c>
      <c r="AA617" s="4">
        <f>IF($K617="","",M617-X617)</f>
      </c>
      <c r="AC617" s="4">
        <f>IF($K617="","",Y617-AB617)</f>
      </c>
    </row>
    <row r="618" spans="1:34" x14ac:dyDescent="0.25">
      <c r="A618" s="8"/>
      <c r="D618" s="9"/>
      <c r="J618" s="4"/>
      <c r="K618" s="4"/>
      <c r="L618" s="4">
        <f>IF($K618="","",K618-J618)</f>
      </c>
      <c r="M618" s="4">
        <f>IF($K618="","",L618*16.67%)</f>
      </c>
      <c r="N618" s="4">
        <f>IF($K618="","",(K618*6.9%)-(K618*6.9%)*10%)</f>
      </c>
      <c r="O618" s="4">
        <f>IF($K618="","",K618*0.35%)</f>
      </c>
      <c r="P618" s="4">
        <v>0.4</v>
      </c>
      <c r="Q618" s="4">
        <f>IF($K618="","",(N618+O618+P618)*20%)</f>
      </c>
      <c r="R618" s="4">
        <f>IF($K618="","",N618+O618+P618+Q618)</f>
      </c>
      <c r="S618" s="4"/>
      <c r="T618" s="4"/>
      <c r="U618" s="4"/>
      <c r="V618" s="4">
        <f>IF($K618="","",U618*20%)</f>
      </c>
      <c r="W618" s="4">
        <v>1</v>
      </c>
      <c r="X618" s="4">
        <f>IF($K618="","",Q618+T618+V618)</f>
      </c>
      <c r="Y618" s="4">
        <f>IF($K618="","",L618-M618-R618-S618-T618-U618-V618-W618)</f>
      </c>
      <c r="Z618" s="4">
        <f>IF($K618="","",(Y618-AB618)/J618*100)</f>
      </c>
      <c r="AA618" s="4">
        <f>IF($K618="","",M618-X618)</f>
      </c>
      <c r="AC618" s="4">
        <f>IF($K618="","",Y618-AB618)</f>
      </c>
    </row>
    <row r="619" spans="1:34" x14ac:dyDescent="0.25">
      <c r="A619" s="8"/>
      <c r="D619" s="9"/>
      <c r="J619" s="4"/>
      <c r="K619" s="4"/>
      <c r="L619" s="4">
        <f>IF($K619="","",K619-J619)</f>
      </c>
      <c r="M619" s="4">
        <f>IF($K619="","",L619*16.67%)</f>
      </c>
      <c r="N619" s="4">
        <f>IF($K619="","",(K619*6.9%)-(K619*6.9%)*10%)</f>
      </c>
      <c r="O619" s="4">
        <f>IF($K619="","",K619*0.35%)</f>
      </c>
      <c r="P619" s="4">
        <v>0.4</v>
      </c>
      <c r="Q619" s="4">
        <f>IF($K619="","",(N619+O619+P619)*20%)</f>
      </c>
      <c r="R619" s="4">
        <f>IF($K619="","",N619+O619+P619+Q619)</f>
      </c>
      <c r="S619" s="4"/>
      <c r="T619" s="4"/>
      <c r="U619" s="4"/>
      <c r="V619" s="4">
        <f>IF($K619="","",U619*20%)</f>
      </c>
      <c r="W619" s="4">
        <v>1</v>
      </c>
      <c r="X619" s="4">
        <f>IF($K619="","",Q619+T619+V619)</f>
      </c>
      <c r="Y619" s="4">
        <f>IF($K619="","",L619-M619-R619-S619-T619-U619-V619-W619)</f>
      </c>
      <c r="Z619" s="4">
        <f>IF($K619="","",(Y619-AB619)/J619*100)</f>
      </c>
      <c r="AA619" s="4">
        <f>IF($K619="","",M619-X619)</f>
      </c>
      <c r="AC619" s="4">
        <f>IF($K619="","",Y619-AB619)</f>
      </c>
    </row>
    <row r="620" spans="1:34" x14ac:dyDescent="0.25">
      <c r="A620" s="8"/>
      <c r="D620" s="9"/>
      <c r="J620" s="4"/>
      <c r="K620" s="4"/>
      <c r="L620" s="4">
        <f>IF($K620="","",K620-J620)</f>
      </c>
      <c r="M620" s="4">
        <f>IF($K620="","",L620*16.67%)</f>
      </c>
      <c r="N620" s="4">
        <f>IF($K620="","",(K620*6.9%)-(K620*6.9%)*10%)</f>
      </c>
      <c r="O620" s="4">
        <f>IF($K620="","",K620*0.35%)</f>
      </c>
      <c r="P620" s="4">
        <v>0.4</v>
      </c>
      <c r="Q620" s="4">
        <f>IF($K620="","",(N620+O620+P620)*20%)</f>
      </c>
      <c r="R620" s="4">
        <f>IF($K620="","",N620+O620+P620+Q620)</f>
      </c>
      <c r="S620" s="4"/>
      <c r="T620" s="4"/>
      <c r="U620" s="4"/>
      <c r="V620" s="4">
        <f>IF($K620="","",U620*20%)</f>
      </c>
      <c r="W620" s="4">
        <v>1</v>
      </c>
      <c r="X620" s="4">
        <f>IF($K620="","",Q620+T620+V620)</f>
      </c>
      <c r="Y620" s="4">
        <f>IF($K620="","",L620-M620-R620-S620-T620-U620-V620-W620)</f>
      </c>
      <c r="Z620" s="4">
        <f>IF($K620="","",(Y620-AB620)/J620*100)</f>
      </c>
      <c r="AA620" s="4">
        <f>IF($K620="","",M620-X620)</f>
      </c>
      <c r="AC620" s="4">
        <f>IF($K620="","",Y620-AB620)</f>
      </c>
    </row>
    <row r="621" spans="1:34" x14ac:dyDescent="0.25">
      <c r="A621" s="8"/>
      <c r="D621" s="9"/>
      <c r="J621" s="4"/>
      <c r="K621" s="4"/>
      <c r="L621" s="4">
        <f>IF($K621="","",K621-J621)</f>
      </c>
      <c r="M621" s="4">
        <f>IF($K621="","",L621*16.67%)</f>
      </c>
      <c r="N621" s="4">
        <f>IF($K621="","",(K621*6.9%)-(K621*6.9%)*10%)</f>
      </c>
      <c r="O621" s="4">
        <f>IF($K621="","",K621*0.35%)</f>
      </c>
      <c r="P621" s="4">
        <v>0.4</v>
      </c>
      <c r="Q621" s="4">
        <f>IF($K621="","",(N621+O621+P621)*20%)</f>
      </c>
      <c r="R621" s="4">
        <f>IF($K621="","",N621+O621+P621+Q621)</f>
      </c>
      <c r="S621" s="4"/>
      <c r="T621" s="4"/>
      <c r="U621" s="4"/>
      <c r="V621" s="4">
        <f>IF($K621="","",U621*20%)</f>
      </c>
      <c r="W621" s="4">
        <v>1</v>
      </c>
      <c r="X621" s="4">
        <f>IF($K621="","",Q621+T621+V621)</f>
      </c>
      <c r="Y621" s="4">
        <f>IF($K621="","",L621-M621-R621-S621-T621-U621-V621-W621)</f>
      </c>
      <c r="Z621" s="4">
        <f>IF($K621="","",(Y621-AB621)/J621*100)</f>
      </c>
      <c r="AA621" s="4">
        <f>IF($K621="","",M621-X621)</f>
      </c>
      <c r="AC621" s="4">
        <f>IF($K621="","",Y621-AB621)</f>
      </c>
    </row>
    <row r="622" spans="1:34" x14ac:dyDescent="0.25">
      <c r="A622" s="8"/>
      <c r="D622" s="9"/>
      <c r="J622" s="4"/>
      <c r="K622" s="4"/>
      <c r="L622" s="4">
        <f>IF($K622="","",K622-J622)</f>
      </c>
      <c r="M622" s="4">
        <f>IF($K622="","",L622*16.67%)</f>
      </c>
      <c r="N622" s="4">
        <f>IF($K622="","",(K622*6.9%)-(K622*6.9%)*10%)</f>
      </c>
      <c r="O622" s="4">
        <f>IF($K622="","",K622*0.35%)</f>
      </c>
      <c r="P622" s="4">
        <v>0.4</v>
      </c>
      <c r="Q622" s="4">
        <f>IF($K622="","",(N622+O622+P622)*20%)</f>
      </c>
      <c r="R622" s="4">
        <f>IF($K622="","",N622+O622+P622+Q622)</f>
      </c>
      <c r="S622" s="4"/>
      <c r="T622" s="4"/>
      <c r="U622" s="4"/>
      <c r="V622" s="4">
        <f>IF($K622="","",U622*20%)</f>
      </c>
      <c r="W622" s="4">
        <v>1</v>
      </c>
      <c r="X622" s="4">
        <f>IF($K622="","",Q622+T622+V622)</f>
      </c>
      <c r="Y622" s="4">
        <f>IF($K622="","",L622-M622-R622-S622-T622-U622-V622-W622)</f>
      </c>
      <c r="Z622" s="4">
        <f>IF($K622="","",(Y622-AB622)/J622*100)</f>
      </c>
      <c r="AA622" s="4">
        <f>IF($K622="","",M622-X622)</f>
      </c>
      <c r="AC622" s="4">
        <f>IF($K622="","",Y622-AB622)</f>
      </c>
    </row>
    <row r="623" spans="1:34" x14ac:dyDescent="0.25">
      <c r="A623" s="8"/>
      <c r="D623" s="9"/>
      <c r="J623" s="4"/>
      <c r="K623" s="4"/>
      <c r="L623" s="4">
        <f>IF($K623="","",K623-J623)</f>
      </c>
      <c r="M623" s="4">
        <f>IF($K623="","",L623*16.67%)</f>
      </c>
      <c r="N623" s="4">
        <f>IF($K623="","",(K623*6.9%)-(K623*6.9%)*10%)</f>
      </c>
      <c r="O623" s="4">
        <f>IF($K623="","",K623*0.35%)</f>
      </c>
      <c r="P623" s="4">
        <v>0.4</v>
      </c>
      <c r="Q623" s="4">
        <f>IF($K623="","",(N623+O623+P623)*20%)</f>
      </c>
      <c r="R623" s="4">
        <f>IF($K623="","",N623+O623+P623+Q623)</f>
      </c>
      <c r="S623" s="4"/>
      <c r="T623" s="4"/>
      <c r="U623" s="4"/>
      <c r="V623" s="4">
        <f>IF($K623="","",U623*20%)</f>
      </c>
      <c r="W623" s="4">
        <v>1</v>
      </c>
      <c r="X623" s="4">
        <f>IF($K623="","",Q623+T623+V623)</f>
      </c>
      <c r="Y623" s="4">
        <f>IF($K623="","",L623-M623-R623-S623-T623-U623-V623-W623)</f>
      </c>
      <c r="Z623" s="4">
        <f>IF($K623="","",(Y623-AB623)/J623*100)</f>
      </c>
      <c r="AA623" s="4">
        <f>IF($K623="","",M623-X623)</f>
      </c>
      <c r="AC623" s="4">
        <f>IF($K623="","",Y623-AB623)</f>
      </c>
    </row>
    <row r="624" spans="1:34" x14ac:dyDescent="0.25">
      <c r="A624" s="8"/>
      <c r="D624" s="9"/>
      <c r="J624" s="4"/>
      <c r="K624" s="4"/>
      <c r="L624" s="4">
        <f>IF($K624="","",K624-J624)</f>
      </c>
      <c r="M624" s="4">
        <f>IF($K624="","",L624*16.67%)</f>
      </c>
      <c r="N624" s="4">
        <f>IF($K624="","",(K624*6.9%)-(K624*6.9%)*10%)</f>
      </c>
      <c r="O624" s="4">
        <f>IF($K624="","",K624*0.35%)</f>
      </c>
      <c r="P624" s="4">
        <v>0.4</v>
      </c>
      <c r="Q624" s="4">
        <f>IF($K624="","",(N624+O624+P624)*20%)</f>
      </c>
      <c r="R624" s="4">
        <f>IF($K624="","",N624+O624+P624+Q624)</f>
      </c>
      <c r="S624" s="4"/>
      <c r="T624" s="4"/>
      <c r="U624" s="4"/>
      <c r="V624" s="4">
        <f>IF($K624="","",U624*20%)</f>
      </c>
      <c r="W624" s="4">
        <v>1</v>
      </c>
      <c r="X624" s="4">
        <f>IF($K624="","",Q624+T624+V624)</f>
      </c>
      <c r="Y624" s="4">
        <f>IF($K624="","",L624-M624-R624-S624-T624-U624-V624-W624)</f>
      </c>
      <c r="Z624" s="4">
        <f>IF($K624="","",(Y624-AB624)/J624*100)</f>
      </c>
      <c r="AA624" s="4">
        <f>IF($K624="","",M624-X624)</f>
      </c>
      <c r="AC624" s="4">
        <f>IF($K624="","",Y624-AB624)</f>
      </c>
    </row>
    <row r="625" spans="1:34" x14ac:dyDescent="0.25">
      <c r="A625" s="8"/>
      <c r="D625" s="9"/>
      <c r="J625" s="4"/>
      <c r="K625" s="4"/>
      <c r="L625" s="4">
        <f>IF($K625="","",K625-J625)</f>
      </c>
      <c r="M625" s="4">
        <f>IF($K625="","",L625*16.67%)</f>
      </c>
      <c r="N625" s="4">
        <f>IF($K625="","",(K625*6.9%)-(K625*6.9%)*10%)</f>
      </c>
      <c r="O625" s="4">
        <f>IF($K625="","",K625*0.35%)</f>
      </c>
      <c r="P625" s="4">
        <v>0.4</v>
      </c>
      <c r="Q625" s="4">
        <f>IF($K625="","",(N625+O625+P625)*20%)</f>
      </c>
      <c r="R625" s="4">
        <f>IF($K625="","",N625+O625+P625+Q625)</f>
      </c>
      <c r="S625" s="4"/>
      <c r="T625" s="4"/>
      <c r="U625" s="4"/>
      <c r="V625" s="4">
        <f>IF($K625="","",U625*20%)</f>
      </c>
      <c r="W625" s="4">
        <v>1</v>
      </c>
      <c r="X625" s="4">
        <f>IF($K625="","",Q625+T625+V625)</f>
      </c>
      <c r="Y625" s="4">
        <f>IF($K625="","",L625-M625-R625-S625-T625-U625-V625-W625)</f>
      </c>
      <c r="Z625" s="4">
        <f>IF($K625="","",(Y625-AB625)/J625*100)</f>
      </c>
      <c r="AA625" s="4">
        <f>IF($K625="","",M625-X625)</f>
      </c>
      <c r="AC625" s="4">
        <f>IF($K625="","",Y625-AB625)</f>
      </c>
    </row>
    <row r="626" spans="1:34" x14ac:dyDescent="0.25">
      <c r="A626" s="8"/>
      <c r="D626" s="9"/>
      <c r="J626" s="4"/>
      <c r="K626" s="4"/>
      <c r="L626" s="4">
        <f>IF($K626="","",K626-J626)</f>
      </c>
      <c r="M626" s="4">
        <f>IF($K626="","",L626*16.67%)</f>
      </c>
      <c r="N626" s="4">
        <f>IF($K626="","",(K626*6.9%)-(K626*6.9%)*10%)</f>
      </c>
      <c r="O626" s="4">
        <f>IF($K626="","",K626*0.35%)</f>
      </c>
      <c r="P626" s="4">
        <v>0.4</v>
      </c>
      <c r="Q626" s="4">
        <f>IF($K626="","",(N626+O626+P626)*20%)</f>
      </c>
      <c r="R626" s="4">
        <f>IF($K626="","",N626+O626+P626+Q626)</f>
      </c>
      <c r="S626" s="4"/>
      <c r="T626" s="4"/>
      <c r="U626" s="4"/>
      <c r="V626" s="4">
        <f>IF($K626="","",U626*20%)</f>
      </c>
      <c r="W626" s="4">
        <v>1</v>
      </c>
      <c r="X626" s="4">
        <f>IF($K626="","",Q626+T626+V626)</f>
      </c>
      <c r="Y626" s="4">
        <f>IF($K626="","",L626-M626-R626-S626-T626-U626-V626-W626)</f>
      </c>
      <c r="Z626" s="4">
        <f>IF($K626="","",(Y626-AB626)/J626*100)</f>
      </c>
      <c r="AA626" s="4">
        <f>IF($K626="","",M626-X626)</f>
      </c>
      <c r="AC626" s="4">
        <f>IF($K626="","",Y626-AB626)</f>
      </c>
    </row>
    <row r="627" spans="1:34" x14ac:dyDescent="0.25">
      <c r="A627" s="8"/>
      <c r="D627" s="9"/>
      <c r="J627" s="4"/>
      <c r="K627" s="4"/>
      <c r="L627" s="4">
        <f>IF($K627="","",K627-J627)</f>
      </c>
      <c r="M627" s="4">
        <f>IF($K627="","",L627*16.67%)</f>
      </c>
      <c r="N627" s="4">
        <f>IF($K627="","",(K627*6.9%)-(K627*6.9%)*10%)</f>
      </c>
      <c r="O627" s="4">
        <f>IF($K627="","",K627*0.35%)</f>
      </c>
      <c r="P627" s="4">
        <v>0.4</v>
      </c>
      <c r="Q627" s="4">
        <f>IF($K627="","",(N627+O627+P627)*20%)</f>
      </c>
      <c r="R627" s="4">
        <f>IF($K627="","",N627+O627+P627+Q627)</f>
      </c>
      <c r="S627" s="4"/>
      <c r="T627" s="4"/>
      <c r="U627" s="4"/>
      <c r="V627" s="4">
        <f>IF($K627="","",U627*20%)</f>
      </c>
      <c r="W627" s="4">
        <v>1</v>
      </c>
      <c r="X627" s="4">
        <f>IF($K627="","",Q627+T627+V627)</f>
      </c>
      <c r="Y627" s="4">
        <f>IF($K627="","",L627-M627-R627-S627-T627-U627-V627-W627)</f>
      </c>
      <c r="Z627" s="4">
        <f>IF($K627="","",(Y627-AB627)/J627*100)</f>
      </c>
      <c r="AA627" s="4">
        <f>IF($K627="","",M627-X627)</f>
      </c>
      <c r="AC627" s="4">
        <f>IF($K627="","",Y627-AB627)</f>
      </c>
    </row>
    <row r="628" spans="1:34" x14ac:dyDescent="0.25">
      <c r="A628" s="8"/>
      <c r="D628" s="9"/>
      <c r="J628" s="4"/>
      <c r="K628" s="4"/>
      <c r="L628" s="4">
        <f>IF($K628="","",K628-J628)</f>
      </c>
      <c r="M628" s="4">
        <f>IF($K628="","",L628*16.67%)</f>
      </c>
      <c r="N628" s="4">
        <f>IF($K628="","",(K628*6.9%)-(K628*6.9%)*10%)</f>
      </c>
      <c r="O628" s="4">
        <f>IF($K628="","",K628*0.35%)</f>
      </c>
      <c r="P628" s="4">
        <v>0.4</v>
      </c>
      <c r="Q628" s="4">
        <f>IF($K628="","",(N628+O628+P628)*20%)</f>
      </c>
      <c r="R628" s="4">
        <f>IF($K628="","",N628+O628+P628+Q628)</f>
      </c>
      <c r="S628" s="4"/>
      <c r="T628" s="4"/>
      <c r="U628" s="4"/>
      <c r="V628" s="4">
        <f>IF($K628="","",U628*20%)</f>
      </c>
      <c r="W628" s="4">
        <v>1</v>
      </c>
      <c r="X628" s="4">
        <f>IF($K628="","",Q628+T628+V628)</f>
      </c>
      <c r="Y628" s="4">
        <f>IF($K628="","",L628-M628-R628-S628-T628-U628-V628-W628)</f>
      </c>
      <c r="Z628" s="4">
        <f>IF($K628="","",(Y628-AB628)/J628*100)</f>
      </c>
      <c r="AA628" s="4">
        <f>IF($K628="","",M628-X628)</f>
      </c>
      <c r="AC628" s="4">
        <f>IF($K628="","",Y628-AB628)</f>
      </c>
    </row>
    <row r="629" spans="1:34" x14ac:dyDescent="0.25">
      <c r="A629" s="8"/>
      <c r="D629" s="9"/>
      <c r="J629" s="4"/>
      <c r="K629" s="4"/>
      <c r="L629" s="4">
        <f>IF($K629="","",K629-J629)</f>
      </c>
      <c r="M629" s="4">
        <f>IF($K629="","",L629*16.67%)</f>
      </c>
      <c r="N629" s="4">
        <f>IF($K629="","",(K629*6.9%)-(K629*6.9%)*10%)</f>
      </c>
      <c r="O629" s="4">
        <f>IF($K629="","",K629*0.35%)</f>
      </c>
      <c r="P629" s="4">
        <v>0.4</v>
      </c>
      <c r="Q629" s="4">
        <f>IF($K629="","",(N629+O629+P629)*20%)</f>
      </c>
      <c r="R629" s="4">
        <f>IF($K629="","",N629+O629+P629+Q629)</f>
      </c>
      <c r="S629" s="4"/>
      <c r="T629" s="4"/>
      <c r="U629" s="4"/>
      <c r="V629" s="4">
        <f>IF($K629="","",U629*20%)</f>
      </c>
      <c r="W629" s="4">
        <v>1</v>
      </c>
      <c r="X629" s="4">
        <f>IF($K629="","",Q629+T629+V629)</f>
      </c>
      <c r="Y629" s="4">
        <f>IF($K629="","",L629-M629-R629-S629-T629-U629-V629-W629)</f>
      </c>
      <c r="Z629" s="4">
        <f>IF($K629="","",(Y629-AB629)/J629*100)</f>
      </c>
      <c r="AA629" s="4">
        <f>IF($K629="","",M629-X629)</f>
      </c>
      <c r="AC629" s="4">
        <f>IF($K629="","",Y629-AB629)</f>
      </c>
    </row>
    <row r="630" spans="1:34" x14ac:dyDescent="0.25">
      <c r="A630" s="8"/>
      <c r="D630" s="9"/>
      <c r="J630" s="4"/>
      <c r="K630" s="4"/>
      <c r="L630" s="4">
        <f>IF($K630="","",K630-J630)</f>
      </c>
      <c r="M630" s="4">
        <f>IF($K630="","",L630*16.67%)</f>
      </c>
      <c r="N630" s="4">
        <f>IF($K630="","",(K630*6.9%)-(K630*6.9%)*10%)</f>
      </c>
      <c r="O630" s="4">
        <f>IF($K630="","",K630*0.35%)</f>
      </c>
      <c r="P630" s="4">
        <v>0.4</v>
      </c>
      <c r="Q630" s="4">
        <f>IF($K630="","",(N630+O630+P630)*20%)</f>
      </c>
      <c r="R630" s="4">
        <f>IF($K630="","",N630+O630+P630+Q630)</f>
      </c>
      <c r="S630" s="4"/>
      <c r="T630" s="4"/>
      <c r="U630" s="4"/>
      <c r="V630" s="4">
        <f>IF($K630="","",U630*20%)</f>
      </c>
      <c r="W630" s="4">
        <v>1</v>
      </c>
      <c r="X630" s="4">
        <f>IF($K630="","",Q630+T630+V630)</f>
      </c>
      <c r="Y630" s="4">
        <f>IF($K630="","",L630-M630-R630-S630-T630-U630-V630-W630)</f>
      </c>
      <c r="Z630" s="4">
        <f>IF($K630="","",(Y630-AB630)/J630*100)</f>
      </c>
      <c r="AA630" s="4">
        <f>IF($K630="","",M630-X630)</f>
      </c>
      <c r="AC630" s="4">
        <f>IF($K630="","",Y630-AB630)</f>
      </c>
    </row>
    <row r="631" spans="1:34" x14ac:dyDescent="0.25">
      <c r="A631" s="8"/>
      <c r="D631" s="9"/>
      <c r="J631" s="4"/>
      <c r="K631" s="4"/>
      <c r="L631" s="4">
        <f>IF($K631="","",K631-J631)</f>
      </c>
      <c r="M631" s="4">
        <f>IF($K631="","",L631*16.67%)</f>
      </c>
      <c r="N631" s="4">
        <f>IF($K631="","",(K631*6.9%)-(K631*6.9%)*10%)</f>
      </c>
      <c r="O631" s="4">
        <f>IF($K631="","",K631*0.35%)</f>
      </c>
      <c r="P631" s="4">
        <v>0.4</v>
      </c>
      <c r="Q631" s="4">
        <f>IF($K631="","",(N631+O631+P631)*20%)</f>
      </c>
      <c r="R631" s="4">
        <f>IF($K631="","",N631+O631+P631+Q631)</f>
      </c>
      <c r="S631" s="4"/>
      <c r="T631" s="4"/>
      <c r="U631" s="4"/>
      <c r="V631" s="4">
        <f>IF($K631="","",U631*20%)</f>
      </c>
      <c r="W631" s="4">
        <v>1</v>
      </c>
      <c r="X631" s="4">
        <f>IF($K631="","",Q631+T631+V631)</f>
      </c>
      <c r="Y631" s="4">
        <f>IF($K631="","",L631-M631-R631-S631-T631-U631-V631-W631)</f>
      </c>
      <c r="Z631" s="4">
        <f>IF($K631="","",(Y631-AB631)/J631*100)</f>
      </c>
      <c r="AA631" s="4">
        <f>IF($K631="","",M631-X631)</f>
      </c>
      <c r="AC631" s="4">
        <f>IF($K631="","",Y631-AB631)</f>
      </c>
    </row>
    <row r="632" spans="1:34" x14ac:dyDescent="0.25">
      <c r="A632" s="8"/>
      <c r="D632" s="9"/>
      <c r="J632" s="4"/>
      <c r="K632" s="4"/>
      <c r="L632" s="4">
        <f>IF($K632="","",K632-J632)</f>
      </c>
      <c r="M632" s="4">
        <f>IF($K632="","",L632*16.67%)</f>
      </c>
      <c r="N632" s="4">
        <f>IF($K632="","",(K632*6.9%)-(K632*6.9%)*10%)</f>
      </c>
      <c r="O632" s="4">
        <f>IF($K632="","",K632*0.35%)</f>
      </c>
      <c r="P632" s="4">
        <v>0.4</v>
      </c>
      <c r="Q632" s="4">
        <f>IF($K632="","",(N632+O632+P632)*20%)</f>
      </c>
      <c r="R632" s="4">
        <f>IF($K632="","",N632+O632+P632+Q632)</f>
      </c>
      <c r="S632" s="4"/>
      <c r="T632" s="4"/>
      <c r="U632" s="4"/>
      <c r="V632" s="4">
        <f>IF($K632="","",U632*20%)</f>
      </c>
      <c r="W632" s="4">
        <v>1</v>
      </c>
      <c r="X632" s="4">
        <f>IF($K632="","",Q632+T632+V632)</f>
      </c>
      <c r="Y632" s="4">
        <f>IF($K632="","",L632-M632-R632-S632-T632-U632-V632-W632)</f>
      </c>
      <c r="Z632" s="4">
        <f>IF($K632="","",(Y632-AB632)/J632*100)</f>
      </c>
      <c r="AA632" s="4">
        <f>IF($K632="","",M632-X632)</f>
      </c>
      <c r="AC632" s="4">
        <f>IF($K632="","",Y632-AB632)</f>
      </c>
    </row>
    <row r="633" spans="1:34" x14ac:dyDescent="0.25">
      <c r="A633" s="8"/>
      <c r="D633" s="9"/>
      <c r="J633" s="4"/>
      <c r="K633" s="4"/>
      <c r="L633" s="4">
        <f>IF($K633="","",K633-J633)</f>
      </c>
      <c r="M633" s="4">
        <f>IF($K633="","",L633*16.67%)</f>
      </c>
      <c r="N633" s="4">
        <f>IF($K633="","",(K633*6.9%)-(K633*6.9%)*10%)</f>
      </c>
      <c r="O633" s="4">
        <f>IF($K633="","",K633*0.35%)</f>
      </c>
      <c r="P633" s="4">
        <v>0.4</v>
      </c>
      <c r="Q633" s="4">
        <f>IF($K633="","",(N633+O633+P633)*20%)</f>
      </c>
      <c r="R633" s="4">
        <f>IF($K633="","",N633+O633+P633+Q633)</f>
      </c>
      <c r="S633" s="4"/>
      <c r="T633" s="4"/>
      <c r="U633" s="4"/>
      <c r="V633" s="4">
        <f>IF($K633="","",U633*20%)</f>
      </c>
      <c r="W633" s="4">
        <v>1</v>
      </c>
      <c r="X633" s="4">
        <f>IF($K633="","",Q633+T633+V633)</f>
      </c>
      <c r="Y633" s="4">
        <f>IF($K633="","",L633-M633-R633-S633-T633-U633-V633-W633)</f>
      </c>
      <c r="Z633" s="4">
        <f>IF($K633="","",(Y633-AB633)/J633*100)</f>
      </c>
      <c r="AA633" s="4">
        <f>IF($K633="","",M633-X633)</f>
      </c>
      <c r="AC633" s="4">
        <f>IF($K633="","",Y633-AB633)</f>
      </c>
    </row>
    <row r="634" spans="1:34" x14ac:dyDescent="0.25">
      <c r="A634" s="8"/>
      <c r="D634" s="9"/>
      <c r="J634" s="4"/>
      <c r="K634" s="4"/>
      <c r="L634" s="4">
        <f>IF($K634="","",K634-J634)</f>
      </c>
      <c r="M634" s="4">
        <f>IF($K634="","",L634*16.67%)</f>
      </c>
      <c r="N634" s="4">
        <f>IF($K634="","",(K634*6.9%)-(K634*6.9%)*10%)</f>
      </c>
      <c r="O634" s="4">
        <f>IF($K634="","",K634*0.35%)</f>
      </c>
      <c r="P634" s="4">
        <v>0.4</v>
      </c>
      <c r="Q634" s="4">
        <f>IF($K634="","",(N634+O634+P634)*20%)</f>
      </c>
      <c r="R634" s="4">
        <f>IF($K634="","",N634+O634+P634+Q634)</f>
      </c>
      <c r="S634" s="4"/>
      <c r="T634" s="4"/>
      <c r="U634" s="4"/>
      <c r="V634" s="4">
        <f>IF($K634="","",U634*20%)</f>
      </c>
      <c r="W634" s="4">
        <v>1</v>
      </c>
      <c r="X634" s="4">
        <f>IF($K634="","",Q634+T634+V634)</f>
      </c>
      <c r="Y634" s="4">
        <f>IF($K634="","",L634-M634-R634-S634-T634-U634-V634-W634)</f>
      </c>
      <c r="Z634" s="4">
        <f>IF($K634="","",(Y634-AB634)/J634*100)</f>
      </c>
      <c r="AA634" s="4">
        <f>IF($K634="","",M634-X634)</f>
      </c>
      <c r="AC634" s="4">
        <f>IF($K634="","",Y634-AB634)</f>
      </c>
    </row>
    <row r="635" spans="1:34" x14ac:dyDescent="0.25">
      <c r="A635" s="8"/>
      <c r="D635" s="9"/>
      <c r="J635" s="4"/>
      <c r="K635" s="4"/>
      <c r="L635" s="4">
        <f>IF($K635="","",K635-J635)</f>
      </c>
      <c r="M635" s="4">
        <f>IF($K635="","",L635*16.67%)</f>
      </c>
      <c r="N635" s="4">
        <f>IF($K635="","",(K635*6.9%)-(K635*6.9%)*10%)</f>
      </c>
      <c r="O635" s="4">
        <f>IF($K635="","",K635*0.35%)</f>
      </c>
      <c r="P635" s="4">
        <v>0.4</v>
      </c>
      <c r="Q635" s="4">
        <f>IF($K635="","",(N635+O635+P635)*20%)</f>
      </c>
      <c r="R635" s="4">
        <f>IF($K635="","",N635+O635+P635+Q635)</f>
      </c>
      <c r="S635" s="4"/>
      <c r="T635" s="4"/>
      <c r="U635" s="4"/>
      <c r="V635" s="4">
        <f>IF($K635="","",U635*20%)</f>
      </c>
      <c r="W635" s="4">
        <v>1</v>
      </c>
      <c r="X635" s="4">
        <f>IF($K635="","",Q635+T635+V635)</f>
      </c>
      <c r="Y635" s="4">
        <f>IF($K635="","",L635-M635-R635-S635-T635-U635-V635-W635)</f>
      </c>
      <c r="Z635" s="4">
        <f>IF($K635="","",(Y635-AB635)/J635*100)</f>
      </c>
      <c r="AA635" s="4">
        <f>IF($K635="","",M635-X635)</f>
      </c>
      <c r="AC635" s="4">
        <f>IF($K635="","",Y635-AB635)</f>
      </c>
    </row>
    <row r="636" spans="1:34" x14ac:dyDescent="0.25">
      <c r="A636" s="8"/>
      <c r="D636" s="9"/>
      <c r="J636" s="4"/>
      <c r="K636" s="4"/>
      <c r="L636" s="4">
        <f>IF($K636="","",K636-J636)</f>
      </c>
      <c r="M636" s="4">
        <f>IF($K636="","",L636*16.67%)</f>
      </c>
      <c r="N636" s="4">
        <f>IF($K636="","",(K636*6.9%)-(K636*6.9%)*10%)</f>
      </c>
      <c r="O636" s="4">
        <f>IF($K636="","",K636*0.35%)</f>
      </c>
      <c r="P636" s="4">
        <v>0.4</v>
      </c>
      <c r="Q636" s="4">
        <f>IF($K636="","",(N636+O636+P636)*20%)</f>
      </c>
      <c r="R636" s="4">
        <f>IF($K636="","",N636+O636+P636+Q636)</f>
      </c>
      <c r="S636" s="4"/>
      <c r="T636" s="4"/>
      <c r="U636" s="4"/>
      <c r="V636" s="4">
        <f>IF($K636="","",U636*20%)</f>
      </c>
      <c r="W636" s="4">
        <v>1</v>
      </c>
      <c r="X636" s="4">
        <f>IF($K636="","",Q636+T636+V636)</f>
      </c>
      <c r="Y636" s="4">
        <f>IF($K636="","",L636-M636-R636-S636-T636-U636-V636-W636)</f>
      </c>
      <c r="Z636" s="4">
        <f>IF($K636="","",(Y636-AB636)/J636*100)</f>
      </c>
      <c r="AA636" s="4">
        <f>IF($K636="","",M636-X636)</f>
      </c>
      <c r="AC636" s="4">
        <f>IF($K636="","",Y636-AB636)</f>
      </c>
    </row>
    <row r="637" spans="1:34" x14ac:dyDescent="0.25">
      <c r="A637" s="8"/>
      <c r="D637" s="9"/>
      <c r="J637" s="4"/>
      <c r="K637" s="4"/>
      <c r="L637" s="4">
        <f>IF($K637="","",K637-J637)</f>
      </c>
      <c r="M637" s="4">
        <f>IF($K637="","",L637*16.67%)</f>
      </c>
      <c r="N637" s="4">
        <f>IF($K637="","",(K637*6.9%)-(K637*6.9%)*10%)</f>
      </c>
      <c r="O637" s="4">
        <f>IF($K637="","",K637*0.35%)</f>
      </c>
      <c r="P637" s="4">
        <v>0.4</v>
      </c>
      <c r="Q637" s="4">
        <f>IF($K637="","",(N637+O637+P637)*20%)</f>
      </c>
      <c r="R637" s="4">
        <f>IF($K637="","",N637+O637+P637+Q637)</f>
      </c>
      <c r="S637" s="4"/>
      <c r="T637" s="4"/>
      <c r="U637" s="4"/>
      <c r="V637" s="4">
        <f>IF($K637="","",U637*20%)</f>
      </c>
      <c r="W637" s="4">
        <v>1</v>
      </c>
      <c r="X637" s="4">
        <f>IF($K637="","",Q637+T637+V637)</f>
      </c>
      <c r="Y637" s="4">
        <f>IF($K637="","",L637-M637-R637-S637-T637-U637-V637-W637)</f>
      </c>
      <c r="Z637" s="4">
        <f>IF($K637="","",(Y637-AB637)/J637*100)</f>
      </c>
      <c r="AA637" s="4">
        <f>IF($K637="","",M637-X637)</f>
      </c>
      <c r="AC637" s="4">
        <f>IF($K637="","",Y637-AB637)</f>
      </c>
    </row>
    <row r="638" spans="1:34" x14ac:dyDescent="0.25">
      <c r="A638" s="8"/>
      <c r="D638" s="9"/>
      <c r="J638" s="4"/>
      <c r="K638" s="4"/>
      <c r="L638" s="4">
        <f>IF($K638="","",K638-J638)</f>
      </c>
      <c r="M638" s="4">
        <f>IF($K638="","",L638*16.67%)</f>
      </c>
      <c r="N638" s="4">
        <f>IF($K638="","",(K638*6.9%)-(K638*6.9%)*10%)</f>
      </c>
      <c r="O638" s="4">
        <f>IF($K638="","",K638*0.35%)</f>
      </c>
      <c r="P638" s="4">
        <v>0.4</v>
      </c>
      <c r="Q638" s="4">
        <f>IF($K638="","",(N638+O638+P638)*20%)</f>
      </c>
      <c r="R638" s="4">
        <f>IF($K638="","",N638+O638+P638+Q638)</f>
      </c>
      <c r="S638" s="4"/>
      <c r="T638" s="4"/>
      <c r="U638" s="4"/>
      <c r="V638" s="4">
        <f>IF($K638="","",U638*20%)</f>
      </c>
      <c r="W638" s="4">
        <v>1</v>
      </c>
      <c r="X638" s="4">
        <f>IF($K638="","",Q638+T638+V638)</f>
      </c>
      <c r="Y638" s="4">
        <f>IF($K638="","",L638-M638-R638-S638-T638-U638-V638-W638)</f>
      </c>
      <c r="Z638" s="4">
        <f>IF($K638="","",(Y638-AB638)/J638*100)</f>
      </c>
      <c r="AA638" s="4">
        <f>IF($K638="","",M638-X638)</f>
      </c>
      <c r="AC638" s="4">
        <f>IF($K638="","",Y638-AB638)</f>
      </c>
    </row>
    <row r="639" spans="1:34" x14ac:dyDescent="0.25">
      <c r="A639" s="8"/>
      <c r="D639" s="9"/>
      <c r="J639" s="4"/>
      <c r="K639" s="4"/>
      <c r="L639" s="4">
        <f>IF($K639="","",K639-J639)</f>
      </c>
      <c r="M639" s="4">
        <f>IF($K639="","",L639*16.67%)</f>
      </c>
      <c r="N639" s="4">
        <f>IF($K639="","",(K639*6.9%)-(K639*6.9%)*10%)</f>
      </c>
      <c r="O639" s="4">
        <f>IF($K639="","",K639*0.35%)</f>
      </c>
      <c r="P639" s="4">
        <v>0.4</v>
      </c>
      <c r="Q639" s="4">
        <f>IF($K639="","",(N639+O639+P639)*20%)</f>
      </c>
      <c r="R639" s="4">
        <f>IF($K639="","",N639+O639+P639+Q639)</f>
      </c>
      <c r="S639" s="4"/>
      <c r="T639" s="4"/>
      <c r="U639" s="4"/>
      <c r="V639" s="4">
        <f>IF($K639="","",U639*20%)</f>
      </c>
      <c r="W639" s="4">
        <v>1</v>
      </c>
      <c r="X639" s="4">
        <f>IF($K639="","",Q639+T639+V639)</f>
      </c>
      <c r="Y639" s="4">
        <f>IF($K639="","",L639-M639-R639-S639-T639-U639-V639-W639)</f>
      </c>
      <c r="Z639" s="4">
        <f>IF($K639="","",(Y639-AB639)/J639*100)</f>
      </c>
      <c r="AA639" s="4">
        <f>IF($K639="","",M639-X639)</f>
      </c>
      <c r="AC639" s="4">
        <f>IF($K639="","",Y639-AB639)</f>
      </c>
    </row>
    <row r="640" spans="1:34" x14ac:dyDescent="0.25">
      <c r="A640" s="8"/>
      <c r="D640" s="9"/>
      <c r="J640" s="4"/>
      <c r="K640" s="4"/>
      <c r="L640" s="4">
        <f>IF($K640="","",K640-J640)</f>
      </c>
      <c r="M640" s="4">
        <f>IF($K640="","",L640*16.67%)</f>
      </c>
      <c r="N640" s="4">
        <f>IF($K640="","",(K640*6.9%)-(K640*6.9%)*10%)</f>
      </c>
      <c r="O640" s="4">
        <f>IF($K640="","",K640*0.35%)</f>
      </c>
      <c r="P640" s="4">
        <v>0.4</v>
      </c>
      <c r="Q640" s="4">
        <f>IF($K640="","",(N640+O640+P640)*20%)</f>
      </c>
      <c r="R640" s="4">
        <f>IF($K640="","",N640+O640+P640+Q640)</f>
      </c>
      <c r="S640" s="4"/>
      <c r="T640" s="4"/>
      <c r="U640" s="4"/>
      <c r="V640" s="4">
        <f>IF($K640="","",U640*20%)</f>
      </c>
      <c r="W640" s="4">
        <v>1</v>
      </c>
      <c r="X640" s="4">
        <f>IF($K640="","",Q640+T640+V640)</f>
      </c>
      <c r="Y640" s="4">
        <f>IF($K640="","",L640-M640-R640-S640-T640-U640-V640-W640)</f>
      </c>
      <c r="Z640" s="4">
        <f>IF($K640="","",(Y640-AB640)/J640*100)</f>
      </c>
      <c r="AA640" s="4">
        <f>IF($K640="","",M640-X640)</f>
      </c>
      <c r="AC640" s="4">
        <f>IF($K640="","",Y640-AB640)</f>
      </c>
    </row>
    <row r="641" spans="1:34" x14ac:dyDescent="0.25">
      <c r="A641" s="8"/>
      <c r="D641" s="9"/>
      <c r="J641" s="4"/>
      <c r="K641" s="4"/>
      <c r="L641" s="4">
        <f>IF($K641="","",K641-J641)</f>
      </c>
      <c r="M641" s="4">
        <f>IF($K641="","",L641*16.67%)</f>
      </c>
      <c r="N641" s="4">
        <f>IF($K641="","",(K641*6.9%)-(K641*6.9%)*10%)</f>
      </c>
      <c r="O641" s="4">
        <f>IF($K641="","",K641*0.35%)</f>
      </c>
      <c r="P641" s="4">
        <v>0.4</v>
      </c>
      <c r="Q641" s="4">
        <f>IF($K641="","",(N641+O641+P641)*20%)</f>
      </c>
      <c r="R641" s="4">
        <f>IF($K641="","",N641+O641+P641+Q641)</f>
      </c>
      <c r="S641" s="4"/>
      <c r="T641" s="4"/>
      <c r="U641" s="4"/>
      <c r="V641" s="4">
        <f>IF($K641="","",U641*20%)</f>
      </c>
      <c r="W641" s="4">
        <v>1</v>
      </c>
      <c r="X641" s="4">
        <f>IF($K641="","",Q641+T641+V641)</f>
      </c>
      <c r="Y641" s="4">
        <f>IF($K641="","",L641-M641-R641-S641-T641-U641-V641-W641)</f>
      </c>
      <c r="Z641" s="4">
        <f>IF($K641="","",(Y641-AB641)/J641*100)</f>
      </c>
      <c r="AA641" s="4">
        <f>IF($K641="","",M641-X641)</f>
      </c>
      <c r="AC641" s="4">
        <f>IF($K641="","",Y641-AB641)</f>
      </c>
    </row>
    <row r="642" spans="1:34" x14ac:dyDescent="0.25">
      <c r="A642" s="8"/>
      <c r="D642" s="9"/>
      <c r="J642" s="4"/>
      <c r="K642" s="4"/>
      <c r="L642" s="4">
        <f>IF($K642="","",K642-J642)</f>
      </c>
      <c r="M642" s="4">
        <f>IF($K642="","",L642*16.67%)</f>
      </c>
      <c r="N642" s="4">
        <f>IF($K642="","",(K642*6.9%)-(K642*6.9%)*10%)</f>
      </c>
      <c r="O642" s="4">
        <f>IF($K642="","",K642*0.35%)</f>
      </c>
      <c r="P642" s="4">
        <v>0.4</v>
      </c>
      <c r="Q642" s="4">
        <f>IF($K642="","",(N642+O642+P642)*20%)</f>
      </c>
      <c r="R642" s="4">
        <f>IF($K642="","",N642+O642+P642+Q642)</f>
      </c>
      <c r="S642" s="4"/>
      <c r="T642" s="4"/>
      <c r="U642" s="4"/>
      <c r="V642" s="4">
        <f>IF($K642="","",U642*20%)</f>
      </c>
      <c r="W642" s="4">
        <v>1</v>
      </c>
      <c r="X642" s="4">
        <f>IF($K642="","",Q642+T642+V642)</f>
      </c>
      <c r="Y642" s="4">
        <f>IF($K642="","",L642-M642-R642-S642-T642-U642-V642-W642)</f>
      </c>
      <c r="Z642" s="4">
        <f>IF($K642="","",(Y642-AB642)/J642*100)</f>
      </c>
      <c r="AA642" s="4">
        <f>IF($K642="","",M642-X642)</f>
      </c>
      <c r="AC642" s="4">
        <f>IF($K642="","",Y642-AB642)</f>
      </c>
    </row>
    <row r="643" spans="1:34" x14ac:dyDescent="0.25">
      <c r="A643" s="8"/>
      <c r="D643" s="9"/>
      <c r="J643" s="4"/>
      <c r="K643" s="4"/>
      <c r="L643" s="4">
        <f>IF($K643="","",K643-J643)</f>
      </c>
      <c r="M643" s="4">
        <f>IF($K643="","",L643*16.67%)</f>
      </c>
      <c r="N643" s="4">
        <f>IF($K643="","",(K643*6.9%)-(K643*6.9%)*10%)</f>
      </c>
      <c r="O643" s="4">
        <f>IF($K643="","",K643*0.35%)</f>
      </c>
      <c r="P643" s="4">
        <v>0.4</v>
      </c>
      <c r="Q643" s="4">
        <f>IF($K643="","",(N643+O643+P643)*20%)</f>
      </c>
      <c r="R643" s="4">
        <f>IF($K643="","",N643+O643+P643+Q643)</f>
      </c>
      <c r="S643" s="4"/>
      <c r="T643" s="4"/>
      <c r="U643" s="4"/>
      <c r="V643" s="4">
        <f>IF($K643="","",U643*20%)</f>
      </c>
      <c r="W643" s="4">
        <v>1</v>
      </c>
      <c r="X643" s="4">
        <f>IF($K643="","",Q643+T643+V643)</f>
      </c>
      <c r="Y643" s="4">
        <f>IF($K643="","",L643-M643-R643-S643-T643-U643-V643-W643)</f>
      </c>
      <c r="Z643" s="4">
        <f>IF($K643="","",(Y643-AB643)/J643*100)</f>
      </c>
      <c r="AA643" s="4">
        <f>IF($K643="","",M643-X643)</f>
      </c>
      <c r="AC643" s="4">
        <f>IF($K643="","",Y643-AB643)</f>
      </c>
    </row>
    <row r="644" spans="1:34" x14ac:dyDescent="0.25">
      <c r="A644" s="8"/>
      <c r="D644" s="9"/>
      <c r="J644" s="4"/>
      <c r="K644" s="4"/>
      <c r="L644" s="4">
        <f>IF($K644="","",K644-J644)</f>
      </c>
      <c r="M644" s="4">
        <f>IF($K644="","",L644*16.67%)</f>
      </c>
      <c r="N644" s="4">
        <f>IF($K644="","",(K644*6.9%)-(K644*6.9%)*10%)</f>
      </c>
      <c r="O644" s="4">
        <f>IF($K644="","",K644*0.35%)</f>
      </c>
      <c r="P644" s="4">
        <v>0.4</v>
      </c>
      <c r="Q644" s="4">
        <f>IF($K644="","",(N644+O644+P644)*20%)</f>
      </c>
      <c r="R644" s="4">
        <f>IF($K644="","",N644+O644+P644+Q644)</f>
      </c>
      <c r="S644" s="4"/>
      <c r="T644" s="4"/>
      <c r="U644" s="4"/>
      <c r="V644" s="4">
        <f>IF($K644="","",U644*20%)</f>
      </c>
      <c r="W644" s="4">
        <v>1</v>
      </c>
      <c r="X644" s="4">
        <f>IF($K644="","",Q644+T644+V644)</f>
      </c>
      <c r="Y644" s="4">
        <f>IF($K644="","",L644-M644-R644-S644-T644-U644-V644-W644)</f>
      </c>
      <c r="Z644" s="4">
        <f>IF($K644="","",(Y644-AB644)/J644*100)</f>
      </c>
      <c r="AA644" s="4">
        <f>IF($K644="","",M644-X644)</f>
      </c>
      <c r="AC644" s="4">
        <f>IF($K644="","",Y644-AB644)</f>
      </c>
    </row>
    <row r="645" spans="1:34" x14ac:dyDescent="0.25">
      <c r="A645" s="8"/>
      <c r="D645" s="9"/>
      <c r="J645" s="4"/>
      <c r="K645" s="4"/>
      <c r="L645" s="4">
        <f>IF($K645="","",K645-J645)</f>
      </c>
      <c r="M645" s="4">
        <f>IF($K645="","",L645*16.67%)</f>
      </c>
      <c r="N645" s="4">
        <f>IF($K645="","",(K645*6.9%)-(K645*6.9%)*10%)</f>
      </c>
      <c r="O645" s="4">
        <f>IF($K645="","",K645*0.35%)</f>
      </c>
      <c r="P645" s="4">
        <v>0.4</v>
      </c>
      <c r="Q645" s="4">
        <f>IF($K645="","",(N645+O645+P645)*20%)</f>
      </c>
      <c r="R645" s="4">
        <f>IF($K645="","",N645+O645+P645+Q645)</f>
      </c>
      <c r="S645" s="4"/>
      <c r="T645" s="4"/>
      <c r="U645" s="4"/>
      <c r="V645" s="4">
        <f>IF($K645="","",U645*20%)</f>
      </c>
      <c r="W645" s="4">
        <v>1</v>
      </c>
      <c r="X645" s="4">
        <f>IF($K645="","",Q645+T645+V645)</f>
      </c>
      <c r="Y645" s="4">
        <f>IF($K645="","",L645-M645-R645-S645-T645-U645-V645-W645)</f>
      </c>
      <c r="Z645" s="4">
        <f>IF($K645="","",(Y645-AB645)/J645*100)</f>
      </c>
      <c r="AA645" s="4">
        <f>IF($K645="","",M645-X645)</f>
      </c>
      <c r="AC645" s="4">
        <f>IF($K645="","",Y645-AB645)</f>
      </c>
    </row>
    <row r="646" spans="1:34" x14ac:dyDescent="0.25">
      <c r="A646" s="8"/>
      <c r="D646" s="9"/>
      <c r="J646" s="4"/>
      <c r="K646" s="4"/>
      <c r="L646" s="4">
        <f>IF($K646="","",K646-J646)</f>
      </c>
      <c r="M646" s="4">
        <f>IF($K646="","",L646*16.67%)</f>
      </c>
      <c r="N646" s="4">
        <f>IF($K646="","",(K646*6.9%)-(K646*6.9%)*10%)</f>
      </c>
      <c r="O646" s="4">
        <f>IF($K646="","",K646*0.35%)</f>
      </c>
      <c r="P646" s="4">
        <v>0.4</v>
      </c>
      <c r="Q646" s="4">
        <f>IF($K646="","",(N646+O646+P646)*20%)</f>
      </c>
      <c r="R646" s="4">
        <f>IF($K646="","",N646+O646+P646+Q646)</f>
      </c>
      <c r="S646" s="4"/>
      <c r="T646" s="4"/>
      <c r="U646" s="4"/>
      <c r="V646" s="4">
        <f>IF($K646="","",U646*20%)</f>
      </c>
      <c r="W646" s="4">
        <v>1</v>
      </c>
      <c r="X646" s="4">
        <f>IF($K646="","",Q646+T646+V646)</f>
      </c>
      <c r="Y646" s="4">
        <f>IF($K646="","",L646-M646-R646-S646-T646-U646-V646-W646)</f>
      </c>
      <c r="Z646" s="4">
        <f>IF($K646="","",(Y646-AB646)/J646*100)</f>
      </c>
      <c r="AA646" s="4">
        <f>IF($K646="","",M646-X646)</f>
      </c>
      <c r="AC646" s="4">
        <f>IF($K646="","",Y646-AB646)</f>
      </c>
    </row>
    <row r="647" spans="1:34" x14ac:dyDescent="0.25">
      <c r="A647" s="8"/>
      <c r="D647" s="9"/>
      <c r="J647" s="4"/>
      <c r="K647" s="4"/>
      <c r="L647" s="4">
        <f>IF($K647="","",K647-J647)</f>
      </c>
      <c r="M647" s="4">
        <f>IF($K647="","",L647*16.67%)</f>
      </c>
      <c r="N647" s="4">
        <f>IF($K647="","",(K647*6.9%)-(K647*6.9%)*10%)</f>
      </c>
      <c r="O647" s="4">
        <f>IF($K647="","",K647*0.35%)</f>
      </c>
      <c r="P647" s="4">
        <v>0.4</v>
      </c>
      <c r="Q647" s="4">
        <f>IF($K647="","",(N647+O647+P647)*20%)</f>
      </c>
      <c r="R647" s="4">
        <f>IF($K647="","",N647+O647+P647+Q647)</f>
      </c>
      <c r="S647" s="4"/>
      <c r="T647" s="4"/>
      <c r="U647" s="4"/>
      <c r="V647" s="4">
        <f>IF($K647="","",U647*20%)</f>
      </c>
      <c r="W647" s="4">
        <v>1</v>
      </c>
      <c r="X647" s="4">
        <f>IF($K647="","",Q647+T647+V647)</f>
      </c>
      <c r="Y647" s="4">
        <f>IF($K647="","",L647-M647-R647-S647-T647-U647-V647-W647)</f>
      </c>
      <c r="Z647" s="4">
        <f>IF($K647="","",(Y647-AB647)/J647*100)</f>
      </c>
      <c r="AA647" s="4">
        <f>IF($K647="","",M647-X647)</f>
      </c>
      <c r="AC647" s="4">
        <f>IF($K647="","",Y647-AB647)</f>
      </c>
    </row>
    <row r="648" spans="1:34" x14ac:dyDescent="0.25">
      <c r="A648" s="8"/>
      <c r="D648" s="9"/>
      <c r="J648" s="4"/>
      <c r="K648" s="4"/>
      <c r="L648" s="4">
        <f>IF($K648="","",K648-J648)</f>
      </c>
      <c r="M648" s="4">
        <f>IF($K648="","",L648*16.67%)</f>
      </c>
      <c r="N648" s="4">
        <f>IF($K648="","",(K648*6.9%)-(K648*6.9%)*10%)</f>
      </c>
      <c r="O648" s="4">
        <f>IF($K648="","",K648*0.35%)</f>
      </c>
      <c r="P648" s="4">
        <v>0.4</v>
      </c>
      <c r="Q648" s="4">
        <f>IF($K648="","",(N648+O648+P648)*20%)</f>
      </c>
      <c r="R648" s="4">
        <f>IF($K648="","",N648+O648+P648+Q648)</f>
      </c>
      <c r="S648" s="4"/>
      <c r="T648" s="4"/>
      <c r="U648" s="4"/>
      <c r="V648" s="4">
        <f>IF($K648="","",U648*20%)</f>
      </c>
      <c r="W648" s="4">
        <v>1</v>
      </c>
      <c r="X648" s="4">
        <f>IF($K648="","",Q648+T648+V648)</f>
      </c>
      <c r="Y648" s="4">
        <f>IF($K648="","",L648-M648-R648-S648-T648-U648-V648-W648)</f>
      </c>
      <c r="Z648" s="4">
        <f>IF($K648="","",(Y648-AB648)/J648*100)</f>
      </c>
      <c r="AA648" s="4">
        <f>IF($K648="","",M648-X648)</f>
      </c>
      <c r="AC648" s="4">
        <f>IF($K648="","",Y648-AB648)</f>
      </c>
    </row>
    <row r="649" spans="1:34" x14ac:dyDescent="0.25">
      <c r="A649" s="8"/>
      <c r="D649" s="9"/>
      <c r="J649" s="4"/>
      <c r="K649" s="4"/>
      <c r="L649" s="4">
        <f>IF($K649="","",K649-J649)</f>
      </c>
      <c r="M649" s="4">
        <f>IF($K649="","",L649*16.67%)</f>
      </c>
      <c r="N649" s="4">
        <f>IF($K649="","",(K649*6.9%)-(K649*6.9%)*10%)</f>
      </c>
      <c r="O649" s="4">
        <f>IF($K649="","",K649*0.35%)</f>
      </c>
      <c r="P649" s="4">
        <v>0.4</v>
      </c>
      <c r="Q649" s="4">
        <f>IF($K649="","",(N649+O649+P649)*20%)</f>
      </c>
      <c r="R649" s="4">
        <f>IF($K649="","",N649+O649+P649+Q649)</f>
      </c>
      <c r="S649" s="4"/>
      <c r="T649" s="4"/>
      <c r="U649" s="4"/>
      <c r="V649" s="4">
        <f>IF($K649="","",U649*20%)</f>
      </c>
      <c r="W649" s="4">
        <v>1</v>
      </c>
      <c r="X649" s="4">
        <f>IF($K649="","",Q649+T649+V649)</f>
      </c>
      <c r="Y649" s="4">
        <f>IF($K649="","",L649-M649-R649-S649-T649-U649-V649-W649)</f>
      </c>
      <c r="Z649" s="4">
        <f>IF($K649="","",(Y649-AB649)/J649*100)</f>
      </c>
      <c r="AA649" s="4">
        <f>IF($K649="","",M649-X649)</f>
      </c>
      <c r="AC649" s="4">
        <f>IF($K649="","",Y649-AB649)</f>
      </c>
    </row>
    <row r="650" spans="1:34" x14ac:dyDescent="0.25">
      <c r="A650" s="8"/>
      <c r="D650" s="9"/>
      <c r="J650" s="4"/>
      <c r="K650" s="4"/>
      <c r="L650" s="4">
        <f>IF($K650="","",K650-J650)</f>
      </c>
      <c r="M650" s="4">
        <f>IF($K650="","",L650*16.67%)</f>
      </c>
      <c r="N650" s="4">
        <f>IF($K650="","",(K650*6.9%)-(K650*6.9%)*10%)</f>
      </c>
      <c r="O650" s="4">
        <f>IF($K650="","",K650*0.35%)</f>
      </c>
      <c r="P650" s="4">
        <v>0.4</v>
      </c>
      <c r="Q650" s="4">
        <f>IF($K650="","",(N650+O650+P650)*20%)</f>
      </c>
      <c r="R650" s="4">
        <f>IF($K650="","",N650+O650+P650+Q650)</f>
      </c>
      <c r="S650" s="4"/>
      <c r="T650" s="4"/>
      <c r="U650" s="4"/>
      <c r="V650" s="4">
        <f>IF($K650="","",U650*20%)</f>
      </c>
      <c r="W650" s="4">
        <v>1</v>
      </c>
      <c r="X650" s="4">
        <f>IF($K650="","",Q650+T650+V650)</f>
      </c>
      <c r="Y650" s="4">
        <f>IF($K650="","",L650-M650-R650-S650-T650-U650-V650-W650)</f>
      </c>
      <c r="Z650" s="4">
        <f>IF($K650="","",(Y650-AB650)/J650*100)</f>
      </c>
      <c r="AA650" s="4">
        <f>IF($K650="","",M650-X650)</f>
      </c>
      <c r="AC650" s="4">
        <f>IF($K650="","",Y650-AB650)</f>
      </c>
    </row>
    <row r="651" spans="1:34" x14ac:dyDescent="0.25">
      <c r="A651" s="8"/>
      <c r="D651" s="9"/>
      <c r="J651" s="4"/>
      <c r="K651" s="4"/>
      <c r="L651" s="4">
        <f>IF($K651="","",K651-J651)</f>
      </c>
      <c r="M651" s="4">
        <f>IF($K651="","",L651*16.67%)</f>
      </c>
      <c r="N651" s="4">
        <f>IF($K651="","",(K651*6.9%)-(K651*6.9%)*10%)</f>
      </c>
      <c r="O651" s="4">
        <f>IF($K651="","",K651*0.35%)</f>
      </c>
      <c r="P651" s="4">
        <v>0.4</v>
      </c>
      <c r="Q651" s="4">
        <f>IF($K651="","",(N651+O651+P651)*20%)</f>
      </c>
      <c r="R651" s="4">
        <f>IF($K651="","",N651+O651+P651+Q651)</f>
      </c>
      <c r="S651" s="4"/>
      <c r="T651" s="4"/>
      <c r="U651" s="4"/>
      <c r="V651" s="4">
        <f>IF($K651="","",U651*20%)</f>
      </c>
      <c r="W651" s="4">
        <v>1</v>
      </c>
      <c r="X651" s="4">
        <f>IF($K651="","",Q651+T651+V651)</f>
      </c>
      <c r="Y651" s="4">
        <f>IF($K651="","",L651-M651-R651-S651-T651-U651-V651-W651)</f>
      </c>
      <c r="Z651" s="4">
        <f>IF($K651="","",(Y651-AB651)/J651*100)</f>
      </c>
      <c r="AA651" s="4">
        <f>IF($K651="","",M651-X651)</f>
      </c>
      <c r="AC651" s="4">
        <f>IF($K651="","",Y651-AB651)</f>
      </c>
    </row>
    <row r="652" spans="1:34" x14ac:dyDescent="0.25">
      <c r="A652" s="8"/>
      <c r="D652" s="9"/>
      <c r="J652" s="4"/>
      <c r="K652" s="4"/>
      <c r="L652" s="4">
        <f>IF($K652="","",K652-J652)</f>
      </c>
      <c r="M652" s="4">
        <f>IF($K652="","",L652*16.67%)</f>
      </c>
      <c r="N652" s="4">
        <f>IF($K652="","",(K652*6.9%)-(K652*6.9%)*10%)</f>
      </c>
      <c r="O652" s="4">
        <f>IF($K652="","",K652*0.35%)</f>
      </c>
      <c r="P652" s="4">
        <v>0.4</v>
      </c>
      <c r="Q652" s="4">
        <f>IF($K652="","",(N652+O652+P652)*20%)</f>
      </c>
      <c r="R652" s="4">
        <f>IF($K652="","",N652+O652+P652+Q652)</f>
      </c>
      <c r="S652" s="4"/>
      <c r="T652" s="4"/>
      <c r="U652" s="4"/>
      <c r="V652" s="4">
        <f>IF($K652="","",U652*20%)</f>
      </c>
      <c r="W652" s="4">
        <v>1</v>
      </c>
      <c r="X652" s="4">
        <f>IF($K652="","",Q652+T652+V652)</f>
      </c>
      <c r="Y652" s="4">
        <f>IF($K652="","",L652-M652-R652-S652-T652-U652-V652-W652)</f>
      </c>
      <c r="Z652" s="4">
        <f>IF($K652="","",(Y652-AB652)/J652*100)</f>
      </c>
      <c r="AA652" s="4">
        <f>IF($K652="","",M652-X652)</f>
      </c>
      <c r="AC652" s="4">
        <f>IF($K652="","",Y652-AB652)</f>
      </c>
    </row>
    <row r="653" spans="1:34" x14ac:dyDescent="0.25">
      <c r="A653" s="8"/>
      <c r="D653" s="9"/>
      <c r="J653" s="4"/>
      <c r="K653" s="4"/>
      <c r="L653" s="4">
        <f>IF($K653="","",K653-J653)</f>
      </c>
      <c r="M653" s="4">
        <f>IF($K653="","",L653*16.67%)</f>
      </c>
      <c r="N653" s="4">
        <f>IF($K653="","",(K653*6.9%)-(K653*6.9%)*10%)</f>
      </c>
      <c r="O653" s="4">
        <f>IF($K653="","",K653*0.35%)</f>
      </c>
      <c r="P653" s="4">
        <v>0.4</v>
      </c>
      <c r="Q653" s="4">
        <f>IF($K653="","",(N653+O653+P653)*20%)</f>
      </c>
      <c r="R653" s="4">
        <f>IF($K653="","",N653+O653+P653+Q653)</f>
      </c>
      <c r="S653" s="4"/>
      <c r="T653" s="4"/>
      <c r="U653" s="4"/>
      <c r="V653" s="4">
        <f>IF($K653="","",U653*20%)</f>
      </c>
      <c r="W653" s="4">
        <v>1</v>
      </c>
      <c r="X653" s="4">
        <f>IF($K653="","",Q653+T653+V653)</f>
      </c>
      <c r="Y653" s="4">
        <f>IF($K653="","",L653-M653-R653-S653-T653-U653-V653-W653)</f>
      </c>
      <c r="Z653" s="4">
        <f>IF($K653="","",(Y653-AB653)/J653*100)</f>
      </c>
      <c r="AA653" s="4">
        <f>IF($K653="","",M653-X653)</f>
      </c>
      <c r="AC653" s="4">
        <f>IF($K653="","",Y653-AB653)</f>
      </c>
    </row>
    <row r="654" spans="1:34" x14ac:dyDescent="0.25">
      <c r="A654" s="8"/>
      <c r="D654" s="9"/>
      <c r="J654" s="4"/>
      <c r="K654" s="4"/>
      <c r="L654" s="4">
        <f>IF($K654="","",K654-J654)</f>
      </c>
      <c r="M654" s="4">
        <f>IF($K654="","",L654*16.67%)</f>
      </c>
      <c r="N654" s="4">
        <f>IF($K654="","",(K654*6.9%)-(K654*6.9%)*10%)</f>
      </c>
      <c r="O654" s="4">
        <f>IF($K654="","",K654*0.35%)</f>
      </c>
      <c r="P654" s="4">
        <v>0.4</v>
      </c>
      <c r="Q654" s="4">
        <f>IF($K654="","",(N654+O654+P654)*20%)</f>
      </c>
      <c r="R654" s="4">
        <f>IF($K654="","",N654+O654+P654+Q654)</f>
      </c>
      <c r="S654" s="4"/>
      <c r="T654" s="4"/>
      <c r="U654" s="4"/>
      <c r="V654" s="4">
        <f>IF($K654="","",U654*20%)</f>
      </c>
      <c r="W654" s="4">
        <v>1</v>
      </c>
      <c r="X654" s="4">
        <f>IF($K654="","",Q654+T654+V654)</f>
      </c>
      <c r="Y654" s="4">
        <f>IF($K654="","",L654-M654-R654-S654-T654-U654-V654-W654)</f>
      </c>
      <c r="Z654" s="4">
        <f>IF($K654="","",(Y654-AB654)/J654*100)</f>
      </c>
      <c r="AA654" s="4">
        <f>IF($K654="","",M654-X654)</f>
      </c>
      <c r="AC654" s="4">
        <f>IF($K654="","",Y654-AB654)</f>
      </c>
    </row>
    <row r="655" spans="1:34" x14ac:dyDescent="0.25">
      <c r="A655" s="8"/>
      <c r="D655" s="9"/>
      <c r="J655" s="4"/>
      <c r="K655" s="4"/>
      <c r="L655" s="4">
        <f>IF($K655="","",K655-J655)</f>
      </c>
      <c r="M655" s="4">
        <f>IF($K655="","",L655*16.67%)</f>
      </c>
      <c r="N655" s="4">
        <f>IF($K655="","",(K655*6.9%)-(K655*6.9%)*10%)</f>
      </c>
      <c r="O655" s="4">
        <f>IF($K655="","",K655*0.35%)</f>
      </c>
      <c r="P655" s="4">
        <v>0.4</v>
      </c>
      <c r="Q655" s="4">
        <f>IF($K655="","",(N655+O655+P655)*20%)</f>
      </c>
      <c r="R655" s="4">
        <f>IF($K655="","",N655+O655+P655+Q655)</f>
      </c>
      <c r="S655" s="4"/>
      <c r="T655" s="4"/>
      <c r="U655" s="4"/>
      <c r="V655" s="4">
        <f>IF($K655="","",U655*20%)</f>
      </c>
      <c r="W655" s="4">
        <v>1</v>
      </c>
      <c r="X655" s="4">
        <f>IF($K655="","",Q655+T655+V655)</f>
      </c>
      <c r="Y655" s="4">
        <f>IF($K655="","",L655-M655-R655-S655-T655-U655-V655-W655)</f>
      </c>
      <c r="Z655" s="4">
        <f>IF($K655="","",(Y655-AB655)/J655*100)</f>
      </c>
      <c r="AA655" s="4">
        <f>IF($K655="","",M655-X655)</f>
      </c>
      <c r="AC655" s="4">
        <f>IF($K655="","",Y655-AB655)</f>
      </c>
    </row>
    <row r="656" spans="1:34" x14ac:dyDescent="0.25">
      <c r="A656" s="8"/>
      <c r="D656" s="9"/>
      <c r="J656" s="4"/>
      <c r="K656" s="4"/>
      <c r="L656" s="4">
        <f>IF($K656="","",K656-J656)</f>
      </c>
      <c r="M656" s="4">
        <f>IF($K656="","",L656*16.67%)</f>
      </c>
      <c r="N656" s="4">
        <f>IF($K656="","",(K656*6.9%)-(K656*6.9%)*10%)</f>
      </c>
      <c r="O656" s="4">
        <f>IF($K656="","",K656*0.35%)</f>
      </c>
      <c r="P656" s="4">
        <v>0.4</v>
      </c>
      <c r="Q656" s="4">
        <f>IF($K656="","",(N656+O656+P656)*20%)</f>
      </c>
      <c r="R656" s="4">
        <f>IF($K656="","",N656+O656+P656+Q656)</f>
      </c>
      <c r="S656" s="4"/>
      <c r="T656" s="4"/>
      <c r="U656" s="4"/>
      <c r="V656" s="4">
        <f>IF($K656="","",U656*20%)</f>
      </c>
      <c r="W656" s="4">
        <v>1</v>
      </c>
      <c r="X656" s="4">
        <f>IF($K656="","",Q656+T656+V656)</f>
      </c>
      <c r="Y656" s="4">
        <f>IF($K656="","",L656-M656-R656-S656-T656-U656-V656-W656)</f>
      </c>
      <c r="Z656" s="4">
        <f>IF($K656="","",(Y656-AB656)/J656*100)</f>
      </c>
      <c r="AA656" s="4">
        <f>IF($K656="","",M656-X656)</f>
      </c>
      <c r="AC656" s="4">
        <f>IF($K656="","",Y656-AB656)</f>
      </c>
    </row>
    <row r="657" spans="1:34" x14ac:dyDescent="0.25">
      <c r="A657" s="8"/>
      <c r="D657" s="9"/>
      <c r="J657" s="4"/>
      <c r="K657" s="4"/>
      <c r="L657" s="4">
        <f>IF($K657="","",K657-J657)</f>
      </c>
      <c r="M657" s="4">
        <f>IF($K657="","",L657*16.67%)</f>
      </c>
      <c r="N657" s="4">
        <f>IF($K657="","",(K657*6.9%)-(K657*6.9%)*10%)</f>
      </c>
      <c r="O657" s="4">
        <f>IF($K657="","",K657*0.35%)</f>
      </c>
      <c r="P657" s="4">
        <v>0.4</v>
      </c>
      <c r="Q657" s="4">
        <f>IF($K657="","",(N657+O657+P657)*20%)</f>
      </c>
      <c r="R657" s="4">
        <f>IF($K657="","",N657+O657+P657+Q657)</f>
      </c>
      <c r="S657" s="4"/>
      <c r="T657" s="4"/>
      <c r="U657" s="4"/>
      <c r="V657" s="4">
        <f>IF($K657="","",U657*20%)</f>
      </c>
      <c r="W657" s="4">
        <v>1</v>
      </c>
      <c r="X657" s="4">
        <f>IF($K657="","",Q657+T657+V657)</f>
      </c>
      <c r="Y657" s="4">
        <f>IF($K657="","",L657-M657-R657-S657-T657-U657-V657-W657)</f>
      </c>
      <c r="Z657" s="4">
        <f>IF($K657="","",(Y657-AB657)/J657*100)</f>
      </c>
      <c r="AA657" s="4">
        <f>IF($K657="","",M657-X657)</f>
      </c>
      <c r="AC657" s="4">
        <f>IF($K657="","",Y657-AB657)</f>
      </c>
    </row>
    <row r="658" spans="1:34" x14ac:dyDescent="0.25">
      <c r="A658" s="8"/>
      <c r="D658" s="9"/>
      <c r="J658" s="4"/>
      <c r="K658" s="4"/>
      <c r="L658" s="4">
        <f>IF($K658="","",K658-J658)</f>
      </c>
      <c r="M658" s="4">
        <f>IF($K658="","",L658*16.67%)</f>
      </c>
      <c r="N658" s="4">
        <f>IF($K658="","",(K658*6.9%)-(K658*6.9%)*10%)</f>
      </c>
      <c r="O658" s="4">
        <f>IF($K658="","",K658*0.35%)</f>
      </c>
      <c r="P658" s="4">
        <v>0.4</v>
      </c>
      <c r="Q658" s="4">
        <f>IF($K658="","",(N658+O658+P658)*20%)</f>
      </c>
      <c r="R658" s="4">
        <f>IF($K658="","",N658+O658+P658+Q658)</f>
      </c>
      <c r="S658" s="4"/>
      <c r="T658" s="4"/>
      <c r="U658" s="4"/>
      <c r="V658" s="4">
        <f>IF($K658="","",U658*20%)</f>
      </c>
      <c r="W658" s="4">
        <v>1</v>
      </c>
      <c r="X658" s="4">
        <f>IF($K658="","",Q658+T658+V658)</f>
      </c>
      <c r="Y658" s="4">
        <f>IF($K658="","",L658-M658-R658-S658-T658-U658-V658-W658)</f>
      </c>
      <c r="Z658" s="4">
        <f>IF($K658="","",(Y658-AB658)/J658*100)</f>
      </c>
      <c r="AA658" s="4">
        <f>IF($K658="","",M658-X658)</f>
      </c>
      <c r="AC658" s="4">
        <f>IF($K658="","",Y658-AB658)</f>
      </c>
    </row>
    <row r="659" spans="1:34" x14ac:dyDescent="0.25">
      <c r="A659" s="8"/>
      <c r="D659" s="9"/>
      <c r="J659" s="4"/>
      <c r="K659" s="4"/>
      <c r="L659" s="4">
        <f>IF($K659="","",K659-J659)</f>
      </c>
      <c r="M659" s="4">
        <f>IF($K659="","",L659*16.67%)</f>
      </c>
      <c r="N659" s="4">
        <f>IF($K659="","",(K659*6.9%)-(K659*6.9%)*10%)</f>
      </c>
      <c r="O659" s="4">
        <f>IF($K659="","",K659*0.35%)</f>
      </c>
      <c r="P659" s="4">
        <v>0.4</v>
      </c>
      <c r="Q659" s="4">
        <f>IF($K659="","",(N659+O659+P659)*20%)</f>
      </c>
      <c r="R659" s="4">
        <f>IF($K659="","",N659+O659+P659+Q659)</f>
      </c>
      <c r="S659" s="4"/>
      <c r="T659" s="4"/>
      <c r="U659" s="4"/>
      <c r="V659" s="4">
        <f>IF($K659="","",U659*20%)</f>
      </c>
      <c r="W659" s="4">
        <v>1</v>
      </c>
      <c r="X659" s="4">
        <f>IF($K659="","",Q659+T659+V659)</f>
      </c>
      <c r="Y659" s="4">
        <f>IF($K659="","",L659-M659-R659-S659-T659-U659-V659-W659)</f>
      </c>
      <c r="Z659" s="4">
        <f>IF($K659="","",(Y659-AB659)/J659*100)</f>
      </c>
      <c r="AA659" s="4">
        <f>IF($K659="","",M659-X659)</f>
      </c>
      <c r="AC659" s="4">
        <f>IF($K659="","",Y659-AB659)</f>
      </c>
    </row>
    <row r="660" spans="1:34" x14ac:dyDescent="0.25">
      <c r="A660" s="8"/>
      <c r="D660" s="9"/>
      <c r="J660" s="4"/>
      <c r="K660" s="4"/>
      <c r="L660" s="4">
        <f>IF($K660="","",K660-J660)</f>
      </c>
      <c r="M660" s="4">
        <f>IF($K660="","",L660*16.67%)</f>
      </c>
      <c r="N660" s="4">
        <f>IF($K660="","",(K660*6.9%)-(K660*6.9%)*10%)</f>
      </c>
      <c r="O660" s="4">
        <f>IF($K660="","",K660*0.35%)</f>
      </c>
      <c r="P660" s="4">
        <v>0.4</v>
      </c>
      <c r="Q660" s="4">
        <f>IF($K660="","",(N660+O660+P660)*20%)</f>
      </c>
      <c r="R660" s="4">
        <f>IF($K660="","",N660+O660+P660+Q660)</f>
      </c>
      <c r="S660" s="4"/>
      <c r="T660" s="4"/>
      <c r="U660" s="4"/>
      <c r="V660" s="4">
        <f>IF($K660="","",U660*20%)</f>
      </c>
      <c r="W660" s="4">
        <v>1</v>
      </c>
      <c r="X660" s="4">
        <f>IF($K660="","",Q660+T660+V660)</f>
      </c>
      <c r="Y660" s="4">
        <f>IF($K660="","",L660-M660-R660-S660-T660-U660-V660-W660)</f>
      </c>
      <c r="Z660" s="4">
        <f>IF($K660="","",(Y660-AB660)/J660*100)</f>
      </c>
      <c r="AA660" s="4">
        <f>IF($K660="","",M660-X660)</f>
      </c>
      <c r="AC660" s="4">
        <f>IF($K660="","",Y660-AB660)</f>
      </c>
    </row>
    <row r="661" spans="1:34" x14ac:dyDescent="0.25">
      <c r="A661" s="8"/>
      <c r="D661" s="9"/>
      <c r="J661" s="4"/>
      <c r="K661" s="4"/>
      <c r="L661" s="4">
        <f>IF($K661="","",K661-J661)</f>
      </c>
      <c r="M661" s="4">
        <f>IF($K661="","",L661*16.67%)</f>
      </c>
      <c r="N661" s="4">
        <f>IF($K661="","",(K661*6.9%)-(K661*6.9%)*10%)</f>
      </c>
      <c r="O661" s="4">
        <f>IF($K661="","",K661*0.35%)</f>
      </c>
      <c r="P661" s="4">
        <v>0.4</v>
      </c>
      <c r="Q661" s="4">
        <f>IF($K661="","",(N661+O661+P661)*20%)</f>
      </c>
      <c r="R661" s="4">
        <f>IF($K661="","",N661+O661+P661+Q661)</f>
      </c>
      <c r="S661" s="4"/>
      <c r="T661" s="4"/>
      <c r="U661" s="4"/>
      <c r="V661" s="4">
        <f>IF($K661="","",U661*20%)</f>
      </c>
      <c r="W661" s="4">
        <v>1</v>
      </c>
      <c r="X661" s="4">
        <f>IF($K661="","",Q661+T661+V661)</f>
      </c>
      <c r="Y661" s="4">
        <f>IF($K661="","",L661-M661-R661-S661-T661-U661-V661-W661)</f>
      </c>
      <c r="Z661" s="4">
        <f>IF($K661="","",(Y661-AB661)/J661*100)</f>
      </c>
      <c r="AA661" s="4">
        <f>IF($K661="","",M661-X661)</f>
      </c>
      <c r="AC661" s="4">
        <f>IF($K661="","",Y661-AB661)</f>
      </c>
    </row>
    <row r="662" spans="1:34" x14ac:dyDescent="0.25">
      <c r="A662" s="8"/>
      <c r="D662" s="9"/>
      <c r="J662" s="4"/>
      <c r="K662" s="4"/>
      <c r="L662" s="4">
        <f>IF($K662="","",K662-J662)</f>
      </c>
      <c r="M662" s="4">
        <f>IF($K662="","",L662*16.67%)</f>
      </c>
      <c r="N662" s="4">
        <f>IF($K662="","",(K662*6.9%)-(K662*6.9%)*10%)</f>
      </c>
      <c r="O662" s="4">
        <f>IF($K662="","",K662*0.35%)</f>
      </c>
      <c r="P662" s="4">
        <v>0.4</v>
      </c>
      <c r="Q662" s="4">
        <f>IF($K662="","",(N662+O662+P662)*20%)</f>
      </c>
      <c r="R662" s="4">
        <f>IF($K662="","",N662+O662+P662+Q662)</f>
      </c>
      <c r="S662" s="4"/>
      <c r="T662" s="4"/>
      <c r="U662" s="4"/>
      <c r="V662" s="4">
        <f>IF($K662="","",U662*20%)</f>
      </c>
      <c r="W662" s="4">
        <v>1</v>
      </c>
      <c r="X662" s="4">
        <f>IF($K662="","",Q662+T662+V662)</f>
      </c>
      <c r="Y662" s="4">
        <f>IF($K662="","",L662-M662-R662-S662-T662-U662-V662-W662)</f>
      </c>
      <c r="Z662" s="4">
        <f>IF($K662="","",(Y662-AB662)/J662*100)</f>
      </c>
      <c r="AA662" s="4">
        <f>IF($K662="","",M662-X662)</f>
      </c>
      <c r="AC662" s="4">
        <f>IF($K662="","",Y662-AB662)</f>
      </c>
    </row>
    <row r="663" spans="1:34" x14ac:dyDescent="0.25">
      <c r="A663" s="8"/>
      <c r="D663" s="9"/>
      <c r="J663" s="4"/>
      <c r="K663" s="4"/>
      <c r="L663" s="4">
        <f>IF($K663="","",K663-J663)</f>
      </c>
      <c r="M663" s="4">
        <f>IF($K663="","",L663*16.67%)</f>
      </c>
      <c r="N663" s="4">
        <f>IF($K663="","",(K663*6.9%)-(K663*6.9%)*10%)</f>
      </c>
      <c r="O663" s="4">
        <f>IF($K663="","",K663*0.35%)</f>
      </c>
      <c r="P663" s="4">
        <v>0.4</v>
      </c>
      <c r="Q663" s="4">
        <f>IF($K663="","",(N663+O663+P663)*20%)</f>
      </c>
      <c r="R663" s="4">
        <f>IF($K663="","",N663+O663+P663+Q663)</f>
      </c>
      <c r="S663" s="4"/>
      <c r="T663" s="4"/>
      <c r="U663" s="4"/>
      <c r="V663" s="4">
        <f>IF($K663="","",U663*20%)</f>
      </c>
      <c r="W663" s="4">
        <v>1</v>
      </c>
      <c r="X663" s="4">
        <f>IF($K663="","",Q663+T663+V663)</f>
      </c>
      <c r="Y663" s="4">
        <f>IF($K663="","",L663-M663-R663-S663-T663-U663-V663-W663)</f>
      </c>
      <c r="Z663" s="4">
        <f>IF($K663="","",(Y663-AB663)/J663*100)</f>
      </c>
      <c r="AA663" s="4">
        <f>IF($K663="","",M663-X663)</f>
      </c>
      <c r="AC663" s="4">
        <f>IF($K663="","",Y663-AB663)</f>
      </c>
    </row>
    <row r="664" spans="1:34" x14ac:dyDescent="0.25">
      <c r="A664" s="8"/>
      <c r="D664" s="9"/>
      <c r="J664" s="4"/>
      <c r="K664" s="4"/>
      <c r="L664" s="4">
        <f>IF($K664="","",K664-J664)</f>
      </c>
      <c r="M664" s="4">
        <f>IF($K664="","",L664*16.67%)</f>
      </c>
      <c r="N664" s="4">
        <f>IF($K664="","",(K664*6.9%)-(K664*6.9%)*10%)</f>
      </c>
      <c r="O664" s="4">
        <f>IF($K664="","",K664*0.35%)</f>
      </c>
      <c r="P664" s="4">
        <v>0.4</v>
      </c>
      <c r="Q664" s="4">
        <f>IF($K664="","",(N664+O664+P664)*20%)</f>
      </c>
      <c r="R664" s="4">
        <f>IF($K664="","",N664+O664+P664+Q664)</f>
      </c>
      <c r="S664" s="4"/>
      <c r="T664" s="4"/>
      <c r="U664" s="4"/>
      <c r="V664" s="4">
        <f>IF($K664="","",U664*20%)</f>
      </c>
      <c r="W664" s="4">
        <v>1</v>
      </c>
      <c r="X664" s="4">
        <f>IF($K664="","",Q664+T664+V664)</f>
      </c>
      <c r="Y664" s="4">
        <f>IF($K664="","",L664-M664-R664-S664-T664-U664-V664-W664)</f>
      </c>
      <c r="Z664" s="4">
        <f>IF($K664="","",(Y664-AB664)/J664*100)</f>
      </c>
      <c r="AA664" s="4">
        <f>IF($K664="","",M664-X664)</f>
      </c>
      <c r="AC664" s="4">
        <f>IF($K664="","",Y664-AB664)</f>
      </c>
    </row>
    <row r="665" spans="1:34" x14ac:dyDescent="0.25">
      <c r="A665" s="8"/>
      <c r="D665" s="9"/>
      <c r="J665" s="4"/>
      <c r="K665" s="4"/>
      <c r="L665" s="4">
        <f>IF($K665="","",K665-J665)</f>
      </c>
      <c r="M665" s="4">
        <f>IF($K665="","",L665*16.67%)</f>
      </c>
      <c r="N665" s="4">
        <f>IF($K665="","",(K665*6.9%)-(K665*6.9%)*10%)</f>
      </c>
      <c r="O665" s="4">
        <f>IF($K665="","",K665*0.35%)</f>
      </c>
      <c r="P665" s="4">
        <v>0.4</v>
      </c>
      <c r="Q665" s="4">
        <f>IF($K665="","",(N665+O665+P665)*20%)</f>
      </c>
      <c r="R665" s="4">
        <f>IF($K665="","",N665+O665+P665+Q665)</f>
      </c>
      <c r="S665" s="4"/>
      <c r="T665" s="4"/>
      <c r="U665" s="4"/>
      <c r="V665" s="4">
        <f>IF($K665="","",U665*20%)</f>
      </c>
      <c r="W665" s="4">
        <v>1</v>
      </c>
      <c r="X665" s="4">
        <f>IF($K665="","",Q665+T665+V665)</f>
      </c>
      <c r="Y665" s="4">
        <f>IF($K665="","",L665-M665-R665-S665-T665-U665-V665-W665)</f>
      </c>
      <c r="Z665" s="4">
        <f>IF($K665="","",(Y665-AB665)/J665*100)</f>
      </c>
      <c r="AA665" s="4">
        <f>IF($K665="","",M665-X665)</f>
      </c>
      <c r="AC665" s="4">
        <f>IF($K665="","",Y665-AB665)</f>
      </c>
    </row>
    <row r="666" spans="1:34" x14ac:dyDescent="0.25">
      <c r="A666" s="8"/>
      <c r="D666" s="9"/>
      <c r="J666" s="4"/>
      <c r="K666" s="4"/>
      <c r="L666" s="4">
        <f>IF($K666="","",K666-J666)</f>
      </c>
      <c r="M666" s="4">
        <f>IF($K666="","",L666*16.67%)</f>
      </c>
      <c r="N666" s="4">
        <f>IF($K666="","",(K666*6.9%)-(K666*6.9%)*10%)</f>
      </c>
      <c r="O666" s="4">
        <f>IF($K666="","",K666*0.35%)</f>
      </c>
      <c r="P666" s="4">
        <v>0.4</v>
      </c>
      <c r="Q666" s="4">
        <f>IF($K666="","",(N666+O666+P666)*20%)</f>
      </c>
      <c r="R666" s="4">
        <f>IF($K666="","",N666+O666+P666+Q666)</f>
      </c>
      <c r="S666" s="4"/>
      <c r="T666" s="4"/>
      <c r="U666" s="4"/>
      <c r="V666" s="4">
        <f>IF($K666="","",U666*20%)</f>
      </c>
      <c r="W666" s="4">
        <v>1</v>
      </c>
      <c r="X666" s="4">
        <f>IF($K666="","",Q666+T666+V666)</f>
      </c>
      <c r="Y666" s="4">
        <f>IF($K666="","",L666-M666-R666-S666-T666-U666-V666-W666)</f>
      </c>
      <c r="Z666" s="4">
        <f>IF($K666="","",(Y666-AB666)/J666*100)</f>
      </c>
      <c r="AA666" s="4">
        <f>IF($K666="","",M666-X666)</f>
      </c>
      <c r="AC666" s="4">
        <f>IF($K666="","",Y666-AB666)</f>
      </c>
    </row>
    <row r="667" spans="1:34" x14ac:dyDescent="0.25">
      <c r="A667" s="8"/>
      <c r="D667" s="9"/>
      <c r="J667" s="4"/>
      <c r="K667" s="4"/>
      <c r="L667" s="4">
        <f>IF($K667="","",K667-J667)</f>
      </c>
      <c r="M667" s="4">
        <f>IF($K667="","",L667*16.67%)</f>
      </c>
      <c r="N667" s="4">
        <f>IF($K667="","",(K667*6.9%)-(K667*6.9%)*10%)</f>
      </c>
      <c r="O667" s="4">
        <f>IF($K667="","",K667*0.35%)</f>
      </c>
      <c r="P667" s="4">
        <v>0.4</v>
      </c>
      <c r="Q667" s="4">
        <f>IF($K667="","",(N667+O667+P667)*20%)</f>
      </c>
      <c r="R667" s="4">
        <f>IF($K667="","",N667+O667+P667+Q667)</f>
      </c>
      <c r="S667" s="4"/>
      <c r="T667" s="4"/>
      <c r="U667" s="4"/>
      <c r="V667" s="4">
        <f>IF($K667="","",U667*20%)</f>
      </c>
      <c r="W667" s="4">
        <v>1</v>
      </c>
      <c r="X667" s="4">
        <f>IF($K667="","",Q667+T667+V667)</f>
      </c>
      <c r="Y667" s="4">
        <f>IF($K667="","",L667-M667-R667-S667-T667-U667-V667-W667)</f>
      </c>
      <c r="Z667" s="4">
        <f>IF($K667="","",(Y667-AB667)/J667*100)</f>
      </c>
      <c r="AA667" s="4">
        <f>IF($K667="","",M667-X667)</f>
      </c>
      <c r="AC667" s="4">
        <f>IF($K667="","",Y667-AB667)</f>
      </c>
    </row>
    <row r="668" spans="1:34" x14ac:dyDescent="0.25">
      <c r="A668" s="8"/>
      <c r="D668" s="9"/>
      <c r="J668" s="4"/>
      <c r="K668" s="4"/>
      <c r="L668" s="4">
        <f>IF($K668="","",K668-J668)</f>
      </c>
      <c r="M668" s="4">
        <f>IF($K668="","",L668*16.67%)</f>
      </c>
      <c r="N668" s="4">
        <f>IF($K668="","",(K668*6.9%)-(K668*6.9%)*10%)</f>
      </c>
      <c r="O668" s="4">
        <f>IF($K668="","",K668*0.35%)</f>
      </c>
      <c r="P668" s="4">
        <v>0.4</v>
      </c>
      <c r="Q668" s="4">
        <f>IF($K668="","",(N668+O668+P668)*20%)</f>
      </c>
      <c r="R668" s="4">
        <f>IF($K668="","",N668+O668+P668+Q668)</f>
      </c>
      <c r="S668" s="4"/>
      <c r="T668" s="4"/>
      <c r="U668" s="4"/>
      <c r="V668" s="4">
        <f>IF($K668="","",U668*20%)</f>
      </c>
      <c r="W668" s="4">
        <v>1</v>
      </c>
      <c r="X668" s="4">
        <f>IF($K668="","",Q668+T668+V668)</f>
      </c>
      <c r="Y668" s="4">
        <f>IF($K668="","",L668-M668-R668-S668-T668-U668-V668-W668)</f>
      </c>
      <c r="Z668" s="4">
        <f>IF($K668="","",(Y668-AB668)/J668*100)</f>
      </c>
      <c r="AA668" s="4">
        <f>IF($K668="","",M668-X668)</f>
      </c>
      <c r="AC668" s="4">
        <f>IF($K668="","",Y668-AB668)</f>
      </c>
    </row>
    <row r="669" spans="1:34" x14ac:dyDescent="0.25">
      <c r="A669" s="8"/>
      <c r="D669" s="9"/>
      <c r="J669" s="4"/>
      <c r="K669" s="4"/>
      <c r="L669" s="4">
        <f>IF($K669="","",K669-J669)</f>
      </c>
      <c r="M669" s="4">
        <f>IF($K669="","",L669*16.67%)</f>
      </c>
      <c r="N669" s="4">
        <f>IF($K669="","",(K669*6.9%)-(K669*6.9%)*10%)</f>
      </c>
      <c r="O669" s="4">
        <f>IF($K669="","",K669*0.35%)</f>
      </c>
      <c r="P669" s="4">
        <v>0.4</v>
      </c>
      <c r="Q669" s="4">
        <f>IF($K669="","",(N669+O669+P669)*20%)</f>
      </c>
      <c r="R669" s="4">
        <f>IF($K669="","",N669+O669+P669+Q669)</f>
      </c>
      <c r="S669" s="4"/>
      <c r="T669" s="4"/>
      <c r="U669" s="4"/>
      <c r="V669" s="4">
        <f>IF($K669="","",U669*20%)</f>
      </c>
      <c r="W669" s="4">
        <v>1</v>
      </c>
      <c r="X669" s="4">
        <f>IF($K669="","",Q669+T669+V669)</f>
      </c>
      <c r="Y669" s="4">
        <f>IF($K669="","",L669-M669-R669-S669-T669-U669-V669-W669)</f>
      </c>
      <c r="Z669" s="4">
        <f>IF($K669="","",(Y669-AB669)/J669*100)</f>
      </c>
      <c r="AA669" s="4">
        <f>IF($K669="","",M669-X669)</f>
      </c>
      <c r="AC669" s="4">
        <f>IF($K669="","",Y669-AB669)</f>
      </c>
    </row>
    <row r="670" spans="1:34" x14ac:dyDescent="0.25">
      <c r="A670" s="8"/>
      <c r="D670" s="9"/>
      <c r="J670" s="4"/>
      <c r="K670" s="4"/>
      <c r="L670" s="4">
        <f>IF($K670="","",K670-J670)</f>
      </c>
      <c r="M670" s="4">
        <f>IF($K670="","",L670*16.67%)</f>
      </c>
      <c r="N670" s="4">
        <f>IF($K670="","",(K670*6.9%)-(K670*6.9%)*10%)</f>
      </c>
      <c r="O670" s="4">
        <f>IF($K670="","",K670*0.35%)</f>
      </c>
      <c r="P670" s="4">
        <v>0.4</v>
      </c>
      <c r="Q670" s="4">
        <f>IF($K670="","",(N670+O670+P670)*20%)</f>
      </c>
      <c r="R670" s="4">
        <f>IF($K670="","",N670+O670+P670+Q670)</f>
      </c>
      <c r="S670" s="4"/>
      <c r="T670" s="4"/>
      <c r="U670" s="4"/>
      <c r="V670" s="4">
        <f>IF($K670="","",U670*20%)</f>
      </c>
      <c r="W670" s="4">
        <v>1</v>
      </c>
      <c r="X670" s="4">
        <f>IF($K670="","",Q670+T670+V670)</f>
      </c>
      <c r="Y670" s="4">
        <f>IF($K670="","",L670-M670-R670-S670-T670-U670-V670-W670)</f>
      </c>
      <c r="Z670" s="4">
        <f>IF($K670="","",(Y670-AB670)/J670*100)</f>
      </c>
      <c r="AA670" s="4">
        <f>IF($K670="","",M670-X670)</f>
      </c>
      <c r="AC670" s="4">
        <f>IF($K670="","",Y670-AB670)</f>
      </c>
    </row>
    <row r="671" spans="1:34" x14ac:dyDescent="0.25">
      <c r="A671" s="8"/>
      <c r="D671" s="9"/>
      <c r="J671" s="4"/>
      <c r="K671" s="4"/>
      <c r="L671" s="4">
        <f>IF($K671="","",K671-J671)</f>
      </c>
      <c r="M671" s="4">
        <f>IF($K671="","",L671*16.67%)</f>
      </c>
      <c r="N671" s="4">
        <f>IF($K671="","",(K671*6.9%)-(K671*6.9%)*10%)</f>
      </c>
      <c r="O671" s="4">
        <f>IF($K671="","",K671*0.35%)</f>
      </c>
      <c r="P671" s="4">
        <v>0.4</v>
      </c>
      <c r="Q671" s="4">
        <f>IF($K671="","",(N671+O671+P671)*20%)</f>
      </c>
      <c r="R671" s="4">
        <f>IF($K671="","",N671+O671+P671+Q671)</f>
      </c>
      <c r="S671" s="4"/>
      <c r="T671" s="4"/>
      <c r="U671" s="4"/>
      <c r="V671" s="4">
        <f>IF($K671="","",U671*20%)</f>
      </c>
      <c r="W671" s="4">
        <v>1</v>
      </c>
      <c r="X671" s="4">
        <f>IF($K671="","",Q671+T671+V671)</f>
      </c>
      <c r="Y671" s="4">
        <f>IF($K671="","",L671-M671-R671-S671-T671-U671-V671-W671)</f>
      </c>
      <c r="Z671" s="4">
        <f>IF($K671="","",(Y671-AB671)/J671*100)</f>
      </c>
      <c r="AA671" s="4">
        <f>IF($K671="","",M671-X671)</f>
      </c>
      <c r="AC671" s="4">
        <f>IF($K671="","",Y671-AB671)</f>
      </c>
    </row>
    <row r="672" spans="1:34" x14ac:dyDescent="0.25">
      <c r="A672" s="8"/>
      <c r="D672" s="9"/>
      <c r="J672" s="4"/>
      <c r="K672" s="4"/>
      <c r="L672" s="4">
        <f>IF($K672="","",K672-J672)</f>
      </c>
      <c r="M672" s="4">
        <f>IF($K672="","",L672*16.67%)</f>
      </c>
      <c r="N672" s="4">
        <f>IF($K672="","",(K672*6.9%)-(K672*6.9%)*10%)</f>
      </c>
      <c r="O672" s="4">
        <f>IF($K672="","",K672*0.35%)</f>
      </c>
      <c r="P672" s="4">
        <v>0.4</v>
      </c>
      <c r="Q672" s="4">
        <f>IF($K672="","",(N672+O672+P672)*20%)</f>
      </c>
      <c r="R672" s="4">
        <f>IF($K672="","",N672+O672+P672+Q672)</f>
      </c>
      <c r="S672" s="4"/>
      <c r="T672" s="4"/>
      <c r="U672" s="4"/>
      <c r="V672" s="4">
        <f>IF($K672="","",U672*20%)</f>
      </c>
      <c r="W672" s="4">
        <v>1</v>
      </c>
      <c r="X672" s="4">
        <f>IF($K672="","",Q672+T672+V672)</f>
      </c>
      <c r="Y672" s="4">
        <f>IF($K672="","",L672-M672-R672-S672-T672-U672-V672-W672)</f>
      </c>
      <c r="Z672" s="4">
        <f>IF($K672="","",(Y672-AB672)/J672*100)</f>
      </c>
      <c r="AA672" s="4">
        <f>IF($K672="","",M672-X672)</f>
      </c>
      <c r="AC672" s="4">
        <f>IF($K672="","",Y672-AB672)</f>
      </c>
    </row>
    <row r="673" spans="1:34" x14ac:dyDescent="0.25">
      <c r="A673" s="8"/>
      <c r="D673" s="9"/>
      <c r="J673" s="4"/>
      <c r="K673" s="4"/>
      <c r="L673" s="4">
        <f>IF($K673="","",K673-J673)</f>
      </c>
      <c r="M673" s="4">
        <f>IF($K673="","",L673*16.67%)</f>
      </c>
      <c r="N673" s="4">
        <f>IF($K673="","",(K673*6.9%)-(K673*6.9%)*10%)</f>
      </c>
      <c r="O673" s="4">
        <f>IF($K673="","",K673*0.35%)</f>
      </c>
      <c r="P673" s="4">
        <v>0.4</v>
      </c>
      <c r="Q673" s="4">
        <f>IF($K673="","",(N673+O673+P673)*20%)</f>
      </c>
      <c r="R673" s="4">
        <f>IF($K673="","",N673+O673+P673+Q673)</f>
      </c>
      <c r="S673" s="4"/>
      <c r="T673" s="4"/>
      <c r="U673" s="4"/>
      <c r="V673" s="4">
        <f>IF($K673="","",U673*20%)</f>
      </c>
      <c r="W673" s="4">
        <v>1</v>
      </c>
      <c r="X673" s="4">
        <f>IF($K673="","",Q673+T673+V673)</f>
      </c>
      <c r="Y673" s="4">
        <f>IF($K673="","",L673-M673-R673-S673-T673-U673-V673-W673)</f>
      </c>
      <c r="Z673" s="4">
        <f>IF($K673="","",(Y673-AB673)/J673*100)</f>
      </c>
      <c r="AA673" s="4">
        <f>IF($K673="","",M673-X673)</f>
      </c>
      <c r="AC673" s="4">
        <f>IF($K673="","",Y673-AB673)</f>
      </c>
    </row>
    <row r="674" spans="1:34" x14ac:dyDescent="0.25">
      <c r="A674" s="8"/>
      <c r="D674" s="9"/>
      <c r="J674" s="4"/>
      <c r="K674" s="4"/>
      <c r="L674" s="4">
        <f>IF($K674="","",K674-J674)</f>
      </c>
      <c r="M674" s="4">
        <f>IF($K674="","",L674*16.67%)</f>
      </c>
      <c r="N674" s="4">
        <f>IF($K674="","",(K674*6.9%)-(K674*6.9%)*10%)</f>
      </c>
      <c r="O674" s="4">
        <f>IF($K674="","",K674*0.35%)</f>
      </c>
      <c r="P674" s="4">
        <v>0.4</v>
      </c>
      <c r="Q674" s="4">
        <f>IF($K674="","",(N674+O674+P674)*20%)</f>
      </c>
      <c r="R674" s="4">
        <f>IF($K674="","",N674+O674+P674+Q674)</f>
      </c>
      <c r="S674" s="4"/>
      <c r="T674" s="4"/>
      <c r="U674" s="4"/>
      <c r="V674" s="4">
        <f>IF($K674="","",U674*20%)</f>
      </c>
      <c r="W674" s="4">
        <v>1</v>
      </c>
      <c r="X674" s="4">
        <f>IF($K674="","",Q674+T674+V674)</f>
      </c>
      <c r="Y674" s="4">
        <f>IF($K674="","",L674-M674-R674-S674-T674-U674-V674-W674)</f>
      </c>
      <c r="Z674" s="4">
        <f>IF($K674="","",(Y674-AB674)/J674*100)</f>
      </c>
      <c r="AA674" s="4">
        <f>IF($K674="","",M674-X674)</f>
      </c>
      <c r="AC674" s="4">
        <f>IF($K674="","",Y674-AB674)</f>
      </c>
    </row>
    <row r="675" spans="1:34" x14ac:dyDescent="0.25">
      <c r="A675" s="8"/>
      <c r="D675" s="9"/>
      <c r="J675" s="4"/>
      <c r="K675" s="4"/>
      <c r="L675" s="4">
        <f>IF($K675="","",K675-J675)</f>
      </c>
      <c r="M675" s="4">
        <f>IF($K675="","",L675*16.67%)</f>
      </c>
      <c r="N675" s="4">
        <f>IF($K675="","",(K675*6.9%)-(K675*6.9%)*10%)</f>
      </c>
      <c r="O675" s="4">
        <f>IF($K675="","",K675*0.35%)</f>
      </c>
      <c r="P675" s="4">
        <v>0.4</v>
      </c>
      <c r="Q675" s="4">
        <f>IF($K675="","",(N675+O675+P675)*20%)</f>
      </c>
      <c r="R675" s="4">
        <f>IF($K675="","",N675+O675+P675+Q675)</f>
      </c>
      <c r="S675" s="4"/>
      <c r="T675" s="4"/>
      <c r="U675" s="4"/>
      <c r="V675" s="4">
        <f>IF($K675="","",U675*20%)</f>
      </c>
      <c r="W675" s="4">
        <v>1</v>
      </c>
      <c r="X675" s="4">
        <f>IF($K675="","",Q675+T675+V675)</f>
      </c>
      <c r="Y675" s="4">
        <f>IF($K675="","",L675-M675-R675-S675-T675-U675-V675-W675)</f>
      </c>
      <c r="Z675" s="4">
        <f>IF($K675="","",(Y675-AB675)/J675*100)</f>
      </c>
      <c r="AA675" s="4">
        <f>IF($K675="","",M675-X675)</f>
      </c>
      <c r="AC675" s="4">
        <f>IF($K675="","",Y675-AB675)</f>
      </c>
    </row>
    <row r="676" spans="1:34" x14ac:dyDescent="0.25">
      <c r="A676" s="8"/>
      <c r="D676" s="9"/>
      <c r="J676" s="4"/>
      <c r="K676" s="4"/>
      <c r="L676" s="4">
        <f>IF($K676="","",K676-J676)</f>
      </c>
      <c r="M676" s="4">
        <f>IF($K676="","",L676*16.67%)</f>
      </c>
      <c r="N676" s="4">
        <f>IF($K676="","",(K676*6.9%)-(K676*6.9%)*10%)</f>
      </c>
      <c r="O676" s="4">
        <f>IF($K676="","",K676*0.35%)</f>
      </c>
      <c r="P676" s="4">
        <v>0.4</v>
      </c>
      <c r="Q676" s="4">
        <f>IF($K676="","",(N676+O676+P676)*20%)</f>
      </c>
      <c r="R676" s="4">
        <f>IF($K676="","",N676+O676+P676+Q676)</f>
      </c>
      <c r="S676" s="4"/>
      <c r="T676" s="4"/>
      <c r="U676" s="4"/>
      <c r="V676" s="4">
        <f>IF($K676="","",U676*20%)</f>
      </c>
      <c r="W676" s="4">
        <v>1</v>
      </c>
      <c r="X676" s="4">
        <f>IF($K676="","",Q676+T676+V676)</f>
      </c>
      <c r="Y676" s="4">
        <f>IF($K676="","",L676-M676-R676-S676-T676-U676-V676-W676)</f>
      </c>
      <c r="Z676" s="4">
        <f>IF($K676="","",(Y676-AB676)/J676*100)</f>
      </c>
      <c r="AA676" s="4">
        <f>IF($K676="","",M676-X676)</f>
      </c>
      <c r="AC676" s="4">
        <f>IF($K676="","",Y676-AB676)</f>
      </c>
    </row>
    <row r="677" spans="1:34" x14ac:dyDescent="0.25">
      <c r="A677" s="8"/>
      <c r="D677" s="9"/>
      <c r="J677" s="4"/>
      <c r="K677" s="4"/>
      <c r="L677" s="4">
        <f>IF($K677="","",K677-J677)</f>
      </c>
      <c r="M677" s="4">
        <f>IF($K677="","",L677*16.67%)</f>
      </c>
      <c r="N677" s="4">
        <f>IF($K677="","",(K677*6.9%)-(K677*6.9%)*10%)</f>
      </c>
      <c r="O677" s="4">
        <f>IF($K677="","",K677*0.35%)</f>
      </c>
      <c r="P677" s="4">
        <v>0.4</v>
      </c>
      <c r="Q677" s="4">
        <f>IF($K677="","",(N677+O677+P677)*20%)</f>
      </c>
      <c r="R677" s="4">
        <f>IF($K677="","",N677+O677+P677+Q677)</f>
      </c>
      <c r="S677" s="4"/>
      <c r="T677" s="4"/>
      <c r="U677" s="4"/>
      <c r="V677" s="4">
        <f>IF($K677="","",U677*20%)</f>
      </c>
      <c r="W677" s="4">
        <v>1</v>
      </c>
      <c r="X677" s="4">
        <f>IF($K677="","",Q677+T677+V677)</f>
      </c>
      <c r="Y677" s="4">
        <f>IF($K677="","",L677-M677-R677-S677-T677-U677-V677-W677)</f>
      </c>
      <c r="Z677" s="4">
        <f>IF($K677="","",(Y677-AB677)/J677*100)</f>
      </c>
      <c r="AA677" s="4">
        <f>IF($K677="","",M677-X677)</f>
      </c>
      <c r="AC677" s="4">
        <f>IF($K677="","",Y677-AB677)</f>
      </c>
    </row>
    <row r="678" spans="1:34" x14ac:dyDescent="0.25">
      <c r="A678" s="8"/>
      <c r="D678" s="9"/>
      <c r="J678" s="4"/>
      <c r="K678" s="4"/>
      <c r="L678" s="4">
        <f>IF($K678="","",K678-J678)</f>
      </c>
      <c r="M678" s="4">
        <f>IF($K678="","",L678*16.67%)</f>
      </c>
      <c r="N678" s="4">
        <f>IF($K678="","",(K678*6.9%)-(K678*6.9%)*10%)</f>
      </c>
      <c r="O678" s="4">
        <f>IF($K678="","",K678*0.35%)</f>
      </c>
      <c r="P678" s="4">
        <v>0.4</v>
      </c>
      <c r="Q678" s="4">
        <f>IF($K678="","",(N678+O678+P678)*20%)</f>
      </c>
      <c r="R678" s="4">
        <f>IF($K678="","",N678+O678+P678+Q678)</f>
      </c>
      <c r="S678" s="4"/>
      <c r="T678" s="4"/>
      <c r="U678" s="4"/>
      <c r="V678" s="4">
        <f>IF($K678="","",U678*20%)</f>
      </c>
      <c r="W678" s="4">
        <v>1</v>
      </c>
      <c r="X678" s="4">
        <f>IF($K678="","",Q678+T678+V678)</f>
      </c>
      <c r="Y678" s="4">
        <f>IF($K678="","",L678-M678-R678-S678-T678-U678-V678-W678)</f>
      </c>
      <c r="Z678" s="4">
        <f>IF($K678="","",(Y678-AB678)/J678*100)</f>
      </c>
      <c r="AA678" s="4">
        <f>IF($K678="","",M678-X678)</f>
      </c>
      <c r="AC678" s="4">
        <f>IF($K678="","",Y678-AB678)</f>
      </c>
    </row>
    <row r="679" spans="1:34" x14ac:dyDescent="0.25">
      <c r="A679" s="8"/>
      <c r="D679" s="9"/>
      <c r="J679" s="4"/>
      <c r="K679" s="4"/>
      <c r="L679" s="4">
        <f>IF($K679="","",K679-J679)</f>
      </c>
      <c r="M679" s="4">
        <f>IF($K679="","",L679*16.67%)</f>
      </c>
      <c r="N679" s="4">
        <f>IF($K679="","",(K679*6.9%)-(K679*6.9%)*10%)</f>
      </c>
      <c r="O679" s="4">
        <f>IF($K679="","",K679*0.35%)</f>
      </c>
      <c r="P679" s="4">
        <v>0.4</v>
      </c>
      <c r="Q679" s="4">
        <f>IF($K679="","",(N679+O679+P679)*20%)</f>
      </c>
      <c r="R679" s="4">
        <f>IF($K679="","",N679+O679+P679+Q679)</f>
      </c>
      <c r="S679" s="4"/>
      <c r="T679" s="4"/>
      <c r="U679" s="4"/>
      <c r="V679" s="4">
        <f>IF($K679="","",U679*20%)</f>
      </c>
      <c r="W679" s="4">
        <v>1</v>
      </c>
      <c r="X679" s="4">
        <f>IF($K679="","",Q679+T679+V679)</f>
      </c>
      <c r="Y679" s="4">
        <f>IF($K679="","",L679-M679-R679-S679-T679-U679-V679-W679)</f>
      </c>
      <c r="Z679" s="4">
        <f>IF($K679="","",(Y679-AB679)/J679*100)</f>
      </c>
      <c r="AA679" s="4">
        <f>IF($K679="","",M679-X679)</f>
      </c>
      <c r="AC679" s="4">
        <f>IF($K679="","",Y679-AB679)</f>
      </c>
    </row>
    <row r="680" spans="1:34" x14ac:dyDescent="0.25">
      <c r="A680" s="8"/>
      <c r="D680" s="9"/>
      <c r="J680" s="4"/>
      <c r="K680" s="4"/>
      <c r="L680" s="4">
        <f>IF($K680="","",K680-J680)</f>
      </c>
      <c r="M680" s="4">
        <f>IF($K680="","",L680*16.67%)</f>
      </c>
      <c r="N680" s="4">
        <f>IF($K680="","",(K680*6.9%)-(K680*6.9%)*10%)</f>
      </c>
      <c r="O680" s="4">
        <f>IF($K680="","",K680*0.35%)</f>
      </c>
      <c r="P680" s="4">
        <v>0.4</v>
      </c>
      <c r="Q680" s="4">
        <f>IF($K680="","",(N680+O680+P680)*20%)</f>
      </c>
      <c r="R680" s="4">
        <f>IF($K680="","",N680+O680+P680+Q680)</f>
      </c>
      <c r="S680" s="4"/>
      <c r="T680" s="4"/>
      <c r="U680" s="4"/>
      <c r="V680" s="4">
        <f>IF($K680="","",U680*20%)</f>
      </c>
      <c r="W680" s="4">
        <v>1</v>
      </c>
      <c r="X680" s="4">
        <f>IF($K680="","",Q680+T680+V680)</f>
      </c>
      <c r="Y680" s="4">
        <f>IF($K680="","",L680-M680-R680-S680-T680-U680-V680-W680)</f>
      </c>
      <c r="Z680" s="4">
        <f>IF($K680="","",(Y680-AB680)/J680*100)</f>
      </c>
      <c r="AA680" s="4">
        <f>IF($K680="","",M680-X680)</f>
      </c>
      <c r="AC680" s="4">
        <f>IF($K680="","",Y680-AB680)</f>
      </c>
    </row>
    <row r="681" spans="1:34" x14ac:dyDescent="0.25">
      <c r="A681" s="8"/>
      <c r="D681" s="9"/>
      <c r="J681" s="4"/>
      <c r="K681" s="4"/>
      <c r="L681" s="4">
        <f>IF($K681="","",K681-J681)</f>
      </c>
      <c r="M681" s="4">
        <f>IF($K681="","",L681*16.67%)</f>
      </c>
      <c r="N681" s="4">
        <f>IF($K681="","",(K681*6.9%)-(K681*6.9%)*10%)</f>
      </c>
      <c r="O681" s="4">
        <f>IF($K681="","",K681*0.35%)</f>
      </c>
      <c r="P681" s="4">
        <v>0.4</v>
      </c>
      <c r="Q681" s="4">
        <f>IF($K681="","",(N681+O681+P681)*20%)</f>
      </c>
      <c r="R681" s="4">
        <f>IF($K681="","",N681+O681+P681+Q681)</f>
      </c>
      <c r="S681" s="4"/>
      <c r="T681" s="4"/>
      <c r="U681" s="4"/>
      <c r="V681" s="4">
        <f>IF($K681="","",U681*20%)</f>
      </c>
      <c r="W681" s="4">
        <v>1</v>
      </c>
      <c r="X681" s="4">
        <f>IF($K681="","",Q681+T681+V681)</f>
      </c>
      <c r="Y681" s="4">
        <f>IF($K681="","",L681-M681-R681-S681-T681-U681-V681-W681)</f>
      </c>
      <c r="Z681" s="4">
        <f>IF($K681="","",(Y681-AB681)/J681*100)</f>
      </c>
      <c r="AA681" s="4">
        <f>IF($K681="","",M681-X681)</f>
      </c>
      <c r="AC681" s="4">
        <f>IF($K681="","",Y681-AB681)</f>
      </c>
    </row>
    <row r="682" spans="1:34" x14ac:dyDescent="0.25">
      <c r="A682" s="8"/>
      <c r="D682" s="9"/>
      <c r="J682" s="4"/>
      <c r="K682" s="4"/>
      <c r="L682" s="4">
        <f>IF($K682="","",K682-J682)</f>
      </c>
      <c r="M682" s="4">
        <f>IF($K682="","",L682*16.67%)</f>
      </c>
      <c r="N682" s="4">
        <f>IF($K682="","",(K682*6.9%)-(K682*6.9%)*10%)</f>
      </c>
      <c r="O682" s="4">
        <f>IF($K682="","",K682*0.35%)</f>
      </c>
      <c r="P682" s="4">
        <v>0.4</v>
      </c>
      <c r="Q682" s="4">
        <f>IF($K682="","",(N682+O682+P682)*20%)</f>
      </c>
      <c r="R682" s="4">
        <f>IF($K682="","",N682+O682+P682+Q682)</f>
      </c>
      <c r="S682" s="4"/>
      <c r="T682" s="4"/>
      <c r="U682" s="4"/>
      <c r="V682" s="4">
        <f>IF($K682="","",U682*20%)</f>
      </c>
      <c r="W682" s="4">
        <v>1</v>
      </c>
      <c r="X682" s="4">
        <f>IF($K682="","",Q682+T682+V682)</f>
      </c>
      <c r="Y682" s="4">
        <f>IF($K682="","",L682-M682-R682-S682-T682-U682-V682-W682)</f>
      </c>
      <c r="Z682" s="4">
        <f>IF($K682="","",(Y682-AB682)/J682*100)</f>
      </c>
      <c r="AA682" s="4">
        <f>IF($K682="","",M682-X682)</f>
      </c>
      <c r="AC682" s="4">
        <f>IF($K682="","",Y682-AB682)</f>
      </c>
    </row>
    <row r="683" spans="1:34" x14ac:dyDescent="0.25">
      <c r="A683" s="8"/>
      <c r="D683" s="9"/>
      <c r="J683" s="4"/>
      <c r="K683" s="4"/>
      <c r="L683" s="4">
        <f>IF($K683="","",K683-J683)</f>
      </c>
      <c r="M683" s="4">
        <f>IF($K683="","",L683*16.67%)</f>
      </c>
      <c r="N683" s="4">
        <f>IF($K683="","",(K683*6.9%)-(K683*6.9%)*10%)</f>
      </c>
      <c r="O683" s="4">
        <f>IF($K683="","",K683*0.35%)</f>
      </c>
      <c r="P683" s="4">
        <v>0.4</v>
      </c>
      <c r="Q683" s="4">
        <f>IF($K683="","",(N683+O683+P683)*20%)</f>
      </c>
      <c r="R683" s="4">
        <f>IF($K683="","",N683+O683+P683+Q683)</f>
      </c>
      <c r="S683" s="4"/>
      <c r="T683" s="4"/>
      <c r="U683" s="4"/>
      <c r="V683" s="4">
        <f>IF($K683="","",U683*20%)</f>
      </c>
      <c r="W683" s="4">
        <v>1</v>
      </c>
      <c r="X683" s="4">
        <f>IF($K683="","",Q683+T683+V683)</f>
      </c>
      <c r="Y683" s="4">
        <f>IF($K683="","",L683-M683-R683-S683-T683-U683-V683-W683)</f>
      </c>
      <c r="Z683" s="4">
        <f>IF($K683="","",(Y683-AB683)/J683*100)</f>
      </c>
      <c r="AA683" s="4">
        <f>IF($K683="","",M683-X683)</f>
      </c>
      <c r="AC683" s="4">
        <f>IF($K683="","",Y683-AB683)</f>
      </c>
    </row>
    <row r="684" spans="1:34" x14ac:dyDescent="0.25">
      <c r="A684" s="8"/>
      <c r="D684" s="9"/>
      <c r="J684" s="4"/>
      <c r="K684" s="4"/>
      <c r="L684" s="4">
        <f>IF($K684="","",K684-J684)</f>
      </c>
      <c r="M684" s="4">
        <f>IF($K684="","",L684*16.67%)</f>
      </c>
      <c r="N684" s="4">
        <f>IF($K684="","",(K684*6.9%)-(K684*6.9%)*10%)</f>
      </c>
      <c r="O684" s="4">
        <f>IF($K684="","",K684*0.35%)</f>
      </c>
      <c r="P684" s="4">
        <v>0.4</v>
      </c>
      <c r="Q684" s="4">
        <f>IF($K684="","",(N684+O684+P684)*20%)</f>
      </c>
      <c r="R684" s="4">
        <f>IF($K684="","",N684+O684+P684+Q684)</f>
      </c>
      <c r="S684" s="4"/>
      <c r="T684" s="4"/>
      <c r="U684" s="4"/>
      <c r="V684" s="4">
        <f>IF($K684="","",U684*20%)</f>
      </c>
      <c r="W684" s="4">
        <v>1</v>
      </c>
      <c r="X684" s="4">
        <f>IF($K684="","",Q684+T684+V684)</f>
      </c>
      <c r="Y684" s="4">
        <f>IF($K684="","",L684-M684-R684-S684-T684-U684-V684-W684)</f>
      </c>
      <c r="Z684" s="4">
        <f>IF($K684="","",(Y684-AB684)/J684*100)</f>
      </c>
      <c r="AA684" s="4">
        <f>IF($K684="","",M684-X684)</f>
      </c>
      <c r="AC684" s="4">
        <f>IF($K684="","",Y684-AB684)</f>
      </c>
    </row>
    <row r="685" spans="1:34" x14ac:dyDescent="0.25">
      <c r="A685" s="8"/>
      <c r="D685" s="9"/>
      <c r="J685" s="4"/>
      <c r="K685" s="4"/>
      <c r="L685" s="4">
        <f>IF($K685="","",K685-J685)</f>
      </c>
      <c r="M685" s="4">
        <f>IF($K685="","",L685*16.67%)</f>
      </c>
      <c r="N685" s="4">
        <f>IF($K685="","",(K685*6.9%)-(K685*6.9%)*10%)</f>
      </c>
      <c r="O685" s="4">
        <f>IF($K685="","",K685*0.35%)</f>
      </c>
      <c r="P685" s="4">
        <v>0.4</v>
      </c>
      <c r="Q685" s="4">
        <f>IF($K685="","",(N685+O685+P685)*20%)</f>
      </c>
      <c r="R685" s="4">
        <f>IF($K685="","",N685+O685+P685+Q685)</f>
      </c>
      <c r="S685" s="4"/>
      <c r="T685" s="4"/>
      <c r="U685" s="4"/>
      <c r="V685" s="4">
        <f>IF($K685="","",U685*20%)</f>
      </c>
      <c r="W685" s="4">
        <v>1</v>
      </c>
      <c r="X685" s="4">
        <f>IF($K685="","",Q685+T685+V685)</f>
      </c>
      <c r="Y685" s="4">
        <f>IF($K685="","",L685-M685-R685-S685-T685-U685-V685-W685)</f>
      </c>
      <c r="Z685" s="4">
        <f>IF($K685="","",(Y685-AB685)/J685*100)</f>
      </c>
      <c r="AA685" s="4">
        <f>IF($K685="","",M685-X685)</f>
      </c>
      <c r="AC685" s="4">
        <f>IF($K685="","",Y685-AB685)</f>
      </c>
    </row>
    <row r="686" spans="1:34" x14ac:dyDescent="0.25">
      <c r="A686" s="8"/>
      <c r="D686" s="9"/>
      <c r="J686" s="4"/>
      <c r="K686" s="4"/>
      <c r="L686" s="4">
        <f>IF($K686="","",K686-J686)</f>
      </c>
      <c r="M686" s="4">
        <f>IF($K686="","",L686*16.67%)</f>
      </c>
      <c r="N686" s="4">
        <f>IF($K686="","",(K686*6.9%)-(K686*6.9%)*10%)</f>
      </c>
      <c r="O686" s="4">
        <f>IF($K686="","",K686*0.35%)</f>
      </c>
      <c r="P686" s="4">
        <v>0.4</v>
      </c>
      <c r="Q686" s="4">
        <f>IF($K686="","",(N686+O686+P686)*20%)</f>
      </c>
      <c r="R686" s="4">
        <f>IF($K686="","",N686+O686+P686+Q686)</f>
      </c>
      <c r="S686" s="4"/>
      <c r="T686" s="4"/>
      <c r="U686" s="4"/>
      <c r="V686" s="4">
        <f>IF($K686="","",U686*20%)</f>
      </c>
      <c r="W686" s="4">
        <v>1</v>
      </c>
      <c r="X686" s="4">
        <f>IF($K686="","",Q686+T686+V686)</f>
      </c>
      <c r="Y686" s="4">
        <f>IF($K686="","",L686-M686-R686-S686-T686-U686-V686-W686)</f>
      </c>
      <c r="Z686" s="4">
        <f>IF($K686="","",(Y686-AB686)/J686*100)</f>
      </c>
      <c r="AA686" s="4">
        <f>IF($K686="","",M686-X686)</f>
      </c>
      <c r="AC686" s="4">
        <f>IF($K686="","",Y686-AB686)</f>
      </c>
    </row>
    <row r="687" spans="1:34" x14ac:dyDescent="0.25">
      <c r="A687" s="8"/>
      <c r="D687" s="9"/>
      <c r="J687" s="4"/>
      <c r="K687" s="4"/>
      <c r="L687" s="4">
        <f>IF($K687="","",K687-J687)</f>
      </c>
      <c r="M687" s="4">
        <f>IF($K687="","",L687*16.67%)</f>
      </c>
      <c r="N687" s="4">
        <f>IF($K687="","",(K687*6.9%)-(K687*6.9%)*10%)</f>
      </c>
      <c r="O687" s="4">
        <f>IF($K687="","",K687*0.35%)</f>
      </c>
      <c r="P687" s="4">
        <v>0.4</v>
      </c>
      <c r="Q687" s="4">
        <f>IF($K687="","",(N687+O687+P687)*20%)</f>
      </c>
      <c r="R687" s="4">
        <f>IF($K687="","",N687+O687+P687+Q687)</f>
      </c>
      <c r="S687" s="4"/>
      <c r="T687" s="4"/>
      <c r="U687" s="4"/>
      <c r="V687" s="4">
        <f>IF($K687="","",U687*20%)</f>
      </c>
      <c r="W687" s="4">
        <v>1</v>
      </c>
      <c r="X687" s="4">
        <f>IF($K687="","",Q687+T687+V687)</f>
      </c>
      <c r="Y687" s="4">
        <f>IF($K687="","",L687-M687-R687-S687-T687-U687-V687-W687)</f>
      </c>
      <c r="Z687" s="4">
        <f>IF($K687="","",(Y687-AB687)/J687*100)</f>
      </c>
      <c r="AA687" s="4">
        <f>IF($K687="","",M687-X687)</f>
      </c>
      <c r="AC687" s="4">
        <f>IF($K687="","",Y687-AB687)</f>
      </c>
    </row>
    <row r="688" spans="1:34" x14ac:dyDescent="0.25">
      <c r="A688" s="8"/>
      <c r="D688" s="9"/>
      <c r="J688" s="4"/>
      <c r="K688" s="4"/>
      <c r="L688" s="4">
        <f>IF($K688="","",K688-J688)</f>
      </c>
      <c r="M688" s="4">
        <f>IF($K688="","",L688*16.67%)</f>
      </c>
      <c r="N688" s="4">
        <f>IF($K688="","",(K688*6.9%)-(K688*6.9%)*10%)</f>
      </c>
      <c r="O688" s="4">
        <f>IF($K688="","",K688*0.35%)</f>
      </c>
      <c r="P688" s="4">
        <v>0.4</v>
      </c>
      <c r="Q688" s="4">
        <f>IF($K688="","",(N688+O688+P688)*20%)</f>
      </c>
      <c r="R688" s="4">
        <f>IF($K688="","",N688+O688+P688+Q688)</f>
      </c>
      <c r="S688" s="4"/>
      <c r="T688" s="4"/>
      <c r="U688" s="4"/>
      <c r="V688" s="4">
        <f>IF($K688="","",U688*20%)</f>
      </c>
      <c r="W688" s="4">
        <v>1</v>
      </c>
      <c r="X688" s="4">
        <f>IF($K688="","",Q688+T688+V688)</f>
      </c>
      <c r="Y688" s="4">
        <f>IF($K688="","",L688-M688-R688-S688-T688-U688-V688-W688)</f>
      </c>
      <c r="Z688" s="4">
        <f>IF($K688="","",(Y688-AB688)/J688*100)</f>
      </c>
      <c r="AA688" s="4">
        <f>IF($K688="","",M688-X688)</f>
      </c>
      <c r="AC688" s="4">
        <f>IF($K688="","",Y688-AB688)</f>
      </c>
    </row>
    <row r="689" spans="1:34" s="7" customFormat="1" x14ac:dyDescent="0.25">
      <c r="A689" s="3" t="s">
        <v>18</v>
      </c>
      <c r="B689" s="7"/>
      <c r="C689" s="7"/>
      <c r="D689" s="7"/>
      <c r="E689" s="7"/>
      <c r="F689" s="7"/>
      <c r="G689" s="7"/>
      <c r="H689" s="7"/>
      <c r="I689" s="14">
        <f>SUM(I2:I688)</f>
      </c>
      <c r="J689" s="14">
        <f>SUM(J2:J688)</f>
      </c>
      <c r="K689" s="14">
        <f>SUM(K2:K688)</f>
      </c>
      <c r="L689" s="14">
        <f>SUM(L2:L688)</f>
      </c>
      <c r="M689" s="14">
        <f>SUM(M2:M688)</f>
      </c>
      <c r="N689" s="14">
        <f>SUM(N2:N688)</f>
      </c>
      <c r="O689" s="14">
        <f>SUM(O2:O688)</f>
      </c>
      <c r="P689" s="14">
        <f>SUM(P2:P688)</f>
      </c>
      <c r="Q689" s="14">
        <f>SUM(Q2:Q688)</f>
      </c>
      <c r="R689" s="14">
        <f>SUM(R2:R688)</f>
      </c>
      <c r="S689" s="14">
        <f>SUM(S2:S688)</f>
      </c>
      <c r="T689" s="14">
        <f>SUM(T2:T688)</f>
      </c>
      <c r="U689" s="14">
        <f>SUM(U2:U688)</f>
      </c>
      <c r="V689" s="14">
        <f>SUM(V2:V688)</f>
      </c>
      <c r="W689" s="14">
        <f>SUM(W2:W688)</f>
      </c>
      <c r="X689" s="14">
        <f>SUM(X2:X688)</f>
      </c>
      <c r="Y689" s="14">
        <f>SUM(Y2:Y688)</f>
      </c>
      <c r="Z689" s="14">
        <f>IFERROR((Y689-AB689)/K689*100,0)</f>
      </c>
      <c r="AA689" s="14">
        <f>SUM(AA2:AA688)</f>
      </c>
      <c r="AB689" s="14">
        <f>SUM(AB2:AB688)</f>
      </c>
      <c r="AC689" s="14">
        <f>SUM(AC2:AC688)</f>
      </c>
      <c r="AD689" s="7"/>
      <c r="AE689" s="7"/>
      <c r="AF689" s="7"/>
      <c r="AG689" s="7"/>
      <c r="AH68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29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2328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46231.5</v>
      </c>
      <c r="B2" t="s">
        <v>2329</v>
      </c>
      <c r="C2" t="s">
        <v>1</v>
      </c>
      <c r="D2" s="9" t="s">
        <v>2330</v>
      </c>
      <c r="E2" t="s">
        <v>234</v>
      </c>
      <c r="F2" t="s">
        <v>74</v>
      </c>
      <c r="G2" t="s">
        <v>65</v>
      </c>
      <c r="H2" t="s">
        <v>61</v>
      </c>
      <c r="I2" s="4">
        <v>180</v>
      </c>
      <c r="J2" s="4">
        <v>253.8</v>
      </c>
      <c r="K2" s="4">
        <f>J2-I2</f>
      </c>
      <c r="L2" s="4">
        <f>K2*16.67%</f>
      </c>
      <c r="M2" s="4">
        <f>J2*7%</f>
      </c>
      <c r="N2" s="4">
        <f>M2*20%</f>
      </c>
      <c r="O2" s="4">
        <v>0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>
        <v>46231.5</v>
      </c>
      <c r="B3" t="s">
        <v>2331</v>
      </c>
      <c r="C3" t="s">
        <v>1</v>
      </c>
      <c r="D3" s="9" t="s">
        <v>2332</v>
      </c>
      <c r="E3" t="s">
        <v>134</v>
      </c>
      <c r="F3" t="s">
        <v>85</v>
      </c>
      <c r="G3" t="s">
        <v>95</v>
      </c>
      <c r="H3" t="s">
        <v>78</v>
      </c>
      <c r="I3" s="4">
        <v>104</v>
      </c>
      <c r="J3" s="4">
        <v>121.68</v>
      </c>
      <c r="K3" s="4">
        <f>J3-I3</f>
      </c>
      <c r="L3" s="4">
        <f>K3*16.67%</f>
      </c>
      <c r="M3" s="4">
        <f>J3*7%</f>
      </c>
      <c r="N3" s="4">
        <f>M3*20%</f>
      </c>
      <c r="O3" s="4">
        <v>0</v>
      </c>
      <c r="P3" s="4">
        <f>O3*20%</f>
      </c>
      <c r="Q3" s="4">
        <v>1</v>
      </c>
      <c r="R3" s="4">
        <f>N3+P3</f>
      </c>
      <c r="S3" s="4">
        <f>K3-L3-M3-N3-O3-P3-Q3</f>
      </c>
      <c r="T3" s="4">
        <f>(S3-V3)/I3*100</f>
      </c>
      <c r="U3" s="4">
        <f>L3-R3</f>
      </c>
      <c r="W3" s="4">
        <f>S3-V3</f>
      </c>
      <c r="AB3" t="s">
        <v>1</v>
      </c>
    </row>
    <row r="4" spans="1:28" x14ac:dyDescent="0.25">
      <c r="A4" s="8">
        <v>46231.5</v>
      </c>
      <c r="B4" t="s">
        <v>2333</v>
      </c>
      <c r="C4" t="s">
        <v>1</v>
      </c>
      <c r="D4" s="9" t="s">
        <v>2334</v>
      </c>
      <c r="E4" t="s">
        <v>292</v>
      </c>
      <c r="F4" t="s">
        <v>59</v>
      </c>
      <c r="G4" t="s">
        <v>126</v>
      </c>
      <c r="H4" t="s">
        <v>102</v>
      </c>
      <c r="I4" s="4">
        <v>164</v>
      </c>
      <c r="J4" s="4">
        <v>227.96</v>
      </c>
      <c r="K4" s="4">
        <f>J4-I4</f>
      </c>
      <c r="L4" s="4">
        <f>K4*16.67%</f>
      </c>
      <c r="M4" s="4">
        <f>J4*7%</f>
      </c>
      <c r="N4" s="4">
        <f>M4*20%</f>
      </c>
      <c r="O4" s="4">
        <v>0</v>
      </c>
      <c r="P4" s="4">
        <f>O4*20%</f>
      </c>
      <c r="Q4" s="4">
        <v>1</v>
      </c>
      <c r="R4" s="4">
        <f>N4+P4</f>
      </c>
      <c r="S4" s="4">
        <f>K4-L4-M4-N4-O4-P4-Q4</f>
      </c>
      <c r="T4" s="4">
        <f>(S4-V4)/I4*100</f>
      </c>
      <c r="U4" s="4">
        <f>L4-R4</f>
      </c>
      <c r="W4" s="4">
        <f>S4-V4</f>
      </c>
      <c r="AB4" t="s">
        <v>1</v>
      </c>
    </row>
    <row r="5" spans="1:28" x14ac:dyDescent="0.25">
      <c r="A5" s="8">
        <v>46231.5</v>
      </c>
      <c r="B5" t="s">
        <v>2335</v>
      </c>
      <c r="C5" t="s">
        <v>1</v>
      </c>
      <c r="D5" s="9" t="s">
        <v>2336</v>
      </c>
      <c r="E5" t="s">
        <v>234</v>
      </c>
      <c r="F5" t="s">
        <v>105</v>
      </c>
      <c r="G5" t="s">
        <v>65</v>
      </c>
      <c r="H5" t="s">
        <v>75</v>
      </c>
      <c r="I5" s="4">
        <v>181</v>
      </c>
      <c r="J5" s="4">
        <v>247.97</v>
      </c>
      <c r="K5" s="4">
        <f>J5-I5</f>
      </c>
      <c r="L5" s="4">
        <f>K5*16.67%</f>
      </c>
      <c r="M5" s="4">
        <f>J5*7%</f>
      </c>
      <c r="N5" s="4">
        <f>M5*20%</f>
      </c>
      <c r="O5" s="4">
        <v>0</v>
      </c>
      <c r="P5" s="4">
        <f>O5*20%</f>
      </c>
      <c r="Q5" s="4">
        <v>1</v>
      </c>
      <c r="R5" s="4">
        <f>N5+P5</f>
      </c>
      <c r="S5" s="4">
        <f>K5-L5-M5-N5-O5-P5-Q5</f>
      </c>
      <c r="T5" s="4">
        <f>(S5-V5)/I5*100</f>
      </c>
      <c r="U5" s="4">
        <f>L5-R5</f>
      </c>
      <c r="W5" s="4">
        <f>S5-V5</f>
      </c>
      <c r="AB5" t="s">
        <v>1</v>
      </c>
    </row>
    <row r="6" spans="1:28" x14ac:dyDescent="0.25">
      <c r="A6" s="8">
        <v>46231.5</v>
      </c>
      <c r="B6" t="s">
        <v>2337</v>
      </c>
      <c r="C6" t="s">
        <v>1</v>
      </c>
      <c r="D6" s="9" t="s">
        <v>2338</v>
      </c>
      <c r="E6" t="s">
        <v>84</v>
      </c>
      <c r="F6" t="s">
        <v>70</v>
      </c>
      <c r="G6" t="s">
        <v>60</v>
      </c>
      <c r="H6" t="s">
        <v>75</v>
      </c>
      <c r="I6" s="4">
        <v>698</v>
      </c>
      <c r="J6" s="4">
        <v>921.36</v>
      </c>
      <c r="K6" s="4">
        <f>J6-I6</f>
      </c>
      <c r="L6" s="4">
        <f>K6*16.67%</f>
      </c>
      <c r="M6" s="4">
        <f>J6*7%</f>
      </c>
      <c r="N6" s="4">
        <f>M6*20%</f>
      </c>
      <c r="O6" s="4">
        <v>0</v>
      </c>
      <c r="P6" s="4">
        <f>O6*20%</f>
      </c>
      <c r="Q6" s="4">
        <v>1</v>
      </c>
      <c r="R6" s="4">
        <f>N6+P6</f>
      </c>
      <c r="S6" s="4">
        <f>K6-L6-M6-N6-O6-P6-Q6</f>
      </c>
      <c r="T6" s="4">
        <f>(S6-V6)/I6*100</f>
      </c>
      <c r="U6" s="4">
        <f>L6-R6</f>
      </c>
      <c r="W6" s="4">
        <f>S6-V6</f>
      </c>
      <c r="AB6" t="s">
        <v>1</v>
      </c>
    </row>
    <row r="7" spans="1:28" x14ac:dyDescent="0.25">
      <c r="A7" s="8">
        <v>46231.5</v>
      </c>
      <c r="B7" t="s">
        <v>2339</v>
      </c>
      <c r="C7" t="s">
        <v>1</v>
      </c>
      <c r="D7" s="9" t="s">
        <v>2340</v>
      </c>
      <c r="E7" t="s">
        <v>234</v>
      </c>
      <c r="F7" t="s">
        <v>70</v>
      </c>
      <c r="G7" t="s">
        <v>65</v>
      </c>
      <c r="H7" t="s">
        <v>61</v>
      </c>
      <c r="I7" s="4">
        <v>156</v>
      </c>
      <c r="J7" s="4">
        <v>182.52</v>
      </c>
      <c r="K7" s="4">
        <f>J7-I7</f>
      </c>
      <c r="L7" s="4">
        <f>K7*16.67%</f>
      </c>
      <c r="M7" s="4">
        <f>J7*7%</f>
      </c>
      <c r="N7" s="4">
        <f>M7*20%</f>
      </c>
      <c r="O7" s="4">
        <v>0</v>
      </c>
      <c r="P7" s="4">
        <f>O7*20%</f>
      </c>
      <c r="Q7" s="4">
        <v>1</v>
      </c>
      <c r="R7" s="4">
        <f>N7+P7</f>
      </c>
      <c r="S7" s="4">
        <f>K7-L7-M7-N7-O7-P7-Q7</f>
      </c>
      <c r="T7" s="4">
        <f>(S7-V7)/I7*100</f>
      </c>
      <c r="U7" s="4">
        <f>L7-R7</f>
      </c>
      <c r="W7" s="4">
        <f>S7-V7</f>
      </c>
      <c r="AB7" t="s">
        <v>1</v>
      </c>
    </row>
    <row r="8" spans="1:28" x14ac:dyDescent="0.25">
      <c r="A8" s="8">
        <v>46231.5</v>
      </c>
      <c r="B8" t="s">
        <v>2341</v>
      </c>
      <c r="C8" t="s">
        <v>1</v>
      </c>
      <c r="D8" s="9" t="s">
        <v>2342</v>
      </c>
      <c r="E8" t="s">
        <v>125</v>
      </c>
      <c r="F8" t="s">
        <v>88</v>
      </c>
      <c r="G8" t="s">
        <v>126</v>
      </c>
      <c r="H8" t="s">
        <v>66</v>
      </c>
      <c r="I8" s="4">
        <v>275</v>
      </c>
      <c r="J8" s="4">
        <v>352</v>
      </c>
      <c r="K8" s="4">
        <f>J8-I8</f>
      </c>
      <c r="L8" s="4">
        <f>K8*16.67%</f>
      </c>
      <c r="M8" s="4">
        <f>J8*7%</f>
      </c>
      <c r="N8" s="4">
        <f>M8*20%</f>
      </c>
      <c r="O8" s="4">
        <v>0</v>
      </c>
      <c r="P8" s="4">
        <f>O8*20%</f>
      </c>
      <c r="Q8" s="4">
        <v>1</v>
      </c>
      <c r="R8" s="4">
        <f>N8+P8</f>
      </c>
      <c r="S8" s="4">
        <f>K8-L8-M8-N8-O8-P8-Q8</f>
      </c>
      <c r="T8" s="4">
        <f>(S8-V8)/I8*100</f>
      </c>
      <c r="U8" s="4">
        <f>L8-R8</f>
      </c>
      <c r="W8" s="4">
        <f>S8-V8</f>
      </c>
      <c r="AB8" t="s">
        <v>1</v>
      </c>
    </row>
    <row r="9" spans="1:28" x14ac:dyDescent="0.25">
      <c r="A9" s="8">
        <v>46231.5</v>
      </c>
      <c r="B9" t="s">
        <v>2343</v>
      </c>
      <c r="C9" t="s">
        <v>1</v>
      </c>
      <c r="D9" s="9" t="s">
        <v>2344</v>
      </c>
      <c r="E9" t="s">
        <v>81</v>
      </c>
      <c r="F9" t="s">
        <v>88</v>
      </c>
      <c r="G9" t="s">
        <v>65</v>
      </c>
      <c r="H9" t="s">
        <v>102</v>
      </c>
      <c r="I9" s="4">
        <v>546</v>
      </c>
      <c r="J9" s="4">
        <v>726.18</v>
      </c>
      <c r="K9" s="4">
        <f>J9-I9</f>
      </c>
      <c r="L9" s="4">
        <f>K9*16.67%</f>
      </c>
      <c r="M9" s="4">
        <f>J9*7%</f>
      </c>
      <c r="N9" s="4">
        <f>M9*20%</f>
      </c>
      <c r="O9" s="4">
        <v>0</v>
      </c>
      <c r="P9" s="4">
        <f>O9*20%</f>
      </c>
      <c r="Q9" s="4">
        <v>1</v>
      </c>
      <c r="R9" s="4">
        <f>N9+P9</f>
      </c>
      <c r="S9" s="4">
        <f>K9-L9-M9-N9-O9-P9-Q9</f>
      </c>
      <c r="T9" s="4">
        <f>(S9-V9)/I9*100</f>
      </c>
      <c r="U9" s="4">
        <f>L9-R9</f>
      </c>
      <c r="W9" s="4">
        <f>S9-V9</f>
      </c>
      <c r="AB9" t="s">
        <v>1</v>
      </c>
    </row>
    <row r="10" spans="1:28" x14ac:dyDescent="0.25">
      <c r="A10" s="8">
        <v>46231.5</v>
      </c>
      <c r="B10" t="s">
        <v>2345</v>
      </c>
      <c r="C10" t="s">
        <v>1</v>
      </c>
      <c r="D10" s="9" t="s">
        <v>2346</v>
      </c>
      <c r="E10" t="s">
        <v>73</v>
      </c>
      <c r="F10" t="s">
        <v>85</v>
      </c>
      <c r="G10" t="s">
        <v>60</v>
      </c>
      <c r="H10" t="s">
        <v>78</v>
      </c>
      <c r="I10" s="4">
        <v>328</v>
      </c>
      <c r="J10" s="4">
        <v>436.24</v>
      </c>
      <c r="K10" s="4">
        <f>J10-I10</f>
      </c>
      <c r="L10" s="4">
        <f>K10*16.67%</f>
      </c>
      <c r="M10" s="4">
        <f>J10*7%</f>
      </c>
      <c r="N10" s="4">
        <f>M10*20%</f>
      </c>
      <c r="O10" s="4">
        <v>0</v>
      </c>
      <c r="P10" s="4">
        <f>O10*20%</f>
      </c>
      <c r="Q10" s="4">
        <v>1</v>
      </c>
      <c r="R10" s="4">
        <f>N10+P10</f>
      </c>
      <c r="S10" s="4">
        <f>K10-L10-M10-N10-O10-P10-Q10</f>
      </c>
      <c r="T10" s="4">
        <f>(S10-V10)/I10*100</f>
      </c>
      <c r="U10" s="4">
        <f>L10-R10</f>
      </c>
      <c r="W10" s="4">
        <f>S10-V10</f>
      </c>
      <c r="AB10" t="s">
        <v>1</v>
      </c>
    </row>
    <row r="11" spans="1:28" x14ac:dyDescent="0.25">
      <c r="A11" s="8">
        <v>46231.5</v>
      </c>
      <c r="B11" t="s">
        <v>2347</v>
      </c>
      <c r="C11" t="s">
        <v>1</v>
      </c>
      <c r="D11" s="9" t="s">
        <v>2348</v>
      </c>
      <c r="E11" t="s">
        <v>131</v>
      </c>
      <c r="F11" t="s">
        <v>88</v>
      </c>
      <c r="G11" t="s">
        <v>65</v>
      </c>
      <c r="H11" t="s">
        <v>102</v>
      </c>
      <c r="I11" s="4">
        <v>321</v>
      </c>
      <c r="J11" s="4">
        <v>381.99</v>
      </c>
      <c r="K11" s="4">
        <f>J11-I11</f>
      </c>
      <c r="L11" s="4">
        <f>K11*16.67%</f>
      </c>
      <c r="M11" s="4">
        <f>J11*7%</f>
      </c>
      <c r="N11" s="4">
        <f>M11*20%</f>
      </c>
      <c r="O11" s="4">
        <v>0</v>
      </c>
      <c r="P11" s="4">
        <f>O11*20%</f>
      </c>
      <c r="Q11" s="4">
        <v>1</v>
      </c>
      <c r="R11" s="4">
        <f>N11+P11</f>
      </c>
      <c r="S11" s="4">
        <f>K11-L11-M11-N11-O11-P11-Q11</f>
      </c>
      <c r="T11" s="4">
        <f>(S11-V11)/I11*100</f>
      </c>
      <c r="U11" s="4">
        <f>L11-R11</f>
      </c>
      <c r="W11" s="4">
        <f>S11-V11</f>
      </c>
      <c r="AB11" t="s">
        <v>1</v>
      </c>
    </row>
    <row r="12" spans="1:28" x14ac:dyDescent="0.25">
      <c r="A12" s="8">
        <v>46231.5</v>
      </c>
      <c r="B12" t="s">
        <v>2349</v>
      </c>
      <c r="C12" t="s">
        <v>1</v>
      </c>
      <c r="D12" s="9" t="s">
        <v>2350</v>
      </c>
      <c r="E12" t="s">
        <v>94</v>
      </c>
      <c r="F12" t="s">
        <v>99</v>
      </c>
      <c r="G12" t="s">
        <v>95</v>
      </c>
      <c r="H12" t="s">
        <v>102</v>
      </c>
      <c r="I12" s="4">
        <v>70</v>
      </c>
      <c r="J12" s="4">
        <v>82.6</v>
      </c>
      <c r="K12" s="4">
        <f>J12-I12</f>
      </c>
      <c r="L12" s="4">
        <f>K12*16.67%</f>
      </c>
      <c r="M12" s="4">
        <f>J12*7%</f>
      </c>
      <c r="N12" s="4">
        <f>M12*20%</f>
      </c>
      <c r="O12" s="4">
        <v>0</v>
      </c>
      <c r="P12" s="4">
        <f>O12*20%</f>
      </c>
      <c r="Q12" s="4">
        <v>1</v>
      </c>
      <c r="R12" s="4">
        <f>N12+P12</f>
      </c>
      <c r="S12" s="4">
        <f>K12-L12-M12-N12-O12-P12-Q12</f>
      </c>
      <c r="T12" s="4">
        <f>(S12-V12)/I12*100</f>
      </c>
      <c r="U12" s="4">
        <f>L12-R12</f>
      </c>
      <c r="W12" s="4">
        <f>S12-V12</f>
      </c>
      <c r="AB12" t="s">
        <v>1</v>
      </c>
    </row>
    <row r="13" spans="1:28" x14ac:dyDescent="0.25">
      <c r="A13" s="8">
        <v>46231.5</v>
      </c>
      <c r="B13" t="s">
        <v>2351</v>
      </c>
      <c r="C13" t="s">
        <v>1</v>
      </c>
      <c r="D13" s="9" t="s">
        <v>2352</v>
      </c>
      <c r="E13" t="s">
        <v>234</v>
      </c>
      <c r="F13" t="s">
        <v>70</v>
      </c>
      <c r="G13" t="s">
        <v>65</v>
      </c>
      <c r="H13" t="s">
        <v>75</v>
      </c>
      <c r="I13" s="4">
        <v>151</v>
      </c>
      <c r="J13" s="4">
        <v>190.26</v>
      </c>
      <c r="K13" s="4">
        <f>J13-I13</f>
      </c>
      <c r="L13" s="4">
        <f>K13*16.67%</f>
      </c>
      <c r="M13" s="4">
        <f>J13*7%</f>
      </c>
      <c r="N13" s="4">
        <f>M13*20%</f>
      </c>
      <c r="O13" s="4">
        <v>0</v>
      </c>
      <c r="P13" s="4">
        <f>O13*20%</f>
      </c>
      <c r="Q13" s="4">
        <v>1</v>
      </c>
      <c r="R13" s="4">
        <f>N13+P13</f>
      </c>
      <c r="S13" s="4">
        <f>K13-L13-M13-N13-O13-P13-Q13</f>
      </c>
      <c r="T13" s="4">
        <f>(S13-V13)/I13*100</f>
      </c>
      <c r="U13" s="4">
        <f>L13-R13</f>
      </c>
      <c r="W13" s="4">
        <f>S13-V13</f>
      </c>
      <c r="AB13" t="s">
        <v>1</v>
      </c>
    </row>
    <row r="14" spans="1:28" x14ac:dyDescent="0.25">
      <c r="A14" s="8">
        <v>46231.5</v>
      </c>
      <c r="B14" t="s">
        <v>2353</v>
      </c>
      <c r="C14" t="s">
        <v>1</v>
      </c>
      <c r="D14" s="9" t="s">
        <v>2354</v>
      </c>
      <c r="E14" t="s">
        <v>114</v>
      </c>
      <c r="F14" t="s">
        <v>88</v>
      </c>
      <c r="G14" t="s">
        <v>60</v>
      </c>
      <c r="H14" t="s">
        <v>102</v>
      </c>
      <c r="I14" s="4">
        <v>232</v>
      </c>
      <c r="J14" s="4">
        <v>292.32</v>
      </c>
      <c r="K14" s="4">
        <f>J14-I14</f>
      </c>
      <c r="L14" s="4">
        <f>K14*16.67%</f>
      </c>
      <c r="M14" s="4">
        <f>J14*7%</f>
      </c>
      <c r="N14" s="4">
        <f>M14*20%</f>
      </c>
      <c r="O14" s="4">
        <v>0</v>
      </c>
      <c r="P14" s="4">
        <f>O14*20%</f>
      </c>
      <c r="Q14" s="4">
        <v>1</v>
      </c>
      <c r="R14" s="4">
        <f>N14+P14</f>
      </c>
      <c r="S14" s="4">
        <f>K14-L14-M14-N14-O14-P14-Q14</f>
      </c>
      <c r="T14" s="4">
        <f>(S14-V14)/I14*100</f>
      </c>
      <c r="U14" s="4">
        <f>L14-R14</f>
      </c>
      <c r="W14" s="4">
        <f>S14-V14</f>
      </c>
      <c r="AB14" t="s">
        <v>1</v>
      </c>
    </row>
    <row r="15" spans="1:28" x14ac:dyDescent="0.25">
      <c r="A15" s="8">
        <v>46231.5</v>
      </c>
      <c r="B15" t="s">
        <v>2355</v>
      </c>
      <c r="C15" t="s">
        <v>1</v>
      </c>
      <c r="D15" s="9" t="s">
        <v>2356</v>
      </c>
      <c r="E15" t="s">
        <v>81</v>
      </c>
      <c r="F15" t="s">
        <v>105</v>
      </c>
      <c r="G15" t="s">
        <v>65</v>
      </c>
      <c r="H15" t="s">
        <v>102</v>
      </c>
      <c r="I15" s="4">
        <v>580</v>
      </c>
      <c r="J15" s="4">
        <v>667</v>
      </c>
      <c r="K15" s="4">
        <f>J15-I15</f>
      </c>
      <c r="L15" s="4">
        <f>K15*16.67%</f>
      </c>
      <c r="M15" s="4">
        <f>J15*7%</f>
      </c>
      <c r="N15" s="4">
        <f>M15*20%</f>
      </c>
      <c r="O15" s="4">
        <v>0</v>
      </c>
      <c r="P15" s="4">
        <f>O15*20%</f>
      </c>
      <c r="Q15" s="4">
        <v>1</v>
      </c>
      <c r="R15" s="4">
        <f>N15+P15</f>
      </c>
      <c r="S15" s="4">
        <f>K15-L15-M15-N15-O15-P15-Q15</f>
      </c>
      <c r="T15" s="4">
        <f>(S15-V15)/I15*100</f>
      </c>
      <c r="U15" s="4">
        <f>L15-R15</f>
      </c>
      <c r="W15" s="4">
        <f>S15-V15</f>
      </c>
      <c r="AB15" t="s">
        <v>1</v>
      </c>
    </row>
    <row r="16" spans="1:28" x14ac:dyDescent="0.25">
      <c r="A16" s="8">
        <v>46231.5</v>
      </c>
      <c r="B16" t="s">
        <v>2357</v>
      </c>
      <c r="C16" t="s">
        <v>1</v>
      </c>
      <c r="D16" s="9" t="s">
        <v>2358</v>
      </c>
      <c r="E16" t="s">
        <v>91</v>
      </c>
      <c r="F16" t="s">
        <v>70</v>
      </c>
      <c r="G16" t="s">
        <v>95</v>
      </c>
      <c r="H16" t="s">
        <v>61</v>
      </c>
      <c r="I16" s="4">
        <v>121</v>
      </c>
      <c r="J16" s="4">
        <v>148.83</v>
      </c>
      <c r="K16" s="4">
        <f>J16-I16</f>
      </c>
      <c r="L16" s="4">
        <f>K16*16.67%</f>
      </c>
      <c r="M16" s="4">
        <f>J16*7%</f>
      </c>
      <c r="N16" s="4">
        <f>M16*20%</f>
      </c>
      <c r="O16" s="4">
        <v>0</v>
      </c>
      <c r="P16" s="4">
        <f>O16*20%</f>
      </c>
      <c r="Q16" s="4">
        <v>1</v>
      </c>
      <c r="R16" s="4">
        <f>N16+P16</f>
      </c>
      <c r="S16" s="4">
        <f>K16-L16-M16-N16-O16-P16-Q16</f>
      </c>
      <c r="T16" s="4">
        <f>(S16-V16)/I16*100</f>
      </c>
      <c r="U16" s="4">
        <f>L16-R16</f>
      </c>
      <c r="W16" s="4">
        <f>S16-V16</f>
      </c>
      <c r="AB16" t="s">
        <v>1</v>
      </c>
    </row>
    <row r="17" spans="1:28" x14ac:dyDescent="0.25">
      <c r="A17" s="8">
        <v>46231.5</v>
      </c>
      <c r="B17" t="s">
        <v>2359</v>
      </c>
      <c r="C17" t="s">
        <v>1</v>
      </c>
      <c r="D17" s="9" t="s">
        <v>2360</v>
      </c>
      <c r="E17" t="s">
        <v>234</v>
      </c>
      <c r="F17" t="s">
        <v>99</v>
      </c>
      <c r="G17" t="s">
        <v>65</v>
      </c>
      <c r="H17" t="s">
        <v>61</v>
      </c>
      <c r="I17" s="4">
        <v>162</v>
      </c>
      <c r="J17" s="4">
        <v>202.5</v>
      </c>
      <c r="K17" s="4">
        <f>J17-I17</f>
      </c>
      <c r="L17" s="4">
        <f>K17*16.67%</f>
      </c>
      <c r="M17" s="4">
        <f>J17*7%</f>
      </c>
      <c r="N17" s="4">
        <f>M17*20%</f>
      </c>
      <c r="O17" s="4">
        <v>0</v>
      </c>
      <c r="P17" s="4">
        <f>O17*20%</f>
      </c>
      <c r="Q17" s="4">
        <v>1</v>
      </c>
      <c r="R17" s="4">
        <f>N17+P17</f>
      </c>
      <c r="S17" s="4">
        <f>K17-L17-M17-N17-O17-P17-Q17</f>
      </c>
      <c r="T17" s="4">
        <f>(S17-V17)/I17*100</f>
      </c>
      <c r="U17" s="4">
        <f>L17-R17</f>
      </c>
      <c r="W17" s="4">
        <f>S17-V17</f>
      </c>
      <c r="AB17" t="s">
        <v>1</v>
      </c>
    </row>
    <row r="18" spans="1:28" x14ac:dyDescent="0.25">
      <c r="A18" s="8">
        <v>46231.5</v>
      </c>
      <c r="B18" t="s">
        <v>2361</v>
      </c>
      <c r="C18" t="s">
        <v>1</v>
      </c>
      <c r="D18" s="9" t="s">
        <v>2362</v>
      </c>
      <c r="E18" t="s">
        <v>234</v>
      </c>
      <c r="F18" t="s">
        <v>85</v>
      </c>
      <c r="G18" t="s">
        <v>65</v>
      </c>
      <c r="H18" t="s">
        <v>66</v>
      </c>
      <c r="I18" s="4">
        <v>188</v>
      </c>
      <c r="J18" s="4">
        <v>257.56</v>
      </c>
      <c r="K18" s="4">
        <f>J18-I18</f>
      </c>
      <c r="L18" s="4">
        <f>K18*16.67%</f>
      </c>
      <c r="M18" s="4">
        <f>J18*7%</f>
      </c>
      <c r="N18" s="4">
        <f>M18*20%</f>
      </c>
      <c r="O18" s="4">
        <v>0</v>
      </c>
      <c r="P18" s="4">
        <f>O18*20%</f>
      </c>
      <c r="Q18" s="4">
        <v>1</v>
      </c>
      <c r="R18" s="4">
        <f>N18+P18</f>
      </c>
      <c r="S18" s="4">
        <f>K18-L18-M18-N18-O18-P18-Q18</f>
      </c>
      <c r="T18" s="4">
        <f>(S18-V18)/I18*100</f>
      </c>
      <c r="U18" s="4">
        <f>L18-R18</f>
      </c>
      <c r="W18" s="4">
        <f>S18-V18</f>
      </c>
      <c r="AB18" t="s">
        <v>1</v>
      </c>
    </row>
    <row r="19" spans="1:28" x14ac:dyDescent="0.25">
      <c r="A19" s="8">
        <v>46231.5</v>
      </c>
      <c r="B19" t="s">
        <v>2363</v>
      </c>
      <c r="C19" t="s">
        <v>1</v>
      </c>
      <c r="D19" s="9" t="s">
        <v>2364</v>
      </c>
      <c r="E19" t="s">
        <v>131</v>
      </c>
      <c r="F19" t="s">
        <v>70</v>
      </c>
      <c r="G19" t="s">
        <v>65</v>
      </c>
      <c r="H19" t="s">
        <v>61</v>
      </c>
      <c r="I19" s="4">
        <v>266</v>
      </c>
      <c r="J19" s="4">
        <v>372.4</v>
      </c>
      <c r="K19" s="4">
        <f>J19-I19</f>
      </c>
      <c r="L19" s="4">
        <f>K19*16.67%</f>
      </c>
      <c r="M19" s="4">
        <f>J19*7%</f>
      </c>
      <c r="N19" s="4">
        <f>M19*20%</f>
      </c>
      <c r="O19" s="4">
        <v>0</v>
      </c>
      <c r="P19" s="4">
        <f>O19*20%</f>
      </c>
      <c r="Q19" s="4">
        <v>1</v>
      </c>
      <c r="R19" s="4">
        <f>N19+P19</f>
      </c>
      <c r="S19" s="4">
        <f>K19-L19-M19-N19-O19-P19-Q19</f>
      </c>
      <c r="T19" s="4">
        <f>(S19-V19)/I19*100</f>
      </c>
      <c r="U19" s="4">
        <f>L19-R19</f>
      </c>
      <c r="W19" s="4">
        <f>S19-V19</f>
      </c>
      <c r="AB19" t="s">
        <v>1</v>
      </c>
    </row>
    <row r="20" spans="1:28" x14ac:dyDescent="0.25">
      <c r="A20" s="8">
        <v>46231.5</v>
      </c>
      <c r="B20" t="s">
        <v>2365</v>
      </c>
      <c r="C20" t="s">
        <v>1</v>
      </c>
      <c r="D20" s="9" t="s">
        <v>2366</v>
      </c>
      <c r="E20" t="s">
        <v>81</v>
      </c>
      <c r="F20" t="s">
        <v>59</v>
      </c>
      <c r="G20" t="s">
        <v>65</v>
      </c>
      <c r="H20" t="s">
        <v>66</v>
      </c>
      <c r="I20" s="4">
        <v>562</v>
      </c>
      <c r="J20" s="4">
        <v>809.28</v>
      </c>
      <c r="K20" s="4">
        <f>J20-I20</f>
      </c>
      <c r="L20" s="4">
        <f>K20*16.67%</f>
      </c>
      <c r="M20" s="4">
        <f>J20*7%</f>
      </c>
      <c r="N20" s="4">
        <f>M20*20%</f>
      </c>
      <c r="O20" s="4">
        <v>0</v>
      </c>
      <c r="P20" s="4">
        <f>O20*20%</f>
      </c>
      <c r="Q20" s="4">
        <v>1</v>
      </c>
      <c r="R20" s="4">
        <f>N20+P20</f>
      </c>
      <c r="S20" s="4">
        <f>K20-L20-M20-N20-O20-P20-Q20</f>
      </c>
      <c r="T20" s="4">
        <f>(S20-V20)/I20*100</f>
      </c>
      <c r="U20" s="4">
        <f>L20-R20</f>
      </c>
      <c r="W20" s="4">
        <f>S20-V20</f>
      </c>
      <c r="AB20" t="s">
        <v>1</v>
      </c>
    </row>
    <row r="21" spans="1:28" x14ac:dyDescent="0.25">
      <c r="A21" s="8">
        <v>46231.5</v>
      </c>
      <c r="B21" t="s">
        <v>2367</v>
      </c>
      <c r="C21" t="s">
        <v>1</v>
      </c>
      <c r="D21" s="9" t="s">
        <v>2368</v>
      </c>
      <c r="E21" t="s">
        <v>234</v>
      </c>
      <c r="F21" t="s">
        <v>99</v>
      </c>
      <c r="G21" t="s">
        <v>65</v>
      </c>
      <c r="H21" t="s">
        <v>66</v>
      </c>
      <c r="I21" s="4">
        <v>172</v>
      </c>
      <c r="J21" s="4">
        <v>240.8</v>
      </c>
      <c r="K21" s="4">
        <f>J21-I21</f>
      </c>
      <c r="L21" s="4">
        <f>K21*16.67%</f>
      </c>
      <c r="M21" s="4">
        <f>J21*7%</f>
      </c>
      <c r="N21" s="4">
        <f>M21*20%</f>
      </c>
      <c r="O21" s="4">
        <v>0</v>
      </c>
      <c r="P21" s="4">
        <f>O21*20%</f>
      </c>
      <c r="Q21" s="4">
        <v>1</v>
      </c>
      <c r="R21" s="4">
        <f>N21+P21</f>
      </c>
      <c r="S21" s="4">
        <f>K21-L21-M21-N21-O21-P21-Q21</f>
      </c>
      <c r="T21" s="4">
        <f>(S21-V21)/I21*100</f>
      </c>
      <c r="U21" s="4">
        <f>L21-R21</f>
      </c>
      <c r="W21" s="4">
        <f>S21-V21</f>
      </c>
      <c r="AB21" t="s">
        <v>1</v>
      </c>
    </row>
    <row r="22" spans="1:28" x14ac:dyDescent="0.25">
      <c r="A22" s="8">
        <v>46231.5</v>
      </c>
      <c r="B22" t="s">
        <v>2369</v>
      </c>
      <c r="C22" t="s">
        <v>1</v>
      </c>
      <c r="D22" s="9" t="s">
        <v>2370</v>
      </c>
      <c r="E22" t="s">
        <v>172</v>
      </c>
      <c r="F22" t="s">
        <v>85</v>
      </c>
      <c r="G22" t="s">
        <v>65</v>
      </c>
      <c r="H22" t="s">
        <v>61</v>
      </c>
      <c r="I22" s="4">
        <v>173</v>
      </c>
      <c r="J22" s="4">
        <v>198.95</v>
      </c>
      <c r="K22" s="4">
        <f>J22-I22</f>
      </c>
      <c r="L22" s="4">
        <f>K22*16.67%</f>
      </c>
      <c r="M22" s="4">
        <f>J22*7%</f>
      </c>
      <c r="N22" s="4">
        <f>M22*20%</f>
      </c>
      <c r="O22" s="4">
        <v>0</v>
      </c>
      <c r="P22" s="4">
        <f>O22*20%</f>
      </c>
      <c r="Q22" s="4">
        <v>1</v>
      </c>
      <c r="R22" s="4">
        <f>N22+P22</f>
      </c>
      <c r="S22" s="4">
        <f>K22-L22-M22-N22-O22-P22-Q22</f>
      </c>
      <c r="T22" s="4">
        <f>(S22-V22)/I22*100</f>
      </c>
      <c r="U22" s="4">
        <f>L22-R22</f>
      </c>
      <c r="W22" s="4">
        <f>S22-V22</f>
      </c>
      <c r="AB22" t="s">
        <v>1</v>
      </c>
    </row>
    <row r="23" spans="1:28" x14ac:dyDescent="0.25">
      <c r="A23" s="8">
        <v>46231.5</v>
      </c>
      <c r="B23" t="s">
        <v>2371</v>
      </c>
      <c r="C23" t="s">
        <v>1</v>
      </c>
      <c r="D23" s="9" t="s">
        <v>2372</v>
      </c>
      <c r="E23" t="s">
        <v>131</v>
      </c>
      <c r="F23" t="s">
        <v>74</v>
      </c>
      <c r="G23" t="s">
        <v>65</v>
      </c>
      <c r="H23" t="s">
        <v>75</v>
      </c>
      <c r="I23" s="4">
        <v>313</v>
      </c>
      <c r="J23" s="4">
        <v>403.77</v>
      </c>
      <c r="K23" s="4">
        <f>J23-I23</f>
      </c>
      <c r="L23" s="4">
        <f>K23*16.67%</f>
      </c>
      <c r="M23" s="4">
        <f>J23*7%</f>
      </c>
      <c r="N23" s="4">
        <f>M23*20%</f>
      </c>
      <c r="O23" s="4">
        <v>0</v>
      </c>
      <c r="P23" s="4">
        <f>O23*20%</f>
      </c>
      <c r="Q23" s="4">
        <v>1</v>
      </c>
      <c r="R23" s="4">
        <f>N23+P23</f>
      </c>
      <c r="S23" s="4">
        <f>K23-L23-M23-N23-O23-P23-Q23</f>
      </c>
      <c r="T23" s="4">
        <f>(S23-V23)/I23*100</f>
      </c>
      <c r="U23" s="4">
        <f>L23-R23</f>
      </c>
      <c r="W23" s="4">
        <f>S23-V23</f>
      </c>
      <c r="AB23" t="s">
        <v>1</v>
      </c>
    </row>
    <row r="24" spans="1:28" x14ac:dyDescent="0.25">
      <c r="A24" s="8">
        <v>46231.5</v>
      </c>
      <c r="B24" t="s">
        <v>2373</v>
      </c>
      <c r="C24" t="s">
        <v>1</v>
      </c>
      <c r="D24" s="9" t="s">
        <v>2374</v>
      </c>
      <c r="E24" t="s">
        <v>131</v>
      </c>
      <c r="F24" t="s">
        <v>105</v>
      </c>
      <c r="G24" t="s">
        <v>60</v>
      </c>
      <c r="H24" t="s">
        <v>102</v>
      </c>
      <c r="I24" s="4">
        <v>311</v>
      </c>
      <c r="J24" s="4">
        <v>366.98</v>
      </c>
      <c r="K24" s="4">
        <f>J24-I24</f>
      </c>
      <c r="L24" s="4">
        <f>K24*16.67%</f>
      </c>
      <c r="M24" s="4">
        <f>J24*7%</f>
      </c>
      <c r="N24" s="4">
        <f>M24*20%</f>
      </c>
      <c r="O24" s="4">
        <v>0</v>
      </c>
      <c r="P24" s="4">
        <f>O24*20%</f>
      </c>
      <c r="Q24" s="4">
        <v>1</v>
      </c>
      <c r="R24" s="4">
        <f>N24+P24</f>
      </c>
      <c r="S24" s="4">
        <f>K24-L24-M24-N24-O24-P24-Q24</f>
      </c>
      <c r="T24" s="4">
        <f>(S24-V24)/I24*100</f>
      </c>
      <c r="U24" s="4">
        <f>L24-R24</f>
      </c>
      <c r="W24" s="4">
        <f>S24-V24</f>
      </c>
      <c r="AB24" t="s">
        <v>1</v>
      </c>
    </row>
    <row r="25" spans="1:28" x14ac:dyDescent="0.25">
      <c r="A25" s="8">
        <v>46231.5</v>
      </c>
      <c r="B25" t="s">
        <v>2375</v>
      </c>
      <c r="C25" t="s">
        <v>1</v>
      </c>
      <c r="D25" s="9" t="s">
        <v>2376</v>
      </c>
      <c r="E25" t="s">
        <v>69</v>
      </c>
      <c r="F25" t="s">
        <v>85</v>
      </c>
      <c r="G25" t="s">
        <v>60</v>
      </c>
      <c r="H25" t="s">
        <v>66</v>
      </c>
      <c r="I25" s="4">
        <v>547</v>
      </c>
      <c r="J25" s="4">
        <v>634.52</v>
      </c>
      <c r="K25" s="4">
        <f>J25-I25</f>
      </c>
      <c r="L25" s="4">
        <f>K25*16.67%</f>
      </c>
      <c r="M25" s="4">
        <f>J25*7%</f>
      </c>
      <c r="N25" s="4">
        <f>M25*20%</f>
      </c>
      <c r="O25" s="4">
        <v>0</v>
      </c>
      <c r="P25" s="4">
        <f>O25*20%</f>
      </c>
      <c r="Q25" s="4">
        <v>1</v>
      </c>
      <c r="R25" s="4">
        <f>N25+P25</f>
      </c>
      <c r="S25" s="4">
        <f>K25-L25-M25-N25-O25-P25-Q25</f>
      </c>
      <c r="T25" s="4">
        <f>(S25-V25)/I25*100</f>
      </c>
      <c r="U25" s="4">
        <f>L25-R25</f>
      </c>
      <c r="W25" s="4">
        <f>S25-V25</f>
      </c>
      <c r="AB25" t="s">
        <v>1</v>
      </c>
    </row>
    <row r="26" spans="1:28" x14ac:dyDescent="0.25">
      <c r="A26" s="8">
        <v>46231.5</v>
      </c>
      <c r="B26" t="s">
        <v>2377</v>
      </c>
      <c r="C26" t="s">
        <v>1</v>
      </c>
      <c r="D26" s="9" t="s">
        <v>2378</v>
      </c>
      <c r="E26" t="s">
        <v>172</v>
      </c>
      <c r="F26" t="s">
        <v>74</v>
      </c>
      <c r="G26" t="s">
        <v>65</v>
      </c>
      <c r="H26" t="s">
        <v>75</v>
      </c>
      <c r="I26" s="4">
        <v>151</v>
      </c>
      <c r="J26" s="4">
        <v>214.42</v>
      </c>
      <c r="K26" s="4">
        <f>J26-I26</f>
      </c>
      <c r="L26" s="4">
        <f>K26*16.67%</f>
      </c>
      <c r="M26" s="4">
        <f>J26*7%</f>
      </c>
      <c r="N26" s="4">
        <f>M26*20%</f>
      </c>
      <c r="O26" s="4">
        <v>0</v>
      </c>
      <c r="P26" s="4">
        <f>O26*20%</f>
      </c>
      <c r="Q26" s="4">
        <v>1</v>
      </c>
      <c r="R26" s="4">
        <f>N26+P26</f>
      </c>
      <c r="S26" s="4">
        <f>K26-L26-M26-N26-O26-P26-Q26</f>
      </c>
      <c r="T26" s="4">
        <f>(S26-V26)/I26*100</f>
      </c>
      <c r="U26" s="4">
        <f>L26-R26</f>
      </c>
      <c r="W26" s="4">
        <f>S26-V26</f>
      </c>
      <c r="AB26" t="s">
        <v>1</v>
      </c>
    </row>
    <row r="27" spans="1:28" x14ac:dyDescent="0.25">
      <c r="A27" s="8">
        <v>46231.5</v>
      </c>
      <c r="B27" t="s">
        <v>2379</v>
      </c>
      <c r="C27" t="s">
        <v>1</v>
      </c>
      <c r="D27" s="9" t="s">
        <v>2380</v>
      </c>
      <c r="E27" t="s">
        <v>139</v>
      </c>
      <c r="F27" t="s">
        <v>105</v>
      </c>
      <c r="G27" t="s">
        <v>60</v>
      </c>
      <c r="H27" t="s">
        <v>78</v>
      </c>
      <c r="I27" s="4">
        <v>319</v>
      </c>
      <c r="J27" s="4">
        <v>385.99</v>
      </c>
      <c r="K27" s="4">
        <f>J27-I27</f>
      </c>
      <c r="L27" s="4">
        <f>K27*16.67%</f>
      </c>
      <c r="M27" s="4">
        <f>J27*7%</f>
      </c>
      <c r="N27" s="4">
        <f>M27*20%</f>
      </c>
      <c r="O27" s="4">
        <v>0</v>
      </c>
      <c r="P27" s="4">
        <f>O27*20%</f>
      </c>
      <c r="Q27" s="4">
        <v>1</v>
      </c>
      <c r="R27" s="4">
        <f>N27+P27</f>
      </c>
      <c r="S27" s="4">
        <f>K27-L27-M27-N27-O27-P27-Q27</f>
      </c>
      <c r="T27" s="4">
        <f>(S27-V27)/I27*100</f>
      </c>
      <c r="U27" s="4">
        <f>L27-R27</f>
      </c>
      <c r="W27" s="4">
        <f>S27-V27</f>
      </c>
      <c r="AB27" t="s">
        <v>1</v>
      </c>
    </row>
    <row r="28" spans="1:28" x14ac:dyDescent="0.25">
      <c r="A28" s="8">
        <v>46231.5</v>
      </c>
      <c r="B28" t="s">
        <v>2381</v>
      </c>
      <c r="C28" t="s">
        <v>1</v>
      </c>
      <c r="D28" s="9" t="s">
        <v>2382</v>
      </c>
      <c r="E28" t="s">
        <v>91</v>
      </c>
      <c r="F28" t="s">
        <v>59</v>
      </c>
      <c r="G28" t="s">
        <v>65</v>
      </c>
      <c r="H28" t="s">
        <v>66</v>
      </c>
      <c r="I28" s="4">
        <v>124</v>
      </c>
      <c r="J28" s="4">
        <v>174.84</v>
      </c>
      <c r="K28" s="4">
        <f>J28-I28</f>
      </c>
      <c r="L28" s="4">
        <f>K28*16.67%</f>
      </c>
      <c r="M28" s="4">
        <f>J28*7%</f>
      </c>
      <c r="N28" s="4">
        <f>M28*20%</f>
      </c>
      <c r="O28" s="4">
        <v>0</v>
      </c>
      <c r="P28" s="4">
        <f>O28*20%</f>
      </c>
      <c r="Q28" s="4">
        <v>1</v>
      </c>
      <c r="R28" s="4">
        <f>N28+P28</f>
      </c>
      <c r="S28" s="4">
        <f>K28-L28-M28-N28-O28-P28-Q28</f>
      </c>
      <c r="T28" s="4">
        <f>(S28-V28)/I28*100</f>
      </c>
      <c r="U28" s="4">
        <f>L28-R28</f>
      </c>
      <c r="W28" s="4">
        <f>S28-V28</f>
      </c>
      <c r="AB28" t="s">
        <v>1</v>
      </c>
    </row>
    <row r="29" spans="1:28" x14ac:dyDescent="0.25">
      <c r="A29" s="8">
        <v>46231.5</v>
      </c>
      <c r="B29" t="s">
        <v>2383</v>
      </c>
      <c r="C29" t="s">
        <v>1</v>
      </c>
      <c r="D29" s="9" t="s">
        <v>2384</v>
      </c>
      <c r="E29" t="s">
        <v>73</v>
      </c>
      <c r="F29" t="s">
        <v>105</v>
      </c>
      <c r="G29" t="s">
        <v>60</v>
      </c>
      <c r="H29" t="s">
        <v>75</v>
      </c>
      <c r="I29" s="4">
        <v>331</v>
      </c>
      <c r="J29" s="4">
        <v>413.75</v>
      </c>
      <c r="K29" s="4">
        <f>J29-I29</f>
      </c>
      <c r="L29" s="4">
        <f>K29*16.67%</f>
      </c>
      <c r="M29" s="4">
        <f>J29*7%</f>
      </c>
      <c r="N29" s="4">
        <f>M29*20%</f>
      </c>
      <c r="O29" s="4">
        <v>0</v>
      </c>
      <c r="P29" s="4">
        <f>O29*20%</f>
      </c>
      <c r="Q29" s="4">
        <v>1</v>
      </c>
      <c r="R29" s="4">
        <f>N29+P29</f>
      </c>
      <c r="S29" s="4">
        <f>K29-L29-M29-N29-O29-P29-Q29</f>
      </c>
      <c r="T29" s="4">
        <f>(S29-V29)/I29*100</f>
      </c>
      <c r="U29" s="4">
        <f>L29-R29</f>
      </c>
      <c r="W29" s="4">
        <f>S29-V29</f>
      </c>
      <c r="AB29" t="s">
        <v>1</v>
      </c>
    </row>
    <row r="30" spans="1:28" x14ac:dyDescent="0.25">
      <c r="A30" s="8">
        <v>46231.5</v>
      </c>
      <c r="B30" t="s">
        <v>2385</v>
      </c>
      <c r="C30" t="s">
        <v>1</v>
      </c>
      <c r="D30" s="9" t="s">
        <v>2386</v>
      </c>
      <c r="E30" t="s">
        <v>292</v>
      </c>
      <c r="F30" t="s">
        <v>88</v>
      </c>
      <c r="G30" t="s">
        <v>126</v>
      </c>
      <c r="H30" t="s">
        <v>78</v>
      </c>
      <c r="I30" s="4">
        <v>203</v>
      </c>
      <c r="J30" s="4">
        <v>255.78</v>
      </c>
      <c r="K30" s="4">
        <f>J30-I30</f>
      </c>
      <c r="L30" s="4">
        <f>K30*16.67%</f>
      </c>
      <c r="M30" s="4">
        <f>J30*7%</f>
      </c>
      <c r="N30" s="4">
        <f>M30*20%</f>
      </c>
      <c r="O30" s="4">
        <v>0</v>
      </c>
      <c r="P30" s="4">
        <f>O30*20%</f>
      </c>
      <c r="Q30" s="4">
        <v>1</v>
      </c>
      <c r="R30" s="4">
        <f>N30+P30</f>
      </c>
      <c r="S30" s="4">
        <f>K30-L30-M30-N30-O30-P30-Q30</f>
      </c>
      <c r="T30" s="4">
        <f>(S30-V30)/I30*100</f>
      </c>
      <c r="U30" s="4">
        <f>L30-R30</f>
      </c>
      <c r="W30" s="4">
        <f>S30-V30</f>
      </c>
      <c r="AB30" t="s">
        <v>1</v>
      </c>
    </row>
    <row r="31" spans="1:28" x14ac:dyDescent="0.25">
      <c r="A31" s="8">
        <v>46231.5</v>
      </c>
      <c r="B31" t="s">
        <v>2387</v>
      </c>
      <c r="C31" t="s">
        <v>1</v>
      </c>
      <c r="D31" s="9" t="s">
        <v>2388</v>
      </c>
      <c r="E31" t="s">
        <v>139</v>
      </c>
      <c r="F31" t="s">
        <v>88</v>
      </c>
      <c r="G31" t="s">
        <v>60</v>
      </c>
      <c r="H31" t="s">
        <v>75</v>
      </c>
      <c r="I31" s="4">
        <v>377</v>
      </c>
      <c r="J31" s="4">
        <v>505.18</v>
      </c>
      <c r="K31" s="4">
        <f>J31-I31</f>
      </c>
      <c r="L31" s="4">
        <f>K31*16.67%</f>
      </c>
      <c r="M31" s="4">
        <f>J31*7%</f>
      </c>
      <c r="N31" s="4">
        <f>M31*20%</f>
      </c>
      <c r="O31" s="4">
        <v>0</v>
      </c>
      <c r="P31" s="4">
        <f>O31*20%</f>
      </c>
      <c r="Q31" s="4">
        <v>1</v>
      </c>
      <c r="R31" s="4">
        <f>N31+P31</f>
      </c>
      <c r="S31" s="4">
        <f>K31-L31-M31-N31-O31-P31-Q31</f>
      </c>
      <c r="T31" s="4">
        <f>(S31-V31)/I31*100</f>
      </c>
      <c r="U31" s="4">
        <f>L31-R31</f>
      </c>
      <c r="W31" s="4">
        <f>S31-V31</f>
      </c>
      <c r="AB31" t="s">
        <v>1</v>
      </c>
    </row>
    <row r="32" spans="1:28" x14ac:dyDescent="0.25">
      <c r="A32" s="8">
        <v>46231.5</v>
      </c>
      <c r="B32" t="s">
        <v>2389</v>
      </c>
      <c r="C32" t="s">
        <v>1</v>
      </c>
      <c r="D32" s="9" t="s">
        <v>2390</v>
      </c>
      <c r="E32" t="s">
        <v>98</v>
      </c>
      <c r="F32" t="s">
        <v>70</v>
      </c>
      <c r="G32" t="s">
        <v>65</v>
      </c>
      <c r="H32" t="s">
        <v>61</v>
      </c>
      <c r="I32" s="4">
        <v>337</v>
      </c>
      <c r="J32" s="4">
        <v>454.95</v>
      </c>
      <c r="K32" s="4">
        <f>J32-I32</f>
      </c>
      <c r="L32" s="4">
        <f>K32*16.67%</f>
      </c>
      <c r="M32" s="4">
        <f>J32*7%</f>
      </c>
      <c r="N32" s="4">
        <f>M32*20%</f>
      </c>
      <c r="O32" s="4">
        <v>0</v>
      </c>
      <c r="P32" s="4">
        <f>O32*20%</f>
      </c>
      <c r="Q32" s="4">
        <v>1</v>
      </c>
      <c r="R32" s="4">
        <f>N32+P32</f>
      </c>
      <c r="S32" s="4">
        <f>K32-L32-M32-N32-O32-P32-Q32</f>
      </c>
      <c r="T32" s="4">
        <f>(S32-V32)/I32*100</f>
      </c>
      <c r="U32" s="4">
        <f>L32-R32</f>
      </c>
      <c r="W32" s="4">
        <f>S32-V32</f>
      </c>
      <c r="AB32" t="s">
        <v>1</v>
      </c>
    </row>
    <row r="33" spans="1:28" x14ac:dyDescent="0.25">
      <c r="A33" s="8">
        <v>46231.5</v>
      </c>
      <c r="B33" t="s">
        <v>2391</v>
      </c>
      <c r="C33" t="s">
        <v>1</v>
      </c>
      <c r="D33" s="9" t="s">
        <v>2392</v>
      </c>
      <c r="E33" t="s">
        <v>84</v>
      </c>
      <c r="F33" t="s">
        <v>88</v>
      </c>
      <c r="G33" t="s">
        <v>60</v>
      </c>
      <c r="H33" t="s">
        <v>78</v>
      </c>
      <c r="I33" s="4">
        <v>689</v>
      </c>
      <c r="J33" s="4">
        <v>819.91</v>
      </c>
      <c r="K33" s="4">
        <f>J33-I33</f>
      </c>
      <c r="L33" s="4">
        <f>K33*16.67%</f>
      </c>
      <c r="M33" s="4">
        <f>J33*7%</f>
      </c>
      <c r="N33" s="4">
        <f>M33*20%</f>
      </c>
      <c r="O33" s="4">
        <v>0</v>
      </c>
      <c r="P33" s="4">
        <f>O33*20%</f>
      </c>
      <c r="Q33" s="4">
        <v>1</v>
      </c>
      <c r="R33" s="4">
        <f>N33+P33</f>
      </c>
      <c r="S33" s="4">
        <f>K33-L33-M33-N33-O33-P33-Q33</f>
      </c>
      <c r="T33" s="4">
        <f>(S33-V33)/I33*100</f>
      </c>
      <c r="U33" s="4">
        <f>L33-R33</f>
      </c>
      <c r="W33" s="4">
        <f>S33-V33</f>
      </c>
      <c r="AB33" t="s">
        <v>1</v>
      </c>
    </row>
    <row r="34" spans="1:28" x14ac:dyDescent="0.25">
      <c r="A34" s="8">
        <v>46231.5</v>
      </c>
      <c r="B34" t="s">
        <v>2393</v>
      </c>
      <c r="C34" t="s">
        <v>189</v>
      </c>
      <c r="D34" s="9" t="s">
        <v>1</v>
      </c>
      <c r="E34" t="s">
        <v>189</v>
      </c>
      <c r="F34" t="s">
        <v>1</v>
      </c>
      <c r="G34" t="s">
        <v>1</v>
      </c>
      <c r="H34" t="s">
        <v>66</v>
      </c>
      <c r="I34" s="4">
        <v>3.5</v>
      </c>
      <c r="J34" s="4">
        <v>4.83</v>
      </c>
      <c r="K34" s="4">
        <f>J34-I34</f>
      </c>
      <c r="L34" s="4">
        <f>K34*16.67%</f>
      </c>
      <c r="M34" s="4">
        <f>J34*7%</f>
      </c>
      <c r="N34" s="4">
        <f>M34*20%</f>
      </c>
      <c r="O34" s="4">
        <v>0</v>
      </c>
      <c r="P34" s="4">
        <f>O34*20%</f>
      </c>
      <c r="Q34" s="4">
        <v>0</v>
      </c>
      <c r="R34" s="4">
        <f>N34+P34</f>
      </c>
      <c r="S34" s="4">
        <f>K34-L34-M34-N34-O34-P34-Q34</f>
      </c>
      <c r="T34" s="4">
        <f>(S34-V34)/I34*100</f>
      </c>
      <c r="U34" s="4">
        <f>L34-R34</f>
      </c>
      <c r="W34" s="4">
        <f>S34-V34</f>
      </c>
      <c r="AB34" t="s">
        <v>1</v>
      </c>
    </row>
    <row r="35" spans="1:28" x14ac:dyDescent="0.25">
      <c r="A35" s="8">
        <v>46231.5</v>
      </c>
      <c r="B35" t="s">
        <v>2394</v>
      </c>
      <c r="C35" t="s">
        <v>189</v>
      </c>
      <c r="D35" s="9" t="s">
        <v>1</v>
      </c>
      <c r="E35" t="s">
        <v>189</v>
      </c>
      <c r="F35" t="s">
        <v>1</v>
      </c>
      <c r="G35" t="s">
        <v>1</v>
      </c>
      <c r="H35" t="s">
        <v>66</v>
      </c>
      <c r="I35" s="4">
        <v>3.5</v>
      </c>
      <c r="J35" s="4">
        <v>5.08</v>
      </c>
      <c r="K35" s="4">
        <f>J35-I35</f>
      </c>
      <c r="L35" s="4">
        <f>K35*16.67%</f>
      </c>
      <c r="M35" s="4">
        <f>J35*7%</f>
      </c>
      <c r="N35" s="4">
        <f>M35*20%</f>
      </c>
      <c r="O35" s="4">
        <v>0</v>
      </c>
      <c r="P35" s="4">
        <f>O35*20%</f>
      </c>
      <c r="Q35" s="4">
        <v>0</v>
      </c>
      <c r="R35" s="4">
        <f>N35+P35</f>
      </c>
      <c r="S35" s="4">
        <f>K35-L35-M35-N35-O35-P35-Q35</f>
      </c>
      <c r="T35" s="4">
        <f>(S35-V35)/I35*100</f>
      </c>
      <c r="U35" s="4">
        <f>L35-R35</f>
      </c>
      <c r="W35" s="4">
        <f>S35-V35</f>
      </c>
      <c r="AB35" t="s">
        <v>1</v>
      </c>
    </row>
    <row r="36" spans="1:28" x14ac:dyDescent="0.25">
      <c r="A36" s="8">
        <v>46231.5</v>
      </c>
      <c r="B36" t="s">
        <v>2395</v>
      </c>
      <c r="C36" t="s">
        <v>189</v>
      </c>
      <c r="D36" s="9" t="s">
        <v>1</v>
      </c>
      <c r="E36" t="s">
        <v>189</v>
      </c>
      <c r="F36" t="s">
        <v>1</v>
      </c>
      <c r="G36" t="s">
        <v>1</v>
      </c>
      <c r="H36" t="s">
        <v>66</v>
      </c>
      <c r="I36" s="4">
        <v>3.5</v>
      </c>
      <c r="J36" s="4">
        <v>4.3</v>
      </c>
      <c r="K36" s="4">
        <f>J36-I36</f>
      </c>
      <c r="L36" s="4">
        <f>K36*16.67%</f>
      </c>
      <c r="M36" s="4">
        <f>J36*7%</f>
      </c>
      <c r="N36" s="4">
        <f>M36*20%</f>
      </c>
      <c r="O36" s="4">
        <v>0</v>
      </c>
      <c r="P36" s="4">
        <f>O36*20%</f>
      </c>
      <c r="Q36" s="4">
        <v>0</v>
      </c>
      <c r="R36" s="4">
        <f>N36+P36</f>
      </c>
      <c r="S36" s="4">
        <f>K36-L36-M36-N36-O36-P36-Q36</f>
      </c>
      <c r="T36" s="4">
        <f>(S36-V36)/I36*100</f>
      </c>
      <c r="U36" s="4">
        <f>L36-R36</f>
      </c>
      <c r="W36" s="4">
        <f>S36-V36</f>
      </c>
      <c r="AB36" t="s">
        <v>1</v>
      </c>
    </row>
    <row r="37" spans="1:28" x14ac:dyDescent="0.25">
      <c r="A37" s="8">
        <v>46231.5</v>
      </c>
      <c r="B37" t="s">
        <v>2396</v>
      </c>
      <c r="C37" t="s">
        <v>174</v>
      </c>
      <c r="D37" s="9" t="s">
        <v>1</v>
      </c>
      <c r="E37" t="s">
        <v>174</v>
      </c>
      <c r="F37" t="s">
        <v>1</v>
      </c>
      <c r="G37" t="s">
        <v>1</v>
      </c>
      <c r="H37" t="s">
        <v>66</v>
      </c>
      <c r="I37" s="4">
        <v>4.25</v>
      </c>
      <c r="J37" s="4">
        <v>4.97</v>
      </c>
      <c r="K37" s="4">
        <f>J37-I37</f>
      </c>
      <c r="L37" s="4">
        <f>K37*16.67%</f>
      </c>
      <c r="M37" s="4">
        <f>J37*7%</f>
      </c>
      <c r="N37" s="4">
        <f>M37*20%</f>
      </c>
      <c r="O37" s="4">
        <v>0</v>
      </c>
      <c r="P37" s="4">
        <f>O37*20%</f>
      </c>
      <c r="Q37" s="4">
        <v>0</v>
      </c>
      <c r="R37" s="4">
        <f>N37+P37</f>
      </c>
      <c r="S37" s="4">
        <f>K37-L37-M37-N37-O37-P37-Q37</f>
      </c>
      <c r="T37" s="4">
        <f>(S37-V37)/I37*100</f>
      </c>
      <c r="U37" s="4">
        <f>L37-R37</f>
      </c>
      <c r="W37" s="4">
        <f>S37-V37</f>
      </c>
      <c r="AB37" t="s">
        <v>1</v>
      </c>
    </row>
    <row r="38" spans="1:28" x14ac:dyDescent="0.25">
      <c r="A38" s="8">
        <v>46231.5</v>
      </c>
      <c r="B38" t="s">
        <v>2397</v>
      </c>
      <c r="C38" t="s">
        <v>254</v>
      </c>
      <c r="D38" s="9" t="s">
        <v>1</v>
      </c>
      <c r="E38" t="s">
        <v>254</v>
      </c>
      <c r="F38" t="s">
        <v>1</v>
      </c>
      <c r="G38" t="s">
        <v>1</v>
      </c>
      <c r="H38" t="s">
        <v>61</v>
      </c>
      <c r="I38" s="4">
        <v>0.8</v>
      </c>
      <c r="J38" s="4">
        <v>1.01</v>
      </c>
      <c r="K38" s="4">
        <f>J38-I38</f>
      </c>
      <c r="L38" s="4">
        <f>K38*16.67%</f>
      </c>
      <c r="M38" s="4">
        <f>J38*7%</f>
      </c>
      <c r="N38" s="4">
        <f>M38*20%</f>
      </c>
      <c r="O38" s="4">
        <v>0</v>
      </c>
      <c r="P38" s="4">
        <f>O38*20%</f>
      </c>
      <c r="Q38" s="4">
        <v>0</v>
      </c>
      <c r="R38" s="4">
        <f>N38+P38</f>
      </c>
      <c r="S38" s="4">
        <f>K38-L38-M38-N38-O38-P38-Q38</f>
      </c>
      <c r="T38" s="4">
        <f>(S38-V38)/I38*100</f>
      </c>
      <c r="U38" s="4">
        <f>L38-R38</f>
      </c>
      <c r="W38" s="4">
        <f>S38-V38</f>
      </c>
      <c r="AB38" t="s">
        <v>1</v>
      </c>
    </row>
    <row r="39" spans="1:28" x14ac:dyDescent="0.25">
      <c r="A39" s="8">
        <v>46231.5</v>
      </c>
      <c r="B39" t="s">
        <v>2398</v>
      </c>
      <c r="C39" t="s">
        <v>182</v>
      </c>
      <c r="D39" s="9" t="s">
        <v>1</v>
      </c>
      <c r="E39" t="s">
        <v>182</v>
      </c>
      <c r="F39" t="s">
        <v>1</v>
      </c>
      <c r="G39" t="s">
        <v>1</v>
      </c>
      <c r="H39" t="s">
        <v>75</v>
      </c>
      <c r="I39" s="4">
        <v>1.9</v>
      </c>
      <c r="J39" s="4">
        <v>2.6</v>
      </c>
      <c r="K39" s="4">
        <f>J39-I39</f>
      </c>
      <c r="L39" s="4">
        <f>K39*16.67%</f>
      </c>
      <c r="M39" s="4">
        <f>J39*7%</f>
      </c>
      <c r="N39" s="4">
        <f>M39*20%</f>
      </c>
      <c r="O39" s="4">
        <v>0</v>
      </c>
      <c r="P39" s="4">
        <f>O39*20%</f>
      </c>
      <c r="Q39" s="4">
        <v>0</v>
      </c>
      <c r="R39" s="4">
        <f>N39+P39</f>
      </c>
      <c r="S39" s="4">
        <f>K39-L39-M39-N39-O39-P39-Q39</f>
      </c>
      <c r="T39" s="4">
        <f>(S39-V39)/I39*100</f>
      </c>
      <c r="U39" s="4">
        <f>L39-R39</f>
      </c>
      <c r="W39" s="4">
        <f>S39-V39</f>
      </c>
      <c r="AB39" t="s">
        <v>1</v>
      </c>
    </row>
    <row r="40" spans="1:28" x14ac:dyDescent="0.25">
      <c r="A40" s="8">
        <v>46231.5</v>
      </c>
      <c r="B40" t="s">
        <v>2399</v>
      </c>
      <c r="C40" t="s">
        <v>182</v>
      </c>
      <c r="D40" s="9" t="s">
        <v>1</v>
      </c>
      <c r="E40" t="s">
        <v>182</v>
      </c>
      <c r="F40" t="s">
        <v>1</v>
      </c>
      <c r="G40" t="s">
        <v>1</v>
      </c>
      <c r="H40" t="s">
        <v>75</v>
      </c>
      <c r="I40" s="4">
        <v>1.9</v>
      </c>
      <c r="J40" s="4">
        <v>2.72</v>
      </c>
      <c r="K40" s="4">
        <f>J40-I40</f>
      </c>
      <c r="L40" s="4">
        <f>K40*16.67%</f>
      </c>
      <c r="M40" s="4">
        <f>J40*7%</f>
      </c>
      <c r="N40" s="4">
        <f>M40*20%</f>
      </c>
      <c r="O40" s="4">
        <v>0</v>
      </c>
      <c r="P40" s="4">
        <f>O40*20%</f>
      </c>
      <c r="Q40" s="4">
        <v>0</v>
      </c>
      <c r="R40" s="4">
        <f>N40+P40</f>
      </c>
      <c r="S40" s="4">
        <f>K40-L40-M40-N40-O40-P40-Q40</f>
      </c>
      <c r="T40" s="4">
        <f>(S40-V40)/I40*100</f>
      </c>
      <c r="U40" s="4">
        <f>L40-R40</f>
      </c>
      <c r="W40" s="4">
        <f>S40-V40</f>
      </c>
      <c r="AB40" t="s">
        <v>1</v>
      </c>
    </row>
    <row r="41" spans="1:28" x14ac:dyDescent="0.25">
      <c r="A41" s="8">
        <v>46231.5</v>
      </c>
      <c r="B41" t="s">
        <v>2400</v>
      </c>
      <c r="C41" t="s">
        <v>185</v>
      </c>
      <c r="D41" s="9" t="s">
        <v>1</v>
      </c>
      <c r="E41" t="s">
        <v>185</v>
      </c>
      <c r="F41" t="s">
        <v>1</v>
      </c>
      <c r="G41" t="s">
        <v>1</v>
      </c>
      <c r="H41" t="s">
        <v>102</v>
      </c>
      <c r="I41" s="4">
        <v>1.2</v>
      </c>
      <c r="J41" s="4">
        <v>1.46</v>
      </c>
      <c r="K41" s="4">
        <f>J41-I41</f>
      </c>
      <c r="L41" s="4">
        <f>K41*16.67%</f>
      </c>
      <c r="M41" s="4">
        <f>J41*7%</f>
      </c>
      <c r="N41" s="4">
        <f>M41*20%</f>
      </c>
      <c r="O41" s="4">
        <v>0</v>
      </c>
      <c r="P41" s="4">
        <f>O41*20%</f>
      </c>
      <c r="Q41" s="4">
        <v>0</v>
      </c>
      <c r="R41" s="4">
        <f>N41+P41</f>
      </c>
      <c r="S41" s="4">
        <f>K41-L41-M41-N41-O41-P41-Q41</f>
      </c>
      <c r="T41" s="4">
        <f>(S41-V41)/I41*100</f>
      </c>
      <c r="U41" s="4">
        <f>L41-R41</f>
      </c>
      <c r="W41" s="4">
        <f>S41-V41</f>
      </c>
      <c r="AB41" t="s">
        <v>1</v>
      </c>
    </row>
    <row r="42" spans="1:28" x14ac:dyDescent="0.25">
      <c r="A42" s="8">
        <v>46231.5</v>
      </c>
      <c r="B42" t="s">
        <v>2401</v>
      </c>
      <c r="C42" t="s">
        <v>1</v>
      </c>
      <c r="D42" s="9" t="s">
        <v>1</v>
      </c>
      <c r="E42" t="s">
        <v>1</v>
      </c>
      <c r="F42" t="s">
        <v>1</v>
      </c>
      <c r="G42" t="s">
        <v>1</v>
      </c>
      <c r="H42" t="s">
        <v>75</v>
      </c>
      <c r="I42" s="4">
        <v>607</v>
      </c>
      <c r="J42" s="4">
        <v>813.38</v>
      </c>
      <c r="K42" s="4">
        <f>J42-I42</f>
      </c>
      <c r="L42" s="4">
        <f>K42*16.67%</f>
      </c>
      <c r="M42" s="4">
        <f>J42*7%</f>
      </c>
      <c r="N42" s="4">
        <f>M42*20%</f>
      </c>
      <c r="O42" s="4">
        <v>0</v>
      </c>
      <c r="P42" s="4">
        <f>O42*20%</f>
      </c>
      <c r="Q42" s="4">
        <v>1</v>
      </c>
      <c r="R42" s="4">
        <f>N42+P42</f>
      </c>
      <c r="S42" s="4">
        <f>K42-L42-M42-N42-O42-P42-Q42</f>
      </c>
      <c r="T42" s="4">
        <f>(S42-V42)/I42*100</f>
      </c>
      <c r="U42" s="4">
        <f>L42-R42</f>
      </c>
      <c r="W42" s="4">
        <f>S42-V42</f>
      </c>
      <c r="AB42" t="s">
        <v>1</v>
      </c>
    </row>
    <row r="43" spans="1:28" x14ac:dyDescent="0.25">
      <c r="A43" s="8">
        <v>46231.5</v>
      </c>
      <c r="B43" t="s">
        <v>2402</v>
      </c>
      <c r="C43" t="s">
        <v>1</v>
      </c>
      <c r="D43" s="9" t="s">
        <v>1</v>
      </c>
      <c r="E43" t="s">
        <v>1</v>
      </c>
      <c r="F43" t="s">
        <v>1</v>
      </c>
      <c r="G43" t="s">
        <v>1</v>
      </c>
      <c r="H43" t="s">
        <v>78</v>
      </c>
      <c r="I43" s="4">
        <v>193</v>
      </c>
      <c r="J43" s="4">
        <v>221.95</v>
      </c>
      <c r="K43" s="4">
        <f>J43-I43</f>
      </c>
      <c r="L43" s="4">
        <f>K43*16.67%</f>
      </c>
      <c r="M43" s="4">
        <f>J43*7%</f>
      </c>
      <c r="N43" s="4">
        <f>M43*20%</f>
      </c>
      <c r="O43" s="4">
        <v>0</v>
      </c>
      <c r="P43" s="4">
        <f>O43*20%</f>
      </c>
      <c r="Q43" s="4">
        <v>1</v>
      </c>
      <c r="R43" s="4">
        <f>N43+P43</f>
      </c>
      <c r="S43" s="4">
        <f>K43-L43-M43-N43-O43-P43-Q43</f>
      </c>
      <c r="T43" s="4">
        <f>(S43-V43)/I43*100</f>
      </c>
      <c r="U43" s="4">
        <f>L43-R43</f>
      </c>
      <c r="W43" s="4">
        <f>S43-V43</f>
      </c>
      <c r="AB43" t="s">
        <v>1</v>
      </c>
    </row>
    <row r="44" spans="1:28" x14ac:dyDescent="0.25">
      <c r="A44" s="8">
        <v>46229.5</v>
      </c>
      <c r="B44" t="s">
        <v>2403</v>
      </c>
      <c r="C44" t="s">
        <v>1</v>
      </c>
      <c r="D44" s="9" t="s">
        <v>2404</v>
      </c>
      <c r="E44" t="s">
        <v>292</v>
      </c>
      <c r="F44" t="s">
        <v>59</v>
      </c>
      <c r="G44" t="s">
        <v>126</v>
      </c>
      <c r="H44" t="s">
        <v>61</v>
      </c>
      <c r="I44" s="4">
        <v>194</v>
      </c>
      <c r="J44" s="4">
        <v>248.32</v>
      </c>
      <c r="K44" s="4">
        <f>J44-I44</f>
      </c>
      <c r="L44" s="4">
        <f>K44*16.67%</f>
      </c>
      <c r="M44" s="4">
        <f>J44*7%</f>
      </c>
      <c r="N44" s="4">
        <f>M44*20%</f>
      </c>
      <c r="O44" s="4">
        <v>0</v>
      </c>
      <c r="P44" s="4">
        <f>O44*20%</f>
      </c>
      <c r="Q44" s="4">
        <v>1</v>
      </c>
      <c r="R44" s="4">
        <f>N44+P44</f>
      </c>
      <c r="S44" s="4">
        <f>K44-L44-M44-N44-O44-P44-Q44</f>
      </c>
      <c r="T44" s="4">
        <f>(S44-V44)/I44*100</f>
      </c>
      <c r="U44" s="4">
        <f>L44-R44</f>
      </c>
      <c r="W44" s="4">
        <f>S44-V44</f>
      </c>
      <c r="AB44" t="s">
        <v>1</v>
      </c>
    </row>
    <row r="45" spans="1:28" x14ac:dyDescent="0.25">
      <c r="A45" s="8">
        <v>46229.5</v>
      </c>
      <c r="B45" t="s">
        <v>2405</v>
      </c>
      <c r="C45" t="s">
        <v>1</v>
      </c>
      <c r="D45" s="9" t="s">
        <v>2406</v>
      </c>
      <c r="E45" t="s">
        <v>131</v>
      </c>
      <c r="F45" t="s">
        <v>99</v>
      </c>
      <c r="G45" t="s">
        <v>65</v>
      </c>
      <c r="H45" t="s">
        <v>102</v>
      </c>
      <c r="I45" s="4">
        <v>335</v>
      </c>
      <c r="J45" s="4">
        <v>485.75</v>
      </c>
      <c r="K45" s="4">
        <f>J45-I45</f>
      </c>
      <c r="L45" s="4">
        <f>K45*16.67%</f>
      </c>
      <c r="M45" s="4">
        <f>J45*7%</f>
      </c>
      <c r="N45" s="4">
        <f>M45*20%</f>
      </c>
      <c r="O45" s="4">
        <v>0</v>
      </c>
      <c r="P45" s="4">
        <f>O45*20%</f>
      </c>
      <c r="Q45" s="4">
        <v>1</v>
      </c>
      <c r="R45" s="4">
        <f>N45+P45</f>
      </c>
      <c r="S45" s="4">
        <f>K45-L45-M45-N45-O45-P45-Q45</f>
      </c>
      <c r="T45" s="4">
        <f>(S45-V45)/I45*100</f>
      </c>
      <c r="U45" s="4">
        <f>L45-R45</f>
      </c>
      <c r="W45" s="4">
        <f>S45-V45</f>
      </c>
      <c r="AB45" t="s">
        <v>1</v>
      </c>
    </row>
    <row r="46" spans="1:28" x14ac:dyDescent="0.25">
      <c r="A46" s="8">
        <v>46229.5</v>
      </c>
      <c r="B46" t="s">
        <v>2407</v>
      </c>
      <c r="C46" t="s">
        <v>174</v>
      </c>
      <c r="D46" s="9" t="s">
        <v>1</v>
      </c>
      <c r="E46" t="s">
        <v>174</v>
      </c>
      <c r="F46" t="s">
        <v>1</v>
      </c>
      <c r="G46" t="s">
        <v>1</v>
      </c>
      <c r="H46" t="s">
        <v>66</v>
      </c>
      <c r="I46" s="4">
        <v>4.25</v>
      </c>
      <c r="J46" s="4">
        <v>6.12</v>
      </c>
      <c r="K46" s="4">
        <f>J46-I46</f>
      </c>
      <c r="L46" s="4">
        <f>K46*16.67%</f>
      </c>
      <c r="M46" s="4">
        <f>J46*7%</f>
      </c>
      <c r="N46" s="4">
        <f>M46*20%</f>
      </c>
      <c r="O46" s="4">
        <v>0</v>
      </c>
      <c r="P46" s="4">
        <f>O46*20%</f>
      </c>
      <c r="Q46" s="4">
        <v>0</v>
      </c>
      <c r="R46" s="4">
        <f>N46+P46</f>
      </c>
      <c r="S46" s="4">
        <f>K46-L46-M46-N46-O46-P46-Q46</f>
      </c>
      <c r="T46" s="4">
        <f>(S46-V46)/I46*100</f>
      </c>
      <c r="U46" s="4">
        <f>L46-R46</f>
      </c>
      <c r="W46" s="4">
        <f>S46-V46</f>
      </c>
      <c r="AB46" t="s">
        <v>1</v>
      </c>
    </row>
    <row r="47" spans="1:28" x14ac:dyDescent="0.25">
      <c r="A47" s="8">
        <v>46229.5</v>
      </c>
      <c r="B47" t="s">
        <v>2408</v>
      </c>
      <c r="C47" t="s">
        <v>1</v>
      </c>
      <c r="D47" s="9" t="s">
        <v>1</v>
      </c>
      <c r="E47" t="s">
        <v>1</v>
      </c>
      <c r="F47" t="s">
        <v>1</v>
      </c>
      <c r="G47" t="s">
        <v>1</v>
      </c>
      <c r="H47" t="s">
        <v>61</v>
      </c>
      <c r="I47" s="4">
        <v>155</v>
      </c>
      <c r="J47" s="4">
        <v>218.55</v>
      </c>
      <c r="K47" s="4">
        <f>J47-I47</f>
      </c>
      <c r="L47" s="4">
        <f>K47*16.67%</f>
      </c>
      <c r="M47" s="4">
        <f>J47*7%</f>
      </c>
      <c r="N47" s="4">
        <f>M47*20%</f>
      </c>
      <c r="O47" s="4">
        <v>0</v>
      </c>
      <c r="P47" s="4">
        <f>O47*20%</f>
      </c>
      <c r="Q47" s="4">
        <v>1</v>
      </c>
      <c r="R47" s="4">
        <f>N47+P47</f>
      </c>
      <c r="S47" s="4">
        <f>K47-L47-M47-N47-O47-P47-Q47</f>
      </c>
      <c r="T47" s="4">
        <f>(S47-V47)/I47*100</f>
      </c>
      <c r="U47" s="4">
        <f>L47-R47</f>
      </c>
      <c r="W47" s="4">
        <f>S47-V47</f>
      </c>
      <c r="AB47" t="s">
        <v>1</v>
      </c>
    </row>
    <row r="48" spans="1:28" x14ac:dyDescent="0.25">
      <c r="A48" s="8">
        <v>46228.5</v>
      </c>
      <c r="B48" t="s">
        <v>2409</v>
      </c>
      <c r="C48" t="s">
        <v>1</v>
      </c>
      <c r="D48" s="9" t="s">
        <v>2410</v>
      </c>
      <c r="E48" t="s">
        <v>94</v>
      </c>
      <c r="F48" t="s">
        <v>105</v>
      </c>
      <c r="G48" t="s">
        <v>95</v>
      </c>
      <c r="H48" t="s">
        <v>102</v>
      </c>
      <c r="I48" s="4">
        <v>71</v>
      </c>
      <c r="J48" s="4">
        <v>84.49</v>
      </c>
      <c r="K48" s="4">
        <f>J48-I48</f>
      </c>
      <c r="L48" s="4">
        <f>K48*16.67%</f>
      </c>
      <c r="M48" s="4">
        <f>J48*7%</f>
      </c>
      <c r="N48" s="4">
        <f>M48*20%</f>
      </c>
      <c r="O48" s="4">
        <v>0</v>
      </c>
      <c r="P48" s="4">
        <f>O48*20%</f>
      </c>
      <c r="Q48" s="4">
        <v>1</v>
      </c>
      <c r="R48" s="4">
        <f>N48+P48</f>
      </c>
      <c r="S48" s="4">
        <f>K48-L48-M48-N48-O48-P48-Q48</f>
      </c>
      <c r="T48" s="4">
        <f>(S48-V48)/I48*100</f>
      </c>
      <c r="U48" s="4">
        <f>L48-R48</f>
      </c>
      <c r="W48" s="4">
        <f>S48-V48</f>
      </c>
      <c r="AB48" t="s">
        <v>1</v>
      </c>
    </row>
    <row r="49" spans="1:28" x14ac:dyDescent="0.25">
      <c r="A49" s="8">
        <v>46228.5</v>
      </c>
      <c r="B49" t="s">
        <v>2411</v>
      </c>
      <c r="C49" t="s">
        <v>1</v>
      </c>
      <c r="D49" s="9" t="s">
        <v>2412</v>
      </c>
      <c r="E49" t="s">
        <v>134</v>
      </c>
      <c r="F49" t="s">
        <v>88</v>
      </c>
      <c r="G49" t="s">
        <v>65</v>
      </c>
      <c r="H49" t="s">
        <v>102</v>
      </c>
      <c r="I49" s="4">
        <v>140</v>
      </c>
      <c r="J49" s="4">
        <v>194.6</v>
      </c>
      <c r="K49" s="4">
        <f>J49-I49</f>
      </c>
      <c r="L49" s="4">
        <f>K49*16.67%</f>
      </c>
      <c r="M49" s="4">
        <f>J49*7%</f>
      </c>
      <c r="N49" s="4">
        <f>M49*20%</f>
      </c>
      <c r="O49" s="4">
        <v>0</v>
      </c>
      <c r="P49" s="4">
        <f>O49*20%</f>
      </c>
      <c r="Q49" s="4">
        <v>1</v>
      </c>
      <c r="R49" s="4">
        <f>N49+P49</f>
      </c>
      <c r="S49" s="4">
        <f>K49-L49-M49-N49-O49-P49-Q49</f>
      </c>
      <c r="T49" s="4">
        <f>(S49-V49)/I49*100</f>
      </c>
      <c r="U49" s="4">
        <f>L49-R49</f>
      </c>
      <c r="W49" s="4">
        <f>S49-V49</f>
      </c>
      <c r="AB49" t="s">
        <v>1</v>
      </c>
    </row>
    <row r="50" spans="1:28" x14ac:dyDescent="0.25">
      <c r="A50" s="8">
        <v>46228.5</v>
      </c>
      <c r="B50" t="s">
        <v>2413</v>
      </c>
      <c r="C50" t="s">
        <v>1</v>
      </c>
      <c r="D50" s="9" t="s">
        <v>2414</v>
      </c>
      <c r="E50" t="s">
        <v>172</v>
      </c>
      <c r="F50" t="s">
        <v>88</v>
      </c>
      <c r="G50" t="s">
        <v>65</v>
      </c>
      <c r="H50" t="s">
        <v>78</v>
      </c>
      <c r="I50" s="4">
        <v>174</v>
      </c>
      <c r="J50" s="4">
        <v>250.56</v>
      </c>
      <c r="K50" s="4">
        <f>J50-I50</f>
      </c>
      <c r="L50" s="4">
        <f>K50*16.67%</f>
      </c>
      <c r="M50" s="4">
        <f>J50*7%</f>
      </c>
      <c r="N50" s="4">
        <f>M50*20%</f>
      </c>
      <c r="O50" s="4">
        <v>0</v>
      </c>
      <c r="P50" s="4">
        <f>O50*20%</f>
      </c>
      <c r="Q50" s="4">
        <v>1</v>
      </c>
      <c r="R50" s="4">
        <f>N50+P50</f>
      </c>
      <c r="S50" s="4">
        <f>K50-L50-M50-N50-O50-P50-Q50</f>
      </c>
      <c r="T50" s="4">
        <f>(S50-V50)/I50*100</f>
      </c>
      <c r="U50" s="4">
        <f>L50-R50</f>
      </c>
      <c r="W50" s="4">
        <f>S50-V50</f>
      </c>
      <c r="AB50" t="s">
        <v>1</v>
      </c>
    </row>
    <row r="51" spans="1:28" x14ac:dyDescent="0.25">
      <c r="A51" s="8">
        <v>46228.5</v>
      </c>
      <c r="B51" t="s">
        <v>2415</v>
      </c>
      <c r="C51" t="s">
        <v>1</v>
      </c>
      <c r="D51" s="9" t="s">
        <v>2416</v>
      </c>
      <c r="E51" t="s">
        <v>98</v>
      </c>
      <c r="F51" t="s">
        <v>59</v>
      </c>
      <c r="G51" t="s">
        <v>65</v>
      </c>
      <c r="H51" t="s">
        <v>102</v>
      </c>
      <c r="I51" s="4">
        <v>306</v>
      </c>
      <c r="J51" s="4">
        <v>397.8</v>
      </c>
      <c r="K51" s="4">
        <f>J51-I51</f>
      </c>
      <c r="L51" s="4">
        <f>K51*16.67%</f>
      </c>
      <c r="M51" s="4">
        <f>J51*7%</f>
      </c>
      <c r="N51" s="4">
        <f>M51*20%</f>
      </c>
      <c r="O51" s="4">
        <v>0</v>
      </c>
      <c r="P51" s="4">
        <f>O51*20%</f>
      </c>
      <c r="Q51" s="4">
        <v>1</v>
      </c>
      <c r="R51" s="4">
        <f>N51+P51</f>
      </c>
      <c r="S51" s="4">
        <f>K51-L51-M51-N51-O51-P51-Q51</f>
      </c>
      <c r="T51" s="4">
        <f>(S51-V51)/I51*100</f>
      </c>
      <c r="U51" s="4">
        <f>L51-R51</f>
      </c>
      <c r="W51" s="4">
        <f>S51-V51</f>
      </c>
      <c r="AB51" t="s">
        <v>1</v>
      </c>
    </row>
    <row r="52" spans="1:28" x14ac:dyDescent="0.25">
      <c r="A52" s="8">
        <v>46228.5</v>
      </c>
      <c r="B52" t="s">
        <v>2417</v>
      </c>
      <c r="C52" t="s">
        <v>1</v>
      </c>
      <c r="D52" s="9" t="s">
        <v>2418</v>
      </c>
      <c r="E52" t="s">
        <v>292</v>
      </c>
      <c r="F52" t="s">
        <v>70</v>
      </c>
      <c r="G52" t="s">
        <v>126</v>
      </c>
      <c r="H52" t="s">
        <v>78</v>
      </c>
      <c r="I52" s="4">
        <v>201</v>
      </c>
      <c r="J52" s="4">
        <v>269.34</v>
      </c>
      <c r="K52" s="4">
        <f>J52-I52</f>
      </c>
      <c r="L52" s="4">
        <f>K52*16.67%</f>
      </c>
      <c r="M52" s="4">
        <f>J52*7%</f>
      </c>
      <c r="N52" s="4">
        <f>M52*20%</f>
      </c>
      <c r="O52" s="4">
        <v>0</v>
      </c>
      <c r="P52" s="4">
        <f>O52*20%</f>
      </c>
      <c r="Q52" s="4">
        <v>1</v>
      </c>
      <c r="R52" s="4">
        <f>N52+P52</f>
      </c>
      <c r="S52" s="4">
        <f>K52-L52-M52-N52-O52-P52-Q52</f>
      </c>
      <c r="T52" s="4">
        <f>(S52-V52)/I52*100</f>
      </c>
      <c r="U52" s="4">
        <f>L52-R52</f>
      </c>
      <c r="W52" s="4">
        <f>S52-V52</f>
      </c>
      <c r="AB52" t="s">
        <v>1</v>
      </c>
    </row>
    <row r="53" spans="1:28" x14ac:dyDescent="0.25">
      <c r="A53" s="8">
        <v>46228.5</v>
      </c>
      <c r="B53" t="s">
        <v>2419</v>
      </c>
      <c r="C53" t="s">
        <v>189</v>
      </c>
      <c r="D53" s="9" t="s">
        <v>1</v>
      </c>
      <c r="E53" t="s">
        <v>189</v>
      </c>
      <c r="F53" t="s">
        <v>1</v>
      </c>
      <c r="G53" t="s">
        <v>1</v>
      </c>
      <c r="H53" t="s">
        <v>66</v>
      </c>
      <c r="I53" s="4">
        <v>3.5</v>
      </c>
      <c r="J53" s="4">
        <v>4.97</v>
      </c>
      <c r="K53" s="4">
        <f>J53-I53</f>
      </c>
      <c r="L53" s="4">
        <f>K53*16.67%</f>
      </c>
      <c r="M53" s="4">
        <f>J53*7%</f>
      </c>
      <c r="N53" s="4">
        <f>M53*20%</f>
      </c>
      <c r="O53" s="4">
        <v>0</v>
      </c>
      <c r="P53" s="4">
        <f>O53*20%</f>
      </c>
      <c r="Q53" s="4">
        <v>0</v>
      </c>
      <c r="R53" s="4">
        <f>N53+P53</f>
      </c>
      <c r="S53" s="4">
        <f>K53-L53-M53-N53-O53-P53-Q53</f>
      </c>
      <c r="T53" s="4">
        <f>(S53-V53)/I53*100</f>
      </c>
      <c r="U53" s="4">
        <f>L53-R53</f>
      </c>
      <c r="W53" s="4">
        <f>S53-V53</f>
      </c>
      <c r="AB53" t="s">
        <v>1</v>
      </c>
    </row>
    <row r="54" spans="1:28" x14ac:dyDescent="0.25">
      <c r="A54" s="8">
        <v>46227.5</v>
      </c>
      <c r="B54" t="s">
        <v>2420</v>
      </c>
      <c r="C54" t="s">
        <v>1</v>
      </c>
      <c r="D54" s="9" t="s">
        <v>2421</v>
      </c>
      <c r="E54" t="s">
        <v>131</v>
      </c>
      <c r="F54" t="s">
        <v>88</v>
      </c>
      <c r="G54" t="s">
        <v>65</v>
      </c>
      <c r="H54" t="s">
        <v>75</v>
      </c>
      <c r="I54" s="4">
        <v>328</v>
      </c>
      <c r="J54" s="4">
        <v>387.04</v>
      </c>
      <c r="K54" s="4">
        <f>J54-I54</f>
      </c>
      <c r="L54" s="4">
        <f>K54*16.67%</f>
      </c>
      <c r="M54" s="4">
        <f>J54*7%</f>
      </c>
      <c r="N54" s="4">
        <f>M54*20%</f>
      </c>
      <c r="O54" s="4">
        <v>0</v>
      </c>
      <c r="P54" s="4">
        <f>O54*20%</f>
      </c>
      <c r="Q54" s="4">
        <v>1</v>
      </c>
      <c r="R54" s="4">
        <f>N54+P54</f>
      </c>
      <c r="S54" s="4">
        <f>K54-L54-M54-N54-O54-P54-Q54</f>
      </c>
      <c r="T54" s="4">
        <f>(S54-V54)/I54*100</f>
      </c>
      <c r="U54" s="4">
        <f>L54-R54</f>
      </c>
      <c r="W54" s="4">
        <f>S54-V54</f>
      </c>
      <c r="AB54" t="s">
        <v>1</v>
      </c>
    </row>
    <row r="55" spans="1:28" x14ac:dyDescent="0.25">
      <c r="A55" s="8">
        <v>46227.5</v>
      </c>
      <c r="B55" t="s">
        <v>2422</v>
      </c>
      <c r="C55" t="s">
        <v>1</v>
      </c>
      <c r="D55" s="9" t="s">
        <v>2423</v>
      </c>
      <c r="E55" t="s">
        <v>134</v>
      </c>
      <c r="F55" t="s">
        <v>70</v>
      </c>
      <c r="G55" t="s">
        <v>95</v>
      </c>
      <c r="H55" t="s">
        <v>61</v>
      </c>
      <c r="I55" s="4">
        <v>110</v>
      </c>
      <c r="J55" s="4">
        <v>135.3</v>
      </c>
      <c r="K55" s="4">
        <f>J55-I55</f>
      </c>
      <c r="L55" s="4">
        <f>K55*16.67%</f>
      </c>
      <c r="M55" s="4">
        <f>J55*7%</f>
      </c>
      <c r="N55" s="4">
        <f>M55*20%</f>
      </c>
      <c r="O55" s="4">
        <v>0</v>
      </c>
      <c r="P55" s="4">
        <f>O55*20%</f>
      </c>
      <c r="Q55" s="4">
        <v>1</v>
      </c>
      <c r="R55" s="4">
        <f>N55+P55</f>
      </c>
      <c r="S55" s="4">
        <f>K55-L55-M55-N55-O55-P55-Q55</f>
      </c>
      <c r="T55" s="4">
        <f>(S55-V55)/I55*100</f>
      </c>
      <c r="U55" s="4">
        <f>L55-R55</f>
      </c>
      <c r="W55" s="4">
        <f>S55-V55</f>
      </c>
      <c r="AB55" t="s">
        <v>1</v>
      </c>
    </row>
    <row r="56" spans="1:28" x14ac:dyDescent="0.25">
      <c r="A56" s="8">
        <v>46227.5</v>
      </c>
      <c r="B56" t="s">
        <v>2424</v>
      </c>
      <c r="C56" t="s">
        <v>1</v>
      </c>
      <c r="D56" s="9" t="s">
        <v>2425</v>
      </c>
      <c r="E56" t="s">
        <v>114</v>
      </c>
      <c r="F56" t="s">
        <v>85</v>
      </c>
      <c r="G56" t="s">
        <v>60</v>
      </c>
      <c r="H56" t="s">
        <v>102</v>
      </c>
      <c r="I56" s="4">
        <v>251</v>
      </c>
      <c r="J56" s="4">
        <v>333.83</v>
      </c>
      <c r="K56" s="4">
        <f>J56-I56</f>
      </c>
      <c r="L56" s="4">
        <f>K56*16.67%</f>
      </c>
      <c r="M56" s="4">
        <f>J56*7%</f>
      </c>
      <c r="N56" s="4">
        <f>M56*20%</f>
      </c>
      <c r="O56" s="4">
        <v>0</v>
      </c>
      <c r="P56" s="4">
        <f>O56*20%</f>
      </c>
      <c r="Q56" s="4">
        <v>1</v>
      </c>
      <c r="R56" s="4">
        <f>N56+P56</f>
      </c>
      <c r="S56" s="4">
        <f>K56-L56-M56-N56-O56-P56-Q56</f>
      </c>
      <c r="T56" s="4">
        <f>(S56-V56)/I56*100</f>
      </c>
      <c r="U56" s="4">
        <f>L56-R56</f>
      </c>
      <c r="W56" s="4">
        <f>S56-V56</f>
      </c>
      <c r="AB56" t="s">
        <v>1</v>
      </c>
    </row>
    <row r="57" spans="1:28" x14ac:dyDescent="0.25">
      <c r="A57" s="8">
        <v>46227.5</v>
      </c>
      <c r="B57" t="s">
        <v>2426</v>
      </c>
      <c r="C57" t="s">
        <v>1</v>
      </c>
      <c r="D57" s="9" t="s">
        <v>2427</v>
      </c>
      <c r="E57" t="s">
        <v>131</v>
      </c>
      <c r="F57" t="s">
        <v>70</v>
      </c>
      <c r="G57" t="s">
        <v>65</v>
      </c>
      <c r="H57" t="s">
        <v>78</v>
      </c>
      <c r="I57" s="4">
        <v>260</v>
      </c>
      <c r="J57" s="4">
        <v>335.4</v>
      </c>
      <c r="K57" s="4">
        <f>J57-I57</f>
      </c>
      <c r="L57" s="4">
        <f>K57*16.67%</f>
      </c>
      <c r="M57" s="4">
        <f>J57*7%</f>
      </c>
      <c r="N57" s="4">
        <f>M57*20%</f>
      </c>
      <c r="O57" s="4">
        <v>0</v>
      </c>
      <c r="P57" s="4">
        <f>O57*20%</f>
      </c>
      <c r="Q57" s="4">
        <v>1</v>
      </c>
      <c r="R57" s="4">
        <f>N57+P57</f>
      </c>
      <c r="S57" s="4">
        <f>K57-L57-M57-N57-O57-P57-Q57</f>
      </c>
      <c r="T57" s="4">
        <f>(S57-V57)/I57*100</f>
      </c>
      <c r="U57" s="4">
        <f>L57-R57</f>
      </c>
      <c r="W57" s="4">
        <f>S57-V57</f>
      </c>
      <c r="AB57" t="s">
        <v>1</v>
      </c>
    </row>
    <row r="58" spans="1:28" x14ac:dyDescent="0.25">
      <c r="A58" s="8">
        <v>46227.5</v>
      </c>
      <c r="B58" t="s">
        <v>2428</v>
      </c>
      <c r="C58" t="s">
        <v>1</v>
      </c>
      <c r="D58" s="9" t="s">
        <v>2429</v>
      </c>
      <c r="E58" t="s">
        <v>292</v>
      </c>
      <c r="F58" t="s">
        <v>99</v>
      </c>
      <c r="G58" t="s">
        <v>126</v>
      </c>
      <c r="H58" t="s">
        <v>75</v>
      </c>
      <c r="I58" s="4">
        <v>194</v>
      </c>
      <c r="J58" s="4">
        <v>223.1</v>
      </c>
      <c r="K58" s="4">
        <f>J58-I58</f>
      </c>
      <c r="L58" s="4">
        <f>K58*16.67%</f>
      </c>
      <c r="M58" s="4">
        <f>J58*7%</f>
      </c>
      <c r="N58" s="4">
        <f>M58*20%</f>
      </c>
      <c r="O58" s="4">
        <v>0</v>
      </c>
      <c r="P58" s="4">
        <f>O58*20%</f>
      </c>
      <c r="Q58" s="4">
        <v>1</v>
      </c>
      <c r="R58" s="4">
        <f>N58+P58</f>
      </c>
      <c r="S58" s="4">
        <f>K58-L58-M58-N58-O58-P58-Q58</f>
      </c>
      <c r="T58" s="4">
        <f>(S58-V58)/I58*100</f>
      </c>
      <c r="U58" s="4">
        <f>L58-R58</f>
      </c>
      <c r="W58" s="4">
        <f>S58-V58</f>
      </c>
      <c r="AB58" t="s">
        <v>1</v>
      </c>
    </row>
    <row r="59" spans="1:28" x14ac:dyDescent="0.25">
      <c r="A59" s="8">
        <v>46227.5</v>
      </c>
      <c r="B59" t="s">
        <v>2430</v>
      </c>
      <c r="C59" t="s">
        <v>1</v>
      </c>
      <c r="D59" s="9" t="s">
        <v>2431</v>
      </c>
      <c r="E59" t="s">
        <v>125</v>
      </c>
      <c r="F59" t="s">
        <v>70</v>
      </c>
      <c r="G59" t="s">
        <v>126</v>
      </c>
      <c r="H59" t="s">
        <v>75</v>
      </c>
      <c r="I59" s="4">
        <v>258</v>
      </c>
      <c r="J59" s="4">
        <v>337.98</v>
      </c>
      <c r="K59" s="4">
        <f>J59-I59</f>
      </c>
      <c r="L59" s="4">
        <f>K59*16.67%</f>
      </c>
      <c r="M59" s="4">
        <f>J59*7%</f>
      </c>
      <c r="N59" s="4">
        <f>M59*20%</f>
      </c>
      <c r="O59" s="4">
        <v>0</v>
      </c>
      <c r="P59" s="4">
        <f>O59*20%</f>
      </c>
      <c r="Q59" s="4">
        <v>1</v>
      </c>
      <c r="R59" s="4">
        <f>N59+P59</f>
      </c>
      <c r="S59" s="4">
        <f>K59-L59-M59-N59-O59-P59-Q59</f>
      </c>
      <c r="T59" s="4">
        <f>(S59-V59)/I59*100</f>
      </c>
      <c r="U59" s="4">
        <f>L59-R59</f>
      </c>
      <c r="W59" s="4">
        <f>S59-V59</f>
      </c>
      <c r="AB59" t="s">
        <v>1</v>
      </c>
    </row>
    <row r="60" spans="1:28" x14ac:dyDescent="0.25">
      <c r="A60" s="8">
        <v>46227.5</v>
      </c>
      <c r="B60" t="s">
        <v>2432</v>
      </c>
      <c r="C60" t="s">
        <v>177</v>
      </c>
      <c r="D60" s="9" t="s">
        <v>1</v>
      </c>
      <c r="E60" t="s">
        <v>177</v>
      </c>
      <c r="F60" t="s">
        <v>1</v>
      </c>
      <c r="G60" t="s">
        <v>1</v>
      </c>
      <c r="H60" t="s">
        <v>78</v>
      </c>
      <c r="I60" s="4">
        <v>0.15</v>
      </c>
      <c r="J60" s="4">
        <v>0.18</v>
      </c>
      <c r="K60" s="4">
        <f>J60-I60</f>
      </c>
      <c r="L60" s="4">
        <f>K60*16.67%</f>
      </c>
      <c r="M60" s="4">
        <f>J60*7%</f>
      </c>
      <c r="N60" s="4">
        <f>M60*20%</f>
      </c>
      <c r="O60" s="4">
        <v>0</v>
      </c>
      <c r="P60" s="4">
        <f>O60*20%</f>
      </c>
      <c r="Q60" s="4">
        <v>0</v>
      </c>
      <c r="R60" s="4">
        <f>N60+P60</f>
      </c>
      <c r="S60" s="4">
        <f>K60-L60-M60-N60-O60-P60-Q60</f>
      </c>
      <c r="T60" s="4">
        <f>(S60-V60)/I60*100</f>
      </c>
      <c r="U60" s="4">
        <f>L60-R60</f>
      </c>
      <c r="W60" s="4">
        <f>S60-V60</f>
      </c>
      <c r="AB60" t="s">
        <v>1</v>
      </c>
    </row>
    <row r="61" spans="1:28" x14ac:dyDescent="0.25">
      <c r="A61" s="8">
        <v>46226.5</v>
      </c>
      <c r="B61" t="s">
        <v>2433</v>
      </c>
      <c r="C61" t="s">
        <v>1</v>
      </c>
      <c r="D61" s="9" t="s">
        <v>2434</v>
      </c>
      <c r="E61" t="s">
        <v>84</v>
      </c>
      <c r="F61" t="s">
        <v>85</v>
      </c>
      <c r="G61" t="s">
        <v>60</v>
      </c>
      <c r="H61" t="s">
        <v>61</v>
      </c>
      <c r="I61" s="4">
        <v>752</v>
      </c>
      <c r="J61" s="4">
        <v>1037.76</v>
      </c>
      <c r="K61" s="4">
        <f>J61-I61</f>
      </c>
      <c r="L61" s="4">
        <f>K61*16.67%</f>
      </c>
      <c r="M61" s="4">
        <f>J61*7%</f>
      </c>
      <c r="N61" s="4">
        <f>M61*20%</f>
      </c>
      <c r="O61" s="4">
        <v>0</v>
      </c>
      <c r="P61" s="4">
        <f>O61*20%</f>
      </c>
      <c r="Q61" s="4">
        <v>1</v>
      </c>
      <c r="R61" s="4">
        <f>N61+P61</f>
      </c>
      <c r="S61" s="4">
        <f>K61-L61-M61-N61-O61-P61-Q61</f>
      </c>
      <c r="T61" s="4">
        <f>(S61-V61)/I61*100</f>
      </c>
      <c r="U61" s="4">
        <f>L61-R61</f>
      </c>
      <c r="W61" s="4">
        <f>S61-V61</f>
      </c>
      <c r="AB61" t="s">
        <v>1</v>
      </c>
    </row>
    <row r="62" spans="1:28" x14ac:dyDescent="0.25">
      <c r="A62" s="8">
        <v>46226.5</v>
      </c>
      <c r="B62" t="s">
        <v>2435</v>
      </c>
      <c r="C62" t="s">
        <v>1</v>
      </c>
      <c r="D62" s="9" t="s">
        <v>2436</v>
      </c>
      <c r="E62" t="s">
        <v>114</v>
      </c>
      <c r="F62" t="s">
        <v>70</v>
      </c>
      <c r="G62" t="s">
        <v>60</v>
      </c>
      <c r="H62" t="s">
        <v>66</v>
      </c>
      <c r="I62" s="4">
        <v>184</v>
      </c>
      <c r="J62" s="4">
        <v>253.92</v>
      </c>
      <c r="K62" s="4">
        <f>J62-I62</f>
      </c>
      <c r="L62" s="4">
        <f>K62*16.67%</f>
      </c>
      <c r="M62" s="4">
        <f>J62*7%</f>
      </c>
      <c r="N62" s="4">
        <f>M62*20%</f>
      </c>
      <c r="O62" s="4">
        <v>0</v>
      </c>
      <c r="P62" s="4">
        <f>O62*20%</f>
      </c>
      <c r="Q62" s="4">
        <v>1</v>
      </c>
      <c r="R62" s="4">
        <f>N62+P62</f>
      </c>
      <c r="S62" s="4">
        <f>K62-L62-M62-N62-O62-P62-Q62</f>
      </c>
      <c r="T62" s="4">
        <f>(S62-V62)/I62*100</f>
      </c>
      <c r="U62" s="4">
        <f>L62-R62</f>
      </c>
      <c r="W62" s="4">
        <f>S62-V62</f>
      </c>
      <c r="AB62" t="s">
        <v>1</v>
      </c>
    </row>
    <row r="63" spans="1:28" x14ac:dyDescent="0.25">
      <c r="A63" s="8">
        <v>46226.5</v>
      </c>
      <c r="B63" t="s">
        <v>2437</v>
      </c>
      <c r="C63" t="s">
        <v>1</v>
      </c>
      <c r="D63" s="9" t="s">
        <v>2438</v>
      </c>
      <c r="E63" t="s">
        <v>91</v>
      </c>
      <c r="F63" t="s">
        <v>70</v>
      </c>
      <c r="G63" t="s">
        <v>95</v>
      </c>
      <c r="H63" t="s">
        <v>78</v>
      </c>
      <c r="I63" s="4">
        <v>103</v>
      </c>
      <c r="J63" s="4">
        <v>130.81</v>
      </c>
      <c r="K63" s="4">
        <f>J63-I63</f>
      </c>
      <c r="L63" s="4">
        <f>K63*16.67%</f>
      </c>
      <c r="M63" s="4">
        <f>J63*7%</f>
      </c>
      <c r="N63" s="4">
        <f>M63*20%</f>
      </c>
      <c r="O63" s="4">
        <v>0</v>
      </c>
      <c r="P63" s="4">
        <f>O63*20%</f>
      </c>
      <c r="Q63" s="4">
        <v>1</v>
      </c>
      <c r="R63" s="4">
        <f>N63+P63</f>
      </c>
      <c r="S63" s="4">
        <f>K63-L63-M63-N63-O63-P63-Q63</f>
      </c>
      <c r="T63" s="4">
        <f>(S63-V63)/I63*100</f>
      </c>
      <c r="U63" s="4">
        <f>L63-R63</f>
      </c>
      <c r="W63" s="4">
        <f>S63-V63</f>
      </c>
      <c r="AB63" t="s">
        <v>1</v>
      </c>
    </row>
    <row r="64" spans="1:28" x14ac:dyDescent="0.25">
      <c r="A64" s="8">
        <v>46226.5</v>
      </c>
      <c r="B64" t="s">
        <v>2439</v>
      </c>
      <c r="C64" t="s">
        <v>1</v>
      </c>
      <c r="D64" s="9" t="s">
        <v>2440</v>
      </c>
      <c r="E64" t="s">
        <v>131</v>
      </c>
      <c r="F64" t="s">
        <v>74</v>
      </c>
      <c r="G64" t="s">
        <v>65</v>
      </c>
      <c r="H64" t="s">
        <v>78</v>
      </c>
      <c r="I64" s="4">
        <v>282</v>
      </c>
      <c r="J64" s="4">
        <v>358.14</v>
      </c>
      <c r="K64" s="4">
        <f>J64-I64</f>
      </c>
      <c r="L64" s="4">
        <f>K64*16.67%</f>
      </c>
      <c r="M64" s="4">
        <f>J64*7%</f>
      </c>
      <c r="N64" s="4">
        <f>M64*20%</f>
      </c>
      <c r="O64" s="4">
        <v>0</v>
      </c>
      <c r="P64" s="4">
        <f>O64*20%</f>
      </c>
      <c r="Q64" s="4">
        <v>1</v>
      </c>
      <c r="R64" s="4">
        <f>N64+P64</f>
      </c>
      <c r="S64" s="4">
        <f>K64-L64-M64-N64-O64-P64-Q64</f>
      </c>
      <c r="T64" s="4">
        <f>(S64-V64)/I64*100</f>
      </c>
      <c r="U64" s="4">
        <f>L64-R64</f>
      </c>
      <c r="W64" s="4">
        <f>S64-V64</f>
      </c>
      <c r="AB64" t="s">
        <v>1</v>
      </c>
    </row>
    <row r="65" spans="1:28" x14ac:dyDescent="0.25">
      <c r="A65" s="8">
        <v>46225.5</v>
      </c>
      <c r="B65" t="s">
        <v>2441</v>
      </c>
      <c r="C65" t="s">
        <v>1</v>
      </c>
      <c r="D65" s="9" t="s">
        <v>2442</v>
      </c>
      <c r="E65" t="s">
        <v>94</v>
      </c>
      <c r="F65" t="s">
        <v>99</v>
      </c>
      <c r="G65" t="s">
        <v>95</v>
      </c>
      <c r="H65" t="s">
        <v>102</v>
      </c>
      <c r="I65" s="4">
        <v>68</v>
      </c>
      <c r="J65" s="4">
        <v>85.68</v>
      </c>
      <c r="K65" s="4">
        <f>J65-I65</f>
      </c>
      <c r="L65" s="4">
        <f>K65*16.67%</f>
      </c>
      <c r="M65" s="4">
        <f>J65*7%</f>
      </c>
      <c r="N65" s="4">
        <f>M65*20%</f>
      </c>
      <c r="O65" s="4">
        <v>0</v>
      </c>
      <c r="P65" s="4">
        <f>O65*20%</f>
      </c>
      <c r="Q65" s="4">
        <v>1</v>
      </c>
      <c r="R65" s="4">
        <f>N65+P65</f>
      </c>
      <c r="S65" s="4">
        <f>K65-L65-M65-N65-O65-P65-Q65</f>
      </c>
      <c r="T65" s="4">
        <f>(S65-V65)/I65*100</f>
      </c>
      <c r="U65" s="4">
        <f>L65-R65</f>
      </c>
      <c r="W65" s="4">
        <f>S65-V65</f>
      </c>
      <c r="AB65" t="s">
        <v>1</v>
      </c>
    </row>
    <row r="66" spans="1:28" x14ac:dyDescent="0.25">
      <c r="A66" s="8">
        <v>46225.5</v>
      </c>
      <c r="B66" t="s">
        <v>2443</v>
      </c>
      <c r="C66" t="s">
        <v>1</v>
      </c>
      <c r="D66" s="9" t="s">
        <v>2444</v>
      </c>
      <c r="E66" t="s">
        <v>69</v>
      </c>
      <c r="F66" t="s">
        <v>99</v>
      </c>
      <c r="G66" t="s">
        <v>60</v>
      </c>
      <c r="H66" t="s">
        <v>66</v>
      </c>
      <c r="I66" s="4">
        <v>501</v>
      </c>
      <c r="J66" s="4">
        <v>626.25</v>
      </c>
      <c r="K66" s="4">
        <f>J66-I66</f>
      </c>
      <c r="L66" s="4">
        <f>K66*16.67%</f>
      </c>
      <c r="M66" s="4">
        <f>J66*7%</f>
      </c>
      <c r="N66" s="4">
        <f>M66*20%</f>
      </c>
      <c r="O66" s="4">
        <v>0</v>
      </c>
      <c r="P66" s="4">
        <f>O66*20%</f>
      </c>
      <c r="Q66" s="4">
        <v>1</v>
      </c>
      <c r="R66" s="4">
        <f>N66+P66</f>
      </c>
      <c r="S66" s="4">
        <f>K66-L66-M66-N66-O66-P66-Q66</f>
      </c>
      <c r="T66" s="4">
        <f>(S66-V66)/I66*100</f>
      </c>
      <c r="U66" s="4">
        <f>L66-R66</f>
      </c>
      <c r="W66" s="4">
        <f>S66-V66</f>
      </c>
      <c r="AB66" t="s">
        <v>1</v>
      </c>
    </row>
    <row r="67" spans="1:28" x14ac:dyDescent="0.25">
      <c r="A67" s="8">
        <v>46225.5</v>
      </c>
      <c r="B67" t="s">
        <v>2445</v>
      </c>
      <c r="C67" t="s">
        <v>1</v>
      </c>
      <c r="D67" s="9" t="s">
        <v>2446</v>
      </c>
      <c r="E67" t="s">
        <v>81</v>
      </c>
      <c r="F67" t="s">
        <v>105</v>
      </c>
      <c r="G67" t="s">
        <v>65</v>
      </c>
      <c r="H67" t="s">
        <v>102</v>
      </c>
      <c r="I67" s="4">
        <v>550</v>
      </c>
      <c r="J67" s="4">
        <v>797.5</v>
      </c>
      <c r="K67" s="4">
        <f>J67-I67</f>
      </c>
      <c r="L67" s="4">
        <f>K67*16.67%</f>
      </c>
      <c r="M67" s="4">
        <f>J67*7%</f>
      </c>
      <c r="N67" s="4">
        <f>M67*20%</f>
      </c>
      <c r="O67" s="4">
        <v>0</v>
      </c>
      <c r="P67" s="4">
        <f>O67*20%</f>
      </c>
      <c r="Q67" s="4">
        <v>1</v>
      </c>
      <c r="R67" s="4">
        <f>N67+P67</f>
      </c>
      <c r="S67" s="4">
        <f>K67-L67-M67-N67-O67-P67-Q67</f>
      </c>
      <c r="T67" s="4">
        <f>(S67-V67)/I67*100</f>
      </c>
      <c r="U67" s="4">
        <f>L67-R67</f>
      </c>
      <c r="W67" s="4">
        <f>S67-V67</f>
      </c>
      <c r="AB67" t="s">
        <v>1</v>
      </c>
    </row>
    <row r="68" spans="1:28" x14ac:dyDescent="0.25">
      <c r="A68" s="8">
        <v>46225.5</v>
      </c>
      <c r="B68" t="s">
        <v>2447</v>
      </c>
      <c r="C68" t="s">
        <v>1</v>
      </c>
      <c r="D68" s="9" t="s">
        <v>2448</v>
      </c>
      <c r="E68" t="s">
        <v>73</v>
      </c>
      <c r="F68" t="s">
        <v>59</v>
      </c>
      <c r="G68" t="s">
        <v>60</v>
      </c>
      <c r="H68" t="s">
        <v>66</v>
      </c>
      <c r="I68" s="4">
        <v>353</v>
      </c>
      <c r="J68" s="4">
        <v>423.6</v>
      </c>
      <c r="K68" s="4">
        <f>J68-I68</f>
      </c>
      <c r="L68" s="4">
        <f>K68*16.67%</f>
      </c>
      <c r="M68" s="4">
        <f>J68*7%</f>
      </c>
      <c r="N68" s="4">
        <f>M68*20%</f>
      </c>
      <c r="O68" s="4">
        <v>0</v>
      </c>
      <c r="P68" s="4">
        <f>O68*20%</f>
      </c>
      <c r="Q68" s="4">
        <v>1</v>
      </c>
      <c r="R68" s="4">
        <f>N68+P68</f>
      </c>
      <c r="S68" s="4">
        <f>K68-L68-M68-N68-O68-P68-Q68</f>
      </c>
      <c r="T68" s="4">
        <f>(S68-V68)/I68*100</f>
      </c>
      <c r="U68" s="4">
        <f>L68-R68</f>
      </c>
      <c r="W68" s="4">
        <f>S68-V68</f>
      </c>
      <c r="AB68" t="s">
        <v>1</v>
      </c>
    </row>
    <row r="69" spans="1:28" x14ac:dyDescent="0.25">
      <c r="A69" s="8">
        <v>46225.5</v>
      </c>
      <c r="B69" t="s">
        <v>2449</v>
      </c>
      <c r="C69" t="s">
        <v>177</v>
      </c>
      <c r="D69" s="9" t="s">
        <v>1</v>
      </c>
      <c r="E69" t="s">
        <v>177</v>
      </c>
      <c r="F69" t="s">
        <v>1</v>
      </c>
      <c r="G69" t="s">
        <v>1</v>
      </c>
      <c r="H69" t="s">
        <v>78</v>
      </c>
      <c r="I69" s="4">
        <v>0.15</v>
      </c>
      <c r="J69" s="4">
        <v>0.19</v>
      </c>
      <c r="K69" s="4">
        <f>J69-I69</f>
      </c>
      <c r="L69" s="4">
        <f>K69*16.67%</f>
      </c>
      <c r="M69" s="4">
        <f>J69*7%</f>
      </c>
      <c r="N69" s="4">
        <f>M69*20%</f>
      </c>
      <c r="O69" s="4">
        <v>0</v>
      </c>
      <c r="P69" s="4">
        <f>O69*20%</f>
      </c>
      <c r="Q69" s="4">
        <v>0</v>
      </c>
      <c r="R69" s="4">
        <f>N69+P69</f>
      </c>
      <c r="S69" s="4">
        <f>K69-L69-M69-N69-O69-P69-Q69</f>
      </c>
      <c r="T69" s="4">
        <f>(S69-V69)/I69*100</f>
      </c>
      <c r="U69" s="4">
        <f>L69-R69</f>
      </c>
      <c r="W69" s="4">
        <f>S69-V69</f>
      </c>
      <c r="AB69" t="s">
        <v>1</v>
      </c>
    </row>
    <row r="70" spans="1:28" x14ac:dyDescent="0.25">
      <c r="A70" s="8">
        <v>46225.5</v>
      </c>
      <c r="B70" t="s">
        <v>2450</v>
      </c>
      <c r="C70" t="s">
        <v>177</v>
      </c>
      <c r="D70" s="9" t="s">
        <v>1</v>
      </c>
      <c r="E70" t="s">
        <v>177</v>
      </c>
      <c r="F70" t="s">
        <v>1</v>
      </c>
      <c r="G70" t="s">
        <v>1</v>
      </c>
      <c r="H70" t="s">
        <v>78</v>
      </c>
      <c r="I70" s="4">
        <v>0.15</v>
      </c>
      <c r="J70" s="4">
        <v>0.19</v>
      </c>
      <c r="K70" s="4">
        <f>J70-I70</f>
      </c>
      <c r="L70" s="4">
        <f>K70*16.67%</f>
      </c>
      <c r="M70" s="4">
        <f>J70*7%</f>
      </c>
      <c r="N70" s="4">
        <f>M70*20%</f>
      </c>
      <c r="O70" s="4">
        <v>0</v>
      </c>
      <c r="P70" s="4">
        <f>O70*20%</f>
      </c>
      <c r="Q70" s="4">
        <v>0</v>
      </c>
      <c r="R70" s="4">
        <f>N70+P70</f>
      </c>
      <c r="S70" s="4">
        <f>K70-L70-M70-N70-O70-P70-Q70</f>
      </c>
      <c r="T70" s="4">
        <f>(S70-V70)/I70*100</f>
      </c>
      <c r="U70" s="4">
        <f>L70-R70</f>
      </c>
      <c r="W70" s="4">
        <f>S70-V70</f>
      </c>
      <c r="AB70" t="s">
        <v>1</v>
      </c>
    </row>
    <row r="71" spans="1:28" x14ac:dyDescent="0.25">
      <c r="A71" s="8">
        <v>46224.5</v>
      </c>
      <c r="B71" t="s">
        <v>2451</v>
      </c>
      <c r="C71" t="s">
        <v>1</v>
      </c>
      <c r="D71" s="9" t="s">
        <v>2452</v>
      </c>
      <c r="E71" t="s">
        <v>91</v>
      </c>
      <c r="F71" t="s">
        <v>59</v>
      </c>
      <c r="G71" t="s">
        <v>65</v>
      </c>
      <c r="H71" t="s">
        <v>78</v>
      </c>
      <c r="I71" s="4">
        <v>128</v>
      </c>
      <c r="J71" s="4">
        <v>184.32</v>
      </c>
      <c r="K71" s="4">
        <f>J71-I71</f>
      </c>
      <c r="L71" s="4">
        <f>K71*16.67%</f>
      </c>
      <c r="M71" s="4">
        <f>J71*7%</f>
      </c>
      <c r="N71" s="4">
        <f>M71*20%</f>
      </c>
      <c r="O71" s="4">
        <v>0</v>
      </c>
      <c r="P71" s="4">
        <f>O71*20%</f>
      </c>
      <c r="Q71" s="4">
        <v>1</v>
      </c>
      <c r="R71" s="4">
        <f>N71+P71</f>
      </c>
      <c r="S71" s="4">
        <f>K71-L71-M71-N71-O71-P71-Q71</f>
      </c>
      <c r="T71" s="4">
        <f>(S71-V71)/I71*100</f>
      </c>
      <c r="U71" s="4">
        <f>L71-R71</f>
      </c>
      <c r="W71" s="4">
        <f>S71-V71</f>
      </c>
      <c r="AB71" t="s">
        <v>1</v>
      </c>
    </row>
    <row r="72" spans="1:28" x14ac:dyDescent="0.25">
      <c r="A72" s="8">
        <v>46224.5</v>
      </c>
      <c r="B72" t="s">
        <v>2453</v>
      </c>
      <c r="C72" t="s">
        <v>1</v>
      </c>
      <c r="D72" s="9" t="s">
        <v>2454</v>
      </c>
      <c r="E72" t="s">
        <v>58</v>
      </c>
      <c r="F72" t="s">
        <v>59</v>
      </c>
      <c r="G72" t="s">
        <v>60</v>
      </c>
      <c r="H72" t="s">
        <v>75</v>
      </c>
      <c r="I72" s="4">
        <v>429</v>
      </c>
      <c r="J72" s="4">
        <v>510.51</v>
      </c>
      <c r="K72" s="4">
        <f>J72-I72</f>
      </c>
      <c r="L72" s="4">
        <f>K72*16.67%</f>
      </c>
      <c r="M72" s="4">
        <f>J72*7%</f>
      </c>
      <c r="N72" s="4">
        <f>M72*20%</f>
      </c>
      <c r="O72" s="4">
        <v>0</v>
      </c>
      <c r="P72" s="4">
        <f>O72*20%</f>
      </c>
      <c r="Q72" s="4">
        <v>1</v>
      </c>
      <c r="R72" s="4">
        <f>N72+P72</f>
      </c>
      <c r="S72" s="4">
        <f>K72-L72-M72-N72-O72-P72-Q72</f>
      </c>
      <c r="T72" s="4">
        <f>(S72-V72)/I72*100</f>
      </c>
      <c r="U72" s="4">
        <f>L72-R72</f>
      </c>
      <c r="W72" s="4">
        <f>S72-V72</f>
      </c>
      <c r="AB72" t="s">
        <v>1</v>
      </c>
    </row>
    <row r="73" spans="1:28" x14ac:dyDescent="0.25">
      <c r="A73" s="8">
        <v>46224.5</v>
      </c>
      <c r="B73" t="s">
        <v>2455</v>
      </c>
      <c r="C73" t="s">
        <v>1</v>
      </c>
      <c r="D73" s="9" t="s">
        <v>2456</v>
      </c>
      <c r="E73" t="s">
        <v>73</v>
      </c>
      <c r="F73" t="s">
        <v>70</v>
      </c>
      <c r="G73" t="s">
        <v>60</v>
      </c>
      <c r="H73" t="s">
        <v>61</v>
      </c>
      <c r="I73" s="4">
        <v>339</v>
      </c>
      <c r="J73" s="4">
        <v>491.55</v>
      </c>
      <c r="K73" s="4">
        <f>J73-I73</f>
      </c>
      <c r="L73" s="4">
        <f>K73*16.67%</f>
      </c>
      <c r="M73" s="4">
        <f>J73*7%</f>
      </c>
      <c r="N73" s="4">
        <f>M73*20%</f>
      </c>
      <c r="O73" s="4">
        <v>0</v>
      </c>
      <c r="P73" s="4">
        <f>O73*20%</f>
      </c>
      <c r="Q73" s="4">
        <v>1</v>
      </c>
      <c r="R73" s="4">
        <f>N73+P73</f>
      </c>
      <c r="S73" s="4">
        <f>K73-L73-M73-N73-O73-P73-Q73</f>
      </c>
      <c r="T73" s="4">
        <f>(S73-V73)/I73*100</f>
      </c>
      <c r="U73" s="4">
        <f>L73-R73</f>
      </c>
      <c r="W73" s="4">
        <f>S73-V73</f>
      </c>
      <c r="AB73" t="s">
        <v>1</v>
      </c>
    </row>
    <row r="74" spans="1:28" x14ac:dyDescent="0.25">
      <c r="A74" s="8">
        <v>46224.5</v>
      </c>
      <c r="B74" t="s">
        <v>2457</v>
      </c>
      <c r="C74" t="s">
        <v>1</v>
      </c>
      <c r="D74" s="9" t="s">
        <v>2458</v>
      </c>
      <c r="E74" t="s">
        <v>131</v>
      </c>
      <c r="F74" t="s">
        <v>70</v>
      </c>
      <c r="G74" t="s">
        <v>60</v>
      </c>
      <c r="H74" t="s">
        <v>61</v>
      </c>
      <c r="I74" s="4">
        <v>325</v>
      </c>
      <c r="J74" s="4">
        <v>412.75</v>
      </c>
      <c r="K74" s="4">
        <f>J74-I74</f>
      </c>
      <c r="L74" s="4">
        <f>K74*16.67%</f>
      </c>
      <c r="M74" s="4">
        <f>J74*7%</f>
      </c>
      <c r="N74" s="4">
        <f>M74*20%</f>
      </c>
      <c r="O74" s="4">
        <v>0</v>
      </c>
      <c r="P74" s="4">
        <f>O74*20%</f>
      </c>
      <c r="Q74" s="4">
        <v>1</v>
      </c>
      <c r="R74" s="4">
        <f>N74+P74</f>
      </c>
      <c r="S74" s="4">
        <f>K74-L74-M74-N74-O74-P74-Q74</f>
      </c>
      <c r="T74" s="4">
        <f>(S74-V74)/I74*100</f>
      </c>
      <c r="U74" s="4">
        <f>L74-R74</f>
      </c>
      <c r="W74" s="4">
        <f>S74-V74</f>
      </c>
      <c r="AB74" t="s">
        <v>1</v>
      </c>
    </row>
    <row r="75" spans="1:28" x14ac:dyDescent="0.25">
      <c r="A75" s="8">
        <v>46224.5</v>
      </c>
      <c r="B75" t="s">
        <v>2459</v>
      </c>
      <c r="C75" t="s">
        <v>1</v>
      </c>
      <c r="D75" s="9" t="s">
        <v>2460</v>
      </c>
      <c r="E75" t="s">
        <v>73</v>
      </c>
      <c r="F75" t="s">
        <v>88</v>
      </c>
      <c r="G75" t="s">
        <v>60</v>
      </c>
      <c r="H75" t="s">
        <v>102</v>
      </c>
      <c r="I75" s="4">
        <v>333</v>
      </c>
      <c r="J75" s="4">
        <v>479.52</v>
      </c>
      <c r="K75" s="4">
        <f>J75-I75</f>
      </c>
      <c r="L75" s="4">
        <f>K75*16.67%</f>
      </c>
      <c r="M75" s="4">
        <f>J75*7%</f>
      </c>
      <c r="N75" s="4">
        <f>M75*20%</f>
      </c>
      <c r="O75" s="4">
        <v>0</v>
      </c>
      <c r="P75" s="4">
        <f>O75*20%</f>
      </c>
      <c r="Q75" s="4">
        <v>1</v>
      </c>
      <c r="R75" s="4">
        <f>N75+P75</f>
      </c>
      <c r="S75" s="4">
        <f>K75-L75-M75-N75-O75-P75-Q75</f>
      </c>
      <c r="T75" s="4">
        <f>(S75-V75)/I75*100</f>
      </c>
      <c r="U75" s="4">
        <f>L75-R75</f>
      </c>
      <c r="W75" s="4">
        <f>S75-V75</f>
      </c>
      <c r="AB75" t="s">
        <v>1</v>
      </c>
    </row>
    <row r="76" spans="1:28" x14ac:dyDescent="0.25">
      <c r="A76" s="8">
        <v>46224.5</v>
      </c>
      <c r="B76" t="s">
        <v>2461</v>
      </c>
      <c r="C76" t="s">
        <v>1</v>
      </c>
      <c r="D76" s="9" t="s">
        <v>2462</v>
      </c>
      <c r="E76" t="s">
        <v>125</v>
      </c>
      <c r="F76" t="s">
        <v>99</v>
      </c>
      <c r="G76" t="s">
        <v>126</v>
      </c>
      <c r="H76" t="s">
        <v>102</v>
      </c>
      <c r="I76" s="4">
        <v>266</v>
      </c>
      <c r="J76" s="4">
        <v>343.14</v>
      </c>
      <c r="K76" s="4">
        <f>J76-I76</f>
      </c>
      <c r="L76" s="4">
        <f>K76*16.67%</f>
      </c>
      <c r="M76" s="4">
        <f>J76*7%</f>
      </c>
      <c r="N76" s="4">
        <f>M76*20%</f>
      </c>
      <c r="O76" s="4">
        <v>0</v>
      </c>
      <c r="P76" s="4">
        <f>O76*20%</f>
      </c>
      <c r="Q76" s="4">
        <v>1</v>
      </c>
      <c r="R76" s="4">
        <f>N76+P76</f>
      </c>
      <c r="S76" s="4">
        <f>K76-L76-M76-N76-O76-P76-Q76</f>
      </c>
      <c r="T76" s="4">
        <f>(S76-V76)/I76*100</f>
      </c>
      <c r="U76" s="4">
        <f>L76-R76</f>
      </c>
      <c r="W76" s="4">
        <f>S76-V76</f>
      </c>
      <c r="AB76" t="s">
        <v>1</v>
      </c>
    </row>
    <row r="77" spans="1:28" x14ac:dyDescent="0.25">
      <c r="A77" s="8">
        <v>46224.5</v>
      </c>
      <c r="B77" t="s">
        <v>2463</v>
      </c>
      <c r="C77" t="s">
        <v>1</v>
      </c>
      <c r="D77" s="9" t="s">
        <v>2464</v>
      </c>
      <c r="E77" t="s">
        <v>94</v>
      </c>
      <c r="F77" t="s">
        <v>99</v>
      </c>
      <c r="G77" t="s">
        <v>95</v>
      </c>
      <c r="H77" t="s">
        <v>61</v>
      </c>
      <c r="I77" s="4">
        <v>67</v>
      </c>
      <c r="J77" s="4">
        <v>87.77</v>
      </c>
      <c r="K77" s="4">
        <f>J77-I77</f>
      </c>
      <c r="L77" s="4">
        <f>K77*16.67%</f>
      </c>
      <c r="M77" s="4">
        <f>J77*7%</f>
      </c>
      <c r="N77" s="4">
        <f>M77*20%</f>
      </c>
      <c r="O77" s="4">
        <v>0</v>
      </c>
      <c r="P77" s="4">
        <f>O77*20%</f>
      </c>
      <c r="Q77" s="4">
        <v>1</v>
      </c>
      <c r="R77" s="4">
        <f>N77+P77</f>
      </c>
      <c r="S77" s="4">
        <f>K77-L77-M77-N77-O77-P77-Q77</f>
      </c>
      <c r="T77" s="4">
        <f>(S77-V77)/I77*100</f>
      </c>
      <c r="U77" s="4">
        <f>L77-R77</f>
      </c>
      <c r="W77" s="4">
        <f>S77-V77</f>
      </c>
      <c r="AB77" t="s">
        <v>1</v>
      </c>
    </row>
    <row r="78" spans="1:28" x14ac:dyDescent="0.25">
      <c r="A78" s="8">
        <v>46223.5</v>
      </c>
      <c r="B78" t="s">
        <v>2465</v>
      </c>
      <c r="C78" t="s">
        <v>1</v>
      </c>
      <c r="D78" s="9" t="s">
        <v>2466</v>
      </c>
      <c r="E78" t="s">
        <v>98</v>
      </c>
      <c r="F78" t="s">
        <v>85</v>
      </c>
      <c r="G78" t="s">
        <v>60</v>
      </c>
      <c r="H78" t="s">
        <v>61</v>
      </c>
      <c r="I78" s="4">
        <v>339</v>
      </c>
      <c r="J78" s="4">
        <v>454.26</v>
      </c>
      <c r="K78" s="4">
        <f>J78-I78</f>
      </c>
      <c r="L78" s="4">
        <f>K78*16.67%</f>
      </c>
      <c r="M78" s="4">
        <f>J78*7%</f>
      </c>
      <c r="N78" s="4">
        <f>M78*20%</f>
      </c>
      <c r="O78" s="4">
        <v>0</v>
      </c>
      <c r="P78" s="4">
        <f>O78*20%</f>
      </c>
      <c r="Q78" s="4">
        <v>1</v>
      </c>
      <c r="R78" s="4">
        <f>N78+P78</f>
      </c>
      <c r="S78" s="4">
        <f>K78-L78-M78-N78-O78-P78-Q78</f>
      </c>
      <c r="T78" s="4">
        <f>(S78-V78)/I78*100</f>
      </c>
      <c r="U78" s="4">
        <f>L78-R78</f>
      </c>
      <c r="W78" s="4">
        <f>S78-V78</f>
      </c>
      <c r="AB78" t="s">
        <v>1</v>
      </c>
    </row>
    <row r="79" spans="1:28" x14ac:dyDescent="0.25">
      <c r="A79" s="8">
        <v>46223.5</v>
      </c>
      <c r="B79" t="s">
        <v>2467</v>
      </c>
      <c r="C79" t="s">
        <v>1</v>
      </c>
      <c r="D79" s="9" t="s">
        <v>2468</v>
      </c>
      <c r="E79" t="s">
        <v>64</v>
      </c>
      <c r="F79" t="s">
        <v>59</v>
      </c>
      <c r="G79" t="s">
        <v>65</v>
      </c>
      <c r="H79" t="s">
        <v>66</v>
      </c>
      <c r="I79" s="4">
        <v>243</v>
      </c>
      <c r="J79" s="4">
        <v>325.62</v>
      </c>
      <c r="K79" s="4">
        <f>J79-I79</f>
      </c>
      <c r="L79" s="4">
        <f>K79*16.67%</f>
      </c>
      <c r="M79" s="4">
        <f>J79*7%</f>
      </c>
      <c r="N79" s="4">
        <f>M79*20%</f>
      </c>
      <c r="O79" s="4">
        <v>0</v>
      </c>
      <c r="P79" s="4">
        <f>O79*20%</f>
      </c>
      <c r="Q79" s="4">
        <v>1</v>
      </c>
      <c r="R79" s="4">
        <f>N79+P79</f>
      </c>
      <c r="S79" s="4">
        <f>K79-L79-M79-N79-O79-P79-Q79</f>
      </c>
      <c r="T79" s="4">
        <f>(S79-V79)/I79*100</f>
      </c>
      <c r="U79" s="4">
        <f>L79-R79</f>
      </c>
      <c r="W79" s="4">
        <f>S79-V79</f>
      </c>
      <c r="AB79" t="s">
        <v>1</v>
      </c>
    </row>
    <row r="80" spans="1:28" x14ac:dyDescent="0.25">
      <c r="A80" s="8">
        <v>46223.5</v>
      </c>
      <c r="B80" t="s">
        <v>2469</v>
      </c>
      <c r="C80" t="s">
        <v>1</v>
      </c>
      <c r="D80" s="9" t="s">
        <v>2470</v>
      </c>
      <c r="E80" t="s">
        <v>172</v>
      </c>
      <c r="F80" t="s">
        <v>85</v>
      </c>
      <c r="G80" t="s">
        <v>65</v>
      </c>
      <c r="H80" t="s">
        <v>61</v>
      </c>
      <c r="I80" s="4">
        <v>179</v>
      </c>
      <c r="J80" s="4">
        <v>207.64</v>
      </c>
      <c r="K80" s="4">
        <f>J80-I80</f>
      </c>
      <c r="L80" s="4">
        <f>K80*16.67%</f>
      </c>
      <c r="M80" s="4">
        <f>J80*7%</f>
      </c>
      <c r="N80" s="4">
        <f>M80*20%</f>
      </c>
      <c r="O80" s="4">
        <v>0</v>
      </c>
      <c r="P80" s="4">
        <f>O80*20%</f>
      </c>
      <c r="Q80" s="4">
        <v>1</v>
      </c>
      <c r="R80" s="4">
        <f>N80+P80</f>
      </c>
      <c r="S80" s="4">
        <f>K80-L80-M80-N80-O80-P80-Q80</f>
      </c>
      <c r="T80" s="4">
        <f>(S80-V80)/I80*100</f>
      </c>
      <c r="U80" s="4">
        <f>L80-R80</f>
      </c>
      <c r="W80" s="4">
        <f>S80-V80</f>
      </c>
      <c r="AB80" t="s">
        <v>1</v>
      </c>
    </row>
    <row r="81" spans="1:28" x14ac:dyDescent="0.25">
      <c r="A81" s="8">
        <v>46222.5</v>
      </c>
      <c r="B81" t="s">
        <v>2471</v>
      </c>
      <c r="C81" t="s">
        <v>1</v>
      </c>
      <c r="D81" s="9" t="s">
        <v>2472</v>
      </c>
      <c r="E81" t="s">
        <v>91</v>
      </c>
      <c r="F81" t="s">
        <v>99</v>
      </c>
      <c r="G81" t="s">
        <v>65</v>
      </c>
      <c r="H81" t="s">
        <v>66</v>
      </c>
      <c r="I81" s="4">
        <v>92</v>
      </c>
      <c r="J81" s="4">
        <v>117.76</v>
      </c>
      <c r="K81" s="4">
        <f>J81-I81</f>
      </c>
      <c r="L81" s="4">
        <f>K81*16.67%</f>
      </c>
      <c r="M81" s="4">
        <f>J81*7%</f>
      </c>
      <c r="N81" s="4">
        <f>M81*20%</f>
      </c>
      <c r="O81" s="4">
        <v>0</v>
      </c>
      <c r="P81" s="4">
        <f>O81*20%</f>
      </c>
      <c r="Q81" s="4">
        <v>1</v>
      </c>
      <c r="R81" s="4">
        <f>N81+P81</f>
      </c>
      <c r="S81" s="4">
        <f>K81-L81-M81-N81-O81-P81-Q81</f>
      </c>
      <c r="T81" s="4">
        <f>(S81-V81)/I81*100</f>
      </c>
      <c r="U81" s="4">
        <f>L81-R81</f>
      </c>
      <c r="W81" s="4">
        <f>S81-V81</f>
      </c>
      <c r="AB81" t="s">
        <v>1</v>
      </c>
    </row>
    <row r="82" spans="1:28" x14ac:dyDescent="0.25">
      <c r="A82" s="8">
        <v>46222.5</v>
      </c>
      <c r="B82" t="s">
        <v>2473</v>
      </c>
      <c r="C82" t="s">
        <v>1</v>
      </c>
      <c r="D82" s="9" t="s">
        <v>2474</v>
      </c>
      <c r="E82" t="s">
        <v>91</v>
      </c>
      <c r="F82" t="s">
        <v>59</v>
      </c>
      <c r="G82" t="s">
        <v>65</v>
      </c>
      <c r="H82" t="s">
        <v>102</v>
      </c>
      <c r="I82" s="4">
        <v>123</v>
      </c>
      <c r="J82" s="4">
        <v>158.67</v>
      </c>
      <c r="K82" s="4">
        <f>J82-I82</f>
      </c>
      <c r="L82" s="4">
        <f>K82*16.67%</f>
      </c>
      <c r="M82" s="4">
        <f>J82*7%</f>
      </c>
      <c r="N82" s="4">
        <f>M82*20%</f>
      </c>
      <c r="O82" s="4">
        <v>0</v>
      </c>
      <c r="P82" s="4">
        <f>O82*20%</f>
      </c>
      <c r="Q82" s="4">
        <v>1</v>
      </c>
      <c r="R82" s="4">
        <f>N82+P82</f>
      </c>
      <c r="S82" s="4">
        <f>K82-L82-M82-N82-O82-P82-Q82</f>
      </c>
      <c r="T82" s="4">
        <f>(S82-V82)/I82*100</f>
      </c>
      <c r="U82" s="4">
        <f>L82-R82</f>
      </c>
      <c r="W82" s="4">
        <f>S82-V82</f>
      </c>
      <c r="AB82" t="s">
        <v>1</v>
      </c>
    </row>
    <row r="83" spans="1:28" x14ac:dyDescent="0.25">
      <c r="A83" s="8">
        <v>46222.5</v>
      </c>
      <c r="B83" t="s">
        <v>2475</v>
      </c>
      <c r="C83" t="s">
        <v>1</v>
      </c>
      <c r="D83" s="9" t="s">
        <v>2476</v>
      </c>
      <c r="E83" t="s">
        <v>125</v>
      </c>
      <c r="F83" t="s">
        <v>105</v>
      </c>
      <c r="G83" t="s">
        <v>126</v>
      </c>
      <c r="H83" t="s">
        <v>102</v>
      </c>
      <c r="I83" s="4">
        <v>292</v>
      </c>
      <c r="J83" s="4">
        <v>365</v>
      </c>
      <c r="K83" s="4">
        <f>J83-I83</f>
      </c>
      <c r="L83" s="4">
        <f>K83*16.67%</f>
      </c>
      <c r="M83" s="4">
        <f>J83*7%</f>
      </c>
      <c r="N83" s="4">
        <f>M83*20%</f>
      </c>
      <c r="O83" s="4">
        <v>0</v>
      </c>
      <c r="P83" s="4">
        <f>O83*20%</f>
      </c>
      <c r="Q83" s="4">
        <v>1</v>
      </c>
      <c r="R83" s="4">
        <f>N83+P83</f>
      </c>
      <c r="S83" s="4">
        <f>K83-L83-M83-N83-O83-P83-Q83</f>
      </c>
      <c r="T83" s="4">
        <f>(S83-V83)/I83*100</f>
      </c>
      <c r="U83" s="4">
        <f>L83-R83</f>
      </c>
      <c r="W83" s="4">
        <f>S83-V83</f>
      </c>
      <c r="AB83" t="s">
        <v>1</v>
      </c>
    </row>
    <row r="84" spans="1:28" x14ac:dyDescent="0.25">
      <c r="A84" s="8">
        <v>46222.5</v>
      </c>
      <c r="B84" t="s">
        <v>2477</v>
      </c>
      <c r="C84" t="s">
        <v>1</v>
      </c>
      <c r="D84" s="9" t="s">
        <v>1</v>
      </c>
      <c r="E84" t="s">
        <v>1</v>
      </c>
      <c r="F84" t="s">
        <v>1</v>
      </c>
      <c r="G84" t="s">
        <v>1</v>
      </c>
      <c r="H84" t="s">
        <v>66</v>
      </c>
      <c r="I84" s="4">
        <v>745</v>
      </c>
      <c r="J84" s="4">
        <v>975.95</v>
      </c>
      <c r="K84" s="4">
        <f>J84-I84</f>
      </c>
      <c r="L84" s="4">
        <f>K84*16.67%</f>
      </c>
      <c r="M84" s="4">
        <f>J84*7%</f>
      </c>
      <c r="N84" s="4">
        <f>M84*20%</f>
      </c>
      <c r="O84" s="4">
        <v>0</v>
      </c>
      <c r="P84" s="4">
        <f>O84*20%</f>
      </c>
      <c r="Q84" s="4">
        <v>1</v>
      </c>
      <c r="R84" s="4">
        <f>N84+P84</f>
      </c>
      <c r="S84" s="4">
        <f>K84-L84-M84-N84-O84-P84-Q84</f>
      </c>
      <c r="T84" s="4">
        <f>(S84-V84)/I84*100</f>
      </c>
      <c r="U84" s="4">
        <f>L84-R84</f>
      </c>
      <c r="W84" s="4">
        <f>S84-V84</f>
      </c>
      <c r="AB84" t="s">
        <v>1</v>
      </c>
    </row>
    <row r="85" spans="1:28" x14ac:dyDescent="0.25">
      <c r="A85" s="8">
        <v>46221.5</v>
      </c>
      <c r="B85" t="s">
        <v>2478</v>
      </c>
      <c r="C85" t="s">
        <v>1</v>
      </c>
      <c r="D85" s="9" t="s">
        <v>2479</v>
      </c>
      <c r="E85" t="s">
        <v>114</v>
      </c>
      <c r="F85" t="s">
        <v>70</v>
      </c>
      <c r="G85" t="s">
        <v>60</v>
      </c>
      <c r="H85" t="s">
        <v>61</v>
      </c>
      <c r="I85" s="4">
        <v>252</v>
      </c>
      <c r="J85" s="4">
        <v>325.08</v>
      </c>
      <c r="K85" s="4">
        <f>J85-I85</f>
      </c>
      <c r="L85" s="4">
        <f>K85*16.67%</f>
      </c>
      <c r="M85" s="4">
        <f>J85*7%</f>
      </c>
      <c r="N85" s="4">
        <f>M85*20%</f>
      </c>
      <c r="O85" s="4">
        <v>0</v>
      </c>
      <c r="P85" s="4">
        <f>O85*20%</f>
      </c>
      <c r="Q85" s="4">
        <v>1</v>
      </c>
      <c r="R85" s="4">
        <f>N85+P85</f>
      </c>
      <c r="S85" s="4">
        <f>K85-L85-M85-N85-O85-P85-Q85</f>
      </c>
      <c r="T85" s="4">
        <f>(S85-V85)/I85*100</f>
      </c>
      <c r="U85" s="4">
        <f>L85-R85</f>
      </c>
      <c r="W85" s="4">
        <f>S85-V85</f>
      </c>
      <c r="AB85" t="s">
        <v>1</v>
      </c>
    </row>
    <row r="86" spans="1:28" x14ac:dyDescent="0.25">
      <c r="A86" s="8">
        <v>46221.5</v>
      </c>
      <c r="B86" t="s">
        <v>2480</v>
      </c>
      <c r="C86" t="s">
        <v>1</v>
      </c>
      <c r="D86" s="9" t="s">
        <v>2481</v>
      </c>
      <c r="E86" t="s">
        <v>98</v>
      </c>
      <c r="F86" t="s">
        <v>70</v>
      </c>
      <c r="G86" t="s">
        <v>65</v>
      </c>
      <c r="H86" t="s">
        <v>75</v>
      </c>
      <c r="I86" s="4">
        <v>300</v>
      </c>
      <c r="J86" s="4">
        <v>414</v>
      </c>
      <c r="K86" s="4">
        <f>J86-I86</f>
      </c>
      <c r="L86" s="4">
        <f>K86*16.67%</f>
      </c>
      <c r="M86" s="4">
        <f>J86*7%</f>
      </c>
      <c r="N86" s="4">
        <f>M86*20%</f>
      </c>
      <c r="O86" s="4">
        <v>0</v>
      </c>
      <c r="P86" s="4">
        <f>O86*20%</f>
      </c>
      <c r="Q86" s="4">
        <v>1</v>
      </c>
      <c r="R86" s="4">
        <f>N86+P86</f>
      </c>
      <c r="S86" s="4">
        <f>K86-L86-M86-N86-O86-P86-Q86</f>
      </c>
      <c r="T86" s="4">
        <f>(S86-V86)/I86*100</f>
      </c>
      <c r="U86" s="4">
        <f>L86-R86</f>
      </c>
      <c r="W86" s="4">
        <f>S86-V86</f>
      </c>
      <c r="AB86" t="s">
        <v>1</v>
      </c>
    </row>
    <row r="87" spans="1:28" x14ac:dyDescent="0.25">
      <c r="A87" s="8">
        <v>46221.5</v>
      </c>
      <c r="B87" t="s">
        <v>2482</v>
      </c>
      <c r="C87" t="s">
        <v>182</v>
      </c>
      <c r="D87" s="9" t="s">
        <v>1</v>
      </c>
      <c r="E87" t="s">
        <v>182</v>
      </c>
      <c r="F87" t="s">
        <v>1</v>
      </c>
      <c r="G87" t="s">
        <v>1</v>
      </c>
      <c r="H87" t="s">
        <v>75</v>
      </c>
      <c r="I87" s="4">
        <v>1.9</v>
      </c>
      <c r="J87" s="4">
        <v>2.34</v>
      </c>
      <c r="K87" s="4">
        <f>J87-I87</f>
      </c>
      <c r="L87" s="4">
        <f>K87*16.67%</f>
      </c>
      <c r="M87" s="4">
        <f>J87*7%</f>
      </c>
      <c r="N87" s="4">
        <f>M87*20%</f>
      </c>
      <c r="O87" s="4">
        <v>0</v>
      </c>
      <c r="P87" s="4">
        <f>O87*20%</f>
      </c>
      <c r="Q87" s="4">
        <v>0</v>
      </c>
      <c r="R87" s="4">
        <f>N87+P87</f>
      </c>
      <c r="S87" s="4">
        <f>K87-L87-M87-N87-O87-P87-Q87</f>
      </c>
      <c r="T87" s="4">
        <f>(S87-V87)/I87*100</f>
      </c>
      <c r="U87" s="4">
        <f>L87-R87</f>
      </c>
      <c r="W87" s="4">
        <f>S87-V87</f>
      </c>
      <c r="AB87" t="s">
        <v>1</v>
      </c>
    </row>
    <row r="88" spans="1:28" x14ac:dyDescent="0.25">
      <c r="A88" s="8">
        <v>46220.5</v>
      </c>
      <c r="B88" t="s">
        <v>2483</v>
      </c>
      <c r="C88" t="s">
        <v>1</v>
      </c>
      <c r="D88" s="9" t="s">
        <v>2484</v>
      </c>
      <c r="E88" t="s">
        <v>292</v>
      </c>
      <c r="F88" t="s">
        <v>59</v>
      </c>
      <c r="G88" t="s">
        <v>126</v>
      </c>
      <c r="H88" t="s">
        <v>102</v>
      </c>
      <c r="I88" s="4">
        <v>176</v>
      </c>
      <c r="J88" s="4">
        <v>212.96</v>
      </c>
      <c r="K88" s="4">
        <f>J88-I88</f>
      </c>
      <c r="L88" s="4">
        <f>K88*16.67%</f>
      </c>
      <c r="M88" s="4">
        <f>J88*7%</f>
      </c>
      <c r="N88" s="4">
        <f>M88*20%</f>
      </c>
      <c r="O88" s="4">
        <v>0</v>
      </c>
      <c r="P88" s="4">
        <f>O88*20%</f>
      </c>
      <c r="Q88" s="4">
        <v>1</v>
      </c>
      <c r="R88" s="4">
        <f>N88+P88</f>
      </c>
      <c r="S88" s="4">
        <f>K88-L88-M88-N88-O88-P88-Q88</f>
      </c>
      <c r="T88" s="4">
        <f>(S88-V88)/I88*100</f>
      </c>
      <c r="U88" s="4">
        <f>L88-R88</f>
      </c>
      <c r="W88" s="4">
        <f>S88-V88</f>
      </c>
      <c r="AB88" t="s">
        <v>1</v>
      </c>
    </row>
    <row r="89" spans="1:28" x14ac:dyDescent="0.25">
      <c r="A89" s="8">
        <v>46220.5</v>
      </c>
      <c r="B89" t="s">
        <v>2485</v>
      </c>
      <c r="C89" t="s">
        <v>1</v>
      </c>
      <c r="D89" s="9" t="s">
        <v>2486</v>
      </c>
      <c r="E89" t="s">
        <v>139</v>
      </c>
      <c r="F89" t="s">
        <v>74</v>
      </c>
      <c r="G89" t="s">
        <v>65</v>
      </c>
      <c r="H89" t="s">
        <v>75</v>
      </c>
      <c r="I89" s="4">
        <v>376</v>
      </c>
      <c r="J89" s="4">
        <v>466.24</v>
      </c>
      <c r="K89" s="4">
        <f>J89-I89</f>
      </c>
      <c r="L89" s="4">
        <f>K89*16.67%</f>
      </c>
      <c r="M89" s="4">
        <f>J89*7%</f>
      </c>
      <c r="N89" s="4">
        <f>M89*20%</f>
      </c>
      <c r="O89" s="4">
        <v>0</v>
      </c>
      <c r="P89" s="4">
        <f>O89*20%</f>
      </c>
      <c r="Q89" s="4">
        <v>1</v>
      </c>
      <c r="R89" s="4">
        <f>N89+P89</f>
      </c>
      <c r="S89" s="4">
        <f>K89-L89-M89-N89-O89-P89-Q89</f>
      </c>
      <c r="T89" s="4">
        <f>(S89-V89)/I89*100</f>
      </c>
      <c r="U89" s="4">
        <f>L89-R89</f>
      </c>
      <c r="W89" s="4">
        <f>S89-V89</f>
      </c>
      <c r="AB89" t="s">
        <v>1</v>
      </c>
    </row>
    <row r="90" spans="1:28" x14ac:dyDescent="0.25">
      <c r="A90" s="8">
        <v>46220.5</v>
      </c>
      <c r="B90" t="s">
        <v>2487</v>
      </c>
      <c r="C90" t="s">
        <v>1</v>
      </c>
      <c r="D90" s="9" t="s">
        <v>2488</v>
      </c>
      <c r="E90" t="s">
        <v>125</v>
      </c>
      <c r="F90" t="s">
        <v>88</v>
      </c>
      <c r="G90" t="s">
        <v>126</v>
      </c>
      <c r="H90" t="s">
        <v>75</v>
      </c>
      <c r="I90" s="4">
        <v>266</v>
      </c>
      <c r="J90" s="4">
        <v>361.76</v>
      </c>
      <c r="K90" s="4">
        <f>J90-I90</f>
      </c>
      <c r="L90" s="4">
        <f>K90*16.67%</f>
      </c>
      <c r="M90" s="4">
        <f>J90*7%</f>
      </c>
      <c r="N90" s="4">
        <f>M90*20%</f>
      </c>
      <c r="O90" s="4">
        <v>0</v>
      </c>
      <c r="P90" s="4">
        <f>O90*20%</f>
      </c>
      <c r="Q90" s="4">
        <v>1</v>
      </c>
      <c r="R90" s="4">
        <f>N90+P90</f>
      </c>
      <c r="S90" s="4">
        <f>K90-L90-M90-N90-O90-P90-Q90</f>
      </c>
      <c r="T90" s="4">
        <f>(S90-V90)/I90*100</f>
      </c>
      <c r="U90" s="4">
        <f>L90-R90</f>
      </c>
      <c r="W90" s="4">
        <f>S90-V90</f>
      </c>
      <c r="AB90" t="s">
        <v>1</v>
      </c>
    </row>
    <row r="91" spans="1:28" x14ac:dyDescent="0.25">
      <c r="A91" s="8">
        <v>46220.5</v>
      </c>
      <c r="B91" t="s">
        <v>2489</v>
      </c>
      <c r="C91" t="s">
        <v>1</v>
      </c>
      <c r="D91" s="9" t="s">
        <v>1</v>
      </c>
      <c r="E91" t="s">
        <v>1</v>
      </c>
      <c r="F91" t="s">
        <v>1</v>
      </c>
      <c r="G91" t="s">
        <v>1</v>
      </c>
      <c r="H91" t="s">
        <v>78</v>
      </c>
      <c r="I91" s="4">
        <v>519</v>
      </c>
      <c r="J91" s="4">
        <v>742.17</v>
      </c>
      <c r="K91" s="4">
        <f>J91-I91</f>
      </c>
      <c r="L91" s="4">
        <f>K91*16.67%</f>
      </c>
      <c r="M91" s="4">
        <f>J91*7%</f>
      </c>
      <c r="N91" s="4">
        <f>M91*20%</f>
      </c>
      <c r="O91" s="4">
        <v>0</v>
      </c>
      <c r="P91" s="4">
        <f>O91*20%</f>
      </c>
      <c r="Q91" s="4">
        <v>1</v>
      </c>
      <c r="R91" s="4">
        <f>N91+P91</f>
      </c>
      <c r="S91" s="4">
        <f>K91-L91-M91-N91-O91-P91-Q91</f>
      </c>
      <c r="T91" s="4">
        <f>(S91-V91)/I91*100</f>
      </c>
      <c r="U91" s="4">
        <f>L91-R91</f>
      </c>
      <c r="W91" s="4">
        <f>S91-V91</f>
      </c>
      <c r="AB91" t="s">
        <v>1</v>
      </c>
    </row>
    <row r="92" spans="1:28" x14ac:dyDescent="0.25">
      <c r="A92" s="8">
        <v>46219.5</v>
      </c>
      <c r="B92" t="s">
        <v>2490</v>
      </c>
      <c r="C92" t="s">
        <v>1</v>
      </c>
      <c r="D92" s="9" t="s">
        <v>2491</v>
      </c>
      <c r="E92" t="s">
        <v>234</v>
      </c>
      <c r="F92" t="s">
        <v>85</v>
      </c>
      <c r="G92" t="s">
        <v>65</v>
      </c>
      <c r="H92" t="s">
        <v>75</v>
      </c>
      <c r="I92" s="4">
        <v>190</v>
      </c>
      <c r="J92" s="4">
        <v>224.2</v>
      </c>
      <c r="K92" s="4">
        <f>J92-I92</f>
      </c>
      <c r="L92" s="4">
        <f>K92*16.67%</f>
      </c>
      <c r="M92" s="4">
        <f>J92*7%</f>
      </c>
      <c r="N92" s="4">
        <f>M92*20%</f>
      </c>
      <c r="O92" s="4">
        <v>0</v>
      </c>
      <c r="P92" s="4">
        <f>O92*20%</f>
      </c>
      <c r="Q92" s="4">
        <v>1</v>
      </c>
      <c r="R92" s="4">
        <f>N92+P92</f>
      </c>
      <c r="S92" s="4">
        <f>K92-L92-M92-N92-O92-P92-Q92</f>
      </c>
      <c r="T92" s="4">
        <f>(S92-V92)/I92*100</f>
      </c>
      <c r="U92" s="4">
        <f>L92-R92</f>
      </c>
      <c r="W92" s="4">
        <f>S92-V92</f>
      </c>
      <c r="AB92" t="s">
        <v>1</v>
      </c>
    </row>
    <row r="93" spans="1:28" x14ac:dyDescent="0.25">
      <c r="A93" s="8">
        <v>46219.5</v>
      </c>
      <c r="B93" t="s">
        <v>2492</v>
      </c>
      <c r="C93" t="s">
        <v>1</v>
      </c>
      <c r="D93" s="9" t="s">
        <v>2493</v>
      </c>
      <c r="E93" t="s">
        <v>81</v>
      </c>
      <c r="F93" t="s">
        <v>59</v>
      </c>
      <c r="G93" t="s">
        <v>65</v>
      </c>
      <c r="H93" t="s">
        <v>102</v>
      </c>
      <c r="I93" s="4">
        <v>607</v>
      </c>
      <c r="J93" s="4">
        <v>831.59</v>
      </c>
      <c r="K93" s="4">
        <f>J93-I93</f>
      </c>
      <c r="L93" s="4">
        <f>K93*16.67%</f>
      </c>
      <c r="M93" s="4">
        <f>J93*7%</f>
      </c>
      <c r="N93" s="4">
        <f>M93*20%</f>
      </c>
      <c r="O93" s="4">
        <v>0</v>
      </c>
      <c r="P93" s="4">
        <f>O93*20%</f>
      </c>
      <c r="Q93" s="4">
        <v>1</v>
      </c>
      <c r="R93" s="4">
        <f>N93+P93</f>
      </c>
      <c r="S93" s="4">
        <f>K93-L93-M93-N93-O93-P93-Q93</f>
      </c>
      <c r="T93" s="4">
        <f>(S93-V93)/I93*100</f>
      </c>
      <c r="U93" s="4">
        <f>L93-R93</f>
      </c>
      <c r="W93" s="4">
        <f>S93-V93</f>
      </c>
      <c r="AB93" t="s">
        <v>1</v>
      </c>
    </row>
    <row r="94" spans="1:28" x14ac:dyDescent="0.25">
      <c r="A94" s="8">
        <v>46218.5</v>
      </c>
      <c r="B94" t="s">
        <v>2494</v>
      </c>
      <c r="C94" t="s">
        <v>1</v>
      </c>
      <c r="D94" s="9" t="s">
        <v>2495</v>
      </c>
      <c r="E94" t="s">
        <v>134</v>
      </c>
      <c r="F94" t="s">
        <v>74</v>
      </c>
      <c r="G94" t="s">
        <v>65</v>
      </c>
      <c r="H94" t="s">
        <v>61</v>
      </c>
      <c r="I94" s="4">
        <v>120</v>
      </c>
      <c r="J94" s="4">
        <v>172.8</v>
      </c>
      <c r="K94" s="4">
        <f>J94-I94</f>
      </c>
      <c r="L94" s="4">
        <f>K94*16.67%</f>
      </c>
      <c r="M94" s="4">
        <f>J94*7%</f>
      </c>
      <c r="N94" s="4">
        <f>M94*20%</f>
      </c>
      <c r="O94" s="4">
        <v>0</v>
      </c>
      <c r="P94" s="4">
        <f>O94*20%</f>
      </c>
      <c r="Q94" s="4">
        <v>1</v>
      </c>
      <c r="R94" s="4">
        <f>N94+P94</f>
      </c>
      <c r="S94" s="4">
        <f>K94-L94-M94-N94-O94-P94-Q94</f>
      </c>
      <c r="T94" s="4">
        <f>(S94-V94)/I94*100</f>
      </c>
      <c r="U94" s="4">
        <f>L94-R94</f>
      </c>
      <c r="W94" s="4">
        <f>S94-V94</f>
      </c>
      <c r="AB94" t="s">
        <v>1</v>
      </c>
    </row>
    <row r="95" spans="1:28" x14ac:dyDescent="0.25">
      <c r="A95" s="8">
        <v>46218.5</v>
      </c>
      <c r="B95" t="s">
        <v>2496</v>
      </c>
      <c r="C95" t="s">
        <v>1</v>
      </c>
      <c r="D95" s="9" t="s">
        <v>2497</v>
      </c>
      <c r="E95" t="s">
        <v>134</v>
      </c>
      <c r="F95" t="s">
        <v>88</v>
      </c>
      <c r="G95" t="s">
        <v>95</v>
      </c>
      <c r="H95" t="s">
        <v>75</v>
      </c>
      <c r="I95" s="4">
        <v>113</v>
      </c>
      <c r="J95" s="4">
        <v>152.55</v>
      </c>
      <c r="K95" s="4">
        <f>J95-I95</f>
      </c>
      <c r="L95" s="4">
        <f>K95*16.67%</f>
      </c>
      <c r="M95" s="4">
        <f>J95*7%</f>
      </c>
      <c r="N95" s="4">
        <f>M95*20%</f>
      </c>
      <c r="O95" s="4">
        <v>0</v>
      </c>
      <c r="P95" s="4">
        <f>O95*20%</f>
      </c>
      <c r="Q95" s="4">
        <v>1</v>
      </c>
      <c r="R95" s="4">
        <f>N95+P95</f>
      </c>
      <c r="S95" s="4">
        <f>K95-L95-M95-N95-O95-P95-Q95</f>
      </c>
      <c r="T95" s="4">
        <f>(S95-V95)/I95*100</f>
      </c>
      <c r="U95" s="4">
        <f>L95-R95</f>
      </c>
      <c r="W95" s="4">
        <f>S95-V95</f>
      </c>
      <c r="AB95" t="s">
        <v>1</v>
      </c>
    </row>
    <row r="96" spans="1:28" x14ac:dyDescent="0.25">
      <c r="A96" s="8">
        <v>46218.5</v>
      </c>
      <c r="B96" t="s">
        <v>2498</v>
      </c>
      <c r="C96" t="s">
        <v>185</v>
      </c>
      <c r="D96" s="9" t="s">
        <v>1</v>
      </c>
      <c r="E96" t="s">
        <v>185</v>
      </c>
      <c r="F96" t="s">
        <v>1</v>
      </c>
      <c r="G96" t="s">
        <v>1</v>
      </c>
      <c r="H96" t="s">
        <v>102</v>
      </c>
      <c r="I96" s="4">
        <v>1.2</v>
      </c>
      <c r="J96" s="4">
        <v>1.51</v>
      </c>
      <c r="K96" s="4">
        <f>J96-I96</f>
      </c>
      <c r="L96" s="4">
        <f>K96*16.67%</f>
      </c>
      <c r="M96" s="4">
        <f>J96*7%</f>
      </c>
      <c r="N96" s="4">
        <f>M96*20%</f>
      </c>
      <c r="O96" s="4">
        <v>0</v>
      </c>
      <c r="P96" s="4">
        <f>O96*20%</f>
      </c>
      <c r="Q96" s="4">
        <v>0</v>
      </c>
      <c r="R96" s="4">
        <f>N96+P96</f>
      </c>
      <c r="S96" s="4">
        <f>K96-L96-M96-N96-O96-P96-Q96</f>
      </c>
      <c r="T96" s="4">
        <f>(S96-V96)/I96*100</f>
      </c>
      <c r="U96" s="4">
        <f>L96-R96</f>
      </c>
      <c r="W96" s="4">
        <f>S96-V96</f>
      </c>
      <c r="AB96" t="s">
        <v>1</v>
      </c>
    </row>
    <row r="97" spans="1:28" x14ac:dyDescent="0.25">
      <c r="A97" s="8">
        <v>46218.5</v>
      </c>
      <c r="B97" t="s">
        <v>2499</v>
      </c>
      <c r="C97" t="s">
        <v>254</v>
      </c>
      <c r="D97" s="9" t="s">
        <v>1</v>
      </c>
      <c r="E97" t="s">
        <v>254</v>
      </c>
      <c r="F97" t="s">
        <v>1</v>
      </c>
      <c r="G97" t="s">
        <v>1</v>
      </c>
      <c r="H97" t="s">
        <v>61</v>
      </c>
      <c r="I97" s="4">
        <v>0.8</v>
      </c>
      <c r="J97" s="4">
        <v>1.11</v>
      </c>
      <c r="K97" s="4">
        <f>J97-I97</f>
      </c>
      <c r="L97" s="4">
        <f>K97*16.67%</f>
      </c>
      <c r="M97" s="4">
        <f>J97*7%</f>
      </c>
      <c r="N97" s="4">
        <f>M97*20%</f>
      </c>
      <c r="O97" s="4">
        <v>0</v>
      </c>
      <c r="P97" s="4">
        <f>O97*20%</f>
      </c>
      <c r="Q97" s="4">
        <v>0</v>
      </c>
      <c r="R97" s="4">
        <f>N97+P97</f>
      </c>
      <c r="S97" s="4">
        <f>K97-L97-M97-N97-O97-P97-Q97</f>
      </c>
      <c r="T97" s="4">
        <f>(S97-V97)/I97*100</f>
      </c>
      <c r="U97" s="4">
        <f>L97-R97</f>
      </c>
      <c r="W97" s="4">
        <f>S97-V97</f>
      </c>
      <c r="AB97" t="s">
        <v>1</v>
      </c>
    </row>
    <row r="98" spans="1:28" x14ac:dyDescent="0.25">
      <c r="A98" s="8">
        <v>46218.5</v>
      </c>
      <c r="B98" t="s">
        <v>2500</v>
      </c>
      <c r="C98" t="s">
        <v>254</v>
      </c>
      <c r="D98" s="9" t="s">
        <v>1</v>
      </c>
      <c r="E98" t="s">
        <v>254</v>
      </c>
      <c r="F98" t="s">
        <v>1</v>
      </c>
      <c r="G98" t="s">
        <v>1</v>
      </c>
      <c r="H98" t="s">
        <v>61</v>
      </c>
      <c r="I98" s="4">
        <v>0.8</v>
      </c>
      <c r="J98" s="4">
        <v>1.05</v>
      </c>
      <c r="K98" s="4">
        <f>J98-I98</f>
      </c>
      <c r="L98" s="4">
        <f>K98*16.67%</f>
      </c>
      <c r="M98" s="4">
        <f>J98*7%</f>
      </c>
      <c r="N98" s="4">
        <f>M98*20%</f>
      </c>
      <c r="O98" s="4">
        <v>0</v>
      </c>
      <c r="P98" s="4">
        <f>O98*20%</f>
      </c>
      <c r="Q98" s="4">
        <v>0</v>
      </c>
      <c r="R98" s="4">
        <f>N98+P98</f>
      </c>
      <c r="S98" s="4">
        <f>K98-L98-M98-N98-O98-P98-Q98</f>
      </c>
      <c r="T98" s="4">
        <f>(S98-V98)/I98*100</f>
      </c>
      <c r="U98" s="4">
        <f>L98-R98</f>
      </c>
      <c r="W98" s="4">
        <f>S98-V98</f>
      </c>
      <c r="AB98" t="s">
        <v>1</v>
      </c>
    </row>
    <row r="99" spans="1:28" x14ac:dyDescent="0.25">
      <c r="A99" s="8">
        <v>46217.5</v>
      </c>
      <c r="B99" t="s">
        <v>2501</v>
      </c>
      <c r="C99" t="s">
        <v>1</v>
      </c>
      <c r="D99" s="9" t="s">
        <v>2502</v>
      </c>
      <c r="E99" t="s">
        <v>94</v>
      </c>
      <c r="F99" t="s">
        <v>70</v>
      </c>
      <c r="G99" t="s">
        <v>95</v>
      </c>
      <c r="H99" t="s">
        <v>61</v>
      </c>
      <c r="I99" s="4">
        <v>83</v>
      </c>
      <c r="J99" s="4">
        <v>109.56</v>
      </c>
      <c r="K99" s="4">
        <f>J99-I99</f>
      </c>
      <c r="L99" s="4">
        <f>K99*16.67%</f>
      </c>
      <c r="M99" s="4">
        <f>J99*7%</f>
      </c>
      <c r="N99" s="4">
        <f>M99*20%</f>
      </c>
      <c r="O99" s="4">
        <v>0</v>
      </c>
      <c r="P99" s="4">
        <f>O99*20%</f>
      </c>
      <c r="Q99" s="4">
        <v>1</v>
      </c>
      <c r="R99" s="4">
        <f>N99+P99</f>
      </c>
      <c r="S99" s="4">
        <f>K99-L99-M99-N99-O99-P99-Q99</f>
      </c>
      <c r="T99" s="4">
        <f>(S99-V99)/I99*100</f>
      </c>
      <c r="U99" s="4">
        <f>L99-R99</f>
      </c>
      <c r="W99" s="4">
        <f>S99-V99</f>
      </c>
      <c r="AB99" t="s">
        <v>1</v>
      </c>
    </row>
    <row r="100" spans="1:28" x14ac:dyDescent="0.25">
      <c r="A100" s="8">
        <v>46217.5</v>
      </c>
      <c r="B100" t="s">
        <v>2503</v>
      </c>
      <c r="C100" t="s">
        <v>1</v>
      </c>
      <c r="D100" s="9" t="s">
        <v>2504</v>
      </c>
      <c r="E100" t="s">
        <v>69</v>
      </c>
      <c r="F100" t="s">
        <v>59</v>
      </c>
      <c r="G100" t="s">
        <v>60</v>
      </c>
      <c r="H100" t="s">
        <v>78</v>
      </c>
      <c r="I100" s="4">
        <v>512</v>
      </c>
      <c r="J100" s="4">
        <v>624.64</v>
      </c>
      <c r="K100" s="4">
        <f>J100-I100</f>
      </c>
      <c r="L100" s="4">
        <f>K100*16.67%</f>
      </c>
      <c r="M100" s="4">
        <f>J100*7%</f>
      </c>
      <c r="N100" s="4">
        <f>M100*20%</f>
      </c>
      <c r="O100" s="4">
        <v>0</v>
      </c>
      <c r="P100" s="4">
        <f>O100*20%</f>
      </c>
      <c r="Q100" s="4">
        <v>1</v>
      </c>
      <c r="R100" s="4">
        <f>N100+P100</f>
      </c>
      <c r="S100" s="4">
        <f>K100-L100-M100-N100-O100-P100-Q100</f>
      </c>
      <c r="T100" s="4">
        <f>(S100-V100)/I100*100</f>
      </c>
      <c r="U100" s="4">
        <f>L100-R100</f>
      </c>
      <c r="W100" s="4">
        <f>S100-V100</f>
      </c>
      <c r="AB100" t="s">
        <v>1</v>
      </c>
    </row>
    <row r="101" spans="1:28" x14ac:dyDescent="0.25">
      <c r="A101" s="8">
        <v>46217.5</v>
      </c>
      <c r="B101" t="s">
        <v>2505</v>
      </c>
      <c r="C101" t="s">
        <v>1</v>
      </c>
      <c r="D101" s="9" t="s">
        <v>2506</v>
      </c>
      <c r="E101" t="s">
        <v>172</v>
      </c>
      <c r="F101" t="s">
        <v>88</v>
      </c>
      <c r="G101" t="s">
        <v>65</v>
      </c>
      <c r="H101" t="s">
        <v>75</v>
      </c>
      <c r="I101" s="4">
        <v>163</v>
      </c>
      <c r="J101" s="4">
        <v>187.45</v>
      </c>
      <c r="K101" s="4">
        <f>J101-I101</f>
      </c>
      <c r="L101" s="4">
        <f>K101*16.67%</f>
      </c>
      <c r="M101" s="4">
        <f>J101*7%</f>
      </c>
      <c r="N101" s="4">
        <f>M101*20%</f>
      </c>
      <c r="O101" s="4">
        <v>0</v>
      </c>
      <c r="P101" s="4">
        <f>O101*20%</f>
      </c>
      <c r="Q101" s="4">
        <v>1</v>
      </c>
      <c r="R101" s="4">
        <f>N101+P101</f>
      </c>
      <c r="S101" s="4">
        <f>K101-L101-M101-N101-O101-P101-Q101</f>
      </c>
      <c r="T101" s="4">
        <f>(S101-V101)/I101*100</f>
      </c>
      <c r="U101" s="4">
        <f>L101-R101</f>
      </c>
      <c r="W101" s="4">
        <f>S101-V101</f>
      </c>
      <c r="AB101" t="s">
        <v>1</v>
      </c>
    </row>
    <row r="102" spans="1:28" x14ac:dyDescent="0.25">
      <c r="A102" s="8">
        <v>46217.5</v>
      </c>
      <c r="B102" t="s">
        <v>2507</v>
      </c>
      <c r="C102" t="s">
        <v>1</v>
      </c>
      <c r="D102" s="9" t="s">
        <v>2508</v>
      </c>
      <c r="E102" t="s">
        <v>131</v>
      </c>
      <c r="F102" t="s">
        <v>99</v>
      </c>
      <c r="G102" t="s">
        <v>60</v>
      </c>
      <c r="H102" t="s">
        <v>61</v>
      </c>
      <c r="I102" s="4">
        <v>290</v>
      </c>
      <c r="J102" s="4">
        <v>359.6</v>
      </c>
      <c r="K102" s="4">
        <f>J102-I102</f>
      </c>
      <c r="L102" s="4">
        <f>K102*16.67%</f>
      </c>
      <c r="M102" s="4">
        <f>J102*7%</f>
      </c>
      <c r="N102" s="4">
        <f>M102*20%</f>
      </c>
      <c r="O102" s="4">
        <v>0</v>
      </c>
      <c r="P102" s="4">
        <f>O102*20%</f>
      </c>
      <c r="Q102" s="4">
        <v>1</v>
      </c>
      <c r="R102" s="4">
        <f>N102+P102</f>
      </c>
      <c r="S102" s="4">
        <f>K102-L102-M102-N102-O102-P102-Q102</f>
      </c>
      <c r="T102" s="4">
        <f>(S102-V102)/I102*100</f>
      </c>
      <c r="U102" s="4">
        <f>L102-R102</f>
      </c>
      <c r="W102" s="4">
        <f>S102-V102</f>
      </c>
      <c r="AB102" t="s">
        <v>1</v>
      </c>
    </row>
    <row r="103" spans="1:28" x14ac:dyDescent="0.25">
      <c r="A103" s="8">
        <v>46217.5</v>
      </c>
      <c r="B103" t="s">
        <v>2509</v>
      </c>
      <c r="C103" t="s">
        <v>185</v>
      </c>
      <c r="D103" s="9" t="s">
        <v>1</v>
      </c>
      <c r="E103" t="s">
        <v>185</v>
      </c>
      <c r="F103" t="s">
        <v>1</v>
      </c>
      <c r="G103" t="s">
        <v>1</v>
      </c>
      <c r="H103" t="s">
        <v>102</v>
      </c>
      <c r="I103" s="4">
        <v>1.2</v>
      </c>
      <c r="J103" s="4">
        <v>1.44</v>
      </c>
      <c r="K103" s="4">
        <f>J103-I103</f>
      </c>
      <c r="L103" s="4">
        <f>K103*16.67%</f>
      </c>
      <c r="M103" s="4">
        <f>J103*7%</f>
      </c>
      <c r="N103" s="4">
        <f>M103*20%</f>
      </c>
      <c r="O103" s="4">
        <v>0</v>
      </c>
      <c r="P103" s="4">
        <f>O103*20%</f>
      </c>
      <c r="Q103" s="4">
        <v>0</v>
      </c>
      <c r="R103" s="4">
        <f>N103+P103</f>
      </c>
      <c r="S103" s="4">
        <f>K103-L103-M103-N103-O103-P103-Q103</f>
      </c>
      <c r="T103" s="4">
        <f>(S103-V103)/I103*100</f>
      </c>
      <c r="U103" s="4">
        <f>L103-R103</f>
      </c>
      <c r="W103" s="4">
        <f>S103-V103</f>
      </c>
      <c r="AB103" t="s">
        <v>1</v>
      </c>
    </row>
    <row r="104" spans="1:28" x14ac:dyDescent="0.25">
      <c r="A104" s="8">
        <v>46217.5</v>
      </c>
      <c r="B104" t="s">
        <v>2510</v>
      </c>
      <c r="C104" t="s">
        <v>174</v>
      </c>
      <c r="D104" s="9" t="s">
        <v>1</v>
      </c>
      <c r="E104" t="s">
        <v>174</v>
      </c>
      <c r="F104" t="s">
        <v>1</v>
      </c>
      <c r="G104" t="s">
        <v>1</v>
      </c>
      <c r="H104" t="s">
        <v>66</v>
      </c>
      <c r="I104" s="4">
        <v>4.25</v>
      </c>
      <c r="J104" s="4">
        <v>4.97</v>
      </c>
      <c r="K104" s="4">
        <f>J104-I104</f>
      </c>
      <c r="L104" s="4">
        <f>K104*16.67%</f>
      </c>
      <c r="M104" s="4">
        <f>J104*7%</f>
      </c>
      <c r="N104" s="4">
        <f>M104*20%</f>
      </c>
      <c r="O104" s="4">
        <v>0</v>
      </c>
      <c r="P104" s="4">
        <f>O104*20%</f>
      </c>
      <c r="Q104" s="4">
        <v>0</v>
      </c>
      <c r="R104" s="4">
        <f>N104+P104</f>
      </c>
      <c r="S104" s="4">
        <f>K104-L104-M104-N104-O104-P104-Q104</f>
      </c>
      <c r="T104" s="4">
        <f>(S104-V104)/I104*100</f>
      </c>
      <c r="U104" s="4">
        <f>L104-R104</f>
      </c>
      <c r="W104" s="4">
        <f>S104-V104</f>
      </c>
      <c r="AB104" t="s">
        <v>1</v>
      </c>
    </row>
    <row r="105" spans="1:28" x14ac:dyDescent="0.25">
      <c r="A105" s="8">
        <v>46217.5</v>
      </c>
      <c r="B105" t="s">
        <v>2511</v>
      </c>
      <c r="C105" t="s">
        <v>254</v>
      </c>
      <c r="D105" s="9" t="s">
        <v>1</v>
      </c>
      <c r="E105" t="s">
        <v>254</v>
      </c>
      <c r="F105" t="s">
        <v>1</v>
      </c>
      <c r="G105" t="s">
        <v>1</v>
      </c>
      <c r="H105" t="s">
        <v>61</v>
      </c>
      <c r="I105" s="4">
        <v>0.8</v>
      </c>
      <c r="J105" s="4">
        <v>0.94</v>
      </c>
      <c r="K105" s="4">
        <f>J105-I105</f>
      </c>
      <c r="L105" s="4">
        <f>K105*16.67%</f>
      </c>
      <c r="M105" s="4">
        <f>J105*7%</f>
      </c>
      <c r="N105" s="4">
        <f>M105*20%</f>
      </c>
      <c r="O105" s="4">
        <v>0</v>
      </c>
      <c r="P105" s="4">
        <f>O105*20%</f>
      </c>
      <c r="Q105" s="4">
        <v>0</v>
      </c>
      <c r="R105" s="4">
        <f>N105+P105</f>
      </c>
      <c r="S105" s="4">
        <f>K105-L105-M105-N105-O105-P105-Q105</f>
      </c>
      <c r="T105" s="4">
        <f>(S105-V105)/I105*100</f>
      </c>
      <c r="U105" s="4">
        <f>L105-R105</f>
      </c>
      <c r="W105" s="4">
        <f>S105-V105</f>
      </c>
      <c r="AB105" t="s">
        <v>1</v>
      </c>
    </row>
    <row r="106" spans="1:28" x14ac:dyDescent="0.25">
      <c r="A106" s="8">
        <v>46216.5</v>
      </c>
      <c r="B106" t="s">
        <v>2512</v>
      </c>
      <c r="C106" t="s">
        <v>1</v>
      </c>
      <c r="D106" s="9" t="s">
        <v>2513</v>
      </c>
      <c r="E106" t="s">
        <v>292</v>
      </c>
      <c r="F106" t="s">
        <v>99</v>
      </c>
      <c r="G106" t="s">
        <v>126</v>
      </c>
      <c r="H106" t="s">
        <v>102</v>
      </c>
      <c r="I106" s="4">
        <v>171</v>
      </c>
      <c r="J106" s="4">
        <v>201.78</v>
      </c>
      <c r="K106" s="4">
        <f>J106-I106</f>
      </c>
      <c r="L106" s="4">
        <f>K106*16.67%</f>
      </c>
      <c r="M106" s="4">
        <f>J106*7%</f>
      </c>
      <c r="N106" s="4">
        <f>M106*20%</f>
      </c>
      <c r="O106" s="4">
        <v>0</v>
      </c>
      <c r="P106" s="4">
        <f>O106*20%</f>
      </c>
      <c r="Q106" s="4">
        <v>1</v>
      </c>
      <c r="R106" s="4">
        <f>N106+P106</f>
      </c>
      <c r="S106" s="4">
        <f>K106-L106-M106-N106-O106-P106-Q106</f>
      </c>
      <c r="T106" s="4">
        <f>(S106-V106)/I106*100</f>
      </c>
      <c r="U106" s="4">
        <f>L106-R106</f>
      </c>
      <c r="W106" s="4">
        <f>S106-V106</f>
      </c>
      <c r="AB106" t="s">
        <v>1</v>
      </c>
    </row>
    <row r="107" spans="1:28" x14ac:dyDescent="0.25">
      <c r="A107" s="8">
        <v>46216.5</v>
      </c>
      <c r="B107" t="s">
        <v>2514</v>
      </c>
      <c r="C107" t="s">
        <v>1</v>
      </c>
      <c r="D107" s="9" t="s">
        <v>2515</v>
      </c>
      <c r="E107" t="s">
        <v>73</v>
      </c>
      <c r="F107" t="s">
        <v>99</v>
      </c>
      <c r="G107" t="s">
        <v>60</v>
      </c>
      <c r="H107" t="s">
        <v>61</v>
      </c>
      <c r="I107" s="4">
        <v>335</v>
      </c>
      <c r="J107" s="4">
        <v>462.3</v>
      </c>
      <c r="K107" s="4">
        <f>J107-I107</f>
      </c>
      <c r="L107" s="4">
        <f>K107*16.67%</f>
      </c>
      <c r="M107" s="4">
        <f>J107*7%</f>
      </c>
      <c r="N107" s="4">
        <f>M107*20%</f>
      </c>
      <c r="O107" s="4">
        <v>0</v>
      </c>
      <c r="P107" s="4">
        <f>O107*20%</f>
      </c>
      <c r="Q107" s="4">
        <v>1</v>
      </c>
      <c r="R107" s="4">
        <f>N107+P107</f>
      </c>
      <c r="S107" s="4">
        <f>K107-L107-M107-N107-O107-P107-Q107</f>
      </c>
      <c r="T107" s="4">
        <f>(S107-V107)/I107*100</f>
      </c>
      <c r="U107" s="4">
        <f>L107-R107</f>
      </c>
      <c r="W107" s="4">
        <f>S107-V107</f>
      </c>
      <c r="AB107" t="s">
        <v>1</v>
      </c>
    </row>
    <row r="108" spans="1:28" x14ac:dyDescent="0.25">
      <c r="A108" s="8">
        <v>46216.5</v>
      </c>
      <c r="B108" t="s">
        <v>2516</v>
      </c>
      <c r="C108" t="s">
        <v>1</v>
      </c>
      <c r="D108" s="9" t="s">
        <v>2517</v>
      </c>
      <c r="E108" t="s">
        <v>58</v>
      </c>
      <c r="F108" t="s">
        <v>59</v>
      </c>
      <c r="G108" t="s">
        <v>60</v>
      </c>
      <c r="H108" t="s">
        <v>61</v>
      </c>
      <c r="I108" s="4">
        <v>443</v>
      </c>
      <c r="J108" s="4">
        <v>629.06</v>
      </c>
      <c r="K108" s="4">
        <f>J108-I108</f>
      </c>
      <c r="L108" s="4">
        <f>K108*16.67%</f>
      </c>
      <c r="M108" s="4">
        <f>J108*7%</f>
      </c>
      <c r="N108" s="4">
        <f>M108*20%</f>
      </c>
      <c r="O108" s="4">
        <v>0</v>
      </c>
      <c r="P108" s="4">
        <f>O108*20%</f>
      </c>
      <c r="Q108" s="4">
        <v>1</v>
      </c>
      <c r="R108" s="4">
        <f>N108+P108</f>
      </c>
      <c r="S108" s="4">
        <f>K108-L108-M108-N108-O108-P108-Q108</f>
      </c>
      <c r="T108" s="4">
        <f>(S108-V108)/I108*100</f>
      </c>
      <c r="U108" s="4">
        <f>L108-R108</f>
      </c>
      <c r="W108" s="4">
        <f>S108-V108</f>
      </c>
      <c r="AB108" t="s">
        <v>1</v>
      </c>
    </row>
    <row r="109" spans="1:28" x14ac:dyDescent="0.25">
      <c r="A109" s="8">
        <v>46216.5</v>
      </c>
      <c r="B109" t="s">
        <v>2518</v>
      </c>
      <c r="C109" t="s">
        <v>1</v>
      </c>
      <c r="D109" s="9" t="s">
        <v>2519</v>
      </c>
      <c r="E109" t="s">
        <v>94</v>
      </c>
      <c r="F109" t="s">
        <v>59</v>
      </c>
      <c r="G109" t="s">
        <v>95</v>
      </c>
      <c r="H109" t="s">
        <v>75</v>
      </c>
      <c r="I109" s="4">
        <v>88</v>
      </c>
      <c r="J109" s="4">
        <v>123.2</v>
      </c>
      <c r="K109" s="4">
        <f>J109-I109</f>
      </c>
      <c r="L109" s="4">
        <f>K109*16.67%</f>
      </c>
      <c r="M109" s="4">
        <f>J109*7%</f>
      </c>
      <c r="N109" s="4">
        <f>M109*20%</f>
      </c>
      <c r="O109" s="4">
        <v>0</v>
      </c>
      <c r="P109" s="4">
        <f>O109*20%</f>
      </c>
      <c r="Q109" s="4">
        <v>1</v>
      </c>
      <c r="R109" s="4">
        <f>N109+P109</f>
      </c>
      <c r="S109" s="4">
        <f>K109-L109-M109-N109-O109-P109-Q109</f>
      </c>
      <c r="T109" s="4">
        <f>(S109-V109)/I109*100</f>
      </c>
      <c r="U109" s="4">
        <f>L109-R109</f>
      </c>
      <c r="W109" s="4">
        <f>S109-V109</f>
      </c>
      <c r="AB109" t="s">
        <v>1</v>
      </c>
    </row>
    <row r="110" spans="1:28" x14ac:dyDescent="0.25">
      <c r="A110" s="8">
        <v>46216.5</v>
      </c>
      <c r="B110" t="s">
        <v>2520</v>
      </c>
      <c r="C110" t="s">
        <v>1</v>
      </c>
      <c r="D110" s="9" t="s">
        <v>2521</v>
      </c>
      <c r="E110" t="s">
        <v>114</v>
      </c>
      <c r="F110" t="s">
        <v>70</v>
      </c>
      <c r="G110" t="s">
        <v>95</v>
      </c>
      <c r="H110" t="s">
        <v>102</v>
      </c>
      <c r="I110" s="4">
        <v>250</v>
      </c>
      <c r="J110" s="4">
        <v>357.5</v>
      </c>
      <c r="K110" s="4">
        <f>J110-I110</f>
      </c>
      <c r="L110" s="4">
        <f>K110*16.67%</f>
      </c>
      <c r="M110" s="4">
        <f>J110*7%</f>
      </c>
      <c r="N110" s="4">
        <f>M110*20%</f>
      </c>
      <c r="O110" s="4">
        <v>0</v>
      </c>
      <c r="P110" s="4">
        <f>O110*20%</f>
      </c>
      <c r="Q110" s="4">
        <v>1</v>
      </c>
      <c r="R110" s="4">
        <f>N110+P110</f>
      </c>
      <c r="S110" s="4">
        <f>K110-L110-M110-N110-O110-P110-Q110</f>
      </c>
      <c r="T110" s="4">
        <f>(S110-V110)/I110*100</f>
      </c>
      <c r="U110" s="4">
        <f>L110-R110</f>
      </c>
      <c r="W110" s="4">
        <f>S110-V110</f>
      </c>
      <c r="AB110" t="s">
        <v>1</v>
      </c>
    </row>
    <row r="111" spans="1:28" x14ac:dyDescent="0.25">
      <c r="A111" s="8">
        <v>46216.5</v>
      </c>
      <c r="B111" t="s">
        <v>2522</v>
      </c>
      <c r="C111" t="s">
        <v>1</v>
      </c>
      <c r="D111" s="9" t="s">
        <v>2523</v>
      </c>
      <c r="E111" t="s">
        <v>292</v>
      </c>
      <c r="F111" t="s">
        <v>74</v>
      </c>
      <c r="G111" t="s">
        <v>126</v>
      </c>
      <c r="H111" t="s">
        <v>61</v>
      </c>
      <c r="I111" s="4">
        <v>150</v>
      </c>
      <c r="J111" s="4">
        <v>217.5</v>
      </c>
      <c r="K111" s="4">
        <f>J111-I111</f>
      </c>
      <c r="L111" s="4">
        <f>K111*16.67%</f>
      </c>
      <c r="M111" s="4">
        <f>J111*7%</f>
      </c>
      <c r="N111" s="4">
        <f>M111*20%</f>
      </c>
      <c r="O111" s="4">
        <v>0</v>
      </c>
      <c r="P111" s="4">
        <f>O111*20%</f>
      </c>
      <c r="Q111" s="4">
        <v>1</v>
      </c>
      <c r="R111" s="4">
        <f>N111+P111</f>
      </c>
      <c r="S111" s="4">
        <f>K111-L111-M111-N111-O111-P111-Q111</f>
      </c>
      <c r="T111" s="4">
        <f>(S111-V111)/I111*100</f>
      </c>
      <c r="U111" s="4">
        <f>L111-R111</f>
      </c>
      <c r="W111" s="4">
        <f>S111-V111</f>
      </c>
      <c r="AB111" t="s">
        <v>1</v>
      </c>
    </row>
    <row r="112" spans="1:28" x14ac:dyDescent="0.25">
      <c r="A112" s="8">
        <v>46216.5</v>
      </c>
      <c r="B112" t="s">
        <v>2524</v>
      </c>
      <c r="C112" t="s">
        <v>185</v>
      </c>
      <c r="D112" s="9" t="s">
        <v>1</v>
      </c>
      <c r="E112" t="s">
        <v>185</v>
      </c>
      <c r="F112" t="s">
        <v>1</v>
      </c>
      <c r="G112" t="s">
        <v>1</v>
      </c>
      <c r="H112" t="s">
        <v>102</v>
      </c>
      <c r="I112" s="4">
        <v>1.2</v>
      </c>
      <c r="J112" s="4">
        <v>1.63</v>
      </c>
      <c r="K112" s="4">
        <f>J112-I112</f>
      </c>
      <c r="L112" s="4">
        <f>K112*16.67%</f>
      </c>
      <c r="M112" s="4">
        <f>J112*7%</f>
      </c>
      <c r="N112" s="4">
        <f>M112*20%</f>
      </c>
      <c r="O112" s="4">
        <v>0</v>
      </c>
      <c r="P112" s="4">
        <f>O112*20%</f>
      </c>
      <c r="Q112" s="4">
        <v>0</v>
      </c>
      <c r="R112" s="4">
        <f>N112+P112</f>
      </c>
      <c r="S112" s="4">
        <f>K112-L112-M112-N112-O112-P112-Q112</f>
      </c>
      <c r="T112" s="4">
        <f>(S112-V112)/I112*100</f>
      </c>
      <c r="U112" s="4">
        <f>L112-R112</f>
      </c>
      <c r="W112" s="4">
        <f>S112-V112</f>
      </c>
      <c r="AB112" t="s">
        <v>1</v>
      </c>
    </row>
    <row r="113" spans="1:28" x14ac:dyDescent="0.25">
      <c r="A113" s="8">
        <v>46216.5</v>
      </c>
      <c r="B113" t="s">
        <v>2525</v>
      </c>
      <c r="C113" t="s">
        <v>189</v>
      </c>
      <c r="D113" s="9" t="s">
        <v>1</v>
      </c>
      <c r="E113" t="s">
        <v>189</v>
      </c>
      <c r="F113" t="s">
        <v>1</v>
      </c>
      <c r="G113" t="s">
        <v>1</v>
      </c>
      <c r="H113" t="s">
        <v>66</v>
      </c>
      <c r="I113" s="4">
        <v>3.5</v>
      </c>
      <c r="J113" s="4">
        <v>4.66</v>
      </c>
      <c r="K113" s="4">
        <f>J113-I113</f>
      </c>
      <c r="L113" s="4">
        <f>K113*16.67%</f>
      </c>
      <c r="M113" s="4">
        <f>J113*7%</f>
      </c>
      <c r="N113" s="4">
        <f>M113*20%</f>
      </c>
      <c r="O113" s="4">
        <v>0</v>
      </c>
      <c r="P113" s="4">
        <f>O113*20%</f>
      </c>
      <c r="Q113" s="4">
        <v>0</v>
      </c>
      <c r="R113" s="4">
        <f>N113+P113</f>
      </c>
      <c r="S113" s="4">
        <f>K113-L113-M113-N113-O113-P113-Q113</f>
      </c>
      <c r="T113" s="4">
        <f>(S113-V113)/I113*100</f>
      </c>
      <c r="U113" s="4">
        <f>L113-R113</f>
      </c>
      <c r="W113" s="4">
        <f>S113-V113</f>
      </c>
      <c r="AB113" t="s">
        <v>1</v>
      </c>
    </row>
    <row r="114" spans="1:28" x14ac:dyDescent="0.25">
      <c r="A114" s="8">
        <v>46216.5</v>
      </c>
      <c r="B114" t="s">
        <v>2526</v>
      </c>
      <c r="C114" t="s">
        <v>174</v>
      </c>
      <c r="D114" s="9" t="s">
        <v>1</v>
      </c>
      <c r="E114" t="s">
        <v>174</v>
      </c>
      <c r="F114" t="s">
        <v>1</v>
      </c>
      <c r="G114" t="s">
        <v>1</v>
      </c>
      <c r="H114" t="s">
        <v>66</v>
      </c>
      <c r="I114" s="4">
        <v>4.25</v>
      </c>
      <c r="J114" s="4">
        <v>5.91</v>
      </c>
      <c r="K114" s="4">
        <f>J114-I114</f>
      </c>
      <c r="L114" s="4">
        <f>K114*16.67%</f>
      </c>
      <c r="M114" s="4">
        <f>J114*7%</f>
      </c>
      <c r="N114" s="4">
        <f>M114*20%</f>
      </c>
      <c r="O114" s="4">
        <v>0</v>
      </c>
      <c r="P114" s="4">
        <f>O114*20%</f>
      </c>
      <c r="Q114" s="4">
        <v>0</v>
      </c>
      <c r="R114" s="4">
        <f>N114+P114</f>
      </c>
      <c r="S114" s="4">
        <f>K114-L114-M114-N114-O114-P114-Q114</f>
      </c>
      <c r="T114" s="4">
        <f>(S114-V114)/I114*100</f>
      </c>
      <c r="U114" s="4">
        <f>L114-R114</f>
      </c>
      <c r="W114" s="4">
        <f>S114-V114</f>
      </c>
      <c r="AB114" t="s">
        <v>1</v>
      </c>
    </row>
    <row r="115" spans="1:28" x14ac:dyDescent="0.25">
      <c r="A115" s="8">
        <v>46216.5</v>
      </c>
      <c r="B115" t="s">
        <v>2527</v>
      </c>
      <c r="C115" t="s">
        <v>185</v>
      </c>
      <c r="D115" s="9" t="s">
        <v>1</v>
      </c>
      <c r="E115" t="s">
        <v>185</v>
      </c>
      <c r="F115" t="s">
        <v>1</v>
      </c>
      <c r="G115" t="s">
        <v>1</v>
      </c>
      <c r="H115" t="s">
        <v>102</v>
      </c>
      <c r="I115" s="4">
        <v>1.2</v>
      </c>
      <c r="J115" s="4">
        <v>1.63</v>
      </c>
      <c r="K115" s="4">
        <f>J115-I115</f>
      </c>
      <c r="L115" s="4">
        <f>K115*16.67%</f>
      </c>
      <c r="M115" s="4">
        <f>J115*7%</f>
      </c>
      <c r="N115" s="4">
        <f>M115*20%</f>
      </c>
      <c r="O115" s="4">
        <v>0</v>
      </c>
      <c r="P115" s="4">
        <f>O115*20%</f>
      </c>
      <c r="Q115" s="4">
        <v>0</v>
      </c>
      <c r="R115" s="4">
        <f>N115+P115</f>
      </c>
      <c r="S115" s="4">
        <f>K115-L115-M115-N115-O115-P115-Q115</f>
      </c>
      <c r="T115" s="4">
        <f>(S115-V115)/I115*100</f>
      </c>
      <c r="U115" s="4">
        <f>L115-R115</f>
      </c>
      <c r="W115" s="4">
        <f>S115-V115</f>
      </c>
      <c r="AB115" t="s">
        <v>1</v>
      </c>
    </row>
    <row r="116" spans="1:28" x14ac:dyDescent="0.25">
      <c r="A116" s="8">
        <v>46215.5</v>
      </c>
      <c r="B116" t="s">
        <v>2528</v>
      </c>
      <c r="C116" t="s">
        <v>1</v>
      </c>
      <c r="D116" s="9" t="s">
        <v>2529</v>
      </c>
      <c r="E116" t="s">
        <v>131</v>
      </c>
      <c r="F116" t="s">
        <v>105</v>
      </c>
      <c r="G116" t="s">
        <v>60</v>
      </c>
      <c r="H116" t="s">
        <v>75</v>
      </c>
      <c r="I116" s="4">
        <v>308</v>
      </c>
      <c r="J116" s="4">
        <v>360.36</v>
      </c>
      <c r="K116" s="4">
        <f>J116-I116</f>
      </c>
      <c r="L116" s="4">
        <f>K116*16.67%</f>
      </c>
      <c r="M116" s="4">
        <f>J116*7%</f>
      </c>
      <c r="N116" s="4">
        <f>M116*20%</f>
      </c>
      <c r="O116" s="4">
        <v>0</v>
      </c>
      <c r="P116" s="4">
        <f>O116*20%</f>
      </c>
      <c r="Q116" s="4">
        <v>1</v>
      </c>
      <c r="R116" s="4">
        <f>N116+P116</f>
      </c>
      <c r="S116" s="4">
        <f>K116-L116-M116-N116-O116-P116-Q116</f>
      </c>
      <c r="T116" s="4">
        <f>(S116-V116)/I116*100</f>
      </c>
      <c r="U116" s="4">
        <f>L116-R116</f>
      </c>
      <c r="W116" s="4">
        <f>S116-V116</f>
      </c>
      <c r="AB116" t="s">
        <v>1</v>
      </c>
    </row>
    <row r="117" spans="1:28" x14ac:dyDescent="0.25">
      <c r="A117" s="8">
        <v>46215.5</v>
      </c>
      <c r="B117" t="s">
        <v>2530</v>
      </c>
      <c r="C117" t="s">
        <v>1</v>
      </c>
      <c r="D117" s="9" t="s">
        <v>2531</v>
      </c>
      <c r="E117" t="s">
        <v>84</v>
      </c>
      <c r="F117" t="s">
        <v>59</v>
      </c>
      <c r="G117" t="s">
        <v>60</v>
      </c>
      <c r="H117" t="s">
        <v>61</v>
      </c>
      <c r="I117" s="4">
        <v>712</v>
      </c>
      <c r="J117" s="4">
        <v>975.44</v>
      </c>
      <c r="K117" s="4">
        <f>J117-I117</f>
      </c>
      <c r="L117" s="4">
        <f>K117*16.67%</f>
      </c>
      <c r="M117" s="4">
        <f>J117*7%</f>
      </c>
      <c r="N117" s="4">
        <f>M117*20%</f>
      </c>
      <c r="O117" s="4">
        <v>0</v>
      </c>
      <c r="P117" s="4">
        <f>O117*20%</f>
      </c>
      <c r="Q117" s="4">
        <v>1</v>
      </c>
      <c r="R117" s="4">
        <f>N117+P117</f>
      </c>
      <c r="S117" s="4">
        <f>K117-L117-M117-N117-O117-P117-Q117</f>
      </c>
      <c r="T117" s="4">
        <f>(S117-V117)/I117*100</f>
      </c>
      <c r="U117" s="4">
        <f>L117-R117</f>
      </c>
      <c r="W117" s="4">
        <f>S117-V117</f>
      </c>
      <c r="AB117" t="s">
        <v>1</v>
      </c>
    </row>
    <row r="118" spans="1:28" x14ac:dyDescent="0.25">
      <c r="A118" s="8">
        <v>46215.5</v>
      </c>
      <c r="B118" t="s">
        <v>2532</v>
      </c>
      <c r="C118" t="s">
        <v>1</v>
      </c>
      <c r="D118" s="9" t="s">
        <v>2533</v>
      </c>
      <c r="E118" t="s">
        <v>81</v>
      </c>
      <c r="F118" t="s">
        <v>105</v>
      </c>
      <c r="G118" t="s">
        <v>60</v>
      </c>
      <c r="H118" t="s">
        <v>61</v>
      </c>
      <c r="I118" s="4">
        <v>614</v>
      </c>
      <c r="J118" s="4">
        <v>730.66</v>
      </c>
      <c r="K118" s="4">
        <f>J118-I118</f>
      </c>
      <c r="L118" s="4">
        <f>K118*16.67%</f>
      </c>
      <c r="M118" s="4">
        <f>J118*7%</f>
      </c>
      <c r="N118" s="4">
        <f>M118*20%</f>
      </c>
      <c r="O118" s="4">
        <v>0</v>
      </c>
      <c r="P118" s="4">
        <f>O118*20%</f>
      </c>
      <c r="Q118" s="4">
        <v>1</v>
      </c>
      <c r="R118" s="4">
        <f>N118+P118</f>
      </c>
      <c r="S118" s="4">
        <f>K118-L118-M118-N118-O118-P118-Q118</f>
      </c>
      <c r="T118" s="4">
        <f>(S118-V118)/I118*100</f>
      </c>
      <c r="U118" s="4">
        <f>L118-R118</f>
      </c>
      <c r="W118" s="4">
        <f>S118-V118</f>
      </c>
      <c r="AB118" t="s">
        <v>1</v>
      </c>
    </row>
    <row r="119" spans="1:28" x14ac:dyDescent="0.25">
      <c r="A119" s="8">
        <v>46215.5</v>
      </c>
      <c r="B119" t="s">
        <v>2534</v>
      </c>
      <c r="C119" t="s">
        <v>1</v>
      </c>
      <c r="D119" s="9" t="s">
        <v>2535</v>
      </c>
      <c r="E119" t="s">
        <v>114</v>
      </c>
      <c r="F119" t="s">
        <v>74</v>
      </c>
      <c r="G119" t="s">
        <v>60</v>
      </c>
      <c r="H119" t="s">
        <v>78</v>
      </c>
      <c r="I119" s="4">
        <v>211</v>
      </c>
      <c r="J119" s="4">
        <v>265.86</v>
      </c>
      <c r="K119" s="4">
        <f>J119-I119</f>
      </c>
      <c r="L119" s="4">
        <f>K119*16.67%</f>
      </c>
      <c r="M119" s="4">
        <f>J119*7%</f>
      </c>
      <c r="N119" s="4">
        <f>M119*20%</f>
      </c>
      <c r="O119" s="4">
        <v>0</v>
      </c>
      <c r="P119" s="4">
        <f>O119*20%</f>
      </c>
      <c r="Q119" s="4">
        <v>1</v>
      </c>
      <c r="R119" s="4">
        <f>N119+P119</f>
      </c>
      <c r="S119" s="4">
        <f>K119-L119-M119-N119-O119-P119-Q119</f>
      </c>
      <c r="T119" s="4">
        <f>(S119-V119)/I119*100</f>
      </c>
      <c r="U119" s="4">
        <f>L119-R119</f>
      </c>
      <c r="W119" s="4">
        <f>S119-V119</f>
      </c>
      <c r="AB119" t="s">
        <v>1</v>
      </c>
    </row>
    <row r="120" spans="1:28" x14ac:dyDescent="0.25">
      <c r="A120" s="8">
        <v>46214.5</v>
      </c>
      <c r="B120" t="s">
        <v>2536</v>
      </c>
      <c r="C120" t="s">
        <v>1</v>
      </c>
      <c r="D120" s="9" t="s">
        <v>2537</v>
      </c>
      <c r="E120" t="s">
        <v>114</v>
      </c>
      <c r="F120" t="s">
        <v>74</v>
      </c>
      <c r="G120" t="s">
        <v>60</v>
      </c>
      <c r="H120" t="s">
        <v>78</v>
      </c>
      <c r="I120" s="4">
        <v>228</v>
      </c>
      <c r="J120" s="4">
        <v>271.32</v>
      </c>
      <c r="K120" s="4">
        <f>J120-I120</f>
      </c>
      <c r="L120" s="4">
        <f>K120*16.67%</f>
      </c>
      <c r="M120" s="4">
        <f>J120*7%</f>
      </c>
      <c r="N120" s="4">
        <f>M120*20%</f>
      </c>
      <c r="O120" s="4">
        <v>0</v>
      </c>
      <c r="P120" s="4">
        <f>O120*20%</f>
      </c>
      <c r="Q120" s="4">
        <v>1</v>
      </c>
      <c r="R120" s="4">
        <f>N120+P120</f>
      </c>
      <c r="S120" s="4">
        <f>K120-L120-M120-N120-O120-P120-Q120</f>
      </c>
      <c r="T120" s="4">
        <f>(S120-V120)/I120*100</f>
      </c>
      <c r="U120" s="4">
        <f>L120-R120</f>
      </c>
      <c r="W120" s="4">
        <f>S120-V120</f>
      </c>
      <c r="AB120" t="s">
        <v>1</v>
      </c>
    </row>
    <row r="121" spans="1:28" x14ac:dyDescent="0.25">
      <c r="A121" s="8">
        <v>46214.5</v>
      </c>
      <c r="B121" t="s">
        <v>2538</v>
      </c>
      <c r="C121" t="s">
        <v>1</v>
      </c>
      <c r="D121" s="9" t="s">
        <v>2539</v>
      </c>
      <c r="E121" t="s">
        <v>69</v>
      </c>
      <c r="F121" t="s">
        <v>74</v>
      </c>
      <c r="G121" t="s">
        <v>60</v>
      </c>
      <c r="H121" t="s">
        <v>102</v>
      </c>
      <c r="I121" s="4">
        <v>531</v>
      </c>
      <c r="J121" s="4">
        <v>748.71</v>
      </c>
      <c r="K121" s="4">
        <f>J121-I121</f>
      </c>
      <c r="L121" s="4">
        <f>K121*16.67%</f>
      </c>
      <c r="M121" s="4">
        <f>J121*7%</f>
      </c>
      <c r="N121" s="4">
        <f>M121*20%</f>
      </c>
      <c r="O121" s="4">
        <v>0</v>
      </c>
      <c r="P121" s="4">
        <f>O121*20%</f>
      </c>
      <c r="Q121" s="4">
        <v>1</v>
      </c>
      <c r="R121" s="4">
        <f>N121+P121</f>
      </c>
      <c r="S121" s="4">
        <f>K121-L121-M121-N121-O121-P121-Q121</f>
      </c>
      <c r="T121" s="4">
        <f>(S121-V121)/I121*100</f>
      </c>
      <c r="U121" s="4">
        <f>L121-R121</f>
      </c>
      <c r="W121" s="4">
        <f>S121-V121</f>
      </c>
      <c r="AB121" t="s">
        <v>1</v>
      </c>
    </row>
    <row r="122" spans="1:28" x14ac:dyDescent="0.25">
      <c r="A122" s="8">
        <v>46214.5</v>
      </c>
      <c r="B122" t="s">
        <v>2540</v>
      </c>
      <c r="C122" t="s">
        <v>1</v>
      </c>
      <c r="D122" s="9" t="s">
        <v>2541</v>
      </c>
      <c r="E122" t="s">
        <v>114</v>
      </c>
      <c r="F122" t="s">
        <v>99</v>
      </c>
      <c r="G122" t="s">
        <v>60</v>
      </c>
      <c r="H122" t="s">
        <v>61</v>
      </c>
      <c r="I122" s="4">
        <v>221</v>
      </c>
      <c r="J122" s="4">
        <v>316.03</v>
      </c>
      <c r="K122" s="4">
        <f>J122-I122</f>
      </c>
      <c r="L122" s="4">
        <f>K122*16.67%</f>
      </c>
      <c r="M122" s="4">
        <f>J122*7%</f>
      </c>
      <c r="N122" s="4">
        <f>M122*20%</f>
      </c>
      <c r="O122" s="4">
        <v>0</v>
      </c>
      <c r="P122" s="4">
        <f>O122*20%</f>
      </c>
      <c r="Q122" s="4">
        <v>1</v>
      </c>
      <c r="R122" s="4">
        <f>N122+P122</f>
      </c>
      <c r="S122" s="4">
        <f>K122-L122-M122-N122-O122-P122-Q122</f>
      </c>
      <c r="T122" s="4">
        <f>(S122-V122)/I122*100</f>
      </c>
      <c r="U122" s="4">
        <f>L122-R122</f>
      </c>
      <c r="W122" s="4">
        <f>S122-V122</f>
      </c>
      <c r="AB122" t="s">
        <v>1</v>
      </c>
    </row>
    <row r="123" spans="1:28" x14ac:dyDescent="0.25">
      <c r="A123" s="8">
        <v>46214.5</v>
      </c>
      <c r="B123" t="s">
        <v>2542</v>
      </c>
      <c r="C123" t="s">
        <v>1</v>
      </c>
      <c r="D123" s="9" t="s">
        <v>2543</v>
      </c>
      <c r="E123" t="s">
        <v>98</v>
      </c>
      <c r="F123" t="s">
        <v>85</v>
      </c>
      <c r="G123" t="s">
        <v>65</v>
      </c>
      <c r="H123" t="s">
        <v>61</v>
      </c>
      <c r="I123" s="4">
        <v>317</v>
      </c>
      <c r="J123" s="4">
        <v>437.46</v>
      </c>
      <c r="K123" s="4">
        <f>J123-I123</f>
      </c>
      <c r="L123" s="4">
        <f>K123*16.67%</f>
      </c>
      <c r="M123" s="4">
        <f>J123*7%</f>
      </c>
      <c r="N123" s="4">
        <f>M123*20%</f>
      </c>
      <c r="O123" s="4">
        <v>0</v>
      </c>
      <c r="P123" s="4">
        <f>O123*20%</f>
      </c>
      <c r="Q123" s="4">
        <v>1</v>
      </c>
      <c r="R123" s="4">
        <f>N123+P123</f>
      </c>
      <c r="S123" s="4">
        <f>K123-L123-M123-N123-O123-P123-Q123</f>
      </c>
      <c r="T123" s="4">
        <f>(S123-V123)/I123*100</f>
      </c>
      <c r="U123" s="4">
        <f>L123-R123</f>
      </c>
      <c r="W123" s="4">
        <f>S123-V123</f>
      </c>
      <c r="AB123" t="s">
        <v>1</v>
      </c>
    </row>
    <row r="124" spans="1:28" x14ac:dyDescent="0.25">
      <c r="A124" s="8">
        <v>46214.5</v>
      </c>
      <c r="B124" t="s">
        <v>2544</v>
      </c>
      <c r="C124" t="s">
        <v>1</v>
      </c>
      <c r="D124" s="9" t="s">
        <v>2545</v>
      </c>
      <c r="E124" t="s">
        <v>98</v>
      </c>
      <c r="F124" t="s">
        <v>88</v>
      </c>
      <c r="G124" t="s">
        <v>65</v>
      </c>
      <c r="H124" t="s">
        <v>78</v>
      </c>
      <c r="I124" s="4">
        <v>289</v>
      </c>
      <c r="J124" s="4">
        <v>378.59</v>
      </c>
      <c r="K124" s="4">
        <f>J124-I124</f>
      </c>
      <c r="L124" s="4">
        <f>K124*16.67%</f>
      </c>
      <c r="M124" s="4">
        <f>J124*7%</f>
      </c>
      <c r="N124" s="4">
        <f>M124*20%</f>
      </c>
      <c r="O124" s="4">
        <v>0</v>
      </c>
      <c r="P124" s="4">
        <f>O124*20%</f>
      </c>
      <c r="Q124" s="4">
        <v>1</v>
      </c>
      <c r="R124" s="4">
        <f>N124+P124</f>
      </c>
      <c r="S124" s="4">
        <f>K124-L124-M124-N124-O124-P124-Q124</f>
      </c>
      <c r="T124" s="4">
        <f>(S124-V124)/I124*100</f>
      </c>
      <c r="U124" s="4">
        <f>L124-R124</f>
      </c>
      <c r="W124" s="4">
        <f>S124-V124</f>
      </c>
      <c r="AB124" t="s">
        <v>1</v>
      </c>
    </row>
    <row r="125" spans="1:28" x14ac:dyDescent="0.25">
      <c r="A125" s="8">
        <v>46213.5</v>
      </c>
      <c r="B125" t="s">
        <v>2546</v>
      </c>
      <c r="C125" t="s">
        <v>1</v>
      </c>
      <c r="D125" s="9" t="s">
        <v>2547</v>
      </c>
      <c r="E125" t="s">
        <v>114</v>
      </c>
      <c r="F125" t="s">
        <v>105</v>
      </c>
      <c r="G125" t="s">
        <v>95</v>
      </c>
      <c r="H125" t="s">
        <v>61</v>
      </c>
      <c r="I125" s="4">
        <v>205</v>
      </c>
      <c r="J125" s="4">
        <v>289.05</v>
      </c>
      <c r="K125" s="4">
        <f>J125-I125</f>
      </c>
      <c r="L125" s="4">
        <f>K125*16.67%</f>
      </c>
      <c r="M125" s="4">
        <f>J125*7%</f>
      </c>
      <c r="N125" s="4">
        <f>M125*20%</f>
      </c>
      <c r="O125" s="4">
        <v>0</v>
      </c>
      <c r="P125" s="4">
        <f>O125*20%</f>
      </c>
      <c r="Q125" s="4">
        <v>1</v>
      </c>
      <c r="R125" s="4">
        <f>N125+P125</f>
      </c>
      <c r="S125" s="4">
        <f>K125-L125-M125-N125-O125-P125-Q125</f>
      </c>
      <c r="T125" s="4">
        <f>(S125-V125)/I125*100</f>
      </c>
      <c r="U125" s="4">
        <f>L125-R125</f>
      </c>
      <c r="W125" s="4">
        <f>S125-V125</f>
      </c>
      <c r="AB125" t="s">
        <v>1</v>
      </c>
    </row>
    <row r="126" spans="1:28" x14ac:dyDescent="0.25">
      <c r="A126" s="8">
        <v>46213.5</v>
      </c>
      <c r="B126" t="s">
        <v>2548</v>
      </c>
      <c r="C126" t="s">
        <v>1</v>
      </c>
      <c r="D126" s="9" t="s">
        <v>2549</v>
      </c>
      <c r="E126" t="s">
        <v>91</v>
      </c>
      <c r="F126" t="s">
        <v>85</v>
      </c>
      <c r="G126" t="s">
        <v>65</v>
      </c>
      <c r="H126" t="s">
        <v>102</v>
      </c>
      <c r="I126" s="4">
        <v>111</v>
      </c>
      <c r="J126" s="4">
        <v>150.96</v>
      </c>
      <c r="K126" s="4">
        <f>J126-I126</f>
      </c>
      <c r="L126" s="4">
        <f>K126*16.67%</f>
      </c>
      <c r="M126" s="4">
        <f>J126*7%</f>
      </c>
      <c r="N126" s="4">
        <f>M126*20%</f>
      </c>
      <c r="O126" s="4">
        <v>0</v>
      </c>
      <c r="P126" s="4">
        <f>O126*20%</f>
      </c>
      <c r="Q126" s="4">
        <v>1</v>
      </c>
      <c r="R126" s="4">
        <f>N126+P126</f>
      </c>
      <c r="S126" s="4">
        <f>K126-L126-M126-N126-O126-P126-Q126</f>
      </c>
      <c r="T126" s="4">
        <f>(S126-V126)/I126*100</f>
      </c>
      <c r="U126" s="4">
        <f>L126-R126</f>
      </c>
      <c r="W126" s="4">
        <f>S126-V126</f>
      </c>
      <c r="AB126" t="s">
        <v>1</v>
      </c>
    </row>
    <row r="127" spans="1:28" x14ac:dyDescent="0.25">
      <c r="A127" s="8">
        <v>46213.5</v>
      </c>
      <c r="B127" t="s">
        <v>2550</v>
      </c>
      <c r="C127" t="s">
        <v>174</v>
      </c>
      <c r="D127" s="9" t="s">
        <v>1</v>
      </c>
      <c r="E127" t="s">
        <v>174</v>
      </c>
      <c r="F127" t="s">
        <v>1</v>
      </c>
      <c r="G127" t="s">
        <v>1</v>
      </c>
      <c r="H127" t="s">
        <v>66</v>
      </c>
      <c r="I127" s="4">
        <v>4.25</v>
      </c>
      <c r="J127" s="4">
        <v>5.86</v>
      </c>
      <c r="K127" s="4">
        <f>J127-I127</f>
      </c>
      <c r="L127" s="4">
        <f>K127*16.67%</f>
      </c>
      <c r="M127" s="4">
        <f>J127*7%</f>
      </c>
      <c r="N127" s="4">
        <f>M127*20%</f>
      </c>
      <c r="O127" s="4">
        <v>0</v>
      </c>
      <c r="P127" s="4">
        <f>O127*20%</f>
      </c>
      <c r="Q127" s="4">
        <v>0</v>
      </c>
      <c r="R127" s="4">
        <f>N127+P127</f>
      </c>
      <c r="S127" s="4">
        <f>K127-L127-M127-N127-O127-P127-Q127</f>
      </c>
      <c r="T127" s="4">
        <f>(S127-V127)/I127*100</f>
      </c>
      <c r="U127" s="4">
        <f>L127-R127</f>
      </c>
      <c r="W127" s="4">
        <f>S127-V127</f>
      </c>
      <c r="AB127" t="s">
        <v>1</v>
      </c>
    </row>
    <row r="128" spans="1:28" x14ac:dyDescent="0.25">
      <c r="A128" s="8">
        <v>46213.5</v>
      </c>
      <c r="B128" t="s">
        <v>2551</v>
      </c>
      <c r="C128" t="s">
        <v>1</v>
      </c>
      <c r="D128" s="9" t="s">
        <v>1</v>
      </c>
      <c r="E128" t="s">
        <v>1</v>
      </c>
      <c r="F128" t="s">
        <v>1</v>
      </c>
      <c r="G128" t="s">
        <v>1</v>
      </c>
      <c r="H128" t="s">
        <v>78</v>
      </c>
      <c r="I128" s="4">
        <v>193</v>
      </c>
      <c r="J128" s="4">
        <v>229.67</v>
      </c>
      <c r="K128" s="4">
        <f>J128-I128</f>
      </c>
      <c r="L128" s="4">
        <f>K128*16.67%</f>
      </c>
      <c r="M128" s="4">
        <f>J128*7%</f>
      </c>
      <c r="N128" s="4">
        <f>M128*20%</f>
      </c>
      <c r="O128" s="4">
        <v>0</v>
      </c>
      <c r="P128" s="4">
        <f>O128*20%</f>
      </c>
      <c r="Q128" s="4">
        <v>1</v>
      </c>
      <c r="R128" s="4">
        <f>N128+P128</f>
      </c>
      <c r="S128" s="4">
        <f>K128-L128-M128-N128-O128-P128-Q128</f>
      </c>
      <c r="T128" s="4">
        <f>(S128-V128)/I128*100</f>
      </c>
      <c r="U128" s="4">
        <f>L128-R128</f>
      </c>
      <c r="W128" s="4">
        <f>S128-V128</f>
      </c>
      <c r="AB128" t="s">
        <v>1</v>
      </c>
    </row>
    <row r="129" spans="1:28" x14ac:dyDescent="0.25">
      <c r="A129" s="8">
        <v>46212.5</v>
      </c>
      <c r="B129" t="s">
        <v>2552</v>
      </c>
      <c r="C129" t="s">
        <v>1</v>
      </c>
      <c r="D129" s="9" t="s">
        <v>2553</v>
      </c>
      <c r="E129" t="s">
        <v>98</v>
      </c>
      <c r="F129" t="s">
        <v>74</v>
      </c>
      <c r="G129" t="s">
        <v>60</v>
      </c>
      <c r="H129" t="s">
        <v>78</v>
      </c>
      <c r="I129" s="4">
        <v>304</v>
      </c>
      <c r="J129" s="4">
        <v>428.64</v>
      </c>
      <c r="K129" s="4">
        <f>J129-I129</f>
      </c>
      <c r="L129" s="4">
        <f>K129*16.67%</f>
      </c>
      <c r="M129" s="4">
        <f>J129*7%</f>
      </c>
      <c r="N129" s="4">
        <f>M129*20%</f>
      </c>
      <c r="O129" s="4">
        <v>0</v>
      </c>
      <c r="P129" s="4">
        <f>O129*20%</f>
      </c>
      <c r="Q129" s="4">
        <v>1</v>
      </c>
      <c r="R129" s="4">
        <f>N129+P129</f>
      </c>
      <c r="S129" s="4">
        <f>K129-L129-M129-N129-O129-P129-Q129</f>
      </c>
      <c r="T129" s="4">
        <f>(S129-V129)/I129*100</f>
      </c>
      <c r="U129" s="4">
        <f>L129-R129</f>
      </c>
      <c r="W129" s="4">
        <f>S129-V129</f>
      </c>
      <c r="AB129" t="s">
        <v>1</v>
      </c>
    </row>
    <row r="130" spans="1:28" x14ac:dyDescent="0.25">
      <c r="A130" s="8">
        <v>46212.5</v>
      </c>
      <c r="B130" t="s">
        <v>2554</v>
      </c>
      <c r="C130" t="s">
        <v>1</v>
      </c>
      <c r="D130" s="9" t="s">
        <v>2555</v>
      </c>
      <c r="E130" t="s">
        <v>84</v>
      </c>
      <c r="F130" t="s">
        <v>99</v>
      </c>
      <c r="G130" t="s">
        <v>60</v>
      </c>
      <c r="H130" t="s">
        <v>61</v>
      </c>
      <c r="I130" s="4">
        <v>701</v>
      </c>
      <c r="J130" s="4">
        <v>813.16</v>
      </c>
      <c r="K130" s="4">
        <f>J130-I130</f>
      </c>
      <c r="L130" s="4">
        <f>K130*16.67%</f>
      </c>
      <c r="M130" s="4">
        <f>J130*7%</f>
      </c>
      <c r="N130" s="4">
        <f>M130*20%</f>
      </c>
      <c r="O130" s="4">
        <v>0</v>
      </c>
      <c r="P130" s="4">
        <f>O130*20%</f>
      </c>
      <c r="Q130" s="4">
        <v>1</v>
      </c>
      <c r="R130" s="4">
        <f>N130+P130</f>
      </c>
      <c r="S130" s="4">
        <f>K130-L130-M130-N130-O130-P130-Q130</f>
      </c>
      <c r="T130" s="4">
        <f>(S130-V130)/I130*100</f>
      </c>
      <c r="U130" s="4">
        <f>L130-R130</f>
      </c>
      <c r="W130" s="4">
        <f>S130-V130</f>
      </c>
      <c r="AB130" t="s">
        <v>1</v>
      </c>
    </row>
    <row r="131" spans="1:28" x14ac:dyDescent="0.25">
      <c r="A131" s="8">
        <v>46212.5</v>
      </c>
      <c r="B131" t="s">
        <v>2556</v>
      </c>
      <c r="C131" t="s">
        <v>1</v>
      </c>
      <c r="D131" s="9" t="s">
        <v>2557</v>
      </c>
      <c r="E131" t="s">
        <v>84</v>
      </c>
      <c r="F131" t="s">
        <v>88</v>
      </c>
      <c r="G131" t="s">
        <v>60</v>
      </c>
      <c r="H131" t="s">
        <v>102</v>
      </c>
      <c r="I131" s="4">
        <v>754</v>
      </c>
      <c r="J131" s="4">
        <v>1055.6</v>
      </c>
      <c r="K131" s="4">
        <f>J131-I131</f>
      </c>
      <c r="L131" s="4">
        <f>K131*16.67%</f>
      </c>
      <c r="M131" s="4">
        <f>J131*7%</f>
      </c>
      <c r="N131" s="4">
        <f>M131*20%</f>
      </c>
      <c r="O131" s="4">
        <v>0</v>
      </c>
      <c r="P131" s="4">
        <f>O131*20%</f>
      </c>
      <c r="Q131" s="4">
        <v>1</v>
      </c>
      <c r="R131" s="4">
        <f>N131+P131</f>
      </c>
      <c r="S131" s="4">
        <f>K131-L131-M131-N131-O131-P131-Q131</f>
      </c>
      <c r="T131" s="4">
        <f>(S131-V131)/I131*100</f>
      </c>
      <c r="U131" s="4">
        <f>L131-R131</f>
      </c>
      <c r="W131" s="4">
        <f>S131-V131</f>
      </c>
      <c r="AB131" t="s">
        <v>1</v>
      </c>
    </row>
    <row r="132" spans="1:28" x14ac:dyDescent="0.25">
      <c r="A132" s="8">
        <v>46212.5</v>
      </c>
      <c r="B132" t="s">
        <v>2558</v>
      </c>
      <c r="C132" t="s">
        <v>1</v>
      </c>
      <c r="D132" s="9" t="s">
        <v>2559</v>
      </c>
      <c r="E132" t="s">
        <v>81</v>
      </c>
      <c r="F132" t="s">
        <v>59</v>
      </c>
      <c r="G132" t="s">
        <v>60</v>
      </c>
      <c r="H132" t="s">
        <v>75</v>
      </c>
      <c r="I132" s="4">
        <v>584</v>
      </c>
      <c r="J132" s="4">
        <v>829.28</v>
      </c>
      <c r="K132" s="4">
        <f>J132-I132</f>
      </c>
      <c r="L132" s="4">
        <f>K132*16.67%</f>
      </c>
      <c r="M132" s="4">
        <f>J132*7%</f>
      </c>
      <c r="N132" s="4">
        <f>M132*20%</f>
      </c>
      <c r="O132" s="4">
        <v>0</v>
      </c>
      <c r="P132" s="4">
        <f>O132*20%</f>
      </c>
      <c r="Q132" s="4">
        <v>1</v>
      </c>
      <c r="R132" s="4">
        <f>N132+P132</f>
      </c>
      <c r="S132" s="4">
        <f>K132-L132-M132-N132-O132-P132-Q132</f>
      </c>
      <c r="T132" s="4">
        <f>(S132-V132)/I132*100</f>
      </c>
      <c r="U132" s="4">
        <f>L132-R132</f>
      </c>
      <c r="W132" s="4">
        <f>S132-V132</f>
      </c>
      <c r="AB132" t="s">
        <v>1</v>
      </c>
    </row>
    <row r="133" spans="1:28" x14ac:dyDescent="0.25">
      <c r="A133" s="8">
        <v>46212.5</v>
      </c>
      <c r="B133" t="s">
        <v>2560</v>
      </c>
      <c r="C133" t="s">
        <v>1</v>
      </c>
      <c r="D133" s="9" t="s">
        <v>2561</v>
      </c>
      <c r="E133" t="s">
        <v>64</v>
      </c>
      <c r="F133" t="s">
        <v>85</v>
      </c>
      <c r="G133" t="s">
        <v>65</v>
      </c>
      <c r="H133" t="s">
        <v>78</v>
      </c>
      <c r="I133" s="4">
        <v>247</v>
      </c>
      <c r="J133" s="4">
        <v>323.57</v>
      </c>
      <c r="K133" s="4">
        <f>J133-I133</f>
      </c>
      <c r="L133" s="4">
        <f>K133*16.67%</f>
      </c>
      <c r="M133" s="4">
        <f>J133*7%</f>
      </c>
      <c r="N133" s="4">
        <f>M133*20%</f>
      </c>
      <c r="O133" s="4">
        <v>0</v>
      </c>
      <c r="P133" s="4">
        <f>O133*20%</f>
      </c>
      <c r="Q133" s="4">
        <v>1</v>
      </c>
      <c r="R133" s="4">
        <f>N133+P133</f>
      </c>
      <c r="S133" s="4">
        <f>K133-L133-M133-N133-O133-P133-Q133</f>
      </c>
      <c r="T133" s="4">
        <f>(S133-V133)/I133*100</f>
      </c>
      <c r="U133" s="4">
        <f>L133-R133</f>
      </c>
      <c r="W133" s="4">
        <f>S133-V133</f>
      </c>
      <c r="AB133" t="s">
        <v>1</v>
      </c>
    </row>
    <row r="134" spans="1:28" x14ac:dyDescent="0.25">
      <c r="A134" s="8">
        <v>46212.5</v>
      </c>
      <c r="B134" t="s">
        <v>2562</v>
      </c>
      <c r="C134" t="s">
        <v>189</v>
      </c>
      <c r="D134" s="9" t="s">
        <v>1</v>
      </c>
      <c r="E134" t="s">
        <v>189</v>
      </c>
      <c r="F134" t="s">
        <v>1</v>
      </c>
      <c r="G134" t="s">
        <v>1</v>
      </c>
      <c r="H134" t="s">
        <v>66</v>
      </c>
      <c r="I134" s="4">
        <v>3.5</v>
      </c>
      <c r="J134" s="4">
        <v>4.55</v>
      </c>
      <c r="K134" s="4">
        <f>J134-I134</f>
      </c>
      <c r="L134" s="4">
        <f>K134*16.67%</f>
      </c>
      <c r="M134" s="4">
        <f>J134*7%</f>
      </c>
      <c r="N134" s="4">
        <f>M134*20%</f>
      </c>
      <c r="O134" s="4">
        <v>0</v>
      </c>
      <c r="P134" s="4">
        <f>O134*20%</f>
      </c>
      <c r="Q134" s="4">
        <v>0</v>
      </c>
      <c r="R134" s="4">
        <f>N134+P134</f>
      </c>
      <c r="S134" s="4">
        <f>K134-L134-M134-N134-O134-P134-Q134</f>
      </c>
      <c r="T134" s="4">
        <f>(S134-V134)/I134*100</f>
      </c>
      <c r="U134" s="4">
        <f>L134-R134</f>
      </c>
      <c r="W134" s="4">
        <f>S134-V134</f>
      </c>
      <c r="AB134" t="s">
        <v>1</v>
      </c>
    </row>
    <row r="135" spans="1:28" x14ac:dyDescent="0.25">
      <c r="A135" s="8">
        <v>46211.5</v>
      </c>
      <c r="B135" t="s">
        <v>2563</v>
      </c>
      <c r="C135" t="s">
        <v>1</v>
      </c>
      <c r="D135" s="9" t="s">
        <v>2564</v>
      </c>
      <c r="E135" t="s">
        <v>114</v>
      </c>
      <c r="F135" t="s">
        <v>59</v>
      </c>
      <c r="G135" t="s">
        <v>60</v>
      </c>
      <c r="H135" t="s">
        <v>78</v>
      </c>
      <c r="I135" s="4">
        <v>256</v>
      </c>
      <c r="J135" s="4">
        <v>312.32</v>
      </c>
      <c r="K135" s="4">
        <f>J135-I135</f>
      </c>
      <c r="L135" s="4">
        <f>K135*16.67%</f>
      </c>
      <c r="M135" s="4">
        <f>J135*7%</f>
      </c>
      <c r="N135" s="4">
        <f>M135*20%</f>
      </c>
      <c r="O135" s="4">
        <v>0</v>
      </c>
      <c r="P135" s="4">
        <f>O135*20%</f>
      </c>
      <c r="Q135" s="4">
        <v>1</v>
      </c>
      <c r="R135" s="4">
        <f>N135+P135</f>
      </c>
      <c r="S135" s="4">
        <f>K135-L135-M135-N135-O135-P135-Q135</f>
      </c>
      <c r="T135" s="4">
        <f>(S135-V135)/I135*100</f>
      </c>
      <c r="U135" s="4">
        <f>L135-R135</f>
      </c>
      <c r="W135" s="4">
        <f>S135-V135</f>
      </c>
      <c r="AB135" t="s">
        <v>1</v>
      </c>
    </row>
    <row r="136" spans="1:28" x14ac:dyDescent="0.25">
      <c r="A136" s="8">
        <v>46211.5</v>
      </c>
      <c r="B136" t="s">
        <v>2565</v>
      </c>
      <c r="C136" t="s">
        <v>1</v>
      </c>
      <c r="D136" s="9" t="s">
        <v>2566</v>
      </c>
      <c r="E136" t="s">
        <v>134</v>
      </c>
      <c r="F136" t="s">
        <v>88</v>
      </c>
      <c r="G136" t="s">
        <v>65</v>
      </c>
      <c r="H136" t="s">
        <v>102</v>
      </c>
      <c r="I136" s="4">
        <v>101</v>
      </c>
      <c r="J136" s="4">
        <v>146.45</v>
      </c>
      <c r="K136" s="4">
        <f>J136-I136</f>
      </c>
      <c r="L136" s="4">
        <f>K136*16.67%</f>
      </c>
      <c r="M136" s="4">
        <f>J136*7%</f>
      </c>
      <c r="N136" s="4">
        <f>M136*20%</f>
      </c>
      <c r="O136" s="4">
        <v>0</v>
      </c>
      <c r="P136" s="4">
        <f>O136*20%</f>
      </c>
      <c r="Q136" s="4">
        <v>1</v>
      </c>
      <c r="R136" s="4">
        <f>N136+P136</f>
      </c>
      <c r="S136" s="4">
        <f>K136-L136-M136-N136-O136-P136-Q136</f>
      </c>
      <c r="T136" s="4">
        <f>(S136-V136)/I136*100</f>
      </c>
      <c r="U136" s="4">
        <f>L136-R136</f>
      </c>
      <c r="W136" s="4">
        <f>S136-V136</f>
      </c>
      <c r="AB136" t="s">
        <v>1</v>
      </c>
    </row>
    <row r="137" spans="1:28" x14ac:dyDescent="0.25">
      <c r="A137" s="8">
        <v>46211.5</v>
      </c>
      <c r="B137" t="s">
        <v>2567</v>
      </c>
      <c r="C137" t="s">
        <v>1</v>
      </c>
      <c r="D137" s="9" t="s">
        <v>2568</v>
      </c>
      <c r="E137" t="s">
        <v>69</v>
      </c>
      <c r="F137" t="s">
        <v>99</v>
      </c>
      <c r="G137" t="s">
        <v>60</v>
      </c>
      <c r="H137" t="s">
        <v>75</v>
      </c>
      <c r="I137" s="4">
        <v>505</v>
      </c>
      <c r="J137" s="4">
        <v>676.7</v>
      </c>
      <c r="K137" s="4">
        <f>J137-I137</f>
      </c>
      <c r="L137" s="4">
        <f>K137*16.67%</f>
      </c>
      <c r="M137" s="4">
        <f>J137*7%</f>
      </c>
      <c r="N137" s="4">
        <f>M137*20%</f>
      </c>
      <c r="O137" s="4">
        <v>0</v>
      </c>
      <c r="P137" s="4">
        <f>O137*20%</f>
      </c>
      <c r="Q137" s="4">
        <v>1</v>
      </c>
      <c r="R137" s="4">
        <f>N137+P137</f>
      </c>
      <c r="S137" s="4">
        <f>K137-L137-M137-N137-O137-P137-Q137</f>
      </c>
      <c r="T137" s="4">
        <f>(S137-V137)/I137*100</f>
      </c>
      <c r="U137" s="4">
        <f>L137-R137</f>
      </c>
      <c r="W137" s="4">
        <f>S137-V137</f>
      </c>
      <c r="AB137" t="s">
        <v>1</v>
      </c>
    </row>
    <row r="138" spans="1:28" x14ac:dyDescent="0.25">
      <c r="A138" s="8">
        <v>46211.5</v>
      </c>
      <c r="B138" t="s">
        <v>2569</v>
      </c>
      <c r="C138" t="s">
        <v>1</v>
      </c>
      <c r="D138" s="9" t="s">
        <v>1</v>
      </c>
      <c r="E138" t="s">
        <v>1</v>
      </c>
      <c r="F138" t="s">
        <v>1</v>
      </c>
      <c r="G138" t="s">
        <v>1</v>
      </c>
      <c r="H138" t="s">
        <v>61</v>
      </c>
      <c r="I138" s="4">
        <v>258</v>
      </c>
      <c r="J138" s="4">
        <v>353.46</v>
      </c>
      <c r="K138" s="4">
        <f>J138-I138</f>
      </c>
      <c r="L138" s="4">
        <f>K138*16.67%</f>
      </c>
      <c r="M138" s="4">
        <f>J138*7%</f>
      </c>
      <c r="N138" s="4">
        <f>M138*20%</f>
      </c>
      <c r="O138" s="4">
        <v>0</v>
      </c>
      <c r="P138" s="4">
        <f>O138*20%</f>
      </c>
      <c r="Q138" s="4">
        <v>1</v>
      </c>
      <c r="R138" s="4">
        <f>N138+P138</f>
      </c>
      <c r="S138" s="4">
        <f>K138-L138-M138-N138-O138-P138-Q138</f>
      </c>
      <c r="T138" s="4">
        <f>(S138-V138)/I138*100</f>
      </c>
      <c r="U138" s="4">
        <f>L138-R138</f>
      </c>
      <c r="W138" s="4">
        <f>S138-V138</f>
      </c>
      <c r="AB138" t="s">
        <v>1</v>
      </c>
    </row>
    <row r="139" spans="1:28" x14ac:dyDescent="0.25">
      <c r="A139" s="8">
        <v>46210.5</v>
      </c>
      <c r="B139" t="s">
        <v>2570</v>
      </c>
      <c r="C139" t="s">
        <v>1</v>
      </c>
      <c r="D139" s="9" t="s">
        <v>2571</v>
      </c>
      <c r="E139" t="s">
        <v>81</v>
      </c>
      <c r="F139" t="s">
        <v>74</v>
      </c>
      <c r="G139" t="s">
        <v>65</v>
      </c>
      <c r="H139" t="s">
        <v>102</v>
      </c>
      <c r="I139" s="4">
        <v>602</v>
      </c>
      <c r="J139" s="4">
        <v>692.3</v>
      </c>
      <c r="K139" s="4">
        <f>J139-I139</f>
      </c>
      <c r="L139" s="4">
        <f>K139*16.67%</f>
      </c>
      <c r="M139" s="4">
        <f>J139*7%</f>
      </c>
      <c r="N139" s="4">
        <f>M139*20%</f>
      </c>
      <c r="O139" s="4">
        <v>0</v>
      </c>
      <c r="P139" s="4">
        <f>O139*20%</f>
      </c>
      <c r="Q139" s="4">
        <v>1</v>
      </c>
      <c r="R139" s="4">
        <f>N139+P139</f>
      </c>
      <c r="S139" s="4">
        <f>K139-L139-M139-N139-O139-P139-Q139</f>
      </c>
      <c r="T139" s="4">
        <f>(S139-V139)/I139*100</f>
      </c>
      <c r="U139" s="4">
        <f>L139-R139</f>
      </c>
      <c r="W139" s="4">
        <f>S139-V139</f>
      </c>
      <c r="AB139" t="s">
        <v>1</v>
      </c>
    </row>
    <row r="140" spans="1:28" x14ac:dyDescent="0.25">
      <c r="A140" s="8">
        <v>46210.5</v>
      </c>
      <c r="B140" t="s">
        <v>2572</v>
      </c>
      <c r="C140" t="s">
        <v>1</v>
      </c>
      <c r="D140" s="9" t="s">
        <v>2573</v>
      </c>
      <c r="E140" t="s">
        <v>94</v>
      </c>
      <c r="F140" t="s">
        <v>59</v>
      </c>
      <c r="G140" t="s">
        <v>95</v>
      </c>
      <c r="H140" t="s">
        <v>66</v>
      </c>
      <c r="I140" s="4">
        <v>71</v>
      </c>
      <c r="J140" s="4">
        <v>92.3</v>
      </c>
      <c r="K140" s="4">
        <f>J140-I140</f>
      </c>
      <c r="L140" s="4">
        <f>K140*16.67%</f>
      </c>
      <c r="M140" s="4">
        <f>J140*7%</f>
      </c>
      <c r="N140" s="4">
        <f>M140*20%</f>
      </c>
      <c r="O140" s="4">
        <v>0</v>
      </c>
      <c r="P140" s="4">
        <f>O140*20%</f>
      </c>
      <c r="Q140" s="4">
        <v>1</v>
      </c>
      <c r="R140" s="4">
        <f>N140+P140</f>
      </c>
      <c r="S140" s="4">
        <f>K140-L140-M140-N140-O140-P140-Q140</f>
      </c>
      <c r="T140" s="4">
        <f>(S140-V140)/I140*100</f>
      </c>
      <c r="U140" s="4">
        <f>L140-R140</f>
      </c>
      <c r="W140" s="4">
        <f>S140-V140</f>
      </c>
      <c r="AB140" t="s">
        <v>1</v>
      </c>
    </row>
    <row r="141" spans="1:28" x14ac:dyDescent="0.25">
      <c r="A141" s="8">
        <v>46210.5</v>
      </c>
      <c r="B141" t="s">
        <v>2574</v>
      </c>
      <c r="C141" t="s">
        <v>177</v>
      </c>
      <c r="D141" s="9" t="s">
        <v>1</v>
      </c>
      <c r="E141" t="s">
        <v>177</v>
      </c>
      <c r="F141" t="s">
        <v>1</v>
      </c>
      <c r="G141" t="s">
        <v>1</v>
      </c>
      <c r="H141" t="s">
        <v>78</v>
      </c>
      <c r="I141" s="4">
        <v>0.15</v>
      </c>
      <c r="J141" s="4">
        <v>0.19</v>
      </c>
      <c r="K141" s="4">
        <f>J141-I141</f>
      </c>
      <c r="L141" s="4">
        <f>K141*16.67%</f>
      </c>
      <c r="M141" s="4">
        <f>J141*7%</f>
      </c>
      <c r="N141" s="4">
        <f>M141*20%</f>
      </c>
      <c r="O141" s="4">
        <v>0</v>
      </c>
      <c r="P141" s="4">
        <f>O141*20%</f>
      </c>
      <c r="Q141" s="4">
        <v>0</v>
      </c>
      <c r="R141" s="4">
        <f>N141+P141</f>
      </c>
      <c r="S141" s="4">
        <f>K141-L141-M141-N141-O141-P141-Q141</f>
      </c>
      <c r="T141" s="4">
        <f>(S141-V141)/I141*100</f>
      </c>
      <c r="U141" s="4">
        <f>L141-R141</f>
      </c>
      <c r="W141" s="4">
        <f>S141-V141</f>
      </c>
      <c r="AB141" t="s">
        <v>1</v>
      </c>
    </row>
    <row r="142" spans="1:28" x14ac:dyDescent="0.25">
      <c r="A142" s="8">
        <v>46209.5</v>
      </c>
      <c r="B142" t="s">
        <v>2575</v>
      </c>
      <c r="C142" t="s">
        <v>1</v>
      </c>
      <c r="D142" s="9" t="s">
        <v>2576</v>
      </c>
      <c r="E142" t="s">
        <v>131</v>
      </c>
      <c r="F142" t="s">
        <v>85</v>
      </c>
      <c r="G142" t="s">
        <v>60</v>
      </c>
      <c r="H142" t="s">
        <v>75</v>
      </c>
      <c r="I142" s="4">
        <v>326</v>
      </c>
      <c r="J142" s="4">
        <v>400.98</v>
      </c>
      <c r="K142" s="4">
        <f>J142-I142</f>
      </c>
      <c r="L142" s="4">
        <f>K142*16.67%</f>
      </c>
      <c r="M142" s="4">
        <f>J142*7%</f>
      </c>
      <c r="N142" s="4">
        <f>M142*20%</f>
      </c>
      <c r="O142" s="4">
        <v>0</v>
      </c>
      <c r="P142" s="4">
        <f>O142*20%</f>
      </c>
      <c r="Q142" s="4">
        <v>1</v>
      </c>
      <c r="R142" s="4">
        <f>N142+P142</f>
      </c>
      <c r="S142" s="4">
        <f>K142-L142-M142-N142-O142-P142-Q142</f>
      </c>
      <c r="T142" s="4">
        <f>(S142-V142)/I142*100</f>
      </c>
      <c r="U142" s="4">
        <f>L142-R142</f>
      </c>
      <c r="W142" s="4">
        <f>S142-V142</f>
      </c>
      <c r="AB142" t="s">
        <v>1</v>
      </c>
    </row>
    <row r="143" spans="1:28" x14ac:dyDescent="0.25">
      <c r="A143" s="8">
        <v>46209.5</v>
      </c>
      <c r="B143" t="s">
        <v>2577</v>
      </c>
      <c r="C143" t="s">
        <v>1</v>
      </c>
      <c r="D143" s="9" t="s">
        <v>2578</v>
      </c>
      <c r="E143" t="s">
        <v>84</v>
      </c>
      <c r="F143" t="s">
        <v>70</v>
      </c>
      <c r="G143" t="s">
        <v>60</v>
      </c>
      <c r="H143" t="s">
        <v>102</v>
      </c>
      <c r="I143" s="4">
        <v>744</v>
      </c>
      <c r="J143" s="4">
        <v>1004.4</v>
      </c>
      <c r="K143" s="4">
        <f>J143-I143</f>
      </c>
      <c r="L143" s="4">
        <f>K143*16.67%</f>
      </c>
      <c r="M143" s="4">
        <f>J143*7%</f>
      </c>
      <c r="N143" s="4">
        <f>M143*20%</f>
      </c>
      <c r="O143" s="4">
        <v>0</v>
      </c>
      <c r="P143" s="4">
        <f>O143*20%</f>
      </c>
      <c r="Q143" s="4">
        <v>1</v>
      </c>
      <c r="R143" s="4">
        <f>N143+P143</f>
      </c>
      <c r="S143" s="4">
        <f>K143-L143-M143-N143-O143-P143-Q143</f>
      </c>
      <c r="T143" s="4">
        <f>(S143-V143)/I143*100</f>
      </c>
      <c r="U143" s="4">
        <f>L143-R143</f>
      </c>
      <c r="W143" s="4">
        <f>S143-V143</f>
      </c>
      <c r="AB143" t="s">
        <v>1</v>
      </c>
    </row>
    <row r="144" spans="1:28" x14ac:dyDescent="0.25">
      <c r="A144" s="8">
        <v>46209.5</v>
      </c>
      <c r="B144" t="s">
        <v>2579</v>
      </c>
      <c r="C144" t="s">
        <v>1</v>
      </c>
      <c r="D144" s="9" t="s">
        <v>2580</v>
      </c>
      <c r="E144" t="s">
        <v>234</v>
      </c>
      <c r="F144" t="s">
        <v>85</v>
      </c>
      <c r="G144" t="s">
        <v>65</v>
      </c>
      <c r="H144" t="s">
        <v>78</v>
      </c>
      <c r="I144" s="4">
        <v>180</v>
      </c>
      <c r="J144" s="4">
        <v>212.4</v>
      </c>
      <c r="K144" s="4">
        <f>J144-I144</f>
      </c>
      <c r="L144" s="4">
        <f>K144*16.67%</f>
      </c>
      <c r="M144" s="4">
        <f>J144*7%</f>
      </c>
      <c r="N144" s="4">
        <f>M144*20%</f>
      </c>
      <c r="O144" s="4">
        <v>0</v>
      </c>
      <c r="P144" s="4">
        <f>O144*20%</f>
      </c>
      <c r="Q144" s="4">
        <v>1</v>
      </c>
      <c r="R144" s="4">
        <f>N144+P144</f>
      </c>
      <c r="S144" s="4">
        <f>K144-L144-M144-N144-O144-P144-Q144</f>
      </c>
      <c r="T144" s="4">
        <f>(S144-V144)/I144*100</f>
      </c>
      <c r="U144" s="4">
        <f>L144-R144</f>
      </c>
      <c r="W144" s="4">
        <f>S144-V144</f>
      </c>
      <c r="AB144" t="s">
        <v>1</v>
      </c>
    </row>
    <row r="145" spans="1:28" x14ac:dyDescent="0.25">
      <c r="A145" s="8">
        <v>46209.5</v>
      </c>
      <c r="B145" t="s">
        <v>2581</v>
      </c>
      <c r="C145" t="s">
        <v>1</v>
      </c>
      <c r="D145" s="9" t="s">
        <v>2582</v>
      </c>
      <c r="E145" t="s">
        <v>94</v>
      </c>
      <c r="F145" t="s">
        <v>85</v>
      </c>
      <c r="G145" t="s">
        <v>95</v>
      </c>
      <c r="H145" t="s">
        <v>102</v>
      </c>
      <c r="I145" s="4">
        <v>71</v>
      </c>
      <c r="J145" s="4">
        <v>99.4</v>
      </c>
      <c r="K145" s="4">
        <f>J145-I145</f>
      </c>
      <c r="L145" s="4">
        <f>K145*16.67%</f>
      </c>
      <c r="M145" s="4">
        <f>J145*7%</f>
      </c>
      <c r="N145" s="4">
        <f>M145*20%</f>
      </c>
      <c r="O145" s="4">
        <v>0</v>
      </c>
      <c r="P145" s="4">
        <f>O145*20%</f>
      </c>
      <c r="Q145" s="4">
        <v>1</v>
      </c>
      <c r="R145" s="4">
        <f>N145+P145</f>
      </c>
      <c r="S145" s="4">
        <f>K145-L145-M145-N145-O145-P145-Q145</f>
      </c>
      <c r="T145" s="4">
        <f>(S145-V145)/I145*100</f>
      </c>
      <c r="U145" s="4">
        <f>L145-R145</f>
      </c>
      <c r="W145" s="4">
        <f>S145-V145</f>
      </c>
      <c r="AB145" t="s">
        <v>1</v>
      </c>
    </row>
    <row r="146" spans="1:28" x14ac:dyDescent="0.25">
      <c r="A146" s="8">
        <v>46209.5</v>
      </c>
      <c r="B146" t="s">
        <v>2583</v>
      </c>
      <c r="C146" t="s">
        <v>1</v>
      </c>
      <c r="D146" s="9" t="s">
        <v>2584</v>
      </c>
      <c r="E146" t="s">
        <v>292</v>
      </c>
      <c r="F146" t="s">
        <v>88</v>
      </c>
      <c r="G146" t="s">
        <v>126</v>
      </c>
      <c r="H146" t="s">
        <v>75</v>
      </c>
      <c r="I146" s="4">
        <v>170</v>
      </c>
      <c r="J146" s="4">
        <v>221</v>
      </c>
      <c r="K146" s="4">
        <f>J146-I146</f>
      </c>
      <c r="L146" s="4">
        <f>K146*16.67%</f>
      </c>
      <c r="M146" s="4">
        <f>J146*7%</f>
      </c>
      <c r="N146" s="4">
        <f>M146*20%</f>
      </c>
      <c r="O146" s="4">
        <v>0</v>
      </c>
      <c r="P146" s="4">
        <f>O146*20%</f>
      </c>
      <c r="Q146" s="4">
        <v>1</v>
      </c>
      <c r="R146" s="4">
        <f>N146+P146</f>
      </c>
      <c r="S146" s="4">
        <f>K146-L146-M146-N146-O146-P146-Q146</f>
      </c>
      <c r="T146" s="4">
        <f>(S146-V146)/I146*100</f>
      </c>
      <c r="U146" s="4">
        <f>L146-R146</f>
      </c>
      <c r="W146" s="4">
        <f>S146-V146</f>
      </c>
      <c r="AB146" t="s">
        <v>1</v>
      </c>
    </row>
    <row r="147" spans="1:28" x14ac:dyDescent="0.25">
      <c r="A147" s="8">
        <v>46209.5</v>
      </c>
      <c r="B147" t="s">
        <v>2585</v>
      </c>
      <c r="C147" t="s">
        <v>1</v>
      </c>
      <c r="D147" s="9" t="s">
        <v>2586</v>
      </c>
      <c r="E147" t="s">
        <v>131</v>
      </c>
      <c r="F147" t="s">
        <v>99</v>
      </c>
      <c r="G147" t="s">
        <v>60</v>
      </c>
      <c r="H147" t="s">
        <v>75</v>
      </c>
      <c r="I147" s="4">
        <v>323</v>
      </c>
      <c r="J147" s="4">
        <v>384.37</v>
      </c>
      <c r="K147" s="4">
        <f>J147-I147</f>
      </c>
      <c r="L147" s="4">
        <f>K147*16.67%</f>
      </c>
      <c r="M147" s="4">
        <f>J147*7%</f>
      </c>
      <c r="N147" s="4">
        <f>M147*20%</f>
      </c>
      <c r="O147" s="4">
        <v>0</v>
      </c>
      <c r="P147" s="4">
        <f>O147*20%</f>
      </c>
      <c r="Q147" s="4">
        <v>1</v>
      </c>
      <c r="R147" s="4">
        <f>N147+P147</f>
      </c>
      <c r="S147" s="4">
        <f>K147-L147-M147-N147-O147-P147-Q147</f>
      </c>
      <c r="T147" s="4">
        <f>(S147-V147)/I147*100</f>
      </c>
      <c r="U147" s="4">
        <f>L147-R147</f>
      </c>
      <c r="W147" s="4">
        <f>S147-V147</f>
      </c>
      <c r="AB147" t="s">
        <v>1</v>
      </c>
    </row>
    <row r="148" spans="1:28" x14ac:dyDescent="0.25">
      <c r="A148" s="8">
        <v>46208.5</v>
      </c>
      <c r="B148" t="s">
        <v>2587</v>
      </c>
      <c r="C148" t="s">
        <v>1</v>
      </c>
      <c r="D148" s="9" t="s">
        <v>2588</v>
      </c>
      <c r="E148" t="s">
        <v>81</v>
      </c>
      <c r="F148" t="s">
        <v>85</v>
      </c>
      <c r="G148" t="s">
        <v>65</v>
      </c>
      <c r="H148" t="s">
        <v>78</v>
      </c>
      <c r="I148" s="4">
        <v>539</v>
      </c>
      <c r="J148" s="4">
        <v>716.87</v>
      </c>
      <c r="K148" s="4">
        <f>J148-I148</f>
      </c>
      <c r="L148" s="4">
        <f>K148*16.67%</f>
      </c>
      <c r="M148" s="4">
        <f>J148*7%</f>
      </c>
      <c r="N148" s="4">
        <f>M148*20%</f>
      </c>
      <c r="O148" s="4">
        <v>0</v>
      </c>
      <c r="P148" s="4">
        <f>O148*20%</f>
      </c>
      <c r="Q148" s="4">
        <v>1</v>
      </c>
      <c r="R148" s="4">
        <f>N148+P148</f>
      </c>
      <c r="S148" s="4">
        <f>K148-L148-M148-N148-O148-P148-Q148</f>
      </c>
      <c r="T148" s="4">
        <f>(S148-V148)/I148*100</f>
      </c>
      <c r="U148" s="4">
        <f>L148-R148</f>
      </c>
      <c r="W148" s="4">
        <f>S148-V148</f>
      </c>
      <c r="AB148" t="s">
        <v>1</v>
      </c>
    </row>
    <row r="149" spans="1:28" x14ac:dyDescent="0.25">
      <c r="A149" s="8">
        <v>46208.5</v>
      </c>
      <c r="B149" t="s">
        <v>2589</v>
      </c>
      <c r="C149" t="s">
        <v>1</v>
      </c>
      <c r="D149" s="9" t="s">
        <v>2590</v>
      </c>
      <c r="E149" t="s">
        <v>125</v>
      </c>
      <c r="F149" t="s">
        <v>105</v>
      </c>
      <c r="G149" t="s">
        <v>126</v>
      </c>
      <c r="H149" t="s">
        <v>78</v>
      </c>
      <c r="I149" s="4">
        <v>279</v>
      </c>
      <c r="J149" s="4">
        <v>343.17</v>
      </c>
      <c r="K149" s="4">
        <f>J149-I149</f>
      </c>
      <c r="L149" s="4">
        <f>K149*16.67%</f>
      </c>
      <c r="M149" s="4">
        <f>J149*7%</f>
      </c>
      <c r="N149" s="4">
        <f>M149*20%</f>
      </c>
      <c r="O149" s="4">
        <v>0</v>
      </c>
      <c r="P149" s="4">
        <f>O149*20%</f>
      </c>
      <c r="Q149" s="4">
        <v>1</v>
      </c>
      <c r="R149" s="4">
        <f>N149+P149</f>
      </c>
      <c r="S149" s="4">
        <f>K149-L149-M149-N149-O149-P149-Q149</f>
      </c>
      <c r="T149" s="4">
        <f>(S149-V149)/I149*100</f>
      </c>
      <c r="U149" s="4">
        <f>L149-R149</f>
      </c>
      <c r="W149" s="4">
        <f>S149-V149</f>
      </c>
      <c r="AB149" t="s">
        <v>1</v>
      </c>
    </row>
    <row r="150" spans="1:28" x14ac:dyDescent="0.25">
      <c r="A150" s="8">
        <v>46208.5</v>
      </c>
      <c r="B150" t="s">
        <v>2591</v>
      </c>
      <c r="C150" t="s">
        <v>1</v>
      </c>
      <c r="D150" s="9" t="s">
        <v>2592</v>
      </c>
      <c r="E150" t="s">
        <v>125</v>
      </c>
      <c r="F150" t="s">
        <v>88</v>
      </c>
      <c r="G150" t="s">
        <v>126</v>
      </c>
      <c r="H150" t="s">
        <v>102</v>
      </c>
      <c r="I150" s="4">
        <v>283</v>
      </c>
      <c r="J150" s="4">
        <v>396.2</v>
      </c>
      <c r="K150" s="4">
        <f>J150-I150</f>
      </c>
      <c r="L150" s="4">
        <f>K150*16.67%</f>
      </c>
      <c r="M150" s="4">
        <f>J150*7%</f>
      </c>
      <c r="N150" s="4">
        <f>M150*20%</f>
      </c>
      <c r="O150" s="4">
        <v>0</v>
      </c>
      <c r="P150" s="4">
        <f>O150*20%</f>
      </c>
      <c r="Q150" s="4">
        <v>1</v>
      </c>
      <c r="R150" s="4">
        <f>N150+P150</f>
      </c>
      <c r="S150" s="4">
        <f>K150-L150-M150-N150-O150-P150-Q150</f>
      </c>
      <c r="T150" s="4">
        <f>(S150-V150)/I150*100</f>
      </c>
      <c r="U150" s="4">
        <f>L150-R150</f>
      </c>
      <c r="W150" s="4">
        <f>S150-V150</f>
      </c>
      <c r="AB150" t="s">
        <v>1</v>
      </c>
    </row>
    <row r="151" spans="1:28" x14ac:dyDescent="0.25">
      <c r="A151" s="8">
        <v>46208.5</v>
      </c>
      <c r="B151" t="s">
        <v>2593</v>
      </c>
      <c r="C151" t="s">
        <v>174</v>
      </c>
      <c r="D151" s="9" t="s">
        <v>1</v>
      </c>
      <c r="E151" t="s">
        <v>174</v>
      </c>
      <c r="F151" t="s">
        <v>1</v>
      </c>
      <c r="G151" t="s">
        <v>1</v>
      </c>
      <c r="H151" t="s">
        <v>66</v>
      </c>
      <c r="I151" s="4">
        <v>4.25</v>
      </c>
      <c r="J151" s="4">
        <v>5.86</v>
      </c>
      <c r="K151" s="4">
        <f>J151-I151</f>
      </c>
      <c r="L151" s="4">
        <f>K151*16.67%</f>
      </c>
      <c r="M151" s="4">
        <f>J151*7%</f>
      </c>
      <c r="N151" s="4">
        <f>M151*20%</f>
      </c>
      <c r="O151" s="4">
        <v>0</v>
      </c>
      <c r="P151" s="4">
        <f>O151*20%</f>
      </c>
      <c r="Q151" s="4">
        <v>0</v>
      </c>
      <c r="R151" s="4">
        <f>N151+P151</f>
      </c>
      <c r="S151" s="4">
        <f>K151-L151-M151-N151-O151-P151-Q151</f>
      </c>
      <c r="T151" s="4">
        <f>(S151-V151)/I151*100</f>
      </c>
      <c r="U151" s="4">
        <f>L151-R151</f>
      </c>
      <c r="W151" s="4">
        <f>S151-V151</f>
      </c>
      <c r="AB151" t="s">
        <v>1</v>
      </c>
    </row>
    <row r="152" spans="1:28" x14ac:dyDescent="0.25">
      <c r="A152" s="8">
        <v>46208.5</v>
      </c>
      <c r="B152" t="s">
        <v>2594</v>
      </c>
      <c r="C152" t="s">
        <v>177</v>
      </c>
      <c r="D152" s="9" t="s">
        <v>1</v>
      </c>
      <c r="E152" t="s">
        <v>177</v>
      </c>
      <c r="F152" t="s">
        <v>1</v>
      </c>
      <c r="G152" t="s">
        <v>1</v>
      </c>
      <c r="H152" t="s">
        <v>78</v>
      </c>
      <c r="I152" s="4">
        <v>0.15</v>
      </c>
      <c r="J152" s="4">
        <v>0.21</v>
      </c>
      <c r="K152" s="4">
        <f>J152-I152</f>
      </c>
      <c r="L152" s="4">
        <f>K152*16.67%</f>
      </c>
      <c r="M152" s="4">
        <f>J152*7%</f>
      </c>
      <c r="N152" s="4">
        <f>M152*20%</f>
      </c>
      <c r="O152" s="4">
        <v>0</v>
      </c>
      <c r="P152" s="4">
        <f>O152*20%</f>
      </c>
      <c r="Q152" s="4">
        <v>0</v>
      </c>
      <c r="R152" s="4">
        <f>N152+P152</f>
      </c>
      <c r="S152" s="4">
        <f>K152-L152-M152-N152-O152-P152-Q152</f>
      </c>
      <c r="T152" s="4">
        <f>(S152-V152)/I152*100</f>
      </c>
      <c r="U152" s="4">
        <f>L152-R152</f>
      </c>
      <c r="W152" s="4">
        <f>S152-V152</f>
      </c>
      <c r="AB152" t="s">
        <v>1</v>
      </c>
    </row>
    <row r="153" spans="1:28" x14ac:dyDescent="0.25">
      <c r="A153" s="8">
        <v>46208.5</v>
      </c>
      <c r="B153" t="s">
        <v>2595</v>
      </c>
      <c r="C153" t="s">
        <v>177</v>
      </c>
      <c r="D153" s="9" t="s">
        <v>1</v>
      </c>
      <c r="E153" t="s">
        <v>177</v>
      </c>
      <c r="F153" t="s">
        <v>1</v>
      </c>
      <c r="G153" t="s">
        <v>1</v>
      </c>
      <c r="H153" t="s">
        <v>78</v>
      </c>
      <c r="I153" s="4">
        <v>0.15</v>
      </c>
      <c r="J153" s="4">
        <v>0.19</v>
      </c>
      <c r="K153" s="4">
        <f>J153-I153</f>
      </c>
      <c r="L153" s="4">
        <f>K153*16.67%</f>
      </c>
      <c r="M153" s="4">
        <f>J153*7%</f>
      </c>
      <c r="N153" s="4">
        <f>M153*20%</f>
      </c>
      <c r="O153" s="4">
        <v>0</v>
      </c>
      <c r="P153" s="4">
        <f>O153*20%</f>
      </c>
      <c r="Q153" s="4">
        <v>0</v>
      </c>
      <c r="R153" s="4">
        <f>N153+P153</f>
      </c>
      <c r="S153" s="4">
        <f>K153-L153-M153-N153-O153-P153-Q153</f>
      </c>
      <c r="T153" s="4">
        <f>(S153-V153)/I153*100</f>
      </c>
      <c r="U153" s="4">
        <f>L153-R153</f>
      </c>
      <c r="W153" s="4">
        <f>S153-V153</f>
      </c>
      <c r="AB153" t="s">
        <v>1</v>
      </c>
    </row>
    <row r="154" spans="1:28" x14ac:dyDescent="0.25">
      <c r="A154" s="8">
        <v>46208.5</v>
      </c>
      <c r="B154" t="s">
        <v>2596</v>
      </c>
      <c r="C154" t="s">
        <v>254</v>
      </c>
      <c r="D154" s="9" t="s">
        <v>1</v>
      </c>
      <c r="E154" t="s">
        <v>254</v>
      </c>
      <c r="F154" t="s">
        <v>1</v>
      </c>
      <c r="G154" t="s">
        <v>1</v>
      </c>
      <c r="H154" t="s">
        <v>61</v>
      </c>
      <c r="I154" s="4">
        <v>0.8</v>
      </c>
      <c r="J154" s="4">
        <v>0.94</v>
      </c>
      <c r="K154" s="4">
        <f>J154-I154</f>
      </c>
      <c r="L154" s="4">
        <f>K154*16.67%</f>
      </c>
      <c r="M154" s="4">
        <f>J154*7%</f>
      </c>
      <c r="N154" s="4">
        <f>M154*20%</f>
      </c>
      <c r="O154" s="4">
        <v>0</v>
      </c>
      <c r="P154" s="4">
        <f>O154*20%</f>
      </c>
      <c r="Q154" s="4">
        <v>0</v>
      </c>
      <c r="R154" s="4">
        <f>N154+P154</f>
      </c>
      <c r="S154" s="4">
        <f>K154-L154-M154-N154-O154-P154-Q154</f>
      </c>
      <c r="T154" s="4">
        <f>(S154-V154)/I154*100</f>
      </c>
      <c r="U154" s="4">
        <f>L154-R154</f>
      </c>
      <c r="W154" s="4">
        <f>S154-V154</f>
      </c>
      <c r="AB154" t="s">
        <v>1</v>
      </c>
    </row>
    <row r="155" spans="1:28" x14ac:dyDescent="0.25">
      <c r="A155" s="8">
        <v>46207.5</v>
      </c>
      <c r="B155" t="s">
        <v>2597</v>
      </c>
      <c r="C155" t="s">
        <v>1</v>
      </c>
      <c r="D155" s="9" t="s">
        <v>2598</v>
      </c>
      <c r="E155" t="s">
        <v>64</v>
      </c>
      <c r="F155" t="s">
        <v>88</v>
      </c>
      <c r="G155" t="s">
        <v>65</v>
      </c>
      <c r="H155" t="s">
        <v>61</v>
      </c>
      <c r="I155" s="4">
        <v>229</v>
      </c>
      <c r="J155" s="4">
        <v>332.05</v>
      </c>
      <c r="K155" s="4">
        <f>J155-I155</f>
      </c>
      <c r="L155" s="4">
        <f>K155*16.67%</f>
      </c>
      <c r="M155" s="4">
        <f>J155*7%</f>
      </c>
      <c r="N155" s="4">
        <f>M155*20%</f>
      </c>
      <c r="O155" s="4">
        <v>0</v>
      </c>
      <c r="P155" s="4">
        <f>O155*20%</f>
      </c>
      <c r="Q155" s="4">
        <v>1</v>
      </c>
      <c r="R155" s="4">
        <f>N155+P155</f>
      </c>
      <c r="S155" s="4">
        <f>K155-L155-M155-N155-O155-P155-Q155</f>
      </c>
      <c r="T155" s="4">
        <f>(S155-V155)/I155*100</f>
      </c>
      <c r="U155" s="4">
        <f>L155-R155</f>
      </c>
      <c r="W155" s="4">
        <f>S155-V155</f>
      </c>
      <c r="AB155" t="s">
        <v>1</v>
      </c>
    </row>
    <row r="156" spans="1:28" x14ac:dyDescent="0.25">
      <c r="A156" s="8">
        <v>46207.5</v>
      </c>
      <c r="B156" t="s">
        <v>2599</v>
      </c>
      <c r="C156" t="s">
        <v>1</v>
      </c>
      <c r="D156" s="9" t="s">
        <v>2600</v>
      </c>
      <c r="E156" t="s">
        <v>58</v>
      </c>
      <c r="F156" t="s">
        <v>99</v>
      </c>
      <c r="G156" t="s">
        <v>60</v>
      </c>
      <c r="H156" t="s">
        <v>61</v>
      </c>
      <c r="I156" s="4">
        <v>460</v>
      </c>
      <c r="J156" s="4">
        <v>547.4</v>
      </c>
      <c r="K156" s="4">
        <f>J156-I156</f>
      </c>
      <c r="L156" s="4">
        <f>K156*16.67%</f>
      </c>
      <c r="M156" s="4">
        <f>J156*7%</f>
      </c>
      <c r="N156" s="4">
        <f>M156*20%</f>
      </c>
      <c r="O156" s="4">
        <v>0</v>
      </c>
      <c r="P156" s="4">
        <f>O156*20%</f>
      </c>
      <c r="Q156" s="4">
        <v>1</v>
      </c>
      <c r="R156" s="4">
        <f>N156+P156</f>
      </c>
      <c r="S156" s="4">
        <f>K156-L156-M156-N156-O156-P156-Q156</f>
      </c>
      <c r="T156" s="4">
        <f>(S156-V156)/I156*100</f>
      </c>
      <c r="U156" s="4">
        <f>L156-R156</f>
      </c>
      <c r="W156" s="4">
        <f>S156-V156</f>
      </c>
      <c r="AB156" t="s">
        <v>1</v>
      </c>
    </row>
    <row r="157" spans="1:28" x14ac:dyDescent="0.25">
      <c r="A157" s="8">
        <v>46207.5</v>
      </c>
      <c r="B157" t="s">
        <v>2601</v>
      </c>
      <c r="C157" t="s">
        <v>1</v>
      </c>
      <c r="D157" s="9" t="s">
        <v>2602</v>
      </c>
      <c r="E157" t="s">
        <v>134</v>
      </c>
      <c r="F157" t="s">
        <v>74</v>
      </c>
      <c r="G157" t="s">
        <v>95</v>
      </c>
      <c r="H157" t="s">
        <v>78</v>
      </c>
      <c r="I157" s="4">
        <v>135</v>
      </c>
      <c r="J157" s="4">
        <v>190.35</v>
      </c>
      <c r="K157" s="4">
        <f>J157-I157</f>
      </c>
      <c r="L157" s="4">
        <f>K157*16.67%</f>
      </c>
      <c r="M157" s="4">
        <f>J157*7%</f>
      </c>
      <c r="N157" s="4">
        <f>M157*20%</f>
      </c>
      <c r="O157" s="4">
        <v>0</v>
      </c>
      <c r="P157" s="4">
        <f>O157*20%</f>
      </c>
      <c r="Q157" s="4">
        <v>1</v>
      </c>
      <c r="R157" s="4">
        <f>N157+P157</f>
      </c>
      <c r="S157" s="4">
        <f>K157-L157-M157-N157-O157-P157-Q157</f>
      </c>
      <c r="T157" s="4">
        <f>(S157-V157)/I157*100</f>
      </c>
      <c r="U157" s="4">
        <f>L157-R157</f>
      </c>
      <c r="W157" s="4">
        <f>S157-V157</f>
      </c>
      <c r="AB157" t="s">
        <v>1</v>
      </c>
    </row>
    <row r="158" spans="1:28" x14ac:dyDescent="0.25">
      <c r="A158" s="8">
        <v>46207.5</v>
      </c>
      <c r="B158" t="s">
        <v>2603</v>
      </c>
      <c r="C158" t="s">
        <v>1</v>
      </c>
      <c r="D158" s="9" t="s">
        <v>2604</v>
      </c>
      <c r="E158" t="s">
        <v>58</v>
      </c>
      <c r="F158" t="s">
        <v>85</v>
      </c>
      <c r="G158" t="s">
        <v>60</v>
      </c>
      <c r="H158" t="s">
        <v>75</v>
      </c>
      <c r="I158" s="4">
        <v>463</v>
      </c>
      <c r="J158" s="4">
        <v>601.9</v>
      </c>
      <c r="K158" s="4">
        <f>J158-I158</f>
      </c>
      <c r="L158" s="4">
        <f>K158*16.67%</f>
      </c>
      <c r="M158" s="4">
        <f>J158*7%</f>
      </c>
      <c r="N158" s="4">
        <f>M158*20%</f>
      </c>
      <c r="O158" s="4">
        <v>0</v>
      </c>
      <c r="P158" s="4">
        <f>O158*20%</f>
      </c>
      <c r="Q158" s="4">
        <v>1</v>
      </c>
      <c r="R158" s="4">
        <f>N158+P158</f>
      </c>
      <c r="S158" s="4">
        <f>K158-L158-M158-N158-O158-P158-Q158</f>
      </c>
      <c r="T158" s="4">
        <f>(S158-V158)/I158*100</f>
      </c>
      <c r="U158" s="4">
        <f>L158-R158</f>
      </c>
      <c r="W158" s="4">
        <f>S158-V158</f>
      </c>
      <c r="AB158" t="s">
        <v>1</v>
      </c>
    </row>
    <row r="159" spans="1:28" x14ac:dyDescent="0.25">
      <c r="A159" s="8">
        <v>46207.5</v>
      </c>
      <c r="B159" t="s">
        <v>2605</v>
      </c>
      <c r="C159" t="s">
        <v>1</v>
      </c>
      <c r="D159" s="9" t="s">
        <v>2606</v>
      </c>
      <c r="E159" t="s">
        <v>91</v>
      </c>
      <c r="F159" t="s">
        <v>105</v>
      </c>
      <c r="G159" t="s">
        <v>65</v>
      </c>
      <c r="H159" t="s">
        <v>75</v>
      </c>
      <c r="I159" s="4">
        <v>103</v>
      </c>
      <c r="J159" s="4">
        <v>122.57</v>
      </c>
      <c r="K159" s="4">
        <f>J159-I159</f>
      </c>
      <c r="L159" s="4">
        <f>K159*16.67%</f>
      </c>
      <c r="M159" s="4">
        <f>J159*7%</f>
      </c>
      <c r="N159" s="4">
        <f>M159*20%</f>
      </c>
      <c r="O159" s="4">
        <v>0</v>
      </c>
      <c r="P159" s="4">
        <f>O159*20%</f>
      </c>
      <c r="Q159" s="4">
        <v>1</v>
      </c>
      <c r="R159" s="4">
        <f>N159+P159</f>
      </c>
      <c r="S159" s="4">
        <f>K159-L159-M159-N159-O159-P159-Q159</f>
      </c>
      <c r="T159" s="4">
        <f>(S159-V159)/I159*100</f>
      </c>
      <c r="U159" s="4">
        <f>L159-R159</f>
      </c>
      <c r="W159" s="4">
        <f>S159-V159</f>
      </c>
      <c r="AB159" t="s">
        <v>1</v>
      </c>
    </row>
    <row r="160" spans="1:28" x14ac:dyDescent="0.25">
      <c r="A160" s="8">
        <v>46207.5</v>
      </c>
      <c r="B160" t="s">
        <v>2607</v>
      </c>
      <c r="C160" t="s">
        <v>1</v>
      </c>
      <c r="D160" s="9" t="s">
        <v>2608</v>
      </c>
      <c r="E160" t="s">
        <v>234</v>
      </c>
      <c r="F160" t="s">
        <v>59</v>
      </c>
      <c r="G160" t="s">
        <v>65</v>
      </c>
      <c r="H160" t="s">
        <v>102</v>
      </c>
      <c r="I160" s="4">
        <v>188</v>
      </c>
      <c r="J160" s="4">
        <v>227.48</v>
      </c>
      <c r="K160" s="4">
        <f>J160-I160</f>
      </c>
      <c r="L160" s="4">
        <f>K160*16.67%</f>
      </c>
      <c r="M160" s="4">
        <f>J160*7%</f>
      </c>
      <c r="N160" s="4">
        <f>M160*20%</f>
      </c>
      <c r="O160" s="4">
        <v>0</v>
      </c>
      <c r="P160" s="4">
        <f>O160*20%</f>
      </c>
      <c r="Q160" s="4">
        <v>1</v>
      </c>
      <c r="R160" s="4">
        <f>N160+P160</f>
      </c>
      <c r="S160" s="4">
        <f>K160-L160-M160-N160-O160-P160-Q160</f>
      </c>
      <c r="T160" s="4">
        <f>(S160-V160)/I160*100</f>
      </c>
      <c r="U160" s="4">
        <f>L160-R160</f>
      </c>
      <c r="W160" s="4">
        <f>S160-V160</f>
      </c>
      <c r="AB160" t="s">
        <v>1</v>
      </c>
    </row>
    <row r="161" spans="1:28" x14ac:dyDescent="0.25">
      <c r="A161" s="8">
        <v>46207.5</v>
      </c>
      <c r="B161" t="s">
        <v>2609</v>
      </c>
      <c r="C161" t="s">
        <v>182</v>
      </c>
      <c r="D161" s="9" t="s">
        <v>1</v>
      </c>
      <c r="E161" t="s">
        <v>182</v>
      </c>
      <c r="F161" t="s">
        <v>1</v>
      </c>
      <c r="G161" t="s">
        <v>1</v>
      </c>
      <c r="H161" t="s">
        <v>75</v>
      </c>
      <c r="I161" s="4">
        <v>1.9</v>
      </c>
      <c r="J161" s="4">
        <v>2.47</v>
      </c>
      <c r="K161" s="4">
        <f>J161-I161</f>
      </c>
      <c r="L161" s="4">
        <f>K161*16.67%</f>
      </c>
      <c r="M161" s="4">
        <f>J161*7%</f>
      </c>
      <c r="N161" s="4">
        <f>M161*20%</f>
      </c>
      <c r="O161" s="4">
        <v>0</v>
      </c>
      <c r="P161" s="4">
        <f>O161*20%</f>
      </c>
      <c r="Q161" s="4">
        <v>0</v>
      </c>
      <c r="R161" s="4">
        <f>N161+P161</f>
      </c>
      <c r="S161" s="4">
        <f>K161-L161-M161-N161-O161-P161-Q161</f>
      </c>
      <c r="T161" s="4">
        <f>(S161-V161)/I161*100</f>
      </c>
      <c r="U161" s="4">
        <f>L161-R161</f>
      </c>
      <c r="W161" s="4">
        <f>S161-V161</f>
      </c>
      <c r="AB161" t="s">
        <v>1</v>
      </c>
    </row>
    <row r="162" spans="1:28" x14ac:dyDescent="0.25">
      <c r="A162" s="8">
        <v>46206.5</v>
      </c>
      <c r="B162" t="s">
        <v>2610</v>
      </c>
      <c r="C162" t="s">
        <v>1</v>
      </c>
      <c r="D162" s="9" t="s">
        <v>2611</v>
      </c>
      <c r="E162" t="s">
        <v>234</v>
      </c>
      <c r="F162" t="s">
        <v>85</v>
      </c>
      <c r="G162" t="s">
        <v>65</v>
      </c>
      <c r="H162" t="s">
        <v>78</v>
      </c>
      <c r="I162" s="4">
        <v>177</v>
      </c>
      <c r="J162" s="4">
        <v>210.63</v>
      </c>
      <c r="K162" s="4">
        <f>J162-I162</f>
      </c>
      <c r="L162" s="4">
        <f>K162*16.67%</f>
      </c>
      <c r="M162" s="4">
        <f>J162*7%</f>
      </c>
      <c r="N162" s="4">
        <f>M162*20%</f>
      </c>
      <c r="O162" s="4">
        <v>0</v>
      </c>
      <c r="P162" s="4">
        <f>O162*20%</f>
      </c>
      <c r="Q162" s="4">
        <v>1</v>
      </c>
      <c r="R162" s="4">
        <f>N162+P162</f>
      </c>
      <c r="S162" s="4">
        <f>K162-L162-M162-N162-O162-P162-Q162</f>
      </c>
      <c r="T162" s="4">
        <f>(S162-V162)/I162*100</f>
      </c>
      <c r="U162" s="4">
        <f>L162-R162</f>
      </c>
      <c r="W162" s="4">
        <f>S162-V162</f>
      </c>
      <c r="AB162" t="s">
        <v>1</v>
      </c>
    </row>
    <row r="163" spans="1:28" x14ac:dyDescent="0.25">
      <c r="A163" s="8">
        <v>46206.5</v>
      </c>
      <c r="B163" t="s">
        <v>2612</v>
      </c>
      <c r="C163" t="s">
        <v>189</v>
      </c>
      <c r="D163" s="9" t="s">
        <v>1</v>
      </c>
      <c r="E163" t="s">
        <v>189</v>
      </c>
      <c r="F163" t="s">
        <v>1</v>
      </c>
      <c r="G163" t="s">
        <v>1</v>
      </c>
      <c r="H163" t="s">
        <v>66</v>
      </c>
      <c r="I163" s="4">
        <v>3.5</v>
      </c>
      <c r="J163" s="4">
        <v>4.73</v>
      </c>
      <c r="K163" s="4">
        <f>J163-I163</f>
      </c>
      <c r="L163" s="4">
        <f>K163*16.67%</f>
      </c>
      <c r="M163" s="4">
        <f>J163*7%</f>
      </c>
      <c r="N163" s="4">
        <f>M163*20%</f>
      </c>
      <c r="O163" s="4">
        <v>0</v>
      </c>
      <c r="P163" s="4">
        <f>O163*20%</f>
      </c>
      <c r="Q163" s="4">
        <v>0</v>
      </c>
      <c r="R163" s="4">
        <f>N163+P163</f>
      </c>
      <c r="S163" s="4">
        <f>K163-L163-M163-N163-O163-P163-Q163</f>
      </c>
      <c r="T163" s="4">
        <f>(S163-V163)/I163*100</f>
      </c>
      <c r="U163" s="4">
        <f>L163-R163</f>
      </c>
      <c r="W163" s="4">
        <f>S163-V163</f>
      </c>
      <c r="AB163" t="s">
        <v>1</v>
      </c>
    </row>
    <row r="164" spans="1:28" x14ac:dyDescent="0.25">
      <c r="A164" s="8">
        <v>46205.5</v>
      </c>
      <c r="B164" t="s">
        <v>2613</v>
      </c>
      <c r="C164" t="s">
        <v>1</v>
      </c>
      <c r="D164" s="9" t="s">
        <v>2614</v>
      </c>
      <c r="E164" t="s">
        <v>64</v>
      </c>
      <c r="F164" t="s">
        <v>105</v>
      </c>
      <c r="G164" t="s">
        <v>65</v>
      </c>
      <c r="H164" t="s">
        <v>78</v>
      </c>
      <c r="I164" s="4">
        <v>220</v>
      </c>
      <c r="J164" s="4">
        <v>314.6</v>
      </c>
      <c r="K164" s="4">
        <f>J164-I164</f>
      </c>
      <c r="L164" s="4">
        <f>K164*16.67%</f>
      </c>
      <c r="M164" s="4">
        <f>J164*7%</f>
      </c>
      <c r="N164" s="4">
        <f>M164*20%</f>
      </c>
      <c r="O164" s="4">
        <v>0</v>
      </c>
      <c r="P164" s="4">
        <f>O164*20%</f>
      </c>
      <c r="Q164" s="4">
        <v>1</v>
      </c>
      <c r="R164" s="4">
        <f>N164+P164</f>
      </c>
      <c r="S164" s="4">
        <f>K164-L164-M164-N164-O164-P164-Q164</f>
      </c>
      <c r="T164" s="4">
        <f>(S164-V164)/I164*100</f>
      </c>
      <c r="U164" s="4">
        <f>L164-R164</f>
      </c>
      <c r="W164" s="4">
        <f>S164-V164</f>
      </c>
      <c r="AB164" t="s">
        <v>1</v>
      </c>
    </row>
    <row r="165" spans="1:28" x14ac:dyDescent="0.25">
      <c r="A165" s="8">
        <v>46205.5</v>
      </c>
      <c r="B165" t="s">
        <v>2615</v>
      </c>
      <c r="C165" t="s">
        <v>182</v>
      </c>
      <c r="D165" s="9" t="s">
        <v>1</v>
      </c>
      <c r="E165" t="s">
        <v>182</v>
      </c>
      <c r="F165" t="s">
        <v>1</v>
      </c>
      <c r="G165" t="s">
        <v>1</v>
      </c>
      <c r="H165" t="s">
        <v>75</v>
      </c>
      <c r="I165" s="4">
        <v>1.9</v>
      </c>
      <c r="J165" s="4">
        <v>2.6</v>
      </c>
      <c r="K165" s="4">
        <f>J165-I165</f>
      </c>
      <c r="L165" s="4">
        <f>K165*16.67%</f>
      </c>
      <c r="M165" s="4">
        <f>J165*7%</f>
      </c>
      <c r="N165" s="4">
        <f>M165*20%</f>
      </c>
      <c r="O165" s="4">
        <v>0</v>
      </c>
      <c r="P165" s="4">
        <f>O165*20%</f>
      </c>
      <c r="Q165" s="4">
        <v>0</v>
      </c>
      <c r="R165" s="4">
        <f>N165+P165</f>
      </c>
      <c r="S165" s="4">
        <f>K165-L165-M165-N165-O165-P165-Q165</f>
      </c>
      <c r="T165" s="4">
        <f>(S165-V165)/I165*100</f>
      </c>
      <c r="U165" s="4">
        <f>L165-R165</f>
      </c>
      <c r="W165" s="4">
        <f>S165-V165</f>
      </c>
      <c r="AB165" t="s">
        <v>1</v>
      </c>
    </row>
    <row r="166" spans="1:28" x14ac:dyDescent="0.25">
      <c r="A166" s="8">
        <v>46204.5</v>
      </c>
      <c r="B166" t="s">
        <v>2616</v>
      </c>
      <c r="C166" t="s">
        <v>1</v>
      </c>
      <c r="D166" s="9" t="s">
        <v>2617</v>
      </c>
      <c r="E166" t="s">
        <v>234</v>
      </c>
      <c r="F166" t="s">
        <v>99</v>
      </c>
      <c r="G166" t="s">
        <v>65</v>
      </c>
      <c r="H166" t="s">
        <v>102</v>
      </c>
      <c r="I166" s="4">
        <v>187</v>
      </c>
      <c r="J166" s="4">
        <v>220.66</v>
      </c>
      <c r="K166" s="4">
        <f>J166-I166</f>
      </c>
      <c r="L166" s="4">
        <f>K166*16.67%</f>
      </c>
      <c r="M166" s="4">
        <f>J166*7%</f>
      </c>
      <c r="N166" s="4">
        <f>M166*20%</f>
      </c>
      <c r="O166" s="4">
        <v>0</v>
      </c>
      <c r="P166" s="4">
        <f>O166*20%</f>
      </c>
      <c r="Q166" s="4">
        <v>1</v>
      </c>
      <c r="R166" s="4">
        <f>N166+P166</f>
      </c>
      <c r="S166" s="4">
        <f>K166-L166-M166-N166-O166-P166-Q166</f>
      </c>
      <c r="T166" s="4">
        <f>(S166-V166)/I166*100</f>
      </c>
      <c r="U166" s="4">
        <f>L166-R166</f>
      </c>
      <c r="W166" s="4">
        <f>S166-V166</f>
      </c>
      <c r="AB166" t="s">
        <v>1</v>
      </c>
    </row>
    <row r="167" spans="1:28" x14ac:dyDescent="0.25">
      <c r="A167" s="8">
        <v>46204.5</v>
      </c>
      <c r="B167" t="s">
        <v>2618</v>
      </c>
      <c r="C167" t="s">
        <v>1</v>
      </c>
      <c r="D167" s="9" t="s">
        <v>2619</v>
      </c>
      <c r="E167" t="s">
        <v>114</v>
      </c>
      <c r="F167" t="s">
        <v>85</v>
      </c>
      <c r="G167" t="s">
        <v>60</v>
      </c>
      <c r="H167" t="s">
        <v>61</v>
      </c>
      <c r="I167" s="4">
        <v>202</v>
      </c>
      <c r="J167" s="4">
        <v>238.36</v>
      </c>
      <c r="K167" s="4">
        <f>J167-I167</f>
      </c>
      <c r="L167" s="4">
        <f>K167*16.67%</f>
      </c>
      <c r="M167" s="4">
        <f>J167*7%</f>
      </c>
      <c r="N167" s="4">
        <f>M167*20%</f>
      </c>
      <c r="O167" s="4">
        <v>0</v>
      </c>
      <c r="P167" s="4">
        <f>O167*20%</f>
      </c>
      <c r="Q167" s="4">
        <v>1</v>
      </c>
      <c r="R167" s="4">
        <f>N167+P167</f>
      </c>
      <c r="S167" s="4">
        <f>K167-L167-M167-N167-O167-P167-Q167</f>
      </c>
      <c r="T167" s="4">
        <f>(S167-V167)/I167*100</f>
      </c>
      <c r="U167" s="4">
        <f>L167-R167</f>
      </c>
      <c r="W167" s="4">
        <f>S167-V167</f>
      </c>
      <c r="AB167" t="s">
        <v>1</v>
      </c>
    </row>
    <row r="168" spans="1:28" x14ac:dyDescent="0.25">
      <c r="A168" s="8">
        <v>46204.5</v>
      </c>
      <c r="B168" t="s">
        <v>2620</v>
      </c>
      <c r="C168" t="s">
        <v>1</v>
      </c>
      <c r="D168" s="9" t="s">
        <v>2621</v>
      </c>
      <c r="E168" t="s">
        <v>114</v>
      </c>
      <c r="F168" t="s">
        <v>105</v>
      </c>
      <c r="G168" t="s">
        <v>60</v>
      </c>
      <c r="H168" t="s">
        <v>66</v>
      </c>
      <c r="I168" s="4">
        <v>229</v>
      </c>
      <c r="J168" s="4">
        <v>277.09</v>
      </c>
      <c r="K168" s="4">
        <f>J168-I168</f>
      </c>
      <c r="L168" s="4">
        <f>K168*16.67%</f>
      </c>
      <c r="M168" s="4">
        <f>J168*7%</f>
      </c>
      <c r="N168" s="4">
        <f>M168*20%</f>
      </c>
      <c r="O168" s="4">
        <v>0</v>
      </c>
      <c r="P168" s="4">
        <f>O168*20%</f>
      </c>
      <c r="Q168" s="4">
        <v>1</v>
      </c>
      <c r="R168" s="4">
        <f>N168+P168</f>
      </c>
      <c r="S168" s="4">
        <f>K168-L168-M168-N168-O168-P168-Q168</f>
      </c>
      <c r="T168" s="4">
        <f>(S168-V168)/I168*100</f>
      </c>
      <c r="U168" s="4">
        <f>L168-R168</f>
      </c>
      <c r="W168" s="4">
        <f>S168-V168</f>
      </c>
      <c r="AB168" t="s">
        <v>1</v>
      </c>
    </row>
    <row r="169" spans="1:28" x14ac:dyDescent="0.25">
      <c r="A169" s="8">
        <v>46204.5</v>
      </c>
      <c r="B169" t="s">
        <v>2622</v>
      </c>
      <c r="C169" t="s">
        <v>1</v>
      </c>
      <c r="D169" s="9" t="s">
        <v>2623</v>
      </c>
      <c r="E169" t="s">
        <v>81</v>
      </c>
      <c r="F169" t="s">
        <v>105</v>
      </c>
      <c r="G169" t="s">
        <v>60</v>
      </c>
      <c r="H169" t="s">
        <v>78</v>
      </c>
      <c r="I169" s="4">
        <v>561</v>
      </c>
      <c r="J169" s="4">
        <v>656.37</v>
      </c>
      <c r="K169" s="4">
        <f>J169-I169</f>
      </c>
      <c r="L169" s="4">
        <f>K169*16.67%</f>
      </c>
      <c r="M169" s="4">
        <f>J169*7%</f>
      </c>
      <c r="N169" s="4">
        <f>M169*20%</f>
      </c>
      <c r="O169" s="4">
        <v>0</v>
      </c>
      <c r="P169" s="4">
        <f>O169*20%</f>
      </c>
      <c r="Q169" s="4">
        <v>1</v>
      </c>
      <c r="R169" s="4">
        <f>N169+P169</f>
      </c>
      <c r="S169" s="4">
        <f>K169-L169-M169-N169-O169-P169-Q169</f>
      </c>
      <c r="T169" s="4">
        <f>(S169-V169)/I169*100</f>
      </c>
      <c r="U169" s="4">
        <f>L169-R169</f>
      </c>
      <c r="W169" s="4">
        <f>S169-V169</f>
      </c>
      <c r="AB169" t="s">
        <v>1</v>
      </c>
    </row>
    <row r="170" spans="1:28" x14ac:dyDescent="0.25">
      <c r="A170" s="8">
        <v>46204.5</v>
      </c>
      <c r="B170" t="s">
        <v>2624</v>
      </c>
      <c r="C170" t="s">
        <v>185</v>
      </c>
      <c r="D170" s="9" t="s">
        <v>1</v>
      </c>
      <c r="E170" t="s">
        <v>185</v>
      </c>
      <c r="F170" t="s">
        <v>1</v>
      </c>
      <c r="G170" t="s">
        <v>1</v>
      </c>
      <c r="H170" t="s">
        <v>102</v>
      </c>
      <c r="I170" s="4">
        <v>1.2</v>
      </c>
      <c r="J170" s="4">
        <v>1.49</v>
      </c>
      <c r="K170" s="4">
        <f>J170-I170</f>
      </c>
      <c r="L170" s="4">
        <f>K170*16.67%</f>
      </c>
      <c r="M170" s="4">
        <f>J170*7%</f>
      </c>
      <c r="N170" s="4">
        <f>M170*20%</f>
      </c>
      <c r="O170" s="4">
        <v>0</v>
      </c>
      <c r="P170" s="4">
        <f>O170*20%</f>
      </c>
      <c r="Q170" s="4">
        <v>0</v>
      </c>
      <c r="R170" s="4">
        <f>N170+P170</f>
      </c>
      <c r="S170" s="4">
        <f>K170-L170-M170-N170-O170-P170-Q170</f>
      </c>
      <c r="T170" s="4">
        <f>(S170-V170)/I170*100</f>
      </c>
      <c r="U170" s="4">
        <f>L170-R170</f>
      </c>
      <c r="W170" s="4">
        <f>S170-V170</f>
      </c>
      <c r="AB170" t="s">
        <v>1</v>
      </c>
    </row>
    <row r="171" spans="1:28" x14ac:dyDescent="0.25">
      <c r="A171" s="8">
        <v>46204.5</v>
      </c>
      <c r="B171" t="s">
        <v>2625</v>
      </c>
      <c r="C171" t="s">
        <v>189</v>
      </c>
      <c r="D171" s="9" t="s">
        <v>1</v>
      </c>
      <c r="E171" t="s">
        <v>189</v>
      </c>
      <c r="F171" t="s">
        <v>1</v>
      </c>
      <c r="G171" t="s">
        <v>1</v>
      </c>
      <c r="H171" t="s">
        <v>66</v>
      </c>
      <c r="I171" s="4">
        <v>3.5</v>
      </c>
      <c r="J171" s="4">
        <v>4.69</v>
      </c>
      <c r="K171" s="4">
        <f>J171-I171</f>
      </c>
      <c r="L171" s="4">
        <f>K171*16.67%</f>
      </c>
      <c r="M171" s="4">
        <f>J171*7%</f>
      </c>
      <c r="N171" s="4">
        <f>M171*20%</f>
      </c>
      <c r="O171" s="4">
        <v>0</v>
      </c>
      <c r="P171" s="4">
        <f>O171*20%</f>
      </c>
      <c r="Q171" s="4">
        <v>0</v>
      </c>
      <c r="R171" s="4">
        <f>N171+P171</f>
      </c>
      <c r="S171" s="4">
        <f>K171-L171-M171-N171-O171-P171-Q171</f>
      </c>
      <c r="T171" s="4">
        <f>(S171-V171)/I171*100</f>
      </c>
      <c r="U171" s="4">
        <f>L171-R171</f>
      </c>
      <c r="W171" s="4">
        <f>S171-V171</f>
      </c>
      <c r="AB171" t="s">
        <v>1</v>
      </c>
    </row>
    <row r="172" spans="1:28" x14ac:dyDescent="0.25">
      <c r="A172" s="8">
        <v>46203.5</v>
      </c>
      <c r="B172" t="s">
        <v>2626</v>
      </c>
      <c r="C172" t="s">
        <v>1</v>
      </c>
      <c r="D172" s="9" t="s">
        <v>2627</v>
      </c>
      <c r="E172" t="s">
        <v>58</v>
      </c>
      <c r="F172" t="s">
        <v>59</v>
      </c>
      <c r="G172" t="s">
        <v>60</v>
      </c>
      <c r="H172" t="s">
        <v>75</v>
      </c>
      <c r="I172" s="4">
        <v>458</v>
      </c>
      <c r="J172" s="4">
        <v>577.08</v>
      </c>
      <c r="K172" s="4">
        <f>J172-I172</f>
      </c>
      <c r="L172" s="4">
        <f>K172*16.67%</f>
      </c>
      <c r="M172" s="4">
        <f>J172*7%</f>
      </c>
      <c r="N172" s="4">
        <f>M172*20%</f>
      </c>
      <c r="O172" s="4">
        <v>0</v>
      </c>
      <c r="P172" s="4">
        <f>O172*20%</f>
      </c>
      <c r="Q172" s="4">
        <v>1</v>
      </c>
      <c r="R172" s="4">
        <f>N172+P172</f>
      </c>
      <c r="S172" s="4">
        <f>K172-L172-M172-N172-O172-P172-Q172</f>
      </c>
      <c r="T172" s="4">
        <f>(S172-V172)/I172*100</f>
      </c>
      <c r="U172" s="4">
        <f>L172-R172</f>
      </c>
      <c r="W172" s="4">
        <f>S172-V172</f>
      </c>
      <c r="AB172" t="s">
        <v>1</v>
      </c>
    </row>
    <row r="173" spans="1:28" x14ac:dyDescent="0.25">
      <c r="A173" s="8">
        <v>46203.5</v>
      </c>
      <c r="B173" t="s">
        <v>2628</v>
      </c>
      <c r="C173" t="s">
        <v>1</v>
      </c>
      <c r="D173" s="9" t="s">
        <v>2629</v>
      </c>
      <c r="E173" t="s">
        <v>292</v>
      </c>
      <c r="F173" t="s">
        <v>105</v>
      </c>
      <c r="G173" t="s">
        <v>126</v>
      </c>
      <c r="H173" t="s">
        <v>102</v>
      </c>
      <c r="I173" s="4">
        <v>193</v>
      </c>
      <c r="J173" s="4">
        <v>275.99</v>
      </c>
      <c r="K173" s="4">
        <f>J173-I173</f>
      </c>
      <c r="L173" s="4">
        <f>K173*16.67%</f>
      </c>
      <c r="M173" s="4">
        <f>J173*7%</f>
      </c>
      <c r="N173" s="4">
        <f>M173*20%</f>
      </c>
      <c r="O173" s="4">
        <v>0</v>
      </c>
      <c r="P173" s="4">
        <f>O173*20%</f>
      </c>
      <c r="Q173" s="4">
        <v>1</v>
      </c>
      <c r="R173" s="4">
        <f>N173+P173</f>
      </c>
      <c r="S173" s="4">
        <f>K173-L173-M173-N173-O173-P173-Q173</f>
      </c>
      <c r="T173" s="4">
        <f>(S173-V173)/I173*100</f>
      </c>
      <c r="U173" s="4">
        <f>L173-R173</f>
      </c>
      <c r="W173" s="4">
        <f>S173-V173</f>
      </c>
      <c r="AB173" t="s">
        <v>1</v>
      </c>
    </row>
    <row r="174" spans="1:28" x14ac:dyDescent="0.25">
      <c r="A174" s="8">
        <v>46203.5</v>
      </c>
      <c r="B174" t="s">
        <v>2630</v>
      </c>
      <c r="C174" t="s">
        <v>185</v>
      </c>
      <c r="D174" s="9" t="s">
        <v>1</v>
      </c>
      <c r="E174" t="s">
        <v>185</v>
      </c>
      <c r="F174" t="s">
        <v>1</v>
      </c>
      <c r="G174" t="s">
        <v>1</v>
      </c>
      <c r="H174" t="s">
        <v>102</v>
      </c>
      <c r="I174" s="4">
        <v>1.2</v>
      </c>
      <c r="J174" s="4">
        <v>1.54</v>
      </c>
      <c r="K174" s="4">
        <f>J174-I174</f>
      </c>
      <c r="L174" s="4">
        <f>K174*16.67%</f>
      </c>
      <c r="M174" s="4">
        <f>J174*7%</f>
      </c>
      <c r="N174" s="4">
        <f>M174*20%</f>
      </c>
      <c r="O174" s="4">
        <v>0</v>
      </c>
      <c r="P174" s="4">
        <f>O174*20%</f>
      </c>
      <c r="Q174" s="4">
        <v>0</v>
      </c>
      <c r="R174" s="4">
        <f>N174+P174</f>
      </c>
      <c r="S174" s="4">
        <f>K174-L174-M174-N174-O174-P174-Q174</f>
      </c>
      <c r="T174" s="4">
        <f>(S174-V174)/I174*100</f>
      </c>
      <c r="U174" s="4">
        <f>L174-R174</f>
      </c>
      <c r="W174" s="4">
        <f>S174-V174</f>
      </c>
      <c r="AB174" t="s">
        <v>1</v>
      </c>
    </row>
    <row r="175" spans="1:28" x14ac:dyDescent="0.25">
      <c r="A175" s="8">
        <v>46203.5</v>
      </c>
      <c r="B175" t="s">
        <v>2631</v>
      </c>
      <c r="C175" t="s">
        <v>1</v>
      </c>
      <c r="D175" s="9" t="s">
        <v>1</v>
      </c>
      <c r="E175" t="s">
        <v>1</v>
      </c>
      <c r="F175" t="s">
        <v>1</v>
      </c>
      <c r="G175" t="s">
        <v>1</v>
      </c>
      <c r="H175" t="s">
        <v>78</v>
      </c>
      <c r="I175" s="4">
        <v>704</v>
      </c>
      <c r="J175" s="4">
        <v>816.64</v>
      </c>
      <c r="K175" s="4">
        <f>J175-I175</f>
      </c>
      <c r="L175" s="4">
        <f>K175*16.67%</f>
      </c>
      <c r="M175" s="4">
        <f>J175*7%</f>
      </c>
      <c r="N175" s="4">
        <f>M175*20%</f>
      </c>
      <c r="O175" s="4">
        <v>0</v>
      </c>
      <c r="P175" s="4">
        <f>O175*20%</f>
      </c>
      <c r="Q175" s="4">
        <v>1</v>
      </c>
      <c r="R175" s="4">
        <f>N175+P175</f>
      </c>
      <c r="S175" s="4">
        <f>K175-L175-M175-N175-O175-P175-Q175</f>
      </c>
      <c r="T175" s="4">
        <f>(S175-V175)/I175*100</f>
      </c>
      <c r="U175" s="4">
        <f>L175-R175</f>
      </c>
      <c r="W175" s="4">
        <f>S175-V175</f>
      </c>
      <c r="AB175" t="s">
        <v>1</v>
      </c>
    </row>
    <row r="176" spans="1:28" x14ac:dyDescent="0.25">
      <c r="A176" s="8">
        <v>46203.5</v>
      </c>
      <c r="B176" t="s">
        <v>2632</v>
      </c>
      <c r="C176" t="s">
        <v>1</v>
      </c>
      <c r="D176" s="9" t="s">
        <v>1</v>
      </c>
      <c r="E176" t="s">
        <v>1</v>
      </c>
      <c r="F176" t="s">
        <v>1</v>
      </c>
      <c r="G176" t="s">
        <v>1</v>
      </c>
      <c r="H176" t="s">
        <v>102</v>
      </c>
      <c r="I176" s="4">
        <v>93</v>
      </c>
      <c r="J176" s="4">
        <v>125.55</v>
      </c>
      <c r="K176" s="4">
        <f>J176-I176</f>
      </c>
      <c r="L176" s="4">
        <f>K176*16.67%</f>
      </c>
      <c r="M176" s="4">
        <f>J176*7%</f>
      </c>
      <c r="N176" s="4">
        <f>M176*20%</f>
      </c>
      <c r="O176" s="4">
        <v>0</v>
      </c>
      <c r="P176" s="4">
        <f>O176*20%</f>
      </c>
      <c r="Q176" s="4">
        <v>1</v>
      </c>
      <c r="R176" s="4">
        <f>N176+P176</f>
      </c>
      <c r="S176" s="4">
        <f>K176-L176-M176-N176-O176-P176-Q176</f>
      </c>
      <c r="T176" s="4">
        <f>(S176-V176)/I176*100</f>
      </c>
      <c r="U176" s="4">
        <f>L176-R176</f>
      </c>
      <c r="W176" s="4">
        <f>S176-V176</f>
      </c>
      <c r="AB176" t="s">
        <v>1</v>
      </c>
    </row>
    <row r="177" spans="1:28" x14ac:dyDescent="0.25">
      <c r="A177" s="8">
        <v>46202.5</v>
      </c>
      <c r="B177" t="s">
        <v>2633</v>
      </c>
      <c r="C177" t="s">
        <v>1</v>
      </c>
      <c r="D177" s="9" t="s">
        <v>2634</v>
      </c>
      <c r="E177" t="s">
        <v>131</v>
      </c>
      <c r="F177" t="s">
        <v>99</v>
      </c>
      <c r="G177" t="s">
        <v>60</v>
      </c>
      <c r="H177" t="s">
        <v>66</v>
      </c>
      <c r="I177" s="4">
        <v>310</v>
      </c>
      <c r="J177" s="4">
        <v>396.8</v>
      </c>
      <c r="K177" s="4">
        <f>J177-I177</f>
      </c>
      <c r="L177" s="4">
        <f>K177*16.67%</f>
      </c>
      <c r="M177" s="4">
        <f>J177*7%</f>
      </c>
      <c r="N177" s="4">
        <f>M177*20%</f>
      </c>
      <c r="O177" s="4">
        <v>0</v>
      </c>
      <c r="P177" s="4">
        <f>O177*20%</f>
      </c>
      <c r="Q177" s="4">
        <v>1</v>
      </c>
      <c r="R177" s="4">
        <f>N177+P177</f>
      </c>
      <c r="S177" s="4">
        <f>K177-L177-M177-N177-O177-P177-Q177</f>
      </c>
      <c r="T177" s="4">
        <f>(S177-V177)/I177*100</f>
      </c>
      <c r="U177" s="4">
        <f>L177-R177</f>
      </c>
      <c r="W177" s="4">
        <f>S177-V177</f>
      </c>
      <c r="AB177" t="s">
        <v>1</v>
      </c>
    </row>
    <row r="178" spans="1:28" x14ac:dyDescent="0.25">
      <c r="A178" s="8">
        <v>46202.5</v>
      </c>
      <c r="B178" t="s">
        <v>2635</v>
      </c>
      <c r="C178" t="s">
        <v>1</v>
      </c>
      <c r="D178" s="9" t="s">
        <v>2636</v>
      </c>
      <c r="E178" t="s">
        <v>73</v>
      </c>
      <c r="F178" t="s">
        <v>70</v>
      </c>
      <c r="G178" t="s">
        <v>60</v>
      </c>
      <c r="H178" t="s">
        <v>75</v>
      </c>
      <c r="I178" s="4">
        <v>334</v>
      </c>
      <c r="J178" s="4">
        <v>417.5</v>
      </c>
      <c r="K178" s="4">
        <f>J178-I178</f>
      </c>
      <c r="L178" s="4">
        <f>K178*16.67%</f>
      </c>
      <c r="M178" s="4">
        <f>J178*7%</f>
      </c>
      <c r="N178" s="4">
        <f>M178*20%</f>
      </c>
      <c r="O178" s="4">
        <v>0</v>
      </c>
      <c r="P178" s="4">
        <f>O178*20%</f>
      </c>
      <c r="Q178" s="4">
        <v>1</v>
      </c>
      <c r="R178" s="4">
        <f>N178+P178</f>
      </c>
      <c r="S178" s="4">
        <f>K178-L178-M178-N178-O178-P178-Q178</f>
      </c>
      <c r="T178" s="4">
        <f>(S178-V178)/I178*100</f>
      </c>
      <c r="U178" s="4">
        <f>L178-R178</f>
      </c>
      <c r="W178" s="4">
        <f>S178-V178</f>
      </c>
      <c r="AB178" t="s">
        <v>1</v>
      </c>
    </row>
    <row r="179" spans="1:28" x14ac:dyDescent="0.25">
      <c r="A179" s="8">
        <v>46202.5</v>
      </c>
      <c r="B179" t="s">
        <v>2637</v>
      </c>
      <c r="C179" t="s">
        <v>1</v>
      </c>
      <c r="D179" s="9" t="s">
        <v>2638</v>
      </c>
      <c r="E179" t="s">
        <v>139</v>
      </c>
      <c r="F179" t="s">
        <v>74</v>
      </c>
      <c r="G179" t="s">
        <v>65</v>
      </c>
      <c r="H179" t="s">
        <v>61</v>
      </c>
      <c r="I179" s="4">
        <v>320</v>
      </c>
      <c r="J179" s="4">
        <v>451.2</v>
      </c>
      <c r="K179" s="4">
        <f>J179-I179</f>
      </c>
      <c r="L179" s="4">
        <f>K179*16.67%</f>
      </c>
      <c r="M179" s="4">
        <f>J179*7%</f>
      </c>
      <c r="N179" s="4">
        <f>M179*20%</f>
      </c>
      <c r="O179" s="4">
        <v>0</v>
      </c>
      <c r="P179" s="4">
        <f>O179*20%</f>
      </c>
      <c r="Q179" s="4">
        <v>1</v>
      </c>
      <c r="R179" s="4">
        <f>N179+P179</f>
      </c>
      <c r="S179" s="4">
        <f>K179-L179-M179-N179-O179-P179-Q179</f>
      </c>
      <c r="T179" s="4">
        <f>(S179-V179)/I179*100</f>
      </c>
      <c r="U179" s="4">
        <f>L179-R179</f>
      </c>
      <c r="W179" s="4">
        <f>S179-V179</f>
      </c>
      <c r="AB179" t="s">
        <v>1</v>
      </c>
    </row>
    <row r="180" spans="1:28" x14ac:dyDescent="0.25">
      <c r="A180" s="8">
        <v>46202.5</v>
      </c>
      <c r="B180" t="s">
        <v>2639</v>
      </c>
      <c r="C180" t="s">
        <v>1</v>
      </c>
      <c r="D180" s="9" t="s">
        <v>2640</v>
      </c>
      <c r="E180" t="s">
        <v>84</v>
      </c>
      <c r="F180" t="s">
        <v>74</v>
      </c>
      <c r="G180" t="s">
        <v>60</v>
      </c>
      <c r="H180" t="s">
        <v>78</v>
      </c>
      <c r="I180" s="4">
        <v>713</v>
      </c>
      <c r="J180" s="4">
        <v>898.38</v>
      </c>
      <c r="K180" s="4">
        <f>J180-I180</f>
      </c>
      <c r="L180" s="4">
        <f>K180*16.67%</f>
      </c>
      <c r="M180" s="4">
        <f>J180*7%</f>
      </c>
      <c r="N180" s="4">
        <f>M180*20%</f>
      </c>
      <c r="O180" s="4">
        <v>0</v>
      </c>
      <c r="P180" s="4">
        <f>O180*20%</f>
      </c>
      <c r="Q180" s="4">
        <v>1</v>
      </c>
      <c r="R180" s="4">
        <f>N180+P180</f>
      </c>
      <c r="S180" s="4">
        <f>K180-L180-M180-N180-O180-P180-Q180</f>
      </c>
      <c r="T180" s="4">
        <f>(S180-V180)/I180*100</f>
      </c>
      <c r="U180" s="4">
        <f>L180-R180</f>
      </c>
      <c r="W180" s="4">
        <f>S180-V180</f>
      </c>
      <c r="AB180" t="s">
        <v>1</v>
      </c>
    </row>
    <row r="181" spans="1:28" x14ac:dyDescent="0.25">
      <c r="A181" s="8">
        <v>46202.5</v>
      </c>
      <c r="B181" t="s">
        <v>2641</v>
      </c>
      <c r="C181" t="s">
        <v>1</v>
      </c>
      <c r="D181" s="9" t="s">
        <v>2642</v>
      </c>
      <c r="E181" t="s">
        <v>84</v>
      </c>
      <c r="F181" t="s">
        <v>105</v>
      </c>
      <c r="G181" t="s">
        <v>60</v>
      </c>
      <c r="H181" t="s">
        <v>75</v>
      </c>
      <c r="I181" s="4">
        <v>692</v>
      </c>
      <c r="J181" s="4">
        <v>878.84</v>
      </c>
      <c r="K181" s="4">
        <f>J181-I181</f>
      </c>
      <c r="L181" s="4">
        <f>K181*16.67%</f>
      </c>
      <c r="M181" s="4">
        <f>J181*7%</f>
      </c>
      <c r="N181" s="4">
        <f>M181*20%</f>
      </c>
      <c r="O181" s="4">
        <v>0</v>
      </c>
      <c r="P181" s="4">
        <f>O181*20%</f>
      </c>
      <c r="Q181" s="4">
        <v>1</v>
      </c>
      <c r="R181" s="4">
        <f>N181+P181</f>
      </c>
      <c r="S181" s="4">
        <f>K181-L181-M181-N181-O181-P181-Q181</f>
      </c>
      <c r="T181" s="4">
        <f>(S181-V181)/I181*100</f>
      </c>
      <c r="U181" s="4">
        <f>L181-R181</f>
      </c>
      <c r="W181" s="4">
        <f>S181-V181</f>
      </c>
      <c r="AB181" t="s">
        <v>1</v>
      </c>
    </row>
    <row r="182" spans="1:28" x14ac:dyDescent="0.25">
      <c r="A182" s="8">
        <v>46202.5</v>
      </c>
      <c r="B182" t="s">
        <v>2643</v>
      </c>
      <c r="C182" t="s">
        <v>1</v>
      </c>
      <c r="D182" s="9" t="s">
        <v>2644</v>
      </c>
      <c r="E182" t="s">
        <v>139</v>
      </c>
      <c r="F182" t="s">
        <v>74</v>
      </c>
      <c r="G182" t="s">
        <v>60</v>
      </c>
      <c r="H182" t="s">
        <v>66</v>
      </c>
      <c r="I182" s="4">
        <v>374</v>
      </c>
      <c r="J182" s="4">
        <v>433.84</v>
      </c>
      <c r="K182" s="4">
        <f>J182-I182</f>
      </c>
      <c r="L182" s="4">
        <f>K182*16.67%</f>
      </c>
      <c r="M182" s="4">
        <f>J182*7%</f>
      </c>
      <c r="N182" s="4">
        <f>M182*20%</f>
      </c>
      <c r="O182" s="4">
        <v>0</v>
      </c>
      <c r="P182" s="4">
        <f>O182*20%</f>
      </c>
      <c r="Q182" s="4">
        <v>1</v>
      </c>
      <c r="R182" s="4">
        <f>N182+P182</f>
      </c>
      <c r="S182" s="4">
        <f>K182-L182-M182-N182-O182-P182-Q182</f>
      </c>
      <c r="T182" s="4">
        <f>(S182-V182)/I182*100</f>
      </c>
      <c r="U182" s="4">
        <f>L182-R182</f>
      </c>
      <c r="W182" s="4">
        <f>S182-V182</f>
      </c>
      <c r="AB182" t="s">
        <v>1</v>
      </c>
    </row>
    <row r="183" spans="1:28" x14ac:dyDescent="0.25">
      <c r="A183" s="8">
        <v>46202.5</v>
      </c>
      <c r="B183" t="s">
        <v>2645</v>
      </c>
      <c r="C183" t="s">
        <v>189</v>
      </c>
      <c r="D183" s="9" t="s">
        <v>1</v>
      </c>
      <c r="E183" t="s">
        <v>189</v>
      </c>
      <c r="F183" t="s">
        <v>1</v>
      </c>
      <c r="G183" t="s">
        <v>1</v>
      </c>
      <c r="H183" t="s">
        <v>66</v>
      </c>
      <c r="I183" s="4">
        <v>3.5</v>
      </c>
      <c r="J183" s="4">
        <v>4.69</v>
      </c>
      <c r="K183" s="4">
        <f>J183-I183</f>
      </c>
      <c r="L183" s="4">
        <f>K183*16.67%</f>
      </c>
      <c r="M183" s="4">
        <f>J183*7%</f>
      </c>
      <c r="N183" s="4">
        <f>M183*20%</f>
      </c>
      <c r="O183" s="4">
        <v>0</v>
      </c>
      <c r="P183" s="4">
        <f>O183*20%</f>
      </c>
      <c r="Q183" s="4">
        <v>0</v>
      </c>
      <c r="R183" s="4">
        <f>N183+P183</f>
      </c>
      <c r="S183" s="4">
        <f>K183-L183-M183-N183-O183-P183-Q183</f>
      </c>
      <c r="T183" s="4">
        <f>(S183-V183)/I183*100</f>
      </c>
      <c r="U183" s="4">
        <f>L183-R183</f>
      </c>
      <c r="W183" s="4">
        <f>S183-V183</f>
      </c>
      <c r="AB183" t="s">
        <v>1</v>
      </c>
    </row>
    <row r="184" spans="1:28" x14ac:dyDescent="0.25">
      <c r="A184" s="8">
        <v>46202.5</v>
      </c>
      <c r="B184" t="s">
        <v>2646</v>
      </c>
      <c r="C184" t="s">
        <v>174</v>
      </c>
      <c r="D184" s="9" t="s">
        <v>1</v>
      </c>
      <c r="E184" t="s">
        <v>174</v>
      </c>
      <c r="F184" t="s">
        <v>1</v>
      </c>
      <c r="G184" t="s">
        <v>1</v>
      </c>
      <c r="H184" t="s">
        <v>66</v>
      </c>
      <c r="I184" s="4">
        <v>4.25</v>
      </c>
      <c r="J184" s="4">
        <v>5.23</v>
      </c>
      <c r="K184" s="4">
        <f>J184-I184</f>
      </c>
      <c r="L184" s="4">
        <f>K184*16.67%</f>
      </c>
      <c r="M184" s="4">
        <f>J184*7%</f>
      </c>
      <c r="N184" s="4">
        <f>M184*20%</f>
      </c>
      <c r="O184" s="4">
        <v>0</v>
      </c>
      <c r="P184" s="4">
        <f>O184*20%</f>
      </c>
      <c r="Q184" s="4">
        <v>0</v>
      </c>
      <c r="R184" s="4">
        <f>N184+P184</f>
      </c>
      <c r="S184" s="4">
        <f>K184-L184-M184-N184-O184-P184-Q184</f>
      </c>
      <c r="T184" s="4">
        <f>(S184-V184)/I184*100</f>
      </c>
      <c r="U184" s="4">
        <f>L184-R184</f>
      </c>
      <c r="W184" s="4">
        <f>S184-V184</f>
      </c>
      <c r="AB184" t="s">
        <v>1</v>
      </c>
    </row>
    <row r="185" spans="1:28" x14ac:dyDescent="0.25">
      <c r="A185" s="8">
        <v>46202.5</v>
      </c>
      <c r="B185" t="s">
        <v>2647</v>
      </c>
      <c r="C185" t="s">
        <v>1</v>
      </c>
      <c r="D185" s="9" t="s">
        <v>1</v>
      </c>
      <c r="E185" t="s">
        <v>1</v>
      </c>
      <c r="F185" t="s">
        <v>1</v>
      </c>
      <c r="G185" t="s">
        <v>1</v>
      </c>
      <c r="H185" t="s">
        <v>102</v>
      </c>
      <c r="I185" s="4">
        <v>309</v>
      </c>
      <c r="J185" s="4">
        <v>364.62</v>
      </c>
      <c r="K185" s="4">
        <f>J185-I185</f>
      </c>
      <c r="L185" s="4">
        <f>K185*16.67%</f>
      </c>
      <c r="M185" s="4">
        <f>J185*7%</f>
      </c>
      <c r="N185" s="4">
        <f>M185*20%</f>
      </c>
      <c r="O185" s="4">
        <v>0</v>
      </c>
      <c r="P185" s="4">
        <f>O185*20%</f>
      </c>
      <c r="Q185" s="4">
        <v>1</v>
      </c>
      <c r="R185" s="4">
        <f>N185+P185</f>
      </c>
      <c r="S185" s="4">
        <f>K185-L185-M185-N185-O185-P185-Q185</f>
      </c>
      <c r="T185" s="4">
        <f>(S185-V185)/I185*100</f>
      </c>
      <c r="U185" s="4">
        <f>L185-R185</f>
      </c>
      <c r="W185" s="4">
        <f>S185-V185</f>
      </c>
      <c r="AB185" t="s">
        <v>1</v>
      </c>
    </row>
    <row r="186" spans="1:28" x14ac:dyDescent="0.25">
      <c r="A186" s="8">
        <v>46201.5</v>
      </c>
      <c r="B186" t="s">
        <v>2648</v>
      </c>
      <c r="C186" t="s">
        <v>1</v>
      </c>
      <c r="D186" s="9" t="s">
        <v>2649</v>
      </c>
      <c r="E186" t="s">
        <v>64</v>
      </c>
      <c r="F186" t="s">
        <v>85</v>
      </c>
      <c r="G186" t="s">
        <v>65</v>
      </c>
      <c r="H186" t="s">
        <v>75</v>
      </c>
      <c r="I186" s="4">
        <v>258</v>
      </c>
      <c r="J186" s="4">
        <v>343.14</v>
      </c>
      <c r="K186" s="4">
        <f>J186-I186</f>
      </c>
      <c r="L186" s="4">
        <f>K186*16.67%</f>
      </c>
      <c r="M186" s="4">
        <f>J186*7%</f>
      </c>
      <c r="N186" s="4">
        <f>M186*20%</f>
      </c>
      <c r="O186" s="4">
        <v>0</v>
      </c>
      <c r="P186" s="4">
        <f>O186*20%</f>
      </c>
      <c r="Q186" s="4">
        <v>1</v>
      </c>
      <c r="R186" s="4">
        <f>N186+P186</f>
      </c>
      <c r="S186" s="4">
        <f>K186-L186-M186-N186-O186-P186-Q186</f>
      </c>
      <c r="T186" s="4">
        <f>(S186-V186)/I186*100</f>
      </c>
      <c r="U186" s="4">
        <f>L186-R186</f>
      </c>
      <c r="W186" s="4">
        <f>S186-V186</f>
      </c>
      <c r="AB186" t="s">
        <v>1</v>
      </c>
    </row>
    <row r="187" spans="1:28" x14ac:dyDescent="0.25">
      <c r="A187" s="8">
        <v>46201.5</v>
      </c>
      <c r="B187" t="s">
        <v>2650</v>
      </c>
      <c r="C187" t="s">
        <v>189</v>
      </c>
      <c r="D187" s="9" t="s">
        <v>1</v>
      </c>
      <c r="E187" t="s">
        <v>189</v>
      </c>
      <c r="F187" t="s">
        <v>1</v>
      </c>
      <c r="G187" t="s">
        <v>1</v>
      </c>
      <c r="H187" t="s">
        <v>66</v>
      </c>
      <c r="I187" s="4">
        <v>3.5</v>
      </c>
      <c r="J187" s="4">
        <v>4.9</v>
      </c>
      <c r="K187" s="4">
        <f>J187-I187</f>
      </c>
      <c r="L187" s="4">
        <f>K187*16.67%</f>
      </c>
      <c r="M187" s="4">
        <f>J187*7%</f>
      </c>
      <c r="N187" s="4">
        <f>M187*20%</f>
      </c>
      <c r="O187" s="4">
        <v>0</v>
      </c>
      <c r="P187" s="4">
        <f>O187*20%</f>
      </c>
      <c r="Q187" s="4">
        <v>0</v>
      </c>
      <c r="R187" s="4">
        <f>N187+P187</f>
      </c>
      <c r="S187" s="4">
        <f>K187-L187-M187-N187-O187-P187-Q187</f>
      </c>
      <c r="T187" s="4">
        <f>(S187-V187)/I187*100</f>
      </c>
      <c r="U187" s="4">
        <f>L187-R187</f>
      </c>
      <c r="W187" s="4">
        <f>S187-V187</f>
      </c>
      <c r="AB187" t="s">
        <v>1</v>
      </c>
    </row>
    <row r="188" spans="1:28" x14ac:dyDescent="0.25">
      <c r="A188" s="8">
        <v>46200.5</v>
      </c>
      <c r="B188" t="s">
        <v>2651</v>
      </c>
      <c r="C188" t="s">
        <v>1</v>
      </c>
      <c r="D188" s="9" t="s">
        <v>2652</v>
      </c>
      <c r="E188" t="s">
        <v>125</v>
      </c>
      <c r="F188" t="s">
        <v>70</v>
      </c>
      <c r="G188" t="s">
        <v>126</v>
      </c>
      <c r="H188" t="s">
        <v>66</v>
      </c>
      <c r="I188" s="4">
        <v>294</v>
      </c>
      <c r="J188" s="4">
        <v>382.2</v>
      </c>
      <c r="K188" s="4">
        <f>J188-I188</f>
      </c>
      <c r="L188" s="4">
        <f>K188*16.67%</f>
      </c>
      <c r="M188" s="4">
        <f>J188*7%</f>
      </c>
      <c r="N188" s="4">
        <f>M188*20%</f>
      </c>
      <c r="O188" s="4">
        <v>0</v>
      </c>
      <c r="P188" s="4">
        <f>O188*20%</f>
      </c>
      <c r="Q188" s="4">
        <v>1</v>
      </c>
      <c r="R188" s="4">
        <f>N188+P188</f>
      </c>
      <c r="S188" s="4">
        <f>K188-L188-M188-N188-O188-P188-Q188</f>
      </c>
      <c r="T188" s="4">
        <f>(S188-V188)/I188*100</f>
      </c>
      <c r="U188" s="4">
        <f>L188-R188</f>
      </c>
      <c r="W188" s="4">
        <f>S188-V188</f>
      </c>
      <c r="AB188" t="s">
        <v>1</v>
      </c>
    </row>
    <row r="189" spans="1:28" x14ac:dyDescent="0.25">
      <c r="A189" s="8">
        <v>46200.5</v>
      </c>
      <c r="B189" t="s">
        <v>2653</v>
      </c>
      <c r="C189" t="s">
        <v>1</v>
      </c>
      <c r="D189" s="9" t="s">
        <v>2654</v>
      </c>
      <c r="E189" t="s">
        <v>91</v>
      </c>
      <c r="F189" t="s">
        <v>88</v>
      </c>
      <c r="G189" t="s">
        <v>65</v>
      </c>
      <c r="H189" t="s">
        <v>66</v>
      </c>
      <c r="I189" s="4">
        <v>137</v>
      </c>
      <c r="J189" s="4">
        <v>178.1</v>
      </c>
      <c r="K189" s="4">
        <f>J189-I189</f>
      </c>
      <c r="L189" s="4">
        <f>K189*16.67%</f>
      </c>
      <c r="M189" s="4">
        <f>J189*7%</f>
      </c>
      <c r="N189" s="4">
        <f>M189*20%</f>
      </c>
      <c r="O189" s="4">
        <v>0</v>
      </c>
      <c r="P189" s="4">
        <f>O189*20%</f>
      </c>
      <c r="Q189" s="4">
        <v>1</v>
      </c>
      <c r="R189" s="4">
        <f>N189+P189</f>
      </c>
      <c r="S189" s="4">
        <f>K189-L189-M189-N189-O189-P189-Q189</f>
      </c>
      <c r="T189" s="4">
        <f>(S189-V189)/I189*100</f>
      </c>
      <c r="U189" s="4">
        <f>L189-R189</f>
      </c>
      <c r="W189" s="4">
        <f>S189-V189</f>
      </c>
      <c r="AB189" t="s">
        <v>1</v>
      </c>
    </row>
    <row r="190" spans="1:28" x14ac:dyDescent="0.25">
      <c r="A190" s="8">
        <v>46200.5</v>
      </c>
      <c r="B190" t="s">
        <v>2655</v>
      </c>
      <c r="C190" t="s">
        <v>1</v>
      </c>
      <c r="D190" s="9" t="s">
        <v>2656</v>
      </c>
      <c r="E190" t="s">
        <v>131</v>
      </c>
      <c r="F190" t="s">
        <v>88</v>
      </c>
      <c r="G190" t="s">
        <v>60</v>
      </c>
      <c r="H190" t="s">
        <v>78</v>
      </c>
      <c r="I190" s="4">
        <v>333</v>
      </c>
      <c r="J190" s="4">
        <v>389.61</v>
      </c>
      <c r="K190" s="4">
        <f>J190-I190</f>
      </c>
      <c r="L190" s="4">
        <f>K190*16.67%</f>
      </c>
      <c r="M190" s="4">
        <f>J190*7%</f>
      </c>
      <c r="N190" s="4">
        <f>M190*20%</f>
      </c>
      <c r="O190" s="4">
        <v>0</v>
      </c>
      <c r="P190" s="4">
        <f>O190*20%</f>
      </c>
      <c r="Q190" s="4">
        <v>1</v>
      </c>
      <c r="R190" s="4">
        <f>N190+P190</f>
      </c>
      <c r="S190" s="4">
        <f>K190-L190-M190-N190-O190-P190-Q190</f>
      </c>
      <c r="T190" s="4">
        <f>(S190-V190)/I190*100</f>
      </c>
      <c r="U190" s="4">
        <f>L190-R190</f>
      </c>
      <c r="W190" s="4">
        <f>S190-V190</f>
      </c>
      <c r="AB190" t="s">
        <v>1</v>
      </c>
    </row>
    <row r="191" spans="1:28" x14ac:dyDescent="0.25">
      <c r="A191" s="8">
        <v>46200.5</v>
      </c>
      <c r="B191" t="s">
        <v>2657</v>
      </c>
      <c r="C191" t="s">
        <v>1</v>
      </c>
      <c r="D191" s="9" t="s">
        <v>2658</v>
      </c>
      <c r="E191" t="s">
        <v>91</v>
      </c>
      <c r="F191" t="s">
        <v>88</v>
      </c>
      <c r="G191" t="s">
        <v>65</v>
      </c>
      <c r="H191" t="s">
        <v>66</v>
      </c>
      <c r="I191" s="4">
        <v>100</v>
      </c>
      <c r="J191" s="4">
        <v>132</v>
      </c>
      <c r="K191" s="4">
        <f>J191-I191</f>
      </c>
      <c r="L191" s="4">
        <f>K191*16.67%</f>
      </c>
      <c r="M191" s="4">
        <f>J191*7%</f>
      </c>
      <c r="N191" s="4">
        <f>M191*20%</f>
      </c>
      <c r="O191" s="4">
        <v>0</v>
      </c>
      <c r="P191" s="4">
        <f>O191*20%</f>
      </c>
      <c r="Q191" s="4">
        <v>1</v>
      </c>
      <c r="R191" s="4">
        <f>N191+P191</f>
      </c>
      <c r="S191" s="4">
        <f>K191-L191-M191-N191-O191-P191-Q191</f>
      </c>
      <c r="T191" s="4">
        <f>(S191-V191)/I191*100</f>
      </c>
      <c r="U191" s="4">
        <f>L191-R191</f>
      </c>
      <c r="W191" s="4">
        <f>S191-V191</f>
      </c>
      <c r="AB191" t="s">
        <v>1</v>
      </c>
    </row>
    <row r="192" spans="1:28" x14ac:dyDescent="0.25">
      <c r="A192" s="8">
        <v>46199.5</v>
      </c>
      <c r="B192" t="s">
        <v>2659</v>
      </c>
      <c r="C192" t="s">
        <v>1</v>
      </c>
      <c r="D192" s="9" t="s">
        <v>2660</v>
      </c>
      <c r="E192" t="s">
        <v>234</v>
      </c>
      <c r="F192" t="s">
        <v>85</v>
      </c>
      <c r="G192" t="s">
        <v>65</v>
      </c>
      <c r="H192" t="s">
        <v>102</v>
      </c>
      <c r="I192" s="4">
        <v>190</v>
      </c>
      <c r="J192" s="4">
        <v>229.9</v>
      </c>
      <c r="K192" s="4">
        <f>J192-I192</f>
      </c>
      <c r="L192" s="4">
        <f>K192*16.67%</f>
      </c>
      <c r="M192" s="4">
        <f>J192*7%</f>
      </c>
      <c r="N192" s="4">
        <f>M192*20%</f>
      </c>
      <c r="O192" s="4">
        <v>0</v>
      </c>
      <c r="P192" s="4">
        <f>O192*20%</f>
      </c>
      <c r="Q192" s="4">
        <v>1</v>
      </c>
      <c r="R192" s="4">
        <f>N192+P192</f>
      </c>
      <c r="S192" s="4">
        <f>K192-L192-M192-N192-O192-P192-Q192</f>
      </c>
      <c r="T192" s="4">
        <f>(S192-V192)/I192*100</f>
      </c>
      <c r="U192" s="4">
        <f>L192-R192</f>
      </c>
      <c r="W192" s="4">
        <f>S192-V192</f>
      </c>
      <c r="AB192" t="s">
        <v>1</v>
      </c>
    </row>
    <row r="193" spans="1:28" x14ac:dyDescent="0.25">
      <c r="A193" s="8">
        <v>46199.5</v>
      </c>
      <c r="B193" t="s">
        <v>2661</v>
      </c>
      <c r="C193" t="s">
        <v>1</v>
      </c>
      <c r="D193" s="9" t="s">
        <v>2662</v>
      </c>
      <c r="E193" t="s">
        <v>114</v>
      </c>
      <c r="F193" t="s">
        <v>70</v>
      </c>
      <c r="G193" t="s">
        <v>95</v>
      </c>
      <c r="H193" t="s">
        <v>61</v>
      </c>
      <c r="I193" s="4">
        <v>180</v>
      </c>
      <c r="J193" s="4">
        <v>235.8</v>
      </c>
      <c r="K193" s="4">
        <f>J193-I193</f>
      </c>
      <c r="L193" s="4">
        <f>K193*16.67%</f>
      </c>
      <c r="M193" s="4">
        <f>J193*7%</f>
      </c>
      <c r="N193" s="4">
        <f>M193*20%</f>
      </c>
      <c r="O193" s="4">
        <v>0</v>
      </c>
      <c r="P193" s="4">
        <f>O193*20%</f>
      </c>
      <c r="Q193" s="4">
        <v>1</v>
      </c>
      <c r="R193" s="4">
        <f>N193+P193</f>
      </c>
      <c r="S193" s="4">
        <f>K193-L193-M193-N193-O193-P193-Q193</f>
      </c>
      <c r="T193" s="4">
        <f>(S193-V193)/I193*100</f>
      </c>
      <c r="U193" s="4">
        <f>L193-R193</f>
      </c>
      <c r="W193" s="4">
        <f>S193-V193</f>
      </c>
      <c r="AB193" t="s">
        <v>1</v>
      </c>
    </row>
    <row r="194" spans="1:28" x14ac:dyDescent="0.25">
      <c r="A194" s="8">
        <v>46199.5</v>
      </c>
      <c r="B194" t="s">
        <v>2663</v>
      </c>
      <c r="C194" t="s">
        <v>1</v>
      </c>
      <c r="D194" s="9" t="s">
        <v>2664</v>
      </c>
      <c r="E194" t="s">
        <v>234</v>
      </c>
      <c r="F194" t="s">
        <v>88</v>
      </c>
      <c r="G194" t="s">
        <v>65</v>
      </c>
      <c r="H194" t="s">
        <v>66</v>
      </c>
      <c r="I194" s="4">
        <v>186</v>
      </c>
      <c r="J194" s="4">
        <v>234.36</v>
      </c>
      <c r="K194" s="4">
        <f>J194-I194</f>
      </c>
      <c r="L194" s="4">
        <f>K194*16.67%</f>
      </c>
      <c r="M194" s="4">
        <f>J194*7%</f>
      </c>
      <c r="N194" s="4">
        <f>M194*20%</f>
      </c>
      <c r="O194" s="4">
        <v>0</v>
      </c>
      <c r="P194" s="4">
        <f>O194*20%</f>
      </c>
      <c r="Q194" s="4">
        <v>1</v>
      </c>
      <c r="R194" s="4">
        <f>N194+P194</f>
      </c>
      <c r="S194" s="4">
        <f>K194-L194-M194-N194-O194-P194-Q194</f>
      </c>
      <c r="T194" s="4">
        <f>(S194-V194)/I194*100</f>
      </c>
      <c r="U194" s="4">
        <f>L194-R194</f>
      </c>
      <c r="W194" s="4">
        <f>S194-V194</f>
      </c>
      <c r="AB194" t="s">
        <v>1</v>
      </c>
    </row>
    <row r="195" spans="1:28" x14ac:dyDescent="0.25">
      <c r="A195" s="8">
        <v>46199.5</v>
      </c>
      <c r="B195" t="s">
        <v>2665</v>
      </c>
      <c r="C195" t="s">
        <v>189</v>
      </c>
      <c r="D195" s="9" t="s">
        <v>1</v>
      </c>
      <c r="E195" t="s">
        <v>189</v>
      </c>
      <c r="F195" t="s">
        <v>1</v>
      </c>
      <c r="G195" t="s">
        <v>1</v>
      </c>
      <c r="H195" t="s">
        <v>66</v>
      </c>
      <c r="I195" s="4">
        <v>3.5</v>
      </c>
      <c r="J195" s="4">
        <v>4.58</v>
      </c>
      <c r="K195" s="4">
        <f>J195-I195</f>
      </c>
      <c r="L195" s="4">
        <f>K195*16.67%</f>
      </c>
      <c r="M195" s="4">
        <f>J195*7%</f>
      </c>
      <c r="N195" s="4">
        <f>M195*20%</f>
      </c>
      <c r="O195" s="4">
        <v>0</v>
      </c>
      <c r="P195" s="4">
        <f>O195*20%</f>
      </c>
      <c r="Q195" s="4">
        <v>0</v>
      </c>
      <c r="R195" s="4">
        <f>N195+P195</f>
      </c>
      <c r="S195" s="4">
        <f>K195-L195-M195-N195-O195-P195-Q195</f>
      </c>
      <c r="T195" s="4">
        <f>(S195-V195)/I195*100</f>
      </c>
      <c r="U195" s="4">
        <f>L195-R195</f>
      </c>
      <c r="W195" s="4">
        <f>S195-V195</f>
      </c>
      <c r="AB195" t="s">
        <v>1</v>
      </c>
    </row>
    <row r="196" spans="1:28" x14ac:dyDescent="0.25">
      <c r="A196" s="8">
        <v>46199.5</v>
      </c>
      <c r="B196" t="s">
        <v>2666</v>
      </c>
      <c r="C196" t="s">
        <v>189</v>
      </c>
      <c r="D196" s="9" t="s">
        <v>1</v>
      </c>
      <c r="E196" t="s">
        <v>189</v>
      </c>
      <c r="F196" t="s">
        <v>1</v>
      </c>
      <c r="G196" t="s">
        <v>1</v>
      </c>
      <c r="H196" t="s">
        <v>66</v>
      </c>
      <c r="I196" s="4">
        <v>3.5</v>
      </c>
      <c r="J196" s="4">
        <v>4.09</v>
      </c>
      <c r="K196" s="4">
        <f>J196-I196</f>
      </c>
      <c r="L196" s="4">
        <f>K196*16.67%</f>
      </c>
      <c r="M196" s="4">
        <f>J196*7%</f>
      </c>
      <c r="N196" s="4">
        <f>M196*20%</f>
      </c>
      <c r="O196" s="4">
        <v>0</v>
      </c>
      <c r="P196" s="4">
        <f>O196*20%</f>
      </c>
      <c r="Q196" s="4">
        <v>0</v>
      </c>
      <c r="R196" s="4">
        <f>N196+P196</f>
      </c>
      <c r="S196" s="4">
        <f>K196-L196-M196-N196-O196-P196-Q196</f>
      </c>
      <c r="T196" s="4">
        <f>(S196-V196)/I196*100</f>
      </c>
      <c r="U196" s="4">
        <f>L196-R196</f>
      </c>
      <c r="W196" s="4">
        <f>S196-V196</f>
      </c>
      <c r="AB196" t="s">
        <v>1</v>
      </c>
    </row>
    <row r="197" spans="1:28" x14ac:dyDescent="0.25">
      <c r="A197" s="8">
        <v>46199.5</v>
      </c>
      <c r="B197" t="s">
        <v>2667</v>
      </c>
      <c r="C197" t="s">
        <v>174</v>
      </c>
      <c r="D197" s="9" t="s">
        <v>1</v>
      </c>
      <c r="E197" t="s">
        <v>174</v>
      </c>
      <c r="F197" t="s">
        <v>1</v>
      </c>
      <c r="G197" t="s">
        <v>1</v>
      </c>
      <c r="H197" t="s">
        <v>66</v>
      </c>
      <c r="I197" s="4">
        <v>4.25</v>
      </c>
      <c r="J197" s="4">
        <v>5.44</v>
      </c>
      <c r="K197" s="4">
        <f>J197-I197</f>
      </c>
      <c r="L197" s="4">
        <f>K197*16.67%</f>
      </c>
      <c r="M197" s="4">
        <f>J197*7%</f>
      </c>
      <c r="N197" s="4">
        <f>M197*20%</f>
      </c>
      <c r="O197" s="4">
        <v>0</v>
      </c>
      <c r="P197" s="4">
        <f>O197*20%</f>
      </c>
      <c r="Q197" s="4">
        <v>0</v>
      </c>
      <c r="R197" s="4">
        <f>N197+P197</f>
      </c>
      <c r="S197" s="4">
        <f>K197-L197-M197-N197-O197-P197-Q197</f>
      </c>
      <c r="T197" s="4">
        <f>(S197-V197)/I197*100</f>
      </c>
      <c r="U197" s="4">
        <f>L197-R197</f>
      </c>
      <c r="W197" s="4">
        <f>S197-V197</f>
      </c>
      <c r="AB197" t="s">
        <v>1</v>
      </c>
    </row>
    <row r="198" spans="1:28" x14ac:dyDescent="0.25">
      <c r="A198" s="8">
        <v>46199.5</v>
      </c>
      <c r="B198" t="s">
        <v>2668</v>
      </c>
      <c r="C198" t="s">
        <v>177</v>
      </c>
      <c r="D198" s="9" t="s">
        <v>1</v>
      </c>
      <c r="E198" t="s">
        <v>177</v>
      </c>
      <c r="F198" t="s">
        <v>1</v>
      </c>
      <c r="G198" t="s">
        <v>1</v>
      </c>
      <c r="H198" t="s">
        <v>78</v>
      </c>
      <c r="I198" s="4">
        <v>0.15</v>
      </c>
      <c r="J198" s="4">
        <v>0.17</v>
      </c>
      <c r="K198" s="4">
        <f>J198-I198</f>
      </c>
      <c r="L198" s="4">
        <f>K198*16.67%</f>
      </c>
      <c r="M198" s="4">
        <f>J198*7%</f>
      </c>
      <c r="N198" s="4">
        <f>M198*20%</f>
      </c>
      <c r="O198" s="4">
        <v>0</v>
      </c>
      <c r="P198" s="4">
        <f>O198*20%</f>
      </c>
      <c r="Q198" s="4">
        <v>0</v>
      </c>
      <c r="R198" s="4">
        <f>N198+P198</f>
      </c>
      <c r="S198" s="4">
        <f>K198-L198-M198-N198-O198-P198-Q198</f>
      </c>
      <c r="T198" s="4">
        <f>(S198-V198)/I198*100</f>
      </c>
      <c r="U198" s="4">
        <f>L198-R198</f>
      </c>
      <c r="W198" s="4">
        <f>S198-V198</f>
      </c>
      <c r="AB198" t="s">
        <v>1</v>
      </c>
    </row>
    <row r="199" spans="1:28" x14ac:dyDescent="0.25">
      <c r="A199" s="8">
        <v>46198.5</v>
      </c>
      <c r="B199" t="s">
        <v>2669</v>
      </c>
      <c r="C199" t="s">
        <v>1</v>
      </c>
      <c r="D199" s="9" t="s">
        <v>2670</v>
      </c>
      <c r="E199" t="s">
        <v>98</v>
      </c>
      <c r="F199" t="s">
        <v>99</v>
      </c>
      <c r="G199" t="s">
        <v>60</v>
      </c>
      <c r="H199" t="s">
        <v>66</v>
      </c>
      <c r="I199" s="4">
        <v>283</v>
      </c>
      <c r="J199" s="4">
        <v>404.69</v>
      </c>
      <c r="K199" s="4">
        <f>J199-I199</f>
      </c>
      <c r="L199" s="4">
        <f>K199*16.67%</f>
      </c>
      <c r="M199" s="4">
        <f>J199*7%</f>
      </c>
      <c r="N199" s="4">
        <f>M199*20%</f>
      </c>
      <c r="O199" s="4">
        <v>0</v>
      </c>
      <c r="P199" s="4">
        <f>O199*20%</f>
      </c>
      <c r="Q199" s="4">
        <v>1</v>
      </c>
      <c r="R199" s="4">
        <f>N199+P199</f>
      </c>
      <c r="S199" s="4">
        <f>K199-L199-M199-N199-O199-P199-Q199</f>
      </c>
      <c r="T199" s="4">
        <f>(S199-V199)/I199*100</f>
      </c>
      <c r="U199" s="4">
        <f>L199-R199</f>
      </c>
      <c r="W199" s="4">
        <f>S199-V199</f>
      </c>
      <c r="AB199" t="s">
        <v>1</v>
      </c>
    </row>
    <row r="200" spans="1:28" x14ac:dyDescent="0.25">
      <c r="A200" s="8">
        <v>46198.5</v>
      </c>
      <c r="B200" t="s">
        <v>2671</v>
      </c>
      <c r="C200" t="s">
        <v>1</v>
      </c>
      <c r="D200" s="9" t="s">
        <v>2672</v>
      </c>
      <c r="E200" t="s">
        <v>69</v>
      </c>
      <c r="F200" t="s">
        <v>88</v>
      </c>
      <c r="G200" t="s">
        <v>60</v>
      </c>
      <c r="H200" t="s">
        <v>75</v>
      </c>
      <c r="I200" s="4">
        <v>558</v>
      </c>
      <c r="J200" s="4">
        <v>764.46</v>
      </c>
      <c r="K200" s="4">
        <f>J200-I200</f>
      </c>
      <c r="L200" s="4">
        <f>K200*16.67%</f>
      </c>
      <c r="M200" s="4">
        <f>J200*7%</f>
      </c>
      <c r="N200" s="4">
        <f>M200*20%</f>
      </c>
      <c r="O200" s="4">
        <v>0</v>
      </c>
      <c r="P200" s="4">
        <f>O200*20%</f>
      </c>
      <c r="Q200" s="4">
        <v>1</v>
      </c>
      <c r="R200" s="4">
        <f>N200+P200</f>
      </c>
      <c r="S200" s="4">
        <f>K200-L200-M200-N200-O200-P200-Q200</f>
      </c>
      <c r="T200" s="4">
        <f>(S200-V200)/I200*100</f>
      </c>
      <c r="U200" s="4">
        <f>L200-R200</f>
      </c>
      <c r="W200" s="4">
        <f>S200-V200</f>
      </c>
      <c r="AB200" t="s">
        <v>1</v>
      </c>
    </row>
    <row r="201" spans="1:28" x14ac:dyDescent="0.25">
      <c r="A201" s="8">
        <v>46198.5</v>
      </c>
      <c r="B201" t="s">
        <v>2673</v>
      </c>
      <c r="C201" t="s">
        <v>1</v>
      </c>
      <c r="D201" s="9" t="s">
        <v>2674</v>
      </c>
      <c r="E201" t="s">
        <v>172</v>
      </c>
      <c r="F201" t="s">
        <v>74</v>
      </c>
      <c r="G201" t="s">
        <v>65</v>
      </c>
      <c r="H201" t="s">
        <v>61</v>
      </c>
      <c r="I201" s="4">
        <v>162</v>
      </c>
      <c r="J201" s="4">
        <v>200.88</v>
      </c>
      <c r="K201" s="4">
        <f>J201-I201</f>
      </c>
      <c r="L201" s="4">
        <f>K201*16.67%</f>
      </c>
      <c r="M201" s="4">
        <f>J201*7%</f>
      </c>
      <c r="N201" s="4">
        <f>M201*20%</f>
      </c>
      <c r="O201" s="4">
        <v>0</v>
      </c>
      <c r="P201" s="4">
        <f>O201*20%</f>
      </c>
      <c r="Q201" s="4">
        <v>1</v>
      </c>
      <c r="R201" s="4">
        <f>N201+P201</f>
      </c>
      <c r="S201" s="4">
        <f>K201-L201-M201-N201-O201-P201-Q201</f>
      </c>
      <c r="T201" s="4">
        <f>(S201-V201)/I201*100</f>
      </c>
      <c r="U201" s="4">
        <f>L201-R201</f>
      </c>
      <c r="W201" s="4">
        <f>S201-V201</f>
      </c>
      <c r="AB201" t="s">
        <v>1</v>
      </c>
    </row>
    <row r="202" spans="1:28" x14ac:dyDescent="0.25">
      <c r="A202" s="8">
        <v>46198.5</v>
      </c>
      <c r="B202" t="s">
        <v>2675</v>
      </c>
      <c r="C202" t="s">
        <v>182</v>
      </c>
      <c r="D202" s="9" t="s">
        <v>1</v>
      </c>
      <c r="E202" t="s">
        <v>182</v>
      </c>
      <c r="F202" t="s">
        <v>1</v>
      </c>
      <c r="G202" t="s">
        <v>1</v>
      </c>
      <c r="H202" t="s">
        <v>75</v>
      </c>
      <c r="I202" s="4">
        <v>1.9</v>
      </c>
      <c r="J202" s="4">
        <v>2.49</v>
      </c>
      <c r="K202" s="4">
        <f>J202-I202</f>
      </c>
      <c r="L202" s="4">
        <f>K202*16.67%</f>
      </c>
      <c r="M202" s="4">
        <f>J202*7%</f>
      </c>
      <c r="N202" s="4">
        <f>M202*20%</f>
      </c>
      <c r="O202" s="4">
        <v>0</v>
      </c>
      <c r="P202" s="4">
        <f>O202*20%</f>
      </c>
      <c r="Q202" s="4">
        <v>0</v>
      </c>
      <c r="R202" s="4">
        <f>N202+P202</f>
      </c>
      <c r="S202" s="4">
        <f>K202-L202-M202-N202-O202-P202-Q202</f>
      </c>
      <c r="T202" s="4">
        <f>(S202-V202)/I202*100</f>
      </c>
      <c r="U202" s="4">
        <f>L202-R202</f>
      </c>
      <c r="W202" s="4">
        <f>S202-V202</f>
      </c>
      <c r="AB202" t="s">
        <v>1</v>
      </c>
    </row>
    <row r="203" spans="1:28" x14ac:dyDescent="0.25">
      <c r="A203" s="8">
        <v>46197.5</v>
      </c>
      <c r="B203" t="s">
        <v>2676</v>
      </c>
      <c r="C203" t="s">
        <v>1</v>
      </c>
      <c r="D203" s="9" t="s">
        <v>2677</v>
      </c>
      <c r="E203" t="s">
        <v>292</v>
      </c>
      <c r="F203" t="s">
        <v>85</v>
      </c>
      <c r="G203" t="s">
        <v>126</v>
      </c>
      <c r="H203" t="s">
        <v>66</v>
      </c>
      <c r="I203" s="4">
        <v>189</v>
      </c>
      <c r="J203" s="4">
        <v>249.48</v>
      </c>
      <c r="K203" s="4">
        <f>J203-I203</f>
      </c>
      <c r="L203" s="4">
        <f>K203*16.67%</f>
      </c>
      <c r="M203" s="4">
        <f>J203*7%</f>
      </c>
      <c r="N203" s="4">
        <f>M203*20%</f>
      </c>
      <c r="O203" s="4">
        <v>0</v>
      </c>
      <c r="P203" s="4">
        <f>O203*20%</f>
      </c>
      <c r="Q203" s="4">
        <v>1</v>
      </c>
      <c r="R203" s="4">
        <f>N203+P203</f>
      </c>
      <c r="S203" s="4">
        <f>K203-L203-M203-N203-O203-P203-Q203</f>
      </c>
      <c r="T203" s="4">
        <f>(S203-V203)/I203*100</f>
      </c>
      <c r="U203" s="4">
        <f>L203-R203</f>
      </c>
      <c r="W203" s="4">
        <f>S203-V203</f>
      </c>
      <c r="AB203" t="s">
        <v>1</v>
      </c>
    </row>
    <row r="204" spans="1:28" x14ac:dyDescent="0.25">
      <c r="A204" s="8">
        <v>46197.5</v>
      </c>
      <c r="B204" t="s">
        <v>2678</v>
      </c>
      <c r="C204" t="s">
        <v>1</v>
      </c>
      <c r="D204" s="9" t="s">
        <v>2679</v>
      </c>
      <c r="E204" t="s">
        <v>139</v>
      </c>
      <c r="F204" t="s">
        <v>85</v>
      </c>
      <c r="G204" t="s">
        <v>65</v>
      </c>
      <c r="H204" t="s">
        <v>61</v>
      </c>
      <c r="I204" s="4">
        <v>349</v>
      </c>
      <c r="J204" s="4">
        <v>453.7</v>
      </c>
      <c r="K204" s="4">
        <f>J204-I204</f>
      </c>
      <c r="L204" s="4">
        <f>K204*16.67%</f>
      </c>
      <c r="M204" s="4">
        <f>J204*7%</f>
      </c>
      <c r="N204" s="4">
        <f>M204*20%</f>
      </c>
      <c r="O204" s="4">
        <v>0</v>
      </c>
      <c r="P204" s="4">
        <f>O204*20%</f>
      </c>
      <c r="Q204" s="4">
        <v>1</v>
      </c>
      <c r="R204" s="4">
        <f>N204+P204</f>
      </c>
      <c r="S204" s="4">
        <f>K204-L204-M204-N204-O204-P204-Q204</f>
      </c>
      <c r="T204" s="4">
        <f>(S204-V204)/I204*100</f>
      </c>
      <c r="U204" s="4">
        <f>L204-R204</f>
      </c>
      <c r="W204" s="4">
        <f>S204-V204</f>
      </c>
      <c r="AB204" t="s">
        <v>1</v>
      </c>
    </row>
    <row r="205" spans="1:28" x14ac:dyDescent="0.25">
      <c r="A205" s="8">
        <v>46197.5</v>
      </c>
      <c r="B205" t="s">
        <v>2680</v>
      </c>
      <c r="C205" t="s">
        <v>1</v>
      </c>
      <c r="D205" s="9" t="s">
        <v>2681</v>
      </c>
      <c r="E205" t="s">
        <v>73</v>
      </c>
      <c r="F205" t="s">
        <v>99</v>
      </c>
      <c r="G205" t="s">
        <v>60</v>
      </c>
      <c r="H205" t="s">
        <v>78</v>
      </c>
      <c r="I205" s="4">
        <v>358</v>
      </c>
      <c r="J205" s="4">
        <v>426.02</v>
      </c>
      <c r="K205" s="4">
        <f>J205-I205</f>
      </c>
      <c r="L205" s="4">
        <f>K205*16.67%</f>
      </c>
      <c r="M205" s="4">
        <f>J205*7%</f>
      </c>
      <c r="N205" s="4">
        <f>M205*20%</f>
      </c>
      <c r="O205" s="4">
        <v>0</v>
      </c>
      <c r="P205" s="4">
        <f>O205*20%</f>
      </c>
      <c r="Q205" s="4">
        <v>1</v>
      </c>
      <c r="R205" s="4">
        <f>N205+P205</f>
      </c>
      <c r="S205" s="4">
        <f>K205-L205-M205-N205-O205-P205-Q205</f>
      </c>
      <c r="T205" s="4">
        <f>(S205-V205)/I205*100</f>
      </c>
      <c r="U205" s="4">
        <f>L205-R205</f>
      </c>
      <c r="W205" s="4">
        <f>S205-V205</f>
      </c>
      <c r="AB205" t="s">
        <v>1</v>
      </c>
    </row>
    <row r="206" spans="1:28" x14ac:dyDescent="0.25">
      <c r="A206" s="8">
        <v>46197.5</v>
      </c>
      <c r="B206" t="s">
        <v>2682</v>
      </c>
      <c r="C206" t="s">
        <v>1</v>
      </c>
      <c r="D206" s="9" t="s">
        <v>2683</v>
      </c>
      <c r="E206" t="s">
        <v>292</v>
      </c>
      <c r="F206" t="s">
        <v>88</v>
      </c>
      <c r="G206" t="s">
        <v>126</v>
      </c>
      <c r="H206" t="s">
        <v>102</v>
      </c>
      <c r="I206" s="4">
        <v>188</v>
      </c>
      <c r="J206" s="4">
        <v>225.6</v>
      </c>
      <c r="K206" s="4">
        <f>J206-I206</f>
      </c>
      <c r="L206" s="4">
        <f>K206*16.67%</f>
      </c>
      <c r="M206" s="4">
        <f>J206*7%</f>
      </c>
      <c r="N206" s="4">
        <f>M206*20%</f>
      </c>
      <c r="O206" s="4">
        <v>0</v>
      </c>
      <c r="P206" s="4">
        <f>O206*20%</f>
      </c>
      <c r="Q206" s="4">
        <v>1</v>
      </c>
      <c r="R206" s="4">
        <f>N206+P206</f>
      </c>
      <c r="S206" s="4">
        <f>K206-L206-M206-N206-O206-P206-Q206</f>
      </c>
      <c r="T206" s="4">
        <f>(S206-V206)/I206*100</f>
      </c>
      <c r="U206" s="4">
        <f>L206-R206</f>
      </c>
      <c r="W206" s="4">
        <f>S206-V206</f>
      </c>
      <c r="AB206" t="s">
        <v>1</v>
      </c>
    </row>
    <row r="207" spans="1:28" x14ac:dyDescent="0.25">
      <c r="A207" s="8">
        <v>46196.5</v>
      </c>
      <c r="B207" t="s">
        <v>2684</v>
      </c>
      <c r="C207" t="s">
        <v>1</v>
      </c>
      <c r="D207" s="9" t="s">
        <v>2685</v>
      </c>
      <c r="E207" t="s">
        <v>172</v>
      </c>
      <c r="F207" t="s">
        <v>70</v>
      </c>
      <c r="G207" t="s">
        <v>65</v>
      </c>
      <c r="H207" t="s">
        <v>102</v>
      </c>
      <c r="I207" s="4">
        <v>157</v>
      </c>
      <c r="J207" s="4">
        <v>188.4</v>
      </c>
      <c r="K207" s="4">
        <f>J207-I207</f>
      </c>
      <c r="L207" s="4">
        <f>K207*16.67%</f>
      </c>
      <c r="M207" s="4">
        <f>J207*7%</f>
      </c>
      <c r="N207" s="4">
        <f>M207*20%</f>
      </c>
      <c r="O207" s="4">
        <v>0</v>
      </c>
      <c r="P207" s="4">
        <f>O207*20%</f>
      </c>
      <c r="Q207" s="4">
        <v>1</v>
      </c>
      <c r="R207" s="4">
        <f>N207+P207</f>
      </c>
      <c r="S207" s="4">
        <f>K207-L207-M207-N207-O207-P207-Q207</f>
      </c>
      <c r="T207" s="4">
        <f>(S207-V207)/I207*100</f>
      </c>
      <c r="U207" s="4">
        <f>L207-R207</f>
      </c>
      <c r="W207" s="4">
        <f>S207-V207</f>
      </c>
      <c r="AB207" t="s">
        <v>1</v>
      </c>
    </row>
    <row r="208" spans="1:28" x14ac:dyDescent="0.25">
      <c r="A208" s="8">
        <v>46195.5</v>
      </c>
      <c r="B208" t="s">
        <v>2686</v>
      </c>
      <c r="C208" t="s">
        <v>1</v>
      </c>
      <c r="D208" s="9" t="s">
        <v>2687</v>
      </c>
      <c r="E208" t="s">
        <v>139</v>
      </c>
      <c r="F208" t="s">
        <v>88</v>
      </c>
      <c r="G208" t="s">
        <v>60</v>
      </c>
      <c r="H208" t="s">
        <v>78</v>
      </c>
      <c r="I208" s="4">
        <v>354</v>
      </c>
      <c r="J208" s="4">
        <v>453.12</v>
      </c>
      <c r="K208" s="4">
        <f>J208-I208</f>
      </c>
      <c r="L208" s="4">
        <f>K208*16.67%</f>
      </c>
      <c r="M208" s="4">
        <f>J208*7%</f>
      </c>
      <c r="N208" s="4">
        <f>M208*20%</f>
      </c>
      <c r="O208" s="4">
        <v>0</v>
      </c>
      <c r="P208" s="4">
        <f>O208*20%</f>
      </c>
      <c r="Q208" s="4">
        <v>1</v>
      </c>
      <c r="R208" s="4">
        <f>N208+P208</f>
      </c>
      <c r="S208" s="4">
        <f>K208-L208-M208-N208-O208-P208-Q208</f>
      </c>
      <c r="T208" s="4">
        <f>(S208-V208)/I208*100</f>
      </c>
      <c r="U208" s="4">
        <f>L208-R208</f>
      </c>
      <c r="W208" s="4">
        <f>S208-V208</f>
      </c>
      <c r="AB208" t="s">
        <v>1</v>
      </c>
    </row>
    <row r="209" spans="1:28" x14ac:dyDescent="0.25">
      <c r="A209" s="8">
        <v>46195.5</v>
      </c>
      <c r="B209" t="s">
        <v>2688</v>
      </c>
      <c r="C209" t="s">
        <v>1</v>
      </c>
      <c r="D209" s="9" t="s">
        <v>1</v>
      </c>
      <c r="E209" t="s">
        <v>1</v>
      </c>
      <c r="F209" t="s">
        <v>1</v>
      </c>
      <c r="G209" t="s">
        <v>1</v>
      </c>
      <c r="H209" t="s">
        <v>102</v>
      </c>
      <c r="I209" s="4">
        <v>188</v>
      </c>
      <c r="J209" s="4">
        <v>263.2</v>
      </c>
      <c r="K209" s="4">
        <f>J209-I209</f>
      </c>
      <c r="L209" s="4">
        <f>K209*16.67%</f>
      </c>
      <c r="M209" s="4">
        <f>J209*7%</f>
      </c>
      <c r="N209" s="4">
        <f>M209*20%</f>
      </c>
      <c r="O209" s="4">
        <v>0</v>
      </c>
      <c r="P209" s="4">
        <f>O209*20%</f>
      </c>
      <c r="Q209" s="4">
        <v>1</v>
      </c>
      <c r="R209" s="4">
        <f>N209+P209</f>
      </c>
      <c r="S209" s="4">
        <f>K209-L209-M209-N209-O209-P209-Q209</f>
      </c>
      <c r="T209" s="4">
        <f>(S209-V209)/I209*100</f>
      </c>
      <c r="U209" s="4">
        <f>L209-R209</f>
      </c>
      <c r="W209" s="4">
        <f>S209-V209</f>
      </c>
      <c r="AB209" t="s">
        <v>1</v>
      </c>
    </row>
    <row r="210" spans="1:28" x14ac:dyDescent="0.25">
      <c r="A210" s="8">
        <v>46195.5</v>
      </c>
      <c r="B210" t="s">
        <v>2689</v>
      </c>
      <c r="C210" t="s">
        <v>1</v>
      </c>
      <c r="D210" s="9" t="s">
        <v>1</v>
      </c>
      <c r="E210" t="s">
        <v>1</v>
      </c>
      <c r="F210" t="s">
        <v>1</v>
      </c>
      <c r="G210" t="s">
        <v>1</v>
      </c>
      <c r="H210" t="s">
        <v>66</v>
      </c>
      <c r="I210" s="4">
        <v>530</v>
      </c>
      <c r="J210" s="4">
        <v>620.1</v>
      </c>
      <c r="K210" s="4">
        <f>J210-I210</f>
      </c>
      <c r="L210" s="4">
        <f>K210*16.67%</f>
      </c>
      <c r="M210" s="4">
        <f>J210*7%</f>
      </c>
      <c r="N210" s="4">
        <f>M210*20%</f>
      </c>
      <c r="O210" s="4">
        <v>0</v>
      </c>
      <c r="P210" s="4">
        <f>O210*20%</f>
      </c>
      <c r="Q210" s="4">
        <v>1</v>
      </c>
      <c r="R210" s="4">
        <f>N210+P210</f>
      </c>
      <c r="S210" s="4">
        <f>K210-L210-M210-N210-O210-P210-Q210</f>
      </c>
      <c r="T210" s="4">
        <f>(S210-V210)/I210*100</f>
      </c>
      <c r="U210" s="4">
        <f>L210-R210</f>
      </c>
      <c r="W210" s="4">
        <f>S210-V210</f>
      </c>
      <c r="AB210" t="s">
        <v>1</v>
      </c>
    </row>
    <row r="211" spans="1:28" x14ac:dyDescent="0.25">
      <c r="A211" s="8">
        <v>46194.5</v>
      </c>
      <c r="B211" t="s">
        <v>2690</v>
      </c>
      <c r="C211" t="s">
        <v>174</v>
      </c>
      <c r="D211" s="9" t="s">
        <v>1</v>
      </c>
      <c r="E211" t="s">
        <v>174</v>
      </c>
      <c r="F211" t="s">
        <v>1</v>
      </c>
      <c r="G211" t="s">
        <v>1</v>
      </c>
      <c r="H211" t="s">
        <v>66</v>
      </c>
      <c r="I211" s="4">
        <v>4.25</v>
      </c>
      <c r="J211" s="4">
        <v>5.01</v>
      </c>
      <c r="K211" s="4">
        <f>J211-I211</f>
      </c>
      <c r="L211" s="4">
        <f>K211*16.67%</f>
      </c>
      <c r="M211" s="4">
        <f>J211*7%</f>
      </c>
      <c r="N211" s="4">
        <f>M211*20%</f>
      </c>
      <c r="O211" s="4">
        <v>0</v>
      </c>
      <c r="P211" s="4">
        <f>O211*20%</f>
      </c>
      <c r="Q211" s="4">
        <v>0</v>
      </c>
      <c r="R211" s="4">
        <f>N211+P211</f>
      </c>
      <c r="S211" s="4">
        <f>K211-L211-M211-N211-O211-P211-Q211</f>
      </c>
      <c r="T211" s="4">
        <f>(S211-V211)/I211*100</f>
      </c>
      <c r="U211" s="4">
        <f>L211-R211</f>
      </c>
      <c r="W211" s="4">
        <f>S211-V211</f>
      </c>
      <c r="AB211" t="s">
        <v>1</v>
      </c>
    </row>
    <row r="212" spans="1:28" x14ac:dyDescent="0.25">
      <c r="A212" s="8">
        <v>46193.5</v>
      </c>
      <c r="B212" t="s">
        <v>2691</v>
      </c>
      <c r="C212" t="s">
        <v>1</v>
      </c>
      <c r="D212" s="9" t="s">
        <v>2692</v>
      </c>
      <c r="E212" t="s">
        <v>64</v>
      </c>
      <c r="F212" t="s">
        <v>99</v>
      </c>
      <c r="G212" t="s">
        <v>65</v>
      </c>
      <c r="H212" t="s">
        <v>102</v>
      </c>
      <c r="I212" s="4">
        <v>223</v>
      </c>
      <c r="J212" s="4">
        <v>263.14</v>
      </c>
      <c r="K212" s="4">
        <f>J212-I212</f>
      </c>
      <c r="L212" s="4">
        <f>K212*16.67%</f>
      </c>
      <c r="M212" s="4">
        <f>J212*7%</f>
      </c>
      <c r="N212" s="4">
        <f>M212*20%</f>
      </c>
      <c r="O212" s="4">
        <v>0</v>
      </c>
      <c r="P212" s="4">
        <f>O212*20%</f>
      </c>
      <c r="Q212" s="4">
        <v>1</v>
      </c>
      <c r="R212" s="4">
        <f>N212+P212</f>
      </c>
      <c r="S212" s="4">
        <f>K212-L212-M212-N212-O212-P212-Q212</f>
      </c>
      <c r="T212" s="4">
        <f>(S212-V212)/I212*100</f>
      </c>
      <c r="U212" s="4">
        <f>L212-R212</f>
      </c>
      <c r="W212" s="4">
        <f>S212-V212</f>
      </c>
      <c r="AB212" t="s">
        <v>1</v>
      </c>
    </row>
    <row r="213" spans="1:28" x14ac:dyDescent="0.25">
      <c r="A213" s="8">
        <v>46193.5</v>
      </c>
      <c r="B213" t="s">
        <v>2693</v>
      </c>
      <c r="C213" t="s">
        <v>1</v>
      </c>
      <c r="D213" s="9" t="s">
        <v>2694</v>
      </c>
      <c r="E213" t="s">
        <v>73</v>
      </c>
      <c r="F213" t="s">
        <v>85</v>
      </c>
      <c r="G213" t="s">
        <v>60</v>
      </c>
      <c r="H213" t="s">
        <v>102</v>
      </c>
      <c r="I213" s="4">
        <v>351</v>
      </c>
      <c r="J213" s="4">
        <v>414.18</v>
      </c>
      <c r="K213" s="4">
        <f>J213-I213</f>
      </c>
      <c r="L213" s="4">
        <f>K213*16.67%</f>
      </c>
      <c r="M213" s="4">
        <f>J213*7%</f>
      </c>
      <c r="N213" s="4">
        <f>M213*20%</f>
      </c>
      <c r="O213" s="4">
        <v>0</v>
      </c>
      <c r="P213" s="4">
        <f>O213*20%</f>
      </c>
      <c r="Q213" s="4">
        <v>1</v>
      </c>
      <c r="R213" s="4">
        <f>N213+P213</f>
      </c>
      <c r="S213" s="4">
        <f>K213-L213-M213-N213-O213-P213-Q213</f>
      </c>
      <c r="T213" s="4">
        <f>(S213-V213)/I213*100</f>
      </c>
      <c r="U213" s="4">
        <f>L213-R213</f>
      </c>
      <c r="W213" s="4">
        <f>S213-V213</f>
      </c>
      <c r="AB213" t="s">
        <v>1</v>
      </c>
    </row>
    <row r="214" spans="1:28" x14ac:dyDescent="0.25">
      <c r="A214" s="8">
        <v>46193.5</v>
      </c>
      <c r="B214" t="s">
        <v>2695</v>
      </c>
      <c r="C214" t="s">
        <v>1</v>
      </c>
      <c r="D214" s="9" t="s">
        <v>2696</v>
      </c>
      <c r="E214" t="s">
        <v>292</v>
      </c>
      <c r="F214" t="s">
        <v>105</v>
      </c>
      <c r="G214" t="s">
        <v>126</v>
      </c>
      <c r="H214" t="s">
        <v>75</v>
      </c>
      <c r="I214" s="4">
        <v>200</v>
      </c>
      <c r="J214" s="4">
        <v>268</v>
      </c>
      <c r="K214" s="4">
        <f>J214-I214</f>
      </c>
      <c r="L214" s="4">
        <f>K214*16.67%</f>
      </c>
      <c r="M214" s="4">
        <f>J214*7%</f>
      </c>
      <c r="N214" s="4">
        <f>M214*20%</f>
      </c>
      <c r="O214" s="4">
        <v>0</v>
      </c>
      <c r="P214" s="4">
        <f>O214*20%</f>
      </c>
      <c r="Q214" s="4">
        <v>1</v>
      </c>
      <c r="R214" s="4">
        <f>N214+P214</f>
      </c>
      <c r="S214" s="4">
        <f>K214-L214-M214-N214-O214-P214-Q214</f>
      </c>
      <c r="T214" s="4">
        <f>(S214-V214)/I214*100</f>
      </c>
      <c r="U214" s="4">
        <f>L214-R214</f>
      </c>
      <c r="W214" s="4">
        <f>S214-V214</f>
      </c>
      <c r="AB214" t="s">
        <v>1</v>
      </c>
    </row>
    <row r="215" spans="1:28" x14ac:dyDescent="0.25">
      <c r="A215" s="8">
        <v>46193.5</v>
      </c>
      <c r="B215" t="s">
        <v>2697</v>
      </c>
      <c r="C215" t="s">
        <v>1</v>
      </c>
      <c r="D215" s="9" t="s">
        <v>2698</v>
      </c>
      <c r="E215" t="s">
        <v>114</v>
      </c>
      <c r="F215" t="s">
        <v>59</v>
      </c>
      <c r="G215" t="s">
        <v>60</v>
      </c>
      <c r="H215" t="s">
        <v>61</v>
      </c>
      <c r="I215" s="4">
        <v>260</v>
      </c>
      <c r="J215" s="4">
        <v>312</v>
      </c>
      <c r="K215" s="4">
        <f>J215-I215</f>
      </c>
      <c r="L215" s="4">
        <f>K215*16.67%</f>
      </c>
      <c r="M215" s="4">
        <f>J215*7%</f>
      </c>
      <c r="N215" s="4">
        <f>M215*20%</f>
      </c>
      <c r="O215" s="4">
        <v>0</v>
      </c>
      <c r="P215" s="4">
        <f>O215*20%</f>
      </c>
      <c r="Q215" s="4">
        <v>1</v>
      </c>
      <c r="R215" s="4">
        <f>N215+P215</f>
      </c>
      <c r="S215" s="4">
        <f>K215-L215-M215-N215-O215-P215-Q215</f>
      </c>
      <c r="T215" s="4">
        <f>(S215-V215)/I215*100</f>
      </c>
      <c r="U215" s="4">
        <f>L215-R215</f>
      </c>
      <c r="W215" s="4">
        <f>S215-V215</f>
      </c>
      <c r="AB215" t="s">
        <v>1</v>
      </c>
    </row>
    <row r="216" spans="1:28" x14ac:dyDescent="0.25">
      <c r="A216" s="8">
        <v>46193.5</v>
      </c>
      <c r="B216" t="s">
        <v>2699</v>
      </c>
      <c r="C216" t="s">
        <v>1</v>
      </c>
      <c r="D216" s="9" t="s">
        <v>2700</v>
      </c>
      <c r="E216" t="s">
        <v>81</v>
      </c>
      <c r="F216" t="s">
        <v>74</v>
      </c>
      <c r="G216" t="s">
        <v>60</v>
      </c>
      <c r="H216" t="s">
        <v>75</v>
      </c>
      <c r="I216" s="4">
        <v>593</v>
      </c>
      <c r="J216" s="4">
        <v>693.81</v>
      </c>
      <c r="K216" s="4">
        <f>J216-I216</f>
      </c>
      <c r="L216" s="4">
        <f>K216*16.67%</f>
      </c>
      <c r="M216" s="4">
        <f>J216*7%</f>
      </c>
      <c r="N216" s="4">
        <f>M216*20%</f>
      </c>
      <c r="O216" s="4">
        <v>0</v>
      </c>
      <c r="P216" s="4">
        <f>O216*20%</f>
      </c>
      <c r="Q216" s="4">
        <v>1</v>
      </c>
      <c r="R216" s="4">
        <f>N216+P216</f>
      </c>
      <c r="S216" s="4">
        <f>K216-L216-M216-N216-O216-P216-Q216</f>
      </c>
      <c r="T216" s="4">
        <f>(S216-V216)/I216*100</f>
      </c>
      <c r="U216" s="4">
        <f>L216-R216</f>
      </c>
      <c r="W216" s="4">
        <f>S216-V216</f>
      </c>
      <c r="AB216" t="s">
        <v>1</v>
      </c>
    </row>
    <row r="217" spans="1:28" x14ac:dyDescent="0.25">
      <c r="A217" s="8">
        <v>46192.5</v>
      </c>
      <c r="B217" t="s">
        <v>2701</v>
      </c>
      <c r="C217" t="s">
        <v>1</v>
      </c>
      <c r="D217" s="9" t="s">
        <v>2702</v>
      </c>
      <c r="E217" t="s">
        <v>84</v>
      </c>
      <c r="F217" t="s">
        <v>85</v>
      </c>
      <c r="G217" t="s">
        <v>60</v>
      </c>
      <c r="H217" t="s">
        <v>75</v>
      </c>
      <c r="I217" s="4">
        <v>688</v>
      </c>
      <c r="J217" s="4">
        <v>811.84</v>
      </c>
      <c r="K217" s="4">
        <f>J217-I217</f>
      </c>
      <c r="L217" s="4">
        <f>K217*16.67%</f>
      </c>
      <c r="M217" s="4">
        <f>J217*7%</f>
      </c>
      <c r="N217" s="4">
        <f>M217*20%</f>
      </c>
      <c r="O217" s="4">
        <v>0</v>
      </c>
      <c r="P217" s="4">
        <f>O217*20%</f>
      </c>
      <c r="Q217" s="4">
        <v>1</v>
      </c>
      <c r="R217" s="4">
        <f>N217+P217</f>
      </c>
      <c r="S217" s="4">
        <f>K217-L217-M217-N217-O217-P217-Q217</f>
      </c>
      <c r="T217" s="4">
        <f>(S217-V217)/I217*100</f>
      </c>
      <c r="U217" s="4">
        <f>L217-R217</f>
      </c>
      <c r="W217" s="4">
        <f>S217-V217</f>
      </c>
      <c r="AB217" t="s">
        <v>1</v>
      </c>
    </row>
    <row r="218" spans="1:28" x14ac:dyDescent="0.25">
      <c r="A218" s="8">
        <v>46192.5</v>
      </c>
      <c r="B218" t="s">
        <v>2703</v>
      </c>
      <c r="C218" t="s">
        <v>1</v>
      </c>
      <c r="D218" s="9" t="s">
        <v>2704</v>
      </c>
      <c r="E218" t="s">
        <v>139</v>
      </c>
      <c r="F218" t="s">
        <v>59</v>
      </c>
      <c r="G218" t="s">
        <v>65</v>
      </c>
      <c r="H218" t="s">
        <v>66</v>
      </c>
      <c r="I218" s="4">
        <v>325</v>
      </c>
      <c r="J218" s="4">
        <v>399.75</v>
      </c>
      <c r="K218" s="4">
        <f>J218-I218</f>
      </c>
      <c r="L218" s="4">
        <f>K218*16.67%</f>
      </c>
      <c r="M218" s="4">
        <f>J218*7%</f>
      </c>
      <c r="N218" s="4">
        <f>M218*20%</f>
      </c>
      <c r="O218" s="4">
        <v>0</v>
      </c>
      <c r="P218" s="4">
        <f>O218*20%</f>
      </c>
      <c r="Q218" s="4">
        <v>1</v>
      </c>
      <c r="R218" s="4">
        <f>N218+P218</f>
      </c>
      <c r="S218" s="4">
        <f>K218-L218-M218-N218-O218-P218-Q218</f>
      </c>
      <c r="T218" s="4">
        <f>(S218-V218)/I218*100</f>
      </c>
      <c r="U218" s="4">
        <f>L218-R218</f>
      </c>
      <c r="W218" s="4">
        <f>S218-V218</f>
      </c>
      <c r="AB218" t="s">
        <v>1</v>
      </c>
    </row>
    <row r="219" spans="1:28" x14ac:dyDescent="0.25">
      <c r="A219" s="8">
        <v>46192.5</v>
      </c>
      <c r="B219" t="s">
        <v>2705</v>
      </c>
      <c r="C219" t="s">
        <v>1</v>
      </c>
      <c r="D219" s="9" t="s">
        <v>2706</v>
      </c>
      <c r="E219" t="s">
        <v>84</v>
      </c>
      <c r="F219" t="s">
        <v>99</v>
      </c>
      <c r="G219" t="s">
        <v>60</v>
      </c>
      <c r="H219" t="s">
        <v>66</v>
      </c>
      <c r="I219" s="4">
        <v>761</v>
      </c>
      <c r="J219" s="4">
        <v>958.86</v>
      </c>
      <c r="K219" s="4">
        <f>J219-I219</f>
      </c>
      <c r="L219" s="4">
        <f>K219*16.67%</f>
      </c>
      <c r="M219" s="4">
        <f>J219*7%</f>
      </c>
      <c r="N219" s="4">
        <f>M219*20%</f>
      </c>
      <c r="O219" s="4">
        <v>0</v>
      </c>
      <c r="P219" s="4">
        <f>O219*20%</f>
      </c>
      <c r="Q219" s="4">
        <v>1</v>
      </c>
      <c r="R219" s="4">
        <f>N219+P219</f>
      </c>
      <c r="S219" s="4">
        <f>K219-L219-M219-N219-O219-P219-Q219</f>
      </c>
      <c r="T219" s="4">
        <f>(S219-V219)/I219*100</f>
      </c>
      <c r="U219" s="4">
        <f>L219-R219</f>
      </c>
      <c r="W219" s="4">
        <f>S219-V219</f>
      </c>
      <c r="AB219" t="s">
        <v>1</v>
      </c>
    </row>
    <row r="220" spans="1:28" x14ac:dyDescent="0.25">
      <c r="A220" s="8">
        <v>46192.5</v>
      </c>
      <c r="B220" t="s">
        <v>2707</v>
      </c>
      <c r="C220" t="s">
        <v>189</v>
      </c>
      <c r="D220" s="9" t="s">
        <v>1</v>
      </c>
      <c r="E220" t="s">
        <v>189</v>
      </c>
      <c r="F220" t="s">
        <v>1</v>
      </c>
      <c r="G220" t="s">
        <v>1</v>
      </c>
      <c r="H220" t="s">
        <v>66</v>
      </c>
      <c r="I220" s="4">
        <v>3.5</v>
      </c>
      <c r="J220" s="4">
        <v>5.08</v>
      </c>
      <c r="K220" s="4">
        <f>J220-I220</f>
      </c>
      <c r="L220" s="4">
        <f>K220*16.67%</f>
      </c>
      <c r="M220" s="4">
        <f>J220*7%</f>
      </c>
      <c r="N220" s="4">
        <f>M220*20%</f>
      </c>
      <c r="O220" s="4">
        <v>0</v>
      </c>
      <c r="P220" s="4">
        <f>O220*20%</f>
      </c>
      <c r="Q220" s="4">
        <v>0</v>
      </c>
      <c r="R220" s="4">
        <f>N220+P220</f>
      </c>
      <c r="S220" s="4">
        <f>K220-L220-M220-N220-O220-P220-Q220</f>
      </c>
      <c r="T220" s="4">
        <f>(S220-V220)/I220*100</f>
      </c>
      <c r="U220" s="4">
        <f>L220-R220</f>
      </c>
      <c r="W220" s="4">
        <f>S220-V220</f>
      </c>
      <c r="AB220" t="s">
        <v>1</v>
      </c>
    </row>
    <row r="221" spans="1:28" x14ac:dyDescent="0.25">
      <c r="A221" s="8">
        <v>46192.5</v>
      </c>
      <c r="B221" t="s">
        <v>2708</v>
      </c>
      <c r="C221" t="s">
        <v>174</v>
      </c>
      <c r="D221" s="9" t="s">
        <v>1</v>
      </c>
      <c r="E221" t="s">
        <v>174</v>
      </c>
      <c r="F221" t="s">
        <v>1</v>
      </c>
      <c r="G221" t="s">
        <v>1</v>
      </c>
      <c r="H221" t="s">
        <v>66</v>
      </c>
      <c r="I221" s="4">
        <v>4.25</v>
      </c>
      <c r="J221" s="4">
        <v>5.95</v>
      </c>
      <c r="K221" s="4">
        <f>J221-I221</f>
      </c>
      <c r="L221" s="4">
        <f>K221*16.67%</f>
      </c>
      <c r="M221" s="4">
        <f>J221*7%</f>
      </c>
      <c r="N221" s="4">
        <f>M221*20%</f>
      </c>
      <c r="O221" s="4">
        <v>0</v>
      </c>
      <c r="P221" s="4">
        <f>O221*20%</f>
      </c>
      <c r="Q221" s="4">
        <v>0</v>
      </c>
      <c r="R221" s="4">
        <f>N221+P221</f>
      </c>
      <c r="S221" s="4">
        <f>K221-L221-M221-N221-O221-P221-Q221</f>
      </c>
      <c r="T221" s="4">
        <f>(S221-V221)/I221*100</f>
      </c>
      <c r="U221" s="4">
        <f>L221-R221</f>
      </c>
      <c r="W221" s="4">
        <f>S221-V221</f>
      </c>
      <c r="AB221" t="s">
        <v>1</v>
      </c>
    </row>
    <row r="222" spans="1:28" x14ac:dyDescent="0.25">
      <c r="A222" s="8">
        <v>46192.5</v>
      </c>
      <c r="B222" t="s">
        <v>2709</v>
      </c>
      <c r="C222" t="s">
        <v>174</v>
      </c>
      <c r="D222" s="9" t="s">
        <v>1</v>
      </c>
      <c r="E222" t="s">
        <v>174</v>
      </c>
      <c r="F222" t="s">
        <v>1</v>
      </c>
      <c r="G222" t="s">
        <v>1</v>
      </c>
      <c r="H222" t="s">
        <v>66</v>
      </c>
      <c r="I222" s="4">
        <v>4.25</v>
      </c>
      <c r="J222" s="4">
        <v>5.18</v>
      </c>
      <c r="K222" s="4">
        <f>J222-I222</f>
      </c>
      <c r="L222" s="4">
        <f>K222*16.67%</f>
      </c>
      <c r="M222" s="4">
        <f>J222*7%</f>
      </c>
      <c r="N222" s="4">
        <f>M222*20%</f>
      </c>
      <c r="O222" s="4">
        <v>0</v>
      </c>
      <c r="P222" s="4">
        <f>O222*20%</f>
      </c>
      <c r="Q222" s="4">
        <v>0</v>
      </c>
      <c r="R222" s="4">
        <f>N222+P222</f>
      </c>
      <c r="S222" s="4">
        <f>K222-L222-M222-N222-O222-P222-Q222</f>
      </c>
      <c r="T222" s="4">
        <f>(S222-V222)/I222*100</f>
      </c>
      <c r="U222" s="4">
        <f>L222-R222</f>
      </c>
      <c r="W222" s="4">
        <f>S222-V222</f>
      </c>
      <c r="AB222" t="s">
        <v>1</v>
      </c>
    </row>
    <row r="223" spans="1:28" x14ac:dyDescent="0.25">
      <c r="A223" s="8">
        <v>46191.5</v>
      </c>
      <c r="B223" t="s">
        <v>2710</v>
      </c>
      <c r="C223" t="s">
        <v>1</v>
      </c>
      <c r="D223" s="9" t="s">
        <v>2711</v>
      </c>
      <c r="E223" t="s">
        <v>98</v>
      </c>
      <c r="F223" t="s">
        <v>59</v>
      </c>
      <c r="G223" t="s">
        <v>60</v>
      </c>
      <c r="H223" t="s">
        <v>61</v>
      </c>
      <c r="I223" s="4">
        <v>299</v>
      </c>
      <c r="J223" s="4">
        <v>412.62</v>
      </c>
      <c r="K223" s="4">
        <f>J223-I223</f>
      </c>
      <c r="L223" s="4">
        <f>K223*16.67%</f>
      </c>
      <c r="M223" s="4">
        <f>J223*7%</f>
      </c>
      <c r="N223" s="4">
        <f>M223*20%</f>
      </c>
      <c r="O223" s="4">
        <v>0</v>
      </c>
      <c r="P223" s="4">
        <f>O223*20%</f>
      </c>
      <c r="Q223" s="4">
        <v>1</v>
      </c>
      <c r="R223" s="4">
        <f>N223+P223</f>
      </c>
      <c r="S223" s="4">
        <f>K223-L223-M223-N223-O223-P223-Q223</f>
      </c>
      <c r="T223" s="4">
        <f>(S223-V223)/I223*100</f>
      </c>
      <c r="U223" s="4">
        <f>L223-R223</f>
      </c>
      <c r="W223" s="4">
        <f>S223-V223</f>
      </c>
      <c r="AB223" t="s">
        <v>1</v>
      </c>
    </row>
    <row r="224" spans="1:28" x14ac:dyDescent="0.25">
      <c r="A224" s="8">
        <v>46191.5</v>
      </c>
      <c r="B224" t="s">
        <v>2712</v>
      </c>
      <c r="C224" t="s">
        <v>1</v>
      </c>
      <c r="D224" s="9" t="s">
        <v>2713</v>
      </c>
      <c r="E224" t="s">
        <v>58</v>
      </c>
      <c r="F224" t="s">
        <v>88</v>
      </c>
      <c r="G224" t="s">
        <v>60</v>
      </c>
      <c r="H224" t="s">
        <v>75</v>
      </c>
      <c r="I224" s="4">
        <v>438</v>
      </c>
      <c r="J224" s="4">
        <v>582.54</v>
      </c>
      <c r="K224" s="4">
        <f>J224-I224</f>
      </c>
      <c r="L224" s="4">
        <f>K224*16.67%</f>
      </c>
      <c r="M224" s="4">
        <f>J224*7%</f>
      </c>
      <c r="N224" s="4">
        <f>M224*20%</f>
      </c>
      <c r="O224" s="4">
        <v>0</v>
      </c>
      <c r="P224" s="4">
        <f>O224*20%</f>
      </c>
      <c r="Q224" s="4">
        <v>1</v>
      </c>
      <c r="R224" s="4">
        <f>N224+P224</f>
      </c>
      <c r="S224" s="4">
        <f>K224-L224-M224-N224-O224-P224-Q224</f>
      </c>
      <c r="T224" s="4">
        <f>(S224-V224)/I224*100</f>
      </c>
      <c r="U224" s="4">
        <f>L224-R224</f>
      </c>
      <c r="W224" s="4">
        <f>S224-V224</f>
      </c>
      <c r="AB224" t="s">
        <v>1</v>
      </c>
    </row>
    <row r="225" spans="1:28" x14ac:dyDescent="0.25">
      <c r="A225" s="8">
        <v>46191.5</v>
      </c>
      <c r="B225" t="s">
        <v>2714</v>
      </c>
      <c r="C225" t="s">
        <v>174</v>
      </c>
      <c r="D225" s="9" t="s">
        <v>1</v>
      </c>
      <c r="E225" t="s">
        <v>174</v>
      </c>
      <c r="F225" t="s">
        <v>1</v>
      </c>
      <c r="G225" t="s">
        <v>1</v>
      </c>
      <c r="H225" t="s">
        <v>66</v>
      </c>
      <c r="I225" s="4">
        <v>4.25</v>
      </c>
      <c r="J225" s="4">
        <v>6.08</v>
      </c>
      <c r="K225" s="4">
        <f>J225-I225</f>
      </c>
      <c r="L225" s="4">
        <f>K225*16.67%</f>
      </c>
      <c r="M225" s="4">
        <f>J225*7%</f>
      </c>
      <c r="N225" s="4">
        <f>M225*20%</f>
      </c>
      <c r="O225" s="4">
        <v>0</v>
      </c>
      <c r="P225" s="4">
        <f>O225*20%</f>
      </c>
      <c r="Q225" s="4">
        <v>0</v>
      </c>
      <c r="R225" s="4">
        <f>N225+P225</f>
      </c>
      <c r="S225" s="4">
        <f>K225-L225-M225-N225-O225-P225-Q225</f>
      </c>
      <c r="T225" s="4">
        <f>(S225-V225)/I225*100</f>
      </c>
      <c r="U225" s="4">
        <f>L225-R225</f>
      </c>
      <c r="W225" s="4">
        <f>S225-V225</f>
      </c>
      <c r="AB225" t="s">
        <v>1</v>
      </c>
    </row>
    <row r="226" spans="1:28" x14ac:dyDescent="0.25">
      <c r="A226" s="8">
        <v>46190.5</v>
      </c>
      <c r="B226" t="s">
        <v>2715</v>
      </c>
      <c r="C226" t="s">
        <v>1</v>
      </c>
      <c r="D226" s="9" t="s">
        <v>2716</v>
      </c>
      <c r="E226" t="s">
        <v>64</v>
      </c>
      <c r="F226" t="s">
        <v>88</v>
      </c>
      <c r="G226" t="s">
        <v>65</v>
      </c>
      <c r="H226" t="s">
        <v>61</v>
      </c>
      <c r="I226" s="4">
        <v>225</v>
      </c>
      <c r="J226" s="4">
        <v>312.75</v>
      </c>
      <c r="K226" s="4">
        <f>J226-I226</f>
      </c>
      <c r="L226" s="4">
        <f>K226*16.67%</f>
      </c>
      <c r="M226" s="4">
        <f>J226*7%</f>
      </c>
      <c r="N226" s="4">
        <f>M226*20%</f>
      </c>
      <c r="O226" s="4">
        <v>0</v>
      </c>
      <c r="P226" s="4">
        <f>O226*20%</f>
      </c>
      <c r="Q226" s="4">
        <v>1</v>
      </c>
      <c r="R226" s="4">
        <f>N226+P226</f>
      </c>
      <c r="S226" s="4">
        <f>K226-L226-M226-N226-O226-P226-Q226</f>
      </c>
      <c r="T226" s="4">
        <f>(S226-V226)/I226*100</f>
      </c>
      <c r="U226" s="4">
        <f>L226-R226</f>
      </c>
      <c r="W226" s="4">
        <f>S226-V226</f>
      </c>
      <c r="AB226" t="s">
        <v>1</v>
      </c>
    </row>
    <row r="227" spans="1:28" x14ac:dyDescent="0.25">
      <c r="A227" s="8">
        <v>46190.5</v>
      </c>
      <c r="B227" t="s">
        <v>2717</v>
      </c>
      <c r="C227" t="s">
        <v>1</v>
      </c>
      <c r="D227" s="9" t="s">
        <v>2718</v>
      </c>
      <c r="E227" t="s">
        <v>172</v>
      </c>
      <c r="F227" t="s">
        <v>59</v>
      </c>
      <c r="G227" t="s">
        <v>65</v>
      </c>
      <c r="H227" t="s">
        <v>78</v>
      </c>
      <c r="I227" s="4">
        <v>146</v>
      </c>
      <c r="J227" s="4">
        <v>178.12</v>
      </c>
      <c r="K227" s="4">
        <f>J227-I227</f>
      </c>
      <c r="L227" s="4">
        <f>K227*16.67%</f>
      </c>
      <c r="M227" s="4">
        <f>J227*7%</f>
      </c>
      <c r="N227" s="4">
        <f>M227*20%</f>
      </c>
      <c r="O227" s="4">
        <v>0</v>
      </c>
      <c r="P227" s="4">
        <f>O227*20%</f>
      </c>
      <c r="Q227" s="4">
        <v>1</v>
      </c>
      <c r="R227" s="4">
        <f>N227+P227</f>
      </c>
      <c r="S227" s="4">
        <f>K227-L227-M227-N227-O227-P227-Q227</f>
      </c>
      <c r="T227" s="4">
        <f>(S227-V227)/I227*100</f>
      </c>
      <c r="U227" s="4">
        <f>L227-R227</f>
      </c>
      <c r="W227" s="4">
        <f>S227-V227</f>
      </c>
      <c r="AB227" t="s">
        <v>1</v>
      </c>
    </row>
    <row r="228" spans="1:28" x14ac:dyDescent="0.25">
      <c r="A228" s="8">
        <v>46190.5</v>
      </c>
      <c r="B228" t="s">
        <v>2719</v>
      </c>
      <c r="C228" t="s">
        <v>1</v>
      </c>
      <c r="D228" s="9" t="s">
        <v>2720</v>
      </c>
      <c r="E228" t="s">
        <v>292</v>
      </c>
      <c r="F228" t="s">
        <v>74</v>
      </c>
      <c r="G228" t="s">
        <v>126</v>
      </c>
      <c r="H228" t="s">
        <v>102</v>
      </c>
      <c r="I228" s="4">
        <v>174</v>
      </c>
      <c r="J228" s="4">
        <v>250.56</v>
      </c>
      <c r="K228" s="4">
        <f>J228-I228</f>
      </c>
      <c r="L228" s="4">
        <f>K228*16.67%</f>
      </c>
      <c r="M228" s="4">
        <f>J228*7%</f>
      </c>
      <c r="N228" s="4">
        <f>M228*20%</f>
      </c>
      <c r="O228" s="4">
        <v>0</v>
      </c>
      <c r="P228" s="4">
        <f>O228*20%</f>
      </c>
      <c r="Q228" s="4">
        <v>1</v>
      </c>
      <c r="R228" s="4">
        <f>N228+P228</f>
      </c>
      <c r="S228" s="4">
        <f>K228-L228-M228-N228-O228-P228-Q228</f>
      </c>
      <c r="T228" s="4">
        <f>(S228-V228)/I228*100</f>
      </c>
      <c r="U228" s="4">
        <f>L228-R228</f>
      </c>
      <c r="W228" s="4">
        <f>S228-V228</f>
      </c>
      <c r="AB228" t="s">
        <v>1</v>
      </c>
    </row>
    <row r="229" spans="1:28" x14ac:dyDescent="0.25">
      <c r="A229" s="8">
        <v>46190.5</v>
      </c>
      <c r="B229" t="s">
        <v>2721</v>
      </c>
      <c r="C229" t="s">
        <v>1</v>
      </c>
      <c r="D229" s="9" t="s">
        <v>2722</v>
      </c>
      <c r="E229" t="s">
        <v>234</v>
      </c>
      <c r="F229" t="s">
        <v>70</v>
      </c>
      <c r="G229" t="s">
        <v>65</v>
      </c>
      <c r="H229" t="s">
        <v>61</v>
      </c>
      <c r="I229" s="4">
        <v>153</v>
      </c>
      <c r="J229" s="4">
        <v>189.72</v>
      </c>
      <c r="K229" s="4">
        <f>J229-I229</f>
      </c>
      <c r="L229" s="4">
        <f>K229*16.67%</f>
      </c>
      <c r="M229" s="4">
        <f>J229*7%</f>
      </c>
      <c r="N229" s="4">
        <f>M229*20%</f>
      </c>
      <c r="O229" s="4">
        <v>0</v>
      </c>
      <c r="P229" s="4">
        <f>O229*20%</f>
      </c>
      <c r="Q229" s="4">
        <v>1</v>
      </c>
      <c r="R229" s="4">
        <f>N229+P229</f>
      </c>
      <c r="S229" s="4">
        <f>K229-L229-M229-N229-O229-P229-Q229</f>
      </c>
      <c r="T229" s="4">
        <f>(S229-V229)/I229*100</f>
      </c>
      <c r="U229" s="4">
        <f>L229-R229</f>
      </c>
      <c r="W229" s="4">
        <f>S229-V229</f>
      </c>
      <c r="AB229" t="s">
        <v>1</v>
      </c>
    </row>
    <row r="230" spans="1:28" x14ac:dyDescent="0.25">
      <c r="A230" s="8">
        <v>46190.5</v>
      </c>
      <c r="B230" t="s">
        <v>2723</v>
      </c>
      <c r="C230" t="s">
        <v>1</v>
      </c>
      <c r="D230" s="9" t="s">
        <v>2724</v>
      </c>
      <c r="E230" t="s">
        <v>81</v>
      </c>
      <c r="F230" t="s">
        <v>85</v>
      </c>
      <c r="G230" t="s">
        <v>65</v>
      </c>
      <c r="H230" t="s">
        <v>66</v>
      </c>
      <c r="I230" s="4">
        <v>595</v>
      </c>
      <c r="J230" s="4">
        <v>761.6</v>
      </c>
      <c r="K230" s="4">
        <f>J230-I230</f>
      </c>
      <c r="L230" s="4">
        <f>K230*16.67%</f>
      </c>
      <c r="M230" s="4">
        <f>J230*7%</f>
      </c>
      <c r="N230" s="4">
        <f>M230*20%</f>
      </c>
      <c r="O230" s="4">
        <v>0</v>
      </c>
      <c r="P230" s="4">
        <f>O230*20%</f>
      </c>
      <c r="Q230" s="4">
        <v>1</v>
      </c>
      <c r="R230" s="4">
        <f>N230+P230</f>
      </c>
      <c r="S230" s="4">
        <f>K230-L230-M230-N230-O230-P230-Q230</f>
      </c>
      <c r="T230" s="4">
        <f>(S230-V230)/I230*100</f>
      </c>
      <c r="U230" s="4">
        <f>L230-R230</f>
      </c>
      <c r="W230" s="4">
        <f>S230-V230</f>
      </c>
      <c r="AB230" t="s">
        <v>1</v>
      </c>
    </row>
    <row r="231" spans="1:28" x14ac:dyDescent="0.25">
      <c r="A231" s="8">
        <v>46190.5</v>
      </c>
      <c r="B231" t="s">
        <v>2725</v>
      </c>
      <c r="C231" t="s">
        <v>1</v>
      </c>
      <c r="D231" s="9" t="s">
        <v>2726</v>
      </c>
      <c r="E231" t="s">
        <v>125</v>
      </c>
      <c r="F231" t="s">
        <v>70</v>
      </c>
      <c r="G231" t="s">
        <v>126</v>
      </c>
      <c r="H231" t="s">
        <v>61</v>
      </c>
      <c r="I231" s="4">
        <v>228</v>
      </c>
      <c r="J231" s="4">
        <v>275.88</v>
      </c>
      <c r="K231" s="4">
        <f>J231-I231</f>
      </c>
      <c r="L231" s="4">
        <f>K231*16.67%</f>
      </c>
      <c r="M231" s="4">
        <f>J231*7%</f>
      </c>
      <c r="N231" s="4">
        <f>M231*20%</f>
      </c>
      <c r="O231" s="4">
        <v>0</v>
      </c>
      <c r="P231" s="4">
        <f>O231*20%</f>
      </c>
      <c r="Q231" s="4">
        <v>1</v>
      </c>
      <c r="R231" s="4">
        <f>N231+P231</f>
      </c>
      <c r="S231" s="4">
        <f>K231-L231-M231-N231-O231-P231-Q231</f>
      </c>
      <c r="T231" s="4">
        <f>(S231-V231)/I231*100</f>
      </c>
      <c r="U231" s="4">
        <f>L231-R231</f>
      </c>
      <c r="W231" s="4">
        <f>S231-V231</f>
      </c>
      <c r="AB231" t="s">
        <v>1</v>
      </c>
    </row>
    <row r="232" spans="1:28" x14ac:dyDescent="0.25">
      <c r="A232" s="8">
        <v>46190.5</v>
      </c>
      <c r="B232" t="s">
        <v>2727</v>
      </c>
      <c r="C232" t="s">
        <v>177</v>
      </c>
      <c r="D232" s="9" t="s">
        <v>1</v>
      </c>
      <c r="E232" t="s">
        <v>177</v>
      </c>
      <c r="F232" t="s">
        <v>1</v>
      </c>
      <c r="G232" t="s">
        <v>1</v>
      </c>
      <c r="H232" t="s">
        <v>78</v>
      </c>
      <c r="I232" s="4">
        <v>0.15</v>
      </c>
      <c r="J232" s="4">
        <v>0.19</v>
      </c>
      <c r="K232" s="4">
        <f>J232-I232</f>
      </c>
      <c r="L232" s="4">
        <f>K232*16.67%</f>
      </c>
      <c r="M232" s="4">
        <f>J232*7%</f>
      </c>
      <c r="N232" s="4">
        <f>M232*20%</f>
      </c>
      <c r="O232" s="4">
        <v>0</v>
      </c>
      <c r="P232" s="4">
        <f>O232*20%</f>
      </c>
      <c r="Q232" s="4">
        <v>0</v>
      </c>
      <c r="R232" s="4">
        <f>N232+P232</f>
      </c>
      <c r="S232" s="4">
        <f>K232-L232-M232-N232-O232-P232-Q232</f>
      </c>
      <c r="T232" s="4">
        <f>(S232-V232)/I232*100</f>
      </c>
      <c r="U232" s="4">
        <f>L232-R232</f>
      </c>
      <c r="W232" s="4">
        <f>S232-V232</f>
      </c>
      <c r="AB232" t="s">
        <v>1</v>
      </c>
    </row>
    <row r="233" spans="1:28" x14ac:dyDescent="0.25">
      <c r="A233" s="8">
        <v>46190.5</v>
      </c>
      <c r="B233" t="s">
        <v>2728</v>
      </c>
      <c r="C233" t="s">
        <v>1</v>
      </c>
      <c r="D233" s="9" t="s">
        <v>1</v>
      </c>
      <c r="E233" t="s">
        <v>1</v>
      </c>
      <c r="F233" t="s">
        <v>1</v>
      </c>
      <c r="G233" t="s">
        <v>1</v>
      </c>
      <c r="H233" t="s">
        <v>75</v>
      </c>
      <c r="I233" s="4">
        <v>264</v>
      </c>
      <c r="J233" s="4">
        <v>356.4</v>
      </c>
      <c r="K233" s="4">
        <f>J233-I233</f>
      </c>
      <c r="L233" s="4">
        <f>K233*16.67%</f>
      </c>
      <c r="M233" s="4">
        <f>J233*7%</f>
      </c>
      <c r="N233" s="4">
        <f>M233*20%</f>
      </c>
      <c r="O233" s="4">
        <v>0</v>
      </c>
      <c r="P233" s="4">
        <f>O233*20%</f>
      </c>
      <c r="Q233" s="4">
        <v>1</v>
      </c>
      <c r="R233" s="4">
        <f>N233+P233</f>
      </c>
      <c r="S233" s="4">
        <f>K233-L233-M233-N233-O233-P233-Q233</f>
      </c>
      <c r="T233" s="4">
        <f>(S233-V233)/I233*100</f>
      </c>
      <c r="U233" s="4">
        <f>L233-R233</f>
      </c>
      <c r="W233" s="4">
        <f>S233-V233</f>
      </c>
      <c r="AB233" t="s">
        <v>1</v>
      </c>
    </row>
    <row r="234" spans="1:28" x14ac:dyDescent="0.25">
      <c r="A234" s="8">
        <v>46190.5</v>
      </c>
      <c r="B234" t="s">
        <v>2729</v>
      </c>
      <c r="C234" t="s">
        <v>1</v>
      </c>
      <c r="D234" s="9" t="s">
        <v>1</v>
      </c>
      <c r="E234" t="s">
        <v>1</v>
      </c>
      <c r="F234" t="s">
        <v>1</v>
      </c>
      <c r="G234" t="s">
        <v>1</v>
      </c>
      <c r="H234" t="s">
        <v>75</v>
      </c>
      <c r="I234" s="4">
        <v>147</v>
      </c>
      <c r="J234" s="4">
        <v>182.28</v>
      </c>
      <c r="K234" s="4">
        <f>J234-I234</f>
      </c>
      <c r="L234" s="4">
        <f>K234*16.67%</f>
      </c>
      <c r="M234" s="4">
        <f>J234*7%</f>
      </c>
      <c r="N234" s="4">
        <f>M234*20%</f>
      </c>
      <c r="O234" s="4">
        <v>0</v>
      </c>
      <c r="P234" s="4">
        <f>O234*20%</f>
      </c>
      <c r="Q234" s="4">
        <v>1</v>
      </c>
      <c r="R234" s="4">
        <f>N234+P234</f>
      </c>
      <c r="S234" s="4">
        <f>K234-L234-M234-N234-O234-P234-Q234</f>
      </c>
      <c r="T234" s="4">
        <f>(S234-V234)/I234*100</f>
      </c>
      <c r="U234" s="4">
        <f>L234-R234</f>
      </c>
      <c r="W234" s="4">
        <f>S234-V234</f>
      </c>
      <c r="AB234" t="s">
        <v>1</v>
      </c>
    </row>
    <row r="235" spans="1:28" x14ac:dyDescent="0.25">
      <c r="A235" s="8">
        <v>46189.5</v>
      </c>
      <c r="B235" t="s">
        <v>2730</v>
      </c>
      <c r="C235" t="s">
        <v>1</v>
      </c>
      <c r="D235" s="9" t="s">
        <v>2731</v>
      </c>
      <c r="E235" t="s">
        <v>64</v>
      </c>
      <c r="F235" t="s">
        <v>85</v>
      </c>
      <c r="G235" t="s">
        <v>65</v>
      </c>
      <c r="H235" t="s">
        <v>102</v>
      </c>
      <c r="I235" s="4">
        <v>242</v>
      </c>
      <c r="J235" s="4">
        <v>346.06</v>
      </c>
      <c r="K235" s="4">
        <f>J235-I235</f>
      </c>
      <c r="L235" s="4">
        <f>K235*16.67%</f>
      </c>
      <c r="M235" s="4">
        <f>J235*7%</f>
      </c>
      <c r="N235" s="4">
        <f>M235*20%</f>
      </c>
      <c r="O235" s="4">
        <v>0</v>
      </c>
      <c r="P235" s="4">
        <f>O235*20%</f>
      </c>
      <c r="Q235" s="4">
        <v>1</v>
      </c>
      <c r="R235" s="4">
        <f>N235+P235</f>
      </c>
      <c r="S235" s="4">
        <f>K235-L235-M235-N235-O235-P235-Q235</f>
      </c>
      <c r="T235" s="4">
        <f>(S235-V235)/I235*100</f>
      </c>
      <c r="U235" s="4">
        <f>L235-R235</f>
      </c>
      <c r="W235" s="4">
        <f>S235-V235</f>
      </c>
      <c r="AB235" t="s">
        <v>1</v>
      </c>
    </row>
    <row r="236" spans="1:28" x14ac:dyDescent="0.25">
      <c r="A236" s="8">
        <v>46189.5</v>
      </c>
      <c r="B236" t="s">
        <v>2732</v>
      </c>
      <c r="C236" t="s">
        <v>1</v>
      </c>
      <c r="D236" s="9" t="s">
        <v>2733</v>
      </c>
      <c r="E236" t="s">
        <v>58</v>
      </c>
      <c r="F236" t="s">
        <v>88</v>
      </c>
      <c r="G236" t="s">
        <v>60</v>
      </c>
      <c r="H236" t="s">
        <v>102</v>
      </c>
      <c r="I236" s="4">
        <v>440</v>
      </c>
      <c r="J236" s="4">
        <v>620.4</v>
      </c>
      <c r="K236" s="4">
        <f>J236-I236</f>
      </c>
      <c r="L236" s="4">
        <f>K236*16.67%</f>
      </c>
      <c r="M236" s="4">
        <f>J236*7%</f>
      </c>
      <c r="N236" s="4">
        <f>M236*20%</f>
      </c>
      <c r="O236" s="4">
        <v>0</v>
      </c>
      <c r="P236" s="4">
        <f>O236*20%</f>
      </c>
      <c r="Q236" s="4">
        <v>1</v>
      </c>
      <c r="R236" s="4">
        <f>N236+P236</f>
      </c>
      <c r="S236" s="4">
        <f>K236-L236-M236-N236-O236-P236-Q236</f>
      </c>
      <c r="T236" s="4">
        <f>(S236-V236)/I236*100</f>
      </c>
      <c r="U236" s="4">
        <f>L236-R236</f>
      </c>
      <c r="W236" s="4">
        <f>S236-V236</f>
      </c>
      <c r="AB236" t="s">
        <v>1</v>
      </c>
    </row>
    <row r="237" spans="1:28" x14ac:dyDescent="0.25">
      <c r="A237" s="8">
        <v>46189.5</v>
      </c>
      <c r="B237" t="s">
        <v>2734</v>
      </c>
      <c r="C237" t="s">
        <v>189</v>
      </c>
      <c r="D237" s="9" t="s">
        <v>1</v>
      </c>
      <c r="E237" t="s">
        <v>189</v>
      </c>
      <c r="F237" t="s">
        <v>1</v>
      </c>
      <c r="G237" t="s">
        <v>1</v>
      </c>
      <c r="H237" t="s">
        <v>66</v>
      </c>
      <c r="I237" s="4">
        <v>3.5</v>
      </c>
      <c r="J237" s="4">
        <v>4.41</v>
      </c>
      <c r="K237" s="4">
        <f>J237-I237</f>
      </c>
      <c r="L237" s="4">
        <f>K237*16.67%</f>
      </c>
      <c r="M237" s="4">
        <f>J237*7%</f>
      </c>
      <c r="N237" s="4">
        <f>M237*20%</f>
      </c>
      <c r="O237" s="4">
        <v>0</v>
      </c>
      <c r="P237" s="4">
        <f>O237*20%</f>
      </c>
      <c r="Q237" s="4">
        <v>0</v>
      </c>
      <c r="R237" s="4">
        <f>N237+P237</f>
      </c>
      <c r="S237" s="4">
        <f>K237-L237-M237-N237-O237-P237-Q237</f>
      </c>
      <c r="T237" s="4">
        <f>(S237-V237)/I237*100</f>
      </c>
      <c r="U237" s="4">
        <f>L237-R237</f>
      </c>
      <c r="W237" s="4">
        <f>S237-V237</f>
      </c>
      <c r="AB237" t="s">
        <v>1</v>
      </c>
    </row>
    <row r="238" spans="1:28" x14ac:dyDescent="0.25">
      <c r="A238" s="8">
        <v>46188.5</v>
      </c>
      <c r="B238" t="s">
        <v>2735</v>
      </c>
      <c r="C238" t="s">
        <v>1</v>
      </c>
      <c r="D238" s="9" t="s">
        <v>2736</v>
      </c>
      <c r="E238" t="s">
        <v>69</v>
      </c>
      <c r="F238" t="s">
        <v>59</v>
      </c>
      <c r="G238" t="s">
        <v>60</v>
      </c>
      <c r="H238" t="s">
        <v>102</v>
      </c>
      <c r="I238" s="4">
        <v>485</v>
      </c>
      <c r="J238" s="4">
        <v>586.85</v>
      </c>
      <c r="K238" s="4">
        <f>J238-I238</f>
      </c>
      <c r="L238" s="4">
        <f>K238*16.67%</f>
      </c>
      <c r="M238" s="4">
        <f>J238*7%</f>
      </c>
      <c r="N238" s="4">
        <f>M238*20%</f>
      </c>
      <c r="O238" s="4">
        <v>0</v>
      </c>
      <c r="P238" s="4">
        <f>O238*20%</f>
      </c>
      <c r="Q238" s="4">
        <v>1</v>
      </c>
      <c r="R238" s="4">
        <f>N238+P238</f>
      </c>
      <c r="S238" s="4">
        <f>K238-L238-M238-N238-O238-P238-Q238</f>
      </c>
      <c r="T238" s="4">
        <f>(S238-V238)/I238*100</f>
      </c>
      <c r="U238" s="4">
        <f>L238-R238</f>
      </c>
      <c r="W238" s="4">
        <f>S238-V238</f>
      </c>
      <c r="AB238" t="s">
        <v>1</v>
      </c>
    </row>
    <row r="239" spans="1:28" x14ac:dyDescent="0.25">
      <c r="A239" s="8">
        <v>46188.5</v>
      </c>
      <c r="B239" t="s">
        <v>2737</v>
      </c>
      <c r="C239" t="s">
        <v>1</v>
      </c>
      <c r="D239" s="9" t="s">
        <v>2738</v>
      </c>
      <c r="E239" t="s">
        <v>292</v>
      </c>
      <c r="F239" t="s">
        <v>59</v>
      </c>
      <c r="G239" t="s">
        <v>126</v>
      </c>
      <c r="H239" t="s">
        <v>78</v>
      </c>
      <c r="I239" s="4">
        <v>183</v>
      </c>
      <c r="J239" s="4">
        <v>239.73</v>
      </c>
      <c r="K239" s="4">
        <f>J239-I239</f>
      </c>
      <c r="L239" s="4">
        <f>K239*16.67%</f>
      </c>
      <c r="M239" s="4">
        <f>J239*7%</f>
      </c>
      <c r="N239" s="4">
        <f>M239*20%</f>
      </c>
      <c r="O239" s="4">
        <v>0</v>
      </c>
      <c r="P239" s="4">
        <f>O239*20%</f>
      </c>
      <c r="Q239" s="4">
        <v>1</v>
      </c>
      <c r="R239" s="4">
        <f>N239+P239</f>
      </c>
      <c r="S239" s="4">
        <f>K239-L239-M239-N239-O239-P239-Q239</f>
      </c>
      <c r="T239" s="4">
        <f>(S239-V239)/I239*100</f>
      </c>
      <c r="U239" s="4">
        <f>L239-R239</f>
      </c>
      <c r="W239" s="4">
        <f>S239-V239</f>
      </c>
      <c r="AB239" t="s">
        <v>1</v>
      </c>
    </row>
    <row r="240" spans="1:28" x14ac:dyDescent="0.25">
      <c r="A240" s="8">
        <v>46188.5</v>
      </c>
      <c r="B240" t="s">
        <v>2739</v>
      </c>
      <c r="C240" t="s">
        <v>1</v>
      </c>
      <c r="D240" s="9" t="s">
        <v>2740</v>
      </c>
      <c r="E240" t="s">
        <v>73</v>
      </c>
      <c r="F240" t="s">
        <v>85</v>
      </c>
      <c r="G240" t="s">
        <v>60</v>
      </c>
      <c r="H240" t="s">
        <v>75</v>
      </c>
      <c r="I240" s="4">
        <v>342</v>
      </c>
      <c r="J240" s="4">
        <v>475.38</v>
      </c>
      <c r="K240" s="4">
        <f>J240-I240</f>
      </c>
      <c r="L240" s="4">
        <f>K240*16.67%</f>
      </c>
      <c r="M240" s="4">
        <f>J240*7%</f>
      </c>
      <c r="N240" s="4">
        <f>M240*20%</f>
      </c>
      <c r="O240" s="4">
        <v>0</v>
      </c>
      <c r="P240" s="4">
        <f>O240*20%</f>
      </c>
      <c r="Q240" s="4">
        <v>1</v>
      </c>
      <c r="R240" s="4">
        <f>N240+P240</f>
      </c>
      <c r="S240" s="4">
        <f>K240-L240-M240-N240-O240-P240-Q240</f>
      </c>
      <c r="T240" s="4">
        <f>(S240-V240)/I240*100</f>
      </c>
      <c r="U240" s="4">
        <f>L240-R240</f>
      </c>
      <c r="W240" s="4">
        <f>S240-V240</f>
      </c>
      <c r="AB240" t="s">
        <v>1</v>
      </c>
    </row>
    <row r="241" spans="1:28" x14ac:dyDescent="0.25">
      <c r="A241" s="8">
        <v>46188.5</v>
      </c>
      <c r="B241" t="s">
        <v>2741</v>
      </c>
      <c r="C241" t="s">
        <v>1</v>
      </c>
      <c r="D241" s="9" t="s">
        <v>2742</v>
      </c>
      <c r="E241" t="s">
        <v>98</v>
      </c>
      <c r="F241" t="s">
        <v>85</v>
      </c>
      <c r="G241" t="s">
        <v>60</v>
      </c>
      <c r="H241" t="s">
        <v>75</v>
      </c>
      <c r="I241" s="4">
        <v>287</v>
      </c>
      <c r="J241" s="4">
        <v>350.14</v>
      </c>
      <c r="K241" s="4">
        <f>J241-I241</f>
      </c>
      <c r="L241" s="4">
        <f>K241*16.67%</f>
      </c>
      <c r="M241" s="4">
        <f>J241*7%</f>
      </c>
      <c r="N241" s="4">
        <f>M241*20%</f>
      </c>
      <c r="O241" s="4">
        <v>0</v>
      </c>
      <c r="P241" s="4">
        <f>O241*20%</f>
      </c>
      <c r="Q241" s="4">
        <v>1</v>
      </c>
      <c r="R241" s="4">
        <f>N241+P241</f>
      </c>
      <c r="S241" s="4">
        <f>K241-L241-M241-N241-O241-P241-Q241</f>
      </c>
      <c r="T241" s="4">
        <f>(S241-V241)/I241*100</f>
      </c>
      <c r="U241" s="4">
        <f>L241-R241</f>
      </c>
      <c r="W241" s="4">
        <f>S241-V241</f>
      </c>
      <c r="AB241" t="s">
        <v>1</v>
      </c>
    </row>
    <row r="242" spans="1:28" x14ac:dyDescent="0.25">
      <c r="A242" s="8">
        <v>46188.5</v>
      </c>
      <c r="B242" t="s">
        <v>2743</v>
      </c>
      <c r="C242" t="s">
        <v>1</v>
      </c>
      <c r="D242" s="9" t="s">
        <v>2744</v>
      </c>
      <c r="E242" t="s">
        <v>131</v>
      </c>
      <c r="F242" t="s">
        <v>70</v>
      </c>
      <c r="G242" t="s">
        <v>65</v>
      </c>
      <c r="H242" t="s">
        <v>75</v>
      </c>
      <c r="I242" s="4">
        <v>316</v>
      </c>
      <c r="J242" s="4">
        <v>439.24</v>
      </c>
      <c r="K242" s="4">
        <f>J242-I242</f>
      </c>
      <c r="L242" s="4">
        <f>K242*16.67%</f>
      </c>
      <c r="M242" s="4">
        <f>J242*7%</f>
      </c>
      <c r="N242" s="4">
        <f>M242*20%</f>
      </c>
      <c r="O242" s="4">
        <v>0</v>
      </c>
      <c r="P242" s="4">
        <f>O242*20%</f>
      </c>
      <c r="Q242" s="4">
        <v>1</v>
      </c>
      <c r="R242" s="4">
        <f>N242+P242</f>
      </c>
      <c r="S242" s="4">
        <f>K242-L242-M242-N242-O242-P242-Q242</f>
      </c>
      <c r="T242" s="4">
        <f>(S242-V242)/I242*100</f>
      </c>
      <c r="U242" s="4">
        <f>L242-R242</f>
      </c>
      <c r="W242" s="4">
        <f>S242-V242</f>
      </c>
      <c r="AB242" t="s">
        <v>1</v>
      </c>
    </row>
    <row r="243" spans="1:28" x14ac:dyDescent="0.25">
      <c r="A243" s="8">
        <v>46188.5</v>
      </c>
      <c r="B243" t="s">
        <v>2745</v>
      </c>
      <c r="C243" t="s">
        <v>1</v>
      </c>
      <c r="D243" s="9" t="s">
        <v>2746</v>
      </c>
      <c r="E243" t="s">
        <v>64</v>
      </c>
      <c r="F243" t="s">
        <v>99</v>
      </c>
      <c r="G243" t="s">
        <v>65</v>
      </c>
      <c r="H243" t="s">
        <v>78</v>
      </c>
      <c r="I243" s="4">
        <v>231</v>
      </c>
      <c r="J243" s="4">
        <v>281.82</v>
      </c>
      <c r="K243" s="4">
        <f>J243-I243</f>
      </c>
      <c r="L243" s="4">
        <f>K243*16.67%</f>
      </c>
      <c r="M243" s="4">
        <f>J243*7%</f>
      </c>
      <c r="N243" s="4">
        <f>M243*20%</f>
      </c>
      <c r="O243" s="4">
        <v>0</v>
      </c>
      <c r="P243" s="4">
        <f>O243*20%</f>
      </c>
      <c r="Q243" s="4">
        <v>1</v>
      </c>
      <c r="R243" s="4">
        <f>N243+P243</f>
      </c>
      <c r="S243" s="4">
        <f>K243-L243-M243-N243-O243-P243-Q243</f>
      </c>
      <c r="T243" s="4">
        <f>(S243-V243)/I243*100</f>
      </c>
      <c r="U243" s="4">
        <f>L243-R243</f>
      </c>
      <c r="W243" s="4">
        <f>S243-V243</f>
      </c>
      <c r="AB243" t="s">
        <v>1</v>
      </c>
    </row>
    <row r="244" spans="1:28" x14ac:dyDescent="0.25">
      <c r="A244" s="8">
        <v>46188.5</v>
      </c>
      <c r="B244" t="s">
        <v>2747</v>
      </c>
      <c r="C244" t="s">
        <v>254</v>
      </c>
      <c r="D244" s="9" t="s">
        <v>1</v>
      </c>
      <c r="E244" t="s">
        <v>254</v>
      </c>
      <c r="F244" t="s">
        <v>1</v>
      </c>
      <c r="G244" t="s">
        <v>1</v>
      </c>
      <c r="H244" t="s">
        <v>61</v>
      </c>
      <c r="I244" s="4">
        <v>0.8</v>
      </c>
      <c r="J244" s="4">
        <v>0.92</v>
      </c>
      <c r="K244" s="4">
        <f>J244-I244</f>
      </c>
      <c r="L244" s="4">
        <f>K244*16.67%</f>
      </c>
      <c r="M244" s="4">
        <f>J244*7%</f>
      </c>
      <c r="N244" s="4">
        <f>M244*20%</f>
      </c>
      <c r="O244" s="4">
        <v>0</v>
      </c>
      <c r="P244" s="4">
        <f>O244*20%</f>
      </c>
      <c r="Q244" s="4">
        <v>0</v>
      </c>
      <c r="R244" s="4">
        <f>N244+P244</f>
      </c>
      <c r="S244" s="4">
        <f>K244-L244-M244-N244-O244-P244-Q244</f>
      </c>
      <c r="T244" s="4">
        <f>(S244-V244)/I244*100</f>
      </c>
      <c r="U244" s="4">
        <f>L244-R244</f>
      </c>
      <c r="W244" s="4">
        <f>S244-V244</f>
      </c>
      <c r="AB244" t="s">
        <v>1</v>
      </c>
    </row>
    <row r="245" spans="1:28" x14ac:dyDescent="0.25">
      <c r="A245" s="8">
        <v>46188.5</v>
      </c>
      <c r="B245" t="s">
        <v>2748</v>
      </c>
      <c r="C245" t="s">
        <v>1</v>
      </c>
      <c r="D245" s="9" t="s">
        <v>1</v>
      </c>
      <c r="E245" t="s">
        <v>1</v>
      </c>
      <c r="F245" t="s">
        <v>1</v>
      </c>
      <c r="G245" t="s">
        <v>1</v>
      </c>
      <c r="H245" t="s">
        <v>78</v>
      </c>
      <c r="I245" s="4">
        <v>340</v>
      </c>
      <c r="J245" s="4">
        <v>455.6</v>
      </c>
      <c r="K245" s="4">
        <f>J245-I245</f>
      </c>
      <c r="L245" s="4">
        <f>K245*16.67%</f>
      </c>
      <c r="M245" s="4">
        <f>J245*7%</f>
      </c>
      <c r="N245" s="4">
        <f>M245*20%</f>
      </c>
      <c r="O245" s="4">
        <v>0</v>
      </c>
      <c r="P245" s="4">
        <f>O245*20%</f>
      </c>
      <c r="Q245" s="4">
        <v>1</v>
      </c>
      <c r="R245" s="4">
        <f>N245+P245</f>
      </c>
      <c r="S245" s="4">
        <f>K245-L245-M245-N245-O245-P245-Q245</f>
      </c>
      <c r="T245" s="4">
        <f>(S245-V245)/I245*100</f>
      </c>
      <c r="U245" s="4">
        <f>L245-R245</f>
      </c>
      <c r="W245" s="4">
        <f>S245-V245</f>
      </c>
      <c r="AB245" t="s">
        <v>1</v>
      </c>
    </row>
    <row r="246" spans="1:28" x14ac:dyDescent="0.25">
      <c r="A246" s="8">
        <v>46187.5</v>
      </c>
      <c r="B246" t="s">
        <v>2749</v>
      </c>
      <c r="C246" t="s">
        <v>1</v>
      </c>
      <c r="D246" s="9" t="s">
        <v>2750</v>
      </c>
      <c r="E246" t="s">
        <v>134</v>
      </c>
      <c r="F246" t="s">
        <v>70</v>
      </c>
      <c r="G246" t="s">
        <v>95</v>
      </c>
      <c r="H246" t="s">
        <v>66</v>
      </c>
      <c r="I246" s="4">
        <v>118</v>
      </c>
      <c r="J246" s="4">
        <v>142.78</v>
      </c>
      <c r="K246" s="4">
        <f>J246-I246</f>
      </c>
      <c r="L246" s="4">
        <f>K246*16.67%</f>
      </c>
      <c r="M246" s="4">
        <f>J246*7%</f>
      </c>
      <c r="N246" s="4">
        <f>M246*20%</f>
      </c>
      <c r="O246" s="4">
        <v>0</v>
      </c>
      <c r="P246" s="4">
        <f>O246*20%</f>
      </c>
      <c r="Q246" s="4">
        <v>1</v>
      </c>
      <c r="R246" s="4">
        <f>N246+P246</f>
      </c>
      <c r="S246" s="4">
        <f>K246-L246-M246-N246-O246-P246-Q246</f>
      </c>
      <c r="T246" s="4">
        <f>(S246-V246)/I246*100</f>
      </c>
      <c r="U246" s="4">
        <f>L246-R246</f>
      </c>
      <c r="W246" s="4">
        <f>S246-V246</f>
      </c>
      <c r="AB246" t="s">
        <v>1</v>
      </c>
    </row>
    <row r="247" spans="1:28" x14ac:dyDescent="0.25">
      <c r="A247" s="8">
        <v>46187.5</v>
      </c>
      <c r="B247" t="s">
        <v>2751</v>
      </c>
      <c r="C247" t="s">
        <v>1</v>
      </c>
      <c r="D247" s="9" t="s">
        <v>2752</v>
      </c>
      <c r="E247" t="s">
        <v>81</v>
      </c>
      <c r="F247" t="s">
        <v>74</v>
      </c>
      <c r="G247" t="s">
        <v>60</v>
      </c>
      <c r="H247" t="s">
        <v>102</v>
      </c>
      <c r="I247" s="4">
        <v>522</v>
      </c>
      <c r="J247" s="4">
        <v>694.26</v>
      </c>
      <c r="K247" s="4">
        <f>J247-I247</f>
      </c>
      <c r="L247" s="4">
        <f>K247*16.67%</f>
      </c>
      <c r="M247" s="4">
        <f>J247*7%</f>
      </c>
      <c r="N247" s="4">
        <f>M247*20%</f>
      </c>
      <c r="O247" s="4">
        <v>0</v>
      </c>
      <c r="P247" s="4">
        <f>O247*20%</f>
      </c>
      <c r="Q247" s="4">
        <v>1</v>
      </c>
      <c r="R247" s="4">
        <f>N247+P247</f>
      </c>
      <c r="S247" s="4">
        <f>K247-L247-M247-N247-O247-P247-Q247</f>
      </c>
      <c r="T247" s="4">
        <f>(S247-V247)/I247*100</f>
      </c>
      <c r="U247" s="4">
        <f>L247-R247</f>
      </c>
      <c r="W247" s="4">
        <f>S247-V247</f>
      </c>
      <c r="AB247" t="s">
        <v>1</v>
      </c>
    </row>
    <row r="248" spans="1:28" x14ac:dyDescent="0.25">
      <c r="A248" s="8">
        <v>46187.5</v>
      </c>
      <c r="B248" t="s">
        <v>2753</v>
      </c>
      <c r="C248" t="s">
        <v>1</v>
      </c>
      <c r="D248" s="9" t="s">
        <v>2754</v>
      </c>
      <c r="E248" t="s">
        <v>69</v>
      </c>
      <c r="F248" t="s">
        <v>99</v>
      </c>
      <c r="G248" t="s">
        <v>60</v>
      </c>
      <c r="H248" t="s">
        <v>61</v>
      </c>
      <c r="I248" s="4">
        <v>481</v>
      </c>
      <c r="J248" s="4">
        <v>610.87</v>
      </c>
      <c r="K248" s="4">
        <f>J248-I248</f>
      </c>
      <c r="L248" s="4">
        <f>K248*16.67%</f>
      </c>
      <c r="M248" s="4">
        <f>J248*7%</f>
      </c>
      <c r="N248" s="4">
        <f>M248*20%</f>
      </c>
      <c r="O248" s="4">
        <v>0</v>
      </c>
      <c r="P248" s="4">
        <f>O248*20%</f>
      </c>
      <c r="Q248" s="4">
        <v>1</v>
      </c>
      <c r="R248" s="4">
        <f>N248+P248</f>
      </c>
      <c r="S248" s="4">
        <f>K248-L248-M248-N248-O248-P248-Q248</f>
      </c>
      <c r="T248" s="4">
        <f>(S248-V248)/I248*100</f>
      </c>
      <c r="U248" s="4">
        <f>L248-R248</f>
      </c>
      <c r="W248" s="4">
        <f>S248-V248</f>
      </c>
      <c r="AB248" t="s">
        <v>1</v>
      </c>
    </row>
    <row r="249" spans="1:28" x14ac:dyDescent="0.25">
      <c r="A249" s="8">
        <v>46187.5</v>
      </c>
      <c r="B249" t="s">
        <v>2755</v>
      </c>
      <c r="C249" t="s">
        <v>1</v>
      </c>
      <c r="D249" s="9" t="s">
        <v>2756</v>
      </c>
      <c r="E249" t="s">
        <v>98</v>
      </c>
      <c r="F249" t="s">
        <v>59</v>
      </c>
      <c r="G249" t="s">
        <v>60</v>
      </c>
      <c r="H249" t="s">
        <v>61</v>
      </c>
      <c r="I249" s="4">
        <v>292</v>
      </c>
      <c r="J249" s="4">
        <v>362.08</v>
      </c>
      <c r="K249" s="4">
        <f>J249-I249</f>
      </c>
      <c r="L249" s="4">
        <f>K249*16.67%</f>
      </c>
      <c r="M249" s="4">
        <f>J249*7%</f>
      </c>
      <c r="N249" s="4">
        <f>M249*20%</f>
      </c>
      <c r="O249" s="4">
        <v>0</v>
      </c>
      <c r="P249" s="4">
        <f>O249*20%</f>
      </c>
      <c r="Q249" s="4">
        <v>1</v>
      </c>
      <c r="R249" s="4">
        <f>N249+P249</f>
      </c>
      <c r="S249" s="4">
        <f>K249-L249-M249-N249-O249-P249-Q249</f>
      </c>
      <c r="T249" s="4">
        <f>(S249-V249)/I249*100</f>
      </c>
      <c r="U249" s="4">
        <f>L249-R249</f>
      </c>
      <c r="W249" s="4">
        <f>S249-V249</f>
      </c>
      <c r="AB249" t="s">
        <v>1</v>
      </c>
    </row>
    <row r="250" spans="1:28" x14ac:dyDescent="0.25">
      <c r="A250" s="8">
        <v>46187.5</v>
      </c>
      <c r="B250" t="s">
        <v>2757</v>
      </c>
      <c r="C250" t="s">
        <v>189</v>
      </c>
      <c r="D250" s="9" t="s">
        <v>1</v>
      </c>
      <c r="E250" t="s">
        <v>189</v>
      </c>
      <c r="F250" t="s">
        <v>1</v>
      </c>
      <c r="G250" t="s">
        <v>1</v>
      </c>
      <c r="H250" t="s">
        <v>66</v>
      </c>
      <c r="I250" s="4">
        <v>3.5</v>
      </c>
      <c r="J250" s="4">
        <v>4.73</v>
      </c>
      <c r="K250" s="4">
        <f>J250-I250</f>
      </c>
      <c r="L250" s="4">
        <f>K250*16.67%</f>
      </c>
      <c r="M250" s="4">
        <f>J250*7%</f>
      </c>
      <c r="N250" s="4">
        <f>M250*20%</f>
      </c>
      <c r="O250" s="4">
        <v>0</v>
      </c>
      <c r="P250" s="4">
        <f>O250*20%</f>
      </c>
      <c r="Q250" s="4">
        <v>0</v>
      </c>
      <c r="R250" s="4">
        <f>N250+P250</f>
      </c>
      <c r="S250" s="4">
        <f>K250-L250-M250-N250-O250-P250-Q250</f>
      </c>
      <c r="T250" s="4">
        <f>(S250-V250)/I250*100</f>
      </c>
      <c r="U250" s="4">
        <f>L250-R250</f>
      </c>
      <c r="W250" s="4">
        <f>S250-V250</f>
      </c>
      <c r="AB250" t="s">
        <v>1</v>
      </c>
    </row>
    <row r="251" spans="1:28" x14ac:dyDescent="0.25">
      <c r="A251" s="8">
        <v>46187.5</v>
      </c>
      <c r="B251" t="s">
        <v>2758</v>
      </c>
      <c r="C251" t="s">
        <v>182</v>
      </c>
      <c r="D251" s="9" t="s">
        <v>1</v>
      </c>
      <c r="E251" t="s">
        <v>182</v>
      </c>
      <c r="F251" t="s">
        <v>1</v>
      </c>
      <c r="G251" t="s">
        <v>1</v>
      </c>
      <c r="H251" t="s">
        <v>75</v>
      </c>
      <c r="I251" s="4">
        <v>1.9</v>
      </c>
      <c r="J251" s="4">
        <v>2.58</v>
      </c>
      <c r="K251" s="4">
        <f>J251-I251</f>
      </c>
      <c r="L251" s="4">
        <f>K251*16.67%</f>
      </c>
      <c r="M251" s="4">
        <f>J251*7%</f>
      </c>
      <c r="N251" s="4">
        <f>M251*20%</f>
      </c>
      <c r="O251" s="4">
        <v>0</v>
      </c>
      <c r="P251" s="4">
        <f>O251*20%</f>
      </c>
      <c r="Q251" s="4">
        <v>0</v>
      </c>
      <c r="R251" s="4">
        <f>N251+P251</f>
      </c>
      <c r="S251" s="4">
        <f>K251-L251-M251-N251-O251-P251-Q251</f>
      </c>
      <c r="T251" s="4">
        <f>(S251-V251)/I251*100</f>
      </c>
      <c r="U251" s="4">
        <f>L251-R251</f>
      </c>
      <c r="W251" s="4">
        <f>S251-V251</f>
      </c>
      <c r="AB251" t="s">
        <v>1</v>
      </c>
    </row>
    <row r="252" spans="1:28" x14ac:dyDescent="0.25">
      <c r="A252" s="8">
        <v>46186.5</v>
      </c>
      <c r="B252" t="s">
        <v>2759</v>
      </c>
      <c r="C252" t="s">
        <v>1</v>
      </c>
      <c r="D252" s="9" t="s">
        <v>2760</v>
      </c>
      <c r="E252" t="s">
        <v>114</v>
      </c>
      <c r="F252" t="s">
        <v>85</v>
      </c>
      <c r="G252" t="s">
        <v>95</v>
      </c>
      <c r="H252" t="s">
        <v>75</v>
      </c>
      <c r="I252" s="4">
        <v>244</v>
      </c>
      <c r="J252" s="4">
        <v>329.4</v>
      </c>
      <c r="K252" s="4">
        <f>J252-I252</f>
      </c>
      <c r="L252" s="4">
        <f>K252*16.67%</f>
      </c>
      <c r="M252" s="4">
        <f>J252*7%</f>
      </c>
      <c r="N252" s="4">
        <f>M252*20%</f>
      </c>
      <c r="O252" s="4">
        <v>0</v>
      </c>
      <c r="P252" s="4">
        <f>O252*20%</f>
      </c>
      <c r="Q252" s="4">
        <v>1</v>
      </c>
      <c r="R252" s="4">
        <f>N252+P252</f>
      </c>
      <c r="S252" s="4">
        <f>K252-L252-M252-N252-O252-P252-Q252</f>
      </c>
      <c r="T252" s="4">
        <f>(S252-V252)/I252*100</f>
      </c>
      <c r="U252" s="4">
        <f>L252-R252</f>
      </c>
      <c r="W252" s="4">
        <f>S252-V252</f>
      </c>
      <c r="AB252" t="s">
        <v>1</v>
      </c>
    </row>
    <row r="253" spans="1:28" x14ac:dyDescent="0.25">
      <c r="A253" s="8">
        <v>46186.5</v>
      </c>
      <c r="B253" t="s">
        <v>2761</v>
      </c>
      <c r="C253" t="s">
        <v>1</v>
      </c>
      <c r="D253" s="9" t="s">
        <v>2762</v>
      </c>
      <c r="E253" t="s">
        <v>98</v>
      </c>
      <c r="F253" t="s">
        <v>105</v>
      </c>
      <c r="G253" t="s">
        <v>65</v>
      </c>
      <c r="H253" t="s">
        <v>78</v>
      </c>
      <c r="I253" s="4">
        <v>294</v>
      </c>
      <c r="J253" s="4">
        <v>423.36</v>
      </c>
      <c r="K253" s="4">
        <f>J253-I253</f>
      </c>
      <c r="L253" s="4">
        <f>K253*16.67%</f>
      </c>
      <c r="M253" s="4">
        <f>J253*7%</f>
      </c>
      <c r="N253" s="4">
        <f>M253*20%</f>
      </c>
      <c r="O253" s="4">
        <v>0</v>
      </c>
      <c r="P253" s="4">
        <f>O253*20%</f>
      </c>
      <c r="Q253" s="4">
        <v>1</v>
      </c>
      <c r="R253" s="4">
        <f>N253+P253</f>
      </c>
      <c r="S253" s="4">
        <f>K253-L253-M253-N253-O253-P253-Q253</f>
      </c>
      <c r="T253" s="4">
        <f>(S253-V253)/I253*100</f>
      </c>
      <c r="U253" s="4">
        <f>L253-R253</f>
      </c>
      <c r="W253" s="4">
        <f>S253-V253</f>
      </c>
      <c r="AB253" t="s">
        <v>1</v>
      </c>
    </row>
    <row r="254" spans="1:28" x14ac:dyDescent="0.25">
      <c r="A254" s="8">
        <v>46186.5</v>
      </c>
      <c r="B254" t="s">
        <v>2763</v>
      </c>
      <c r="C254" t="s">
        <v>1</v>
      </c>
      <c r="D254" s="9" t="s">
        <v>2764</v>
      </c>
      <c r="E254" t="s">
        <v>98</v>
      </c>
      <c r="F254" t="s">
        <v>105</v>
      </c>
      <c r="G254" t="s">
        <v>65</v>
      </c>
      <c r="H254" t="s">
        <v>78</v>
      </c>
      <c r="I254" s="4">
        <v>318</v>
      </c>
      <c r="J254" s="4">
        <v>391.14</v>
      </c>
      <c r="K254" s="4">
        <f>J254-I254</f>
      </c>
      <c r="L254" s="4">
        <f>K254*16.67%</f>
      </c>
      <c r="M254" s="4">
        <f>J254*7%</f>
      </c>
      <c r="N254" s="4">
        <f>M254*20%</f>
      </c>
      <c r="O254" s="4">
        <v>0</v>
      </c>
      <c r="P254" s="4">
        <f>O254*20%</f>
      </c>
      <c r="Q254" s="4">
        <v>1</v>
      </c>
      <c r="R254" s="4">
        <f>N254+P254</f>
      </c>
      <c r="S254" s="4">
        <f>K254-L254-M254-N254-O254-P254-Q254</f>
      </c>
      <c r="T254" s="4">
        <f>(S254-V254)/I254*100</f>
      </c>
      <c r="U254" s="4">
        <f>L254-R254</f>
      </c>
      <c r="W254" s="4">
        <f>S254-V254</f>
      </c>
      <c r="AB254" t="s">
        <v>1</v>
      </c>
    </row>
    <row r="255" spans="1:28" x14ac:dyDescent="0.25">
      <c r="A255" s="8">
        <v>46185.5</v>
      </c>
      <c r="B255" t="s">
        <v>2765</v>
      </c>
      <c r="C255" t="s">
        <v>1</v>
      </c>
      <c r="D255" s="9" t="s">
        <v>2766</v>
      </c>
      <c r="E255" t="s">
        <v>292</v>
      </c>
      <c r="F255" t="s">
        <v>59</v>
      </c>
      <c r="G255" t="s">
        <v>126</v>
      </c>
      <c r="H255" t="s">
        <v>61</v>
      </c>
      <c r="I255" s="4">
        <v>190</v>
      </c>
      <c r="J255" s="4">
        <v>228</v>
      </c>
      <c r="K255" s="4">
        <f>J255-I255</f>
      </c>
      <c r="L255" s="4">
        <f>K255*16.67%</f>
      </c>
      <c r="M255" s="4">
        <f>J255*7%</f>
      </c>
      <c r="N255" s="4">
        <f>M255*20%</f>
      </c>
      <c r="O255" s="4">
        <v>0</v>
      </c>
      <c r="P255" s="4">
        <f>O255*20%</f>
      </c>
      <c r="Q255" s="4">
        <v>1</v>
      </c>
      <c r="R255" s="4">
        <f>N255+P255</f>
      </c>
      <c r="S255" s="4">
        <f>K255-L255-M255-N255-O255-P255-Q255</f>
      </c>
      <c r="T255" s="4">
        <f>(S255-V255)/I255*100</f>
      </c>
      <c r="U255" s="4">
        <f>L255-R255</f>
      </c>
      <c r="W255" s="4">
        <f>S255-V255</f>
      </c>
      <c r="AB255" t="s">
        <v>1</v>
      </c>
    </row>
    <row r="256" spans="1:28" x14ac:dyDescent="0.25">
      <c r="A256" s="8">
        <v>46185.5</v>
      </c>
      <c r="B256" t="s">
        <v>2767</v>
      </c>
      <c r="C256" t="s">
        <v>1</v>
      </c>
      <c r="D256" s="9" t="s">
        <v>2768</v>
      </c>
      <c r="E256" t="s">
        <v>81</v>
      </c>
      <c r="F256" t="s">
        <v>88</v>
      </c>
      <c r="G256" t="s">
        <v>65</v>
      </c>
      <c r="H256" t="s">
        <v>75</v>
      </c>
      <c r="I256" s="4">
        <v>523</v>
      </c>
      <c r="J256" s="4">
        <v>700.82</v>
      </c>
      <c r="K256" s="4">
        <f>J256-I256</f>
      </c>
      <c r="L256" s="4">
        <f>K256*16.67%</f>
      </c>
      <c r="M256" s="4">
        <f>J256*7%</f>
      </c>
      <c r="N256" s="4">
        <f>M256*20%</f>
      </c>
      <c r="O256" s="4">
        <v>0</v>
      </c>
      <c r="P256" s="4">
        <f>O256*20%</f>
      </c>
      <c r="Q256" s="4">
        <v>1</v>
      </c>
      <c r="R256" s="4">
        <f>N256+P256</f>
      </c>
      <c r="S256" s="4">
        <f>K256-L256-M256-N256-O256-P256-Q256</f>
      </c>
      <c r="T256" s="4">
        <f>(S256-V256)/I256*100</f>
      </c>
      <c r="U256" s="4">
        <f>L256-R256</f>
      </c>
      <c r="W256" s="4">
        <f>S256-V256</f>
      </c>
      <c r="AB256" t="s">
        <v>1</v>
      </c>
    </row>
    <row r="257" spans="1:28" x14ac:dyDescent="0.25">
      <c r="A257" s="8">
        <v>46185.5</v>
      </c>
      <c r="B257" t="s">
        <v>2769</v>
      </c>
      <c r="C257" t="s">
        <v>177</v>
      </c>
      <c r="D257" s="9" t="s">
        <v>1</v>
      </c>
      <c r="E257" t="s">
        <v>177</v>
      </c>
      <c r="F257" t="s">
        <v>1</v>
      </c>
      <c r="G257" t="s">
        <v>1</v>
      </c>
      <c r="H257" t="s">
        <v>78</v>
      </c>
      <c r="I257" s="4">
        <v>0.15</v>
      </c>
      <c r="J257" s="4">
        <v>0.21</v>
      </c>
      <c r="K257" s="4">
        <f>J257-I257</f>
      </c>
      <c r="L257" s="4">
        <f>K257*16.67%</f>
      </c>
      <c r="M257" s="4">
        <f>J257*7%</f>
      </c>
      <c r="N257" s="4">
        <f>M257*20%</f>
      </c>
      <c r="O257" s="4">
        <v>0</v>
      </c>
      <c r="P257" s="4">
        <f>O257*20%</f>
      </c>
      <c r="Q257" s="4">
        <v>0</v>
      </c>
      <c r="R257" s="4">
        <f>N257+P257</f>
      </c>
      <c r="S257" s="4">
        <f>K257-L257-M257-N257-O257-P257-Q257</f>
      </c>
      <c r="T257" s="4">
        <f>(S257-V257)/I257*100</f>
      </c>
      <c r="U257" s="4">
        <f>L257-R257</f>
      </c>
      <c r="W257" s="4">
        <f>S257-V257</f>
      </c>
      <c r="AB257" t="s">
        <v>1</v>
      </c>
    </row>
    <row r="258" spans="1:28" x14ac:dyDescent="0.25">
      <c r="A258" s="8">
        <v>46185.5</v>
      </c>
      <c r="B258" t="s">
        <v>2770</v>
      </c>
      <c r="C258" t="s">
        <v>185</v>
      </c>
      <c r="D258" s="9" t="s">
        <v>1</v>
      </c>
      <c r="E258" t="s">
        <v>185</v>
      </c>
      <c r="F258" t="s">
        <v>1</v>
      </c>
      <c r="G258" t="s">
        <v>1</v>
      </c>
      <c r="H258" t="s">
        <v>102</v>
      </c>
      <c r="I258" s="4">
        <v>1.2</v>
      </c>
      <c r="J258" s="4">
        <v>1.51</v>
      </c>
      <c r="K258" s="4">
        <f>J258-I258</f>
      </c>
      <c r="L258" s="4">
        <f>K258*16.67%</f>
      </c>
      <c r="M258" s="4">
        <f>J258*7%</f>
      </c>
      <c r="N258" s="4">
        <f>M258*20%</f>
      </c>
      <c r="O258" s="4">
        <v>0</v>
      </c>
      <c r="P258" s="4">
        <f>O258*20%</f>
      </c>
      <c r="Q258" s="4">
        <v>0</v>
      </c>
      <c r="R258" s="4">
        <f>N258+P258</f>
      </c>
      <c r="S258" s="4">
        <f>K258-L258-M258-N258-O258-P258-Q258</f>
      </c>
      <c r="T258" s="4">
        <f>(S258-V258)/I258*100</f>
      </c>
      <c r="U258" s="4">
        <f>L258-R258</f>
      </c>
      <c r="W258" s="4">
        <f>S258-V258</f>
      </c>
      <c r="AB258" t="s">
        <v>1</v>
      </c>
    </row>
    <row r="259" spans="1:28" x14ac:dyDescent="0.25">
      <c r="A259" s="8">
        <v>46184.5</v>
      </c>
      <c r="B259" t="s">
        <v>2771</v>
      </c>
      <c r="C259" t="s">
        <v>1</v>
      </c>
      <c r="D259" s="9" t="s">
        <v>2772</v>
      </c>
      <c r="E259" t="s">
        <v>125</v>
      </c>
      <c r="F259" t="s">
        <v>85</v>
      </c>
      <c r="G259" t="s">
        <v>126</v>
      </c>
      <c r="H259" t="s">
        <v>61</v>
      </c>
      <c r="I259" s="4">
        <v>281</v>
      </c>
      <c r="J259" s="4">
        <v>396.21</v>
      </c>
      <c r="K259" s="4">
        <f>J259-I259</f>
      </c>
      <c r="L259" s="4">
        <f>K259*16.67%</f>
      </c>
      <c r="M259" s="4">
        <f>J259*7%</f>
      </c>
      <c r="N259" s="4">
        <f>M259*20%</f>
      </c>
      <c r="O259" s="4">
        <v>0</v>
      </c>
      <c r="P259" s="4">
        <f>O259*20%</f>
      </c>
      <c r="Q259" s="4">
        <v>1</v>
      </c>
      <c r="R259" s="4">
        <f>N259+P259</f>
      </c>
      <c r="S259" s="4">
        <f>K259-L259-M259-N259-O259-P259-Q259</f>
      </c>
      <c r="T259" s="4">
        <f>(S259-V259)/I259*100</f>
      </c>
      <c r="U259" s="4">
        <f>L259-R259</f>
      </c>
      <c r="W259" s="4">
        <f>S259-V259</f>
      </c>
      <c r="AB259" t="s">
        <v>1</v>
      </c>
    </row>
    <row r="260" spans="1:28" x14ac:dyDescent="0.25">
      <c r="A260" s="8">
        <v>46184.5</v>
      </c>
      <c r="B260" t="s">
        <v>2773</v>
      </c>
      <c r="C260" t="s">
        <v>1</v>
      </c>
      <c r="D260" s="9" t="s">
        <v>2774</v>
      </c>
      <c r="E260" t="s">
        <v>234</v>
      </c>
      <c r="F260" t="s">
        <v>70</v>
      </c>
      <c r="G260" t="s">
        <v>65</v>
      </c>
      <c r="H260" t="s">
        <v>102</v>
      </c>
      <c r="I260" s="4">
        <v>165</v>
      </c>
      <c r="J260" s="4">
        <v>207.9</v>
      </c>
      <c r="K260" s="4">
        <f>J260-I260</f>
      </c>
      <c r="L260" s="4">
        <f>K260*16.67%</f>
      </c>
      <c r="M260" s="4">
        <f>J260*7%</f>
      </c>
      <c r="N260" s="4">
        <f>M260*20%</f>
      </c>
      <c r="O260" s="4">
        <v>0</v>
      </c>
      <c r="P260" s="4">
        <f>O260*20%</f>
      </c>
      <c r="Q260" s="4">
        <v>1</v>
      </c>
      <c r="R260" s="4">
        <f>N260+P260</f>
      </c>
      <c r="S260" s="4">
        <f>K260-L260-M260-N260-O260-P260-Q260</f>
      </c>
      <c r="T260" s="4">
        <f>(S260-V260)/I260*100</f>
      </c>
      <c r="U260" s="4">
        <f>L260-R260</f>
      </c>
      <c r="W260" s="4">
        <f>S260-V260</f>
      </c>
      <c r="AB260" t="s">
        <v>1</v>
      </c>
    </row>
    <row r="261" spans="1:28" x14ac:dyDescent="0.25">
      <c r="A261" s="8">
        <v>46184.5</v>
      </c>
      <c r="B261" t="s">
        <v>2775</v>
      </c>
      <c r="C261" t="s">
        <v>182</v>
      </c>
      <c r="D261" s="9" t="s">
        <v>1</v>
      </c>
      <c r="E261" t="s">
        <v>182</v>
      </c>
      <c r="F261" t="s">
        <v>1</v>
      </c>
      <c r="G261" t="s">
        <v>1</v>
      </c>
      <c r="H261" t="s">
        <v>75</v>
      </c>
      <c r="I261" s="4">
        <v>1.9</v>
      </c>
      <c r="J261" s="4">
        <v>2.49</v>
      </c>
      <c r="K261" s="4">
        <f>J261-I261</f>
      </c>
      <c r="L261" s="4">
        <f>K261*16.67%</f>
      </c>
      <c r="M261" s="4">
        <f>J261*7%</f>
      </c>
      <c r="N261" s="4">
        <f>M261*20%</f>
      </c>
      <c r="O261" s="4">
        <v>0</v>
      </c>
      <c r="P261" s="4">
        <f>O261*20%</f>
      </c>
      <c r="Q261" s="4">
        <v>0</v>
      </c>
      <c r="R261" s="4">
        <f>N261+P261</f>
      </c>
      <c r="S261" s="4">
        <f>K261-L261-M261-N261-O261-P261-Q261</f>
      </c>
      <c r="T261" s="4">
        <f>(S261-V261)/I261*100</f>
      </c>
      <c r="U261" s="4">
        <f>L261-R261</f>
      </c>
      <c r="W261" s="4">
        <f>S261-V261</f>
      </c>
      <c r="AB261" t="s">
        <v>1</v>
      </c>
    </row>
    <row r="262" spans="1:28" x14ac:dyDescent="0.25">
      <c r="A262" s="8">
        <v>46183.5</v>
      </c>
      <c r="B262" t="s">
        <v>2776</v>
      </c>
      <c r="C262" t="s">
        <v>1</v>
      </c>
      <c r="D262" s="9" t="s">
        <v>2777</v>
      </c>
      <c r="E262" t="s">
        <v>84</v>
      </c>
      <c r="F262" t="s">
        <v>99</v>
      </c>
      <c r="G262" t="s">
        <v>60</v>
      </c>
      <c r="H262" t="s">
        <v>66</v>
      </c>
      <c r="I262" s="4">
        <v>672</v>
      </c>
      <c r="J262" s="4">
        <v>887.04</v>
      </c>
      <c r="K262" s="4">
        <f>J262-I262</f>
      </c>
      <c r="L262" s="4">
        <f>K262*16.67%</f>
      </c>
      <c r="M262" s="4">
        <f>J262*7%</f>
      </c>
      <c r="N262" s="4">
        <f>M262*20%</f>
      </c>
      <c r="O262" s="4">
        <v>0</v>
      </c>
      <c r="P262" s="4">
        <f>O262*20%</f>
      </c>
      <c r="Q262" s="4">
        <v>1</v>
      </c>
      <c r="R262" s="4">
        <f>N262+P262</f>
      </c>
      <c r="S262" s="4">
        <f>K262-L262-M262-N262-O262-P262-Q262</f>
      </c>
      <c r="T262" s="4">
        <f>(S262-V262)/I262*100</f>
      </c>
      <c r="U262" s="4">
        <f>L262-R262</f>
      </c>
      <c r="W262" s="4">
        <f>S262-V262</f>
      </c>
      <c r="AB262" t="s">
        <v>1</v>
      </c>
    </row>
    <row r="263" spans="1:28" x14ac:dyDescent="0.25">
      <c r="A263" s="8">
        <v>46183.5</v>
      </c>
      <c r="B263" t="s">
        <v>2778</v>
      </c>
      <c r="C263" t="s">
        <v>1</v>
      </c>
      <c r="D263" s="9" t="s">
        <v>2779</v>
      </c>
      <c r="E263" t="s">
        <v>125</v>
      </c>
      <c r="F263" t="s">
        <v>70</v>
      </c>
      <c r="G263" t="s">
        <v>126</v>
      </c>
      <c r="H263" t="s">
        <v>75</v>
      </c>
      <c r="I263" s="4">
        <v>223</v>
      </c>
      <c r="J263" s="4">
        <v>307.74</v>
      </c>
      <c r="K263" s="4">
        <f>J263-I263</f>
      </c>
      <c r="L263" s="4">
        <f>K263*16.67%</f>
      </c>
      <c r="M263" s="4">
        <f>J263*7%</f>
      </c>
      <c r="N263" s="4">
        <f>M263*20%</f>
      </c>
      <c r="O263" s="4">
        <v>0</v>
      </c>
      <c r="P263" s="4">
        <f>O263*20%</f>
      </c>
      <c r="Q263" s="4">
        <v>1</v>
      </c>
      <c r="R263" s="4">
        <f>N263+P263</f>
      </c>
      <c r="S263" s="4">
        <f>K263-L263-M263-N263-O263-P263-Q263</f>
      </c>
      <c r="T263" s="4">
        <f>(S263-V263)/I263*100</f>
      </c>
      <c r="U263" s="4">
        <f>L263-R263</f>
      </c>
      <c r="W263" s="4">
        <f>S263-V263</f>
      </c>
      <c r="AB263" t="s">
        <v>1</v>
      </c>
    </row>
    <row r="264" spans="1:28" x14ac:dyDescent="0.25">
      <c r="A264" s="8">
        <v>46183.5</v>
      </c>
      <c r="B264" t="s">
        <v>2780</v>
      </c>
      <c r="C264" t="s">
        <v>185</v>
      </c>
      <c r="D264" s="9" t="s">
        <v>1</v>
      </c>
      <c r="E264" t="s">
        <v>185</v>
      </c>
      <c r="F264" t="s">
        <v>1</v>
      </c>
      <c r="G264" t="s">
        <v>1</v>
      </c>
      <c r="H264" t="s">
        <v>102</v>
      </c>
      <c r="I264" s="4">
        <v>1.2</v>
      </c>
      <c r="J264" s="4">
        <v>1.52</v>
      </c>
      <c r="K264" s="4">
        <f>J264-I264</f>
      </c>
      <c r="L264" s="4">
        <f>K264*16.67%</f>
      </c>
      <c r="M264" s="4">
        <f>J264*7%</f>
      </c>
      <c r="N264" s="4">
        <f>M264*20%</f>
      </c>
      <c r="O264" s="4">
        <v>0</v>
      </c>
      <c r="P264" s="4">
        <f>O264*20%</f>
      </c>
      <c r="Q264" s="4">
        <v>0</v>
      </c>
      <c r="R264" s="4">
        <f>N264+P264</f>
      </c>
      <c r="S264" s="4">
        <f>K264-L264-M264-N264-O264-P264-Q264</f>
      </c>
      <c r="T264" s="4">
        <f>(S264-V264)/I264*100</f>
      </c>
      <c r="U264" s="4">
        <f>L264-R264</f>
      </c>
      <c r="W264" s="4">
        <f>S264-V264</f>
      </c>
      <c r="AB264" t="s">
        <v>1</v>
      </c>
    </row>
    <row r="265" spans="1:28" x14ac:dyDescent="0.25">
      <c r="A265" s="8">
        <v>46182.5</v>
      </c>
      <c r="B265" t="s">
        <v>2781</v>
      </c>
      <c r="C265" t="s">
        <v>1</v>
      </c>
      <c r="D265" s="9" t="s">
        <v>2782</v>
      </c>
      <c r="E265" t="s">
        <v>114</v>
      </c>
      <c r="F265" t="s">
        <v>88</v>
      </c>
      <c r="G265" t="s">
        <v>60</v>
      </c>
      <c r="H265" t="s">
        <v>61</v>
      </c>
      <c r="I265" s="4">
        <v>229</v>
      </c>
      <c r="J265" s="4">
        <v>283.96</v>
      </c>
      <c r="K265" s="4">
        <f>J265-I265</f>
      </c>
      <c r="L265" s="4">
        <f>K265*16.67%</f>
      </c>
      <c r="M265" s="4">
        <f>J265*7%</f>
      </c>
      <c r="N265" s="4">
        <f>M265*20%</f>
      </c>
      <c r="O265" s="4">
        <v>0</v>
      </c>
      <c r="P265" s="4">
        <f>O265*20%</f>
      </c>
      <c r="Q265" s="4">
        <v>1</v>
      </c>
      <c r="R265" s="4">
        <f>N265+P265</f>
      </c>
      <c r="S265" s="4">
        <f>K265-L265-M265-N265-O265-P265-Q265</f>
      </c>
      <c r="T265" s="4">
        <f>(S265-V265)/I265*100</f>
      </c>
      <c r="U265" s="4">
        <f>L265-R265</f>
      </c>
      <c r="W265" s="4">
        <f>S265-V265</f>
      </c>
      <c r="AB265" t="s">
        <v>1</v>
      </c>
    </row>
    <row r="266" spans="1:28" x14ac:dyDescent="0.25">
      <c r="A266" s="8">
        <v>46182.5</v>
      </c>
      <c r="B266" t="s">
        <v>2783</v>
      </c>
      <c r="C266" t="s">
        <v>1</v>
      </c>
      <c r="D266" s="9" t="s">
        <v>2784</v>
      </c>
      <c r="E266" t="s">
        <v>98</v>
      </c>
      <c r="F266" t="s">
        <v>70</v>
      </c>
      <c r="G266" t="s">
        <v>65</v>
      </c>
      <c r="H266" t="s">
        <v>75</v>
      </c>
      <c r="I266" s="4">
        <v>336</v>
      </c>
      <c r="J266" s="4">
        <v>416.64</v>
      </c>
      <c r="K266" s="4">
        <f>J266-I266</f>
      </c>
      <c r="L266" s="4">
        <f>K266*16.67%</f>
      </c>
      <c r="M266" s="4">
        <f>J266*7%</f>
      </c>
      <c r="N266" s="4">
        <f>M266*20%</f>
      </c>
      <c r="O266" s="4">
        <v>0</v>
      </c>
      <c r="P266" s="4">
        <f>O266*20%</f>
      </c>
      <c r="Q266" s="4">
        <v>1</v>
      </c>
      <c r="R266" s="4">
        <f>N266+P266</f>
      </c>
      <c r="S266" s="4">
        <f>K266-L266-M266-N266-O266-P266-Q266</f>
      </c>
      <c r="T266" s="4">
        <f>(S266-V266)/I266*100</f>
      </c>
      <c r="U266" s="4">
        <f>L266-R266</f>
      </c>
      <c r="W266" s="4">
        <f>S266-V266</f>
      </c>
      <c r="AB266" t="s">
        <v>1</v>
      </c>
    </row>
    <row r="267" spans="1:28" x14ac:dyDescent="0.25">
      <c r="A267" s="8">
        <v>46182.5</v>
      </c>
      <c r="B267" t="s">
        <v>2785</v>
      </c>
      <c r="C267" t="s">
        <v>1</v>
      </c>
      <c r="D267" s="9" t="s">
        <v>2786</v>
      </c>
      <c r="E267" t="s">
        <v>73</v>
      </c>
      <c r="F267" t="s">
        <v>88</v>
      </c>
      <c r="G267" t="s">
        <v>60</v>
      </c>
      <c r="H267" t="s">
        <v>75</v>
      </c>
      <c r="I267" s="4">
        <v>331</v>
      </c>
      <c r="J267" s="4">
        <v>420.37</v>
      </c>
      <c r="K267" s="4">
        <f>J267-I267</f>
      </c>
      <c r="L267" s="4">
        <f>K267*16.67%</f>
      </c>
      <c r="M267" s="4">
        <f>J267*7%</f>
      </c>
      <c r="N267" s="4">
        <f>M267*20%</f>
      </c>
      <c r="O267" s="4">
        <v>0</v>
      </c>
      <c r="P267" s="4">
        <f>O267*20%</f>
      </c>
      <c r="Q267" s="4">
        <v>1</v>
      </c>
      <c r="R267" s="4">
        <f>N267+P267</f>
      </c>
      <c r="S267" s="4">
        <f>K267-L267-M267-N267-O267-P267-Q267</f>
      </c>
      <c r="T267" s="4">
        <f>(S267-V267)/I267*100</f>
      </c>
      <c r="U267" s="4">
        <f>L267-R267</f>
      </c>
      <c r="W267" s="4">
        <f>S267-V267</f>
      </c>
      <c r="AB267" t="s">
        <v>1</v>
      </c>
    </row>
    <row r="268" spans="1:28" x14ac:dyDescent="0.25">
      <c r="A268" s="8">
        <v>46182.5</v>
      </c>
      <c r="B268" t="s">
        <v>2787</v>
      </c>
      <c r="C268" t="s">
        <v>1</v>
      </c>
      <c r="D268" s="9" t="s">
        <v>2788</v>
      </c>
      <c r="E268" t="s">
        <v>98</v>
      </c>
      <c r="F268" t="s">
        <v>74</v>
      </c>
      <c r="G268" t="s">
        <v>60</v>
      </c>
      <c r="H268" t="s">
        <v>102</v>
      </c>
      <c r="I268" s="4">
        <v>329</v>
      </c>
      <c r="J268" s="4">
        <v>440.86</v>
      </c>
      <c r="K268" s="4">
        <f>J268-I268</f>
      </c>
      <c r="L268" s="4">
        <f>K268*16.67%</f>
      </c>
      <c r="M268" s="4">
        <f>J268*7%</f>
      </c>
      <c r="N268" s="4">
        <f>M268*20%</f>
      </c>
      <c r="O268" s="4">
        <v>0</v>
      </c>
      <c r="P268" s="4">
        <f>O268*20%</f>
      </c>
      <c r="Q268" s="4">
        <v>1</v>
      </c>
      <c r="R268" s="4">
        <f>N268+P268</f>
      </c>
      <c r="S268" s="4">
        <f>K268-L268-M268-N268-O268-P268-Q268</f>
      </c>
      <c r="T268" s="4">
        <f>(S268-V268)/I268*100</f>
      </c>
      <c r="U268" s="4">
        <f>L268-R268</f>
      </c>
      <c r="W268" s="4">
        <f>S268-V268</f>
      </c>
      <c r="AB268" t="s">
        <v>1</v>
      </c>
    </row>
    <row r="269" spans="1:28" x14ac:dyDescent="0.25">
      <c r="A269" s="8">
        <v>46182.5</v>
      </c>
      <c r="B269" t="s">
        <v>2789</v>
      </c>
      <c r="C269" t="s">
        <v>174</v>
      </c>
      <c r="D269" s="9" t="s">
        <v>1</v>
      </c>
      <c r="E269" t="s">
        <v>174</v>
      </c>
      <c r="F269" t="s">
        <v>1</v>
      </c>
      <c r="G269" t="s">
        <v>1</v>
      </c>
      <c r="H269" t="s">
        <v>66</v>
      </c>
      <c r="I269" s="4">
        <v>4.25</v>
      </c>
      <c r="J269" s="4">
        <v>5.78</v>
      </c>
      <c r="K269" s="4">
        <f>J269-I269</f>
      </c>
      <c r="L269" s="4">
        <f>K269*16.67%</f>
      </c>
      <c r="M269" s="4">
        <f>J269*7%</f>
      </c>
      <c r="N269" s="4">
        <f>M269*20%</f>
      </c>
      <c r="O269" s="4">
        <v>0</v>
      </c>
      <c r="P269" s="4">
        <f>O269*20%</f>
      </c>
      <c r="Q269" s="4">
        <v>0</v>
      </c>
      <c r="R269" s="4">
        <f>N269+P269</f>
      </c>
      <c r="S269" s="4">
        <f>K269-L269-M269-N269-O269-P269-Q269</f>
      </c>
      <c r="T269" s="4">
        <f>(S269-V269)/I269*100</f>
      </c>
      <c r="U269" s="4">
        <f>L269-R269</f>
      </c>
      <c r="W269" s="4">
        <f>S269-V269</f>
      </c>
      <c r="AB269" t="s">
        <v>1</v>
      </c>
    </row>
    <row r="270" spans="1:28" x14ac:dyDescent="0.25">
      <c r="A270" s="8">
        <v>46182.5</v>
      </c>
      <c r="B270" t="s">
        <v>2790</v>
      </c>
      <c r="C270" t="s">
        <v>254</v>
      </c>
      <c r="D270" s="9" t="s">
        <v>1</v>
      </c>
      <c r="E270" t="s">
        <v>254</v>
      </c>
      <c r="F270" t="s">
        <v>1</v>
      </c>
      <c r="G270" t="s">
        <v>1</v>
      </c>
      <c r="H270" t="s">
        <v>61</v>
      </c>
      <c r="I270" s="4">
        <v>0.8</v>
      </c>
      <c r="J270" s="4">
        <v>1.11</v>
      </c>
      <c r="K270" s="4">
        <f>J270-I270</f>
      </c>
      <c r="L270" s="4">
        <f>K270*16.67%</f>
      </c>
      <c r="M270" s="4">
        <f>J270*7%</f>
      </c>
      <c r="N270" s="4">
        <f>M270*20%</f>
      </c>
      <c r="O270" s="4">
        <v>0</v>
      </c>
      <c r="P270" s="4">
        <f>O270*20%</f>
      </c>
      <c r="Q270" s="4">
        <v>0</v>
      </c>
      <c r="R270" s="4">
        <f>N270+P270</f>
      </c>
      <c r="S270" s="4">
        <f>K270-L270-M270-N270-O270-P270-Q270</f>
      </c>
      <c r="T270" s="4">
        <f>(S270-V270)/I270*100</f>
      </c>
      <c r="U270" s="4">
        <f>L270-R270</f>
      </c>
      <c r="W270" s="4">
        <f>S270-V270</f>
      </c>
      <c r="AB270" t="s">
        <v>1</v>
      </c>
    </row>
    <row r="271" spans="1:28" x14ac:dyDescent="0.25">
      <c r="A271" s="8">
        <v>46182.5</v>
      </c>
      <c r="B271" t="s">
        <v>2791</v>
      </c>
      <c r="C271" t="s">
        <v>1</v>
      </c>
      <c r="D271" s="9" t="s">
        <v>1</v>
      </c>
      <c r="E271" t="s">
        <v>1</v>
      </c>
      <c r="F271" t="s">
        <v>1</v>
      </c>
      <c r="G271" t="s">
        <v>1</v>
      </c>
      <c r="H271" t="s">
        <v>66</v>
      </c>
      <c r="I271" s="4">
        <v>61</v>
      </c>
      <c r="J271" s="4">
        <v>77.47</v>
      </c>
      <c r="K271" s="4">
        <f>J271-I271</f>
      </c>
      <c r="L271" s="4">
        <f>K271*16.67%</f>
      </c>
      <c r="M271" s="4">
        <f>J271*7%</f>
      </c>
      <c r="N271" s="4">
        <f>M271*20%</f>
      </c>
      <c r="O271" s="4">
        <v>0</v>
      </c>
      <c r="P271" s="4">
        <f>O271*20%</f>
      </c>
      <c r="Q271" s="4">
        <v>1</v>
      </c>
      <c r="R271" s="4">
        <f>N271+P271</f>
      </c>
      <c r="S271" s="4">
        <f>K271-L271-M271-N271-O271-P271-Q271</f>
      </c>
      <c r="T271" s="4">
        <f>(S271-V271)/I271*100</f>
      </c>
      <c r="U271" s="4">
        <f>L271-R271</f>
      </c>
      <c r="W271" s="4">
        <f>S271-V271</f>
      </c>
      <c r="AB271" t="s">
        <v>1</v>
      </c>
    </row>
    <row r="272" spans="1:28" x14ac:dyDescent="0.25">
      <c r="A272" s="8">
        <v>46181.5</v>
      </c>
      <c r="B272" t="s">
        <v>2792</v>
      </c>
      <c r="C272" t="s">
        <v>1</v>
      </c>
      <c r="D272" s="9" t="s">
        <v>2793</v>
      </c>
      <c r="E272" t="s">
        <v>73</v>
      </c>
      <c r="F272" t="s">
        <v>99</v>
      </c>
      <c r="G272" t="s">
        <v>60</v>
      </c>
      <c r="H272" t="s">
        <v>78</v>
      </c>
      <c r="I272" s="4">
        <v>350</v>
      </c>
      <c r="J272" s="4">
        <v>441</v>
      </c>
      <c r="K272" s="4">
        <f>J272-I272</f>
      </c>
      <c r="L272" s="4">
        <f>K272*16.67%</f>
      </c>
      <c r="M272" s="4">
        <f>J272*7%</f>
      </c>
      <c r="N272" s="4">
        <f>M272*20%</f>
      </c>
      <c r="O272" s="4">
        <v>0</v>
      </c>
      <c r="P272" s="4">
        <f>O272*20%</f>
      </c>
      <c r="Q272" s="4">
        <v>1</v>
      </c>
      <c r="R272" s="4">
        <f>N272+P272</f>
      </c>
      <c r="S272" s="4">
        <f>K272-L272-M272-N272-O272-P272-Q272</f>
      </c>
      <c r="T272" s="4">
        <f>(S272-V272)/I272*100</f>
      </c>
      <c r="U272" s="4">
        <f>L272-R272</f>
      </c>
      <c r="W272" s="4">
        <f>S272-V272</f>
      </c>
      <c r="AB272" t="s">
        <v>1</v>
      </c>
    </row>
    <row r="273" spans="1:28" x14ac:dyDescent="0.25">
      <c r="A273" s="8">
        <v>46181.5</v>
      </c>
      <c r="B273" t="s">
        <v>2794</v>
      </c>
      <c r="C273" t="s">
        <v>1</v>
      </c>
      <c r="D273" s="9" t="s">
        <v>2795</v>
      </c>
      <c r="E273" t="s">
        <v>114</v>
      </c>
      <c r="F273" t="s">
        <v>70</v>
      </c>
      <c r="G273" t="s">
        <v>60</v>
      </c>
      <c r="H273" t="s">
        <v>66</v>
      </c>
      <c r="I273" s="4">
        <v>246</v>
      </c>
      <c r="J273" s="4">
        <v>327.18</v>
      </c>
      <c r="K273" s="4">
        <f>J273-I273</f>
      </c>
      <c r="L273" s="4">
        <f>K273*16.67%</f>
      </c>
      <c r="M273" s="4">
        <f>J273*7%</f>
      </c>
      <c r="N273" s="4">
        <f>M273*20%</f>
      </c>
      <c r="O273" s="4">
        <v>0</v>
      </c>
      <c r="P273" s="4">
        <f>O273*20%</f>
      </c>
      <c r="Q273" s="4">
        <v>1</v>
      </c>
      <c r="R273" s="4">
        <f>N273+P273</f>
      </c>
      <c r="S273" s="4">
        <f>K273-L273-M273-N273-O273-P273-Q273</f>
      </c>
      <c r="T273" s="4">
        <f>(S273-V273)/I273*100</f>
      </c>
      <c r="U273" s="4">
        <f>L273-R273</f>
      </c>
      <c r="W273" s="4">
        <f>S273-V273</f>
      </c>
      <c r="AB273" t="s">
        <v>1</v>
      </c>
    </row>
    <row r="274" spans="1:28" x14ac:dyDescent="0.25">
      <c r="A274" s="8">
        <v>46181.5</v>
      </c>
      <c r="B274" t="s">
        <v>2796</v>
      </c>
      <c r="C274" t="s">
        <v>1</v>
      </c>
      <c r="D274" s="9" t="s">
        <v>2797</v>
      </c>
      <c r="E274" t="s">
        <v>73</v>
      </c>
      <c r="F274" t="s">
        <v>59</v>
      </c>
      <c r="G274" t="s">
        <v>60</v>
      </c>
      <c r="H274" t="s">
        <v>61</v>
      </c>
      <c r="I274" s="4">
        <v>356</v>
      </c>
      <c r="J274" s="4">
        <v>427.2</v>
      </c>
      <c r="K274" s="4">
        <f>J274-I274</f>
      </c>
      <c r="L274" s="4">
        <f>K274*16.67%</f>
      </c>
      <c r="M274" s="4">
        <f>J274*7%</f>
      </c>
      <c r="N274" s="4">
        <f>M274*20%</f>
      </c>
      <c r="O274" s="4">
        <v>0</v>
      </c>
      <c r="P274" s="4">
        <f>O274*20%</f>
      </c>
      <c r="Q274" s="4">
        <v>1</v>
      </c>
      <c r="R274" s="4">
        <f>N274+P274</f>
      </c>
      <c r="S274" s="4">
        <f>K274-L274-M274-N274-O274-P274-Q274</f>
      </c>
      <c r="T274" s="4">
        <f>(S274-V274)/I274*100</f>
      </c>
      <c r="U274" s="4">
        <f>L274-R274</f>
      </c>
      <c r="W274" s="4">
        <f>S274-V274</f>
      </c>
      <c r="AB274" t="s">
        <v>1</v>
      </c>
    </row>
    <row r="275" spans="1:28" x14ac:dyDescent="0.25">
      <c r="A275" s="8">
        <v>46181.5</v>
      </c>
      <c r="B275" t="s">
        <v>2798</v>
      </c>
      <c r="C275" t="s">
        <v>182</v>
      </c>
      <c r="D275" s="9" t="s">
        <v>1</v>
      </c>
      <c r="E275" t="s">
        <v>182</v>
      </c>
      <c r="F275" t="s">
        <v>1</v>
      </c>
      <c r="G275" t="s">
        <v>1</v>
      </c>
      <c r="H275" t="s">
        <v>75</v>
      </c>
      <c r="I275" s="4">
        <v>1.9</v>
      </c>
      <c r="J275" s="4">
        <v>2.49</v>
      </c>
      <c r="K275" s="4">
        <f>J275-I275</f>
      </c>
      <c r="L275" s="4">
        <f>K275*16.67%</f>
      </c>
      <c r="M275" s="4">
        <f>J275*7%</f>
      </c>
      <c r="N275" s="4">
        <f>M275*20%</f>
      </c>
      <c r="O275" s="4">
        <v>0</v>
      </c>
      <c r="P275" s="4">
        <f>O275*20%</f>
      </c>
      <c r="Q275" s="4">
        <v>0</v>
      </c>
      <c r="R275" s="4">
        <f>N275+P275</f>
      </c>
      <c r="S275" s="4">
        <f>K275-L275-M275-N275-O275-P275-Q275</f>
      </c>
      <c r="T275" s="4">
        <f>(S275-V275)/I275*100</f>
      </c>
      <c r="U275" s="4">
        <f>L275-R275</f>
      </c>
      <c r="W275" s="4">
        <f>S275-V275</f>
      </c>
      <c r="AB275" t="s">
        <v>1</v>
      </c>
    </row>
    <row r="276" spans="1:28" x14ac:dyDescent="0.25">
      <c r="A276" s="8">
        <v>46181.5</v>
      </c>
      <c r="B276" t="s">
        <v>2799</v>
      </c>
      <c r="C276" t="s">
        <v>1</v>
      </c>
      <c r="D276" s="9" t="s">
        <v>1</v>
      </c>
      <c r="E276" t="s">
        <v>1</v>
      </c>
      <c r="F276" t="s">
        <v>1</v>
      </c>
      <c r="G276" t="s">
        <v>1</v>
      </c>
      <c r="H276" t="s">
        <v>102</v>
      </c>
      <c r="I276" s="4">
        <v>117</v>
      </c>
      <c r="J276" s="4">
        <v>153.27</v>
      </c>
      <c r="K276" s="4">
        <f>J276-I276</f>
      </c>
      <c r="L276" s="4">
        <f>K276*16.67%</f>
      </c>
      <c r="M276" s="4">
        <f>J276*7%</f>
      </c>
      <c r="N276" s="4">
        <f>M276*20%</f>
      </c>
      <c r="O276" s="4">
        <v>0</v>
      </c>
      <c r="P276" s="4">
        <f>O276*20%</f>
      </c>
      <c r="Q276" s="4">
        <v>1</v>
      </c>
      <c r="R276" s="4">
        <f>N276+P276</f>
      </c>
      <c r="S276" s="4">
        <f>K276-L276-M276-N276-O276-P276-Q276</f>
      </c>
      <c r="T276" s="4">
        <f>(S276-V276)/I276*100</f>
      </c>
      <c r="U276" s="4">
        <f>L276-R276</f>
      </c>
      <c r="W276" s="4">
        <f>S276-V276</f>
      </c>
      <c r="AB276" t="s">
        <v>1</v>
      </c>
    </row>
    <row r="277" spans="1:28" x14ac:dyDescent="0.25">
      <c r="A277" s="8">
        <v>46180.5</v>
      </c>
      <c r="B277" t="s">
        <v>2800</v>
      </c>
      <c r="C277" t="s">
        <v>1</v>
      </c>
      <c r="D277" s="9" t="s">
        <v>2801</v>
      </c>
      <c r="E277" t="s">
        <v>134</v>
      </c>
      <c r="F277" t="s">
        <v>85</v>
      </c>
      <c r="G277" t="s">
        <v>65</v>
      </c>
      <c r="H277" t="s">
        <v>61</v>
      </c>
      <c r="I277" s="4">
        <v>114</v>
      </c>
      <c r="J277" s="4">
        <v>148.2</v>
      </c>
      <c r="K277" s="4">
        <f>J277-I277</f>
      </c>
      <c r="L277" s="4">
        <f>K277*16.67%</f>
      </c>
      <c r="M277" s="4">
        <f>J277*7%</f>
      </c>
      <c r="N277" s="4">
        <f>M277*20%</f>
      </c>
      <c r="O277" s="4">
        <v>0</v>
      </c>
      <c r="P277" s="4">
        <f>O277*20%</f>
      </c>
      <c r="Q277" s="4">
        <v>1</v>
      </c>
      <c r="R277" s="4">
        <f>N277+P277</f>
      </c>
      <c r="S277" s="4">
        <f>K277-L277-M277-N277-O277-P277-Q277</f>
      </c>
      <c r="T277" s="4">
        <f>(S277-V277)/I277*100</f>
      </c>
      <c r="U277" s="4">
        <f>L277-R277</f>
      </c>
      <c r="W277" s="4">
        <f>S277-V277</f>
      </c>
      <c r="AB277" t="s">
        <v>1</v>
      </c>
    </row>
    <row r="278" spans="1:28" x14ac:dyDescent="0.25">
      <c r="A278" s="8">
        <v>46180.5</v>
      </c>
      <c r="B278" t="s">
        <v>2802</v>
      </c>
      <c r="C278" t="s">
        <v>1</v>
      </c>
      <c r="D278" s="9" t="s">
        <v>2803</v>
      </c>
      <c r="E278" t="s">
        <v>69</v>
      </c>
      <c r="F278" t="s">
        <v>85</v>
      </c>
      <c r="G278" t="s">
        <v>60</v>
      </c>
      <c r="H278" t="s">
        <v>61</v>
      </c>
      <c r="I278" s="4">
        <v>557</v>
      </c>
      <c r="J278" s="4">
        <v>740.81</v>
      </c>
      <c r="K278" s="4">
        <f>J278-I278</f>
      </c>
      <c r="L278" s="4">
        <f>K278*16.67%</f>
      </c>
      <c r="M278" s="4">
        <f>J278*7%</f>
      </c>
      <c r="N278" s="4">
        <f>M278*20%</f>
      </c>
      <c r="O278" s="4">
        <v>0</v>
      </c>
      <c r="P278" s="4">
        <f>O278*20%</f>
      </c>
      <c r="Q278" s="4">
        <v>1</v>
      </c>
      <c r="R278" s="4">
        <f>N278+P278</f>
      </c>
      <c r="S278" s="4">
        <f>K278-L278-M278-N278-O278-P278-Q278</f>
      </c>
      <c r="T278" s="4">
        <f>(S278-V278)/I278*100</f>
      </c>
      <c r="U278" s="4">
        <f>L278-R278</f>
      </c>
      <c r="W278" s="4">
        <f>S278-V278</f>
      </c>
      <c r="AB278" t="s">
        <v>1</v>
      </c>
    </row>
    <row r="279" spans="1:28" x14ac:dyDescent="0.25">
      <c r="A279" s="8">
        <v>46180.5</v>
      </c>
      <c r="B279" t="s">
        <v>2804</v>
      </c>
      <c r="C279" t="s">
        <v>1</v>
      </c>
      <c r="D279" s="9" t="s">
        <v>2805</v>
      </c>
      <c r="E279" t="s">
        <v>139</v>
      </c>
      <c r="F279" t="s">
        <v>88</v>
      </c>
      <c r="G279" t="s">
        <v>60</v>
      </c>
      <c r="H279" t="s">
        <v>66</v>
      </c>
      <c r="I279" s="4">
        <v>309</v>
      </c>
      <c r="J279" s="4">
        <v>370.8</v>
      </c>
      <c r="K279" s="4">
        <f>J279-I279</f>
      </c>
      <c r="L279" s="4">
        <f>K279*16.67%</f>
      </c>
      <c r="M279" s="4">
        <f>J279*7%</f>
      </c>
      <c r="N279" s="4">
        <f>M279*20%</f>
      </c>
      <c r="O279" s="4">
        <v>0</v>
      </c>
      <c r="P279" s="4">
        <f>O279*20%</f>
      </c>
      <c r="Q279" s="4">
        <v>1</v>
      </c>
      <c r="R279" s="4">
        <f>N279+P279</f>
      </c>
      <c r="S279" s="4">
        <f>K279-L279-M279-N279-O279-P279-Q279</f>
      </c>
      <c r="T279" s="4">
        <f>(S279-V279)/I279*100</f>
      </c>
      <c r="U279" s="4">
        <f>L279-R279</f>
      </c>
      <c r="W279" s="4">
        <f>S279-V279</f>
      </c>
      <c r="AB279" t="s">
        <v>1</v>
      </c>
    </row>
    <row r="280" spans="1:28" x14ac:dyDescent="0.25">
      <c r="A280" s="8">
        <v>46180.5</v>
      </c>
      <c r="B280" t="s">
        <v>2806</v>
      </c>
      <c r="C280" t="s">
        <v>1</v>
      </c>
      <c r="D280" s="9" t="s">
        <v>2807</v>
      </c>
      <c r="E280" t="s">
        <v>172</v>
      </c>
      <c r="F280" t="s">
        <v>88</v>
      </c>
      <c r="G280" t="s">
        <v>65</v>
      </c>
      <c r="H280" t="s">
        <v>66</v>
      </c>
      <c r="I280" s="4">
        <v>156</v>
      </c>
      <c r="J280" s="4">
        <v>216.84</v>
      </c>
      <c r="K280" s="4">
        <f>J280-I280</f>
      </c>
      <c r="L280" s="4">
        <f>K280*16.67%</f>
      </c>
      <c r="M280" s="4">
        <f>J280*7%</f>
      </c>
      <c r="N280" s="4">
        <f>M280*20%</f>
      </c>
      <c r="O280" s="4">
        <v>0</v>
      </c>
      <c r="P280" s="4">
        <f>O280*20%</f>
      </c>
      <c r="Q280" s="4">
        <v>1</v>
      </c>
      <c r="R280" s="4">
        <f>N280+P280</f>
      </c>
      <c r="S280" s="4">
        <f>K280-L280-M280-N280-O280-P280-Q280</f>
      </c>
      <c r="T280" s="4">
        <f>(S280-V280)/I280*100</f>
      </c>
      <c r="U280" s="4">
        <f>L280-R280</f>
      </c>
      <c r="W280" s="4">
        <f>S280-V280</f>
      </c>
      <c r="AB280" t="s">
        <v>1</v>
      </c>
    </row>
    <row r="281" spans="1:28" x14ac:dyDescent="0.25">
      <c r="A281" s="8">
        <v>46180.5</v>
      </c>
      <c r="B281" t="s">
        <v>2808</v>
      </c>
      <c r="C281" t="s">
        <v>1</v>
      </c>
      <c r="D281" s="9" t="s">
        <v>2809</v>
      </c>
      <c r="E281" t="s">
        <v>125</v>
      </c>
      <c r="F281" t="s">
        <v>74</v>
      </c>
      <c r="G281" t="s">
        <v>126</v>
      </c>
      <c r="H281" t="s">
        <v>66</v>
      </c>
      <c r="I281" s="4">
        <v>298</v>
      </c>
      <c r="J281" s="4">
        <v>396.34</v>
      </c>
      <c r="K281" s="4">
        <f>J281-I281</f>
      </c>
      <c r="L281" s="4">
        <f>K281*16.67%</f>
      </c>
      <c r="M281" s="4">
        <f>J281*7%</f>
      </c>
      <c r="N281" s="4">
        <f>M281*20%</f>
      </c>
      <c r="O281" s="4">
        <v>0</v>
      </c>
      <c r="P281" s="4">
        <f>O281*20%</f>
      </c>
      <c r="Q281" s="4">
        <v>1</v>
      </c>
      <c r="R281" s="4">
        <f>N281+P281</f>
      </c>
      <c r="S281" s="4">
        <f>K281-L281-M281-N281-O281-P281-Q281</f>
      </c>
      <c r="T281" s="4">
        <f>(S281-V281)/I281*100</f>
      </c>
      <c r="U281" s="4">
        <f>L281-R281</f>
      </c>
      <c r="W281" s="4">
        <f>S281-V281</f>
      </c>
      <c r="AB281" t="s">
        <v>1</v>
      </c>
    </row>
    <row r="282" spans="1:28" x14ac:dyDescent="0.25">
      <c r="A282" s="8">
        <v>46180.5</v>
      </c>
      <c r="B282" t="s">
        <v>2810</v>
      </c>
      <c r="C282" t="s">
        <v>1</v>
      </c>
      <c r="D282" s="9" t="s">
        <v>2811</v>
      </c>
      <c r="E282" t="s">
        <v>292</v>
      </c>
      <c r="F282" t="s">
        <v>70</v>
      </c>
      <c r="G282" t="s">
        <v>126</v>
      </c>
      <c r="H282" t="s">
        <v>75</v>
      </c>
      <c r="I282" s="4">
        <v>204</v>
      </c>
      <c r="J282" s="4">
        <v>287.64</v>
      </c>
      <c r="K282" s="4">
        <f>J282-I282</f>
      </c>
      <c r="L282" s="4">
        <f>K282*16.67%</f>
      </c>
      <c r="M282" s="4">
        <f>J282*7%</f>
      </c>
      <c r="N282" s="4">
        <f>M282*20%</f>
      </c>
      <c r="O282" s="4">
        <v>0</v>
      </c>
      <c r="P282" s="4">
        <f>O282*20%</f>
      </c>
      <c r="Q282" s="4">
        <v>1</v>
      </c>
      <c r="R282" s="4">
        <f>N282+P282</f>
      </c>
      <c r="S282" s="4">
        <f>K282-L282-M282-N282-O282-P282-Q282</f>
      </c>
      <c r="T282" s="4">
        <f>(S282-V282)/I282*100</f>
      </c>
      <c r="U282" s="4">
        <f>L282-R282</f>
      </c>
      <c r="W282" s="4">
        <f>S282-V282</f>
      </c>
      <c r="AB282" t="s">
        <v>1</v>
      </c>
    </row>
    <row r="283" spans="1:28" x14ac:dyDescent="0.25">
      <c r="A283" s="8">
        <v>46179.5</v>
      </c>
      <c r="B283" t="s">
        <v>2812</v>
      </c>
      <c r="C283" t="s">
        <v>1</v>
      </c>
      <c r="D283" s="9" t="s">
        <v>2813</v>
      </c>
      <c r="E283" t="s">
        <v>58</v>
      </c>
      <c r="F283" t="s">
        <v>74</v>
      </c>
      <c r="G283" t="s">
        <v>60</v>
      </c>
      <c r="H283" t="s">
        <v>102</v>
      </c>
      <c r="I283" s="4">
        <v>440</v>
      </c>
      <c r="J283" s="4">
        <v>602.8</v>
      </c>
      <c r="K283" s="4">
        <f>J283-I283</f>
      </c>
      <c r="L283" s="4">
        <f>K283*16.67%</f>
      </c>
      <c r="M283" s="4">
        <f>J283*7%</f>
      </c>
      <c r="N283" s="4">
        <f>M283*20%</f>
      </c>
      <c r="O283" s="4">
        <v>0</v>
      </c>
      <c r="P283" s="4">
        <f>O283*20%</f>
      </c>
      <c r="Q283" s="4">
        <v>1</v>
      </c>
      <c r="R283" s="4">
        <f>N283+P283</f>
      </c>
      <c r="S283" s="4">
        <f>K283-L283-M283-N283-O283-P283-Q283</f>
      </c>
      <c r="T283" s="4">
        <f>(S283-V283)/I283*100</f>
      </c>
      <c r="U283" s="4">
        <f>L283-R283</f>
      </c>
      <c r="W283" s="4">
        <f>S283-V283</f>
      </c>
      <c r="AB283" t="s">
        <v>1</v>
      </c>
    </row>
    <row r="284" spans="1:28" x14ac:dyDescent="0.25">
      <c r="A284" s="8">
        <v>46179.5</v>
      </c>
      <c r="B284" t="s">
        <v>2814</v>
      </c>
      <c r="C284" t="s">
        <v>1</v>
      </c>
      <c r="D284" s="9" t="s">
        <v>2815</v>
      </c>
      <c r="E284" t="s">
        <v>234</v>
      </c>
      <c r="F284" t="s">
        <v>99</v>
      </c>
      <c r="G284" t="s">
        <v>65</v>
      </c>
      <c r="H284" t="s">
        <v>75</v>
      </c>
      <c r="I284" s="4">
        <v>186</v>
      </c>
      <c r="J284" s="4">
        <v>262.26</v>
      </c>
      <c r="K284" s="4">
        <f>J284-I284</f>
      </c>
      <c r="L284" s="4">
        <f>K284*16.67%</f>
      </c>
      <c r="M284" s="4">
        <f>J284*7%</f>
      </c>
      <c r="N284" s="4">
        <f>M284*20%</f>
      </c>
      <c r="O284" s="4">
        <v>0</v>
      </c>
      <c r="P284" s="4">
        <f>O284*20%</f>
      </c>
      <c r="Q284" s="4">
        <v>1</v>
      </c>
      <c r="R284" s="4">
        <f>N284+P284</f>
      </c>
      <c r="S284" s="4">
        <f>K284-L284-M284-N284-O284-P284-Q284</f>
      </c>
      <c r="T284" s="4">
        <f>(S284-V284)/I284*100</f>
      </c>
      <c r="U284" s="4">
        <f>L284-R284</f>
      </c>
      <c r="W284" s="4">
        <f>S284-V284</f>
      </c>
      <c r="AB284" t="s">
        <v>1</v>
      </c>
    </row>
    <row r="285" spans="1:28" x14ac:dyDescent="0.25">
      <c r="A285" s="8">
        <v>46179.5</v>
      </c>
      <c r="B285" t="s">
        <v>2816</v>
      </c>
      <c r="C285" t="s">
        <v>1</v>
      </c>
      <c r="D285" s="9" t="s">
        <v>2817</v>
      </c>
      <c r="E285" t="s">
        <v>69</v>
      </c>
      <c r="F285" t="s">
        <v>85</v>
      </c>
      <c r="G285" t="s">
        <v>60</v>
      </c>
      <c r="H285" t="s">
        <v>66</v>
      </c>
      <c r="I285" s="4">
        <v>513</v>
      </c>
      <c r="J285" s="4">
        <v>738.72</v>
      </c>
      <c r="K285" s="4">
        <f>J285-I285</f>
      </c>
      <c r="L285" s="4">
        <f>K285*16.67%</f>
      </c>
      <c r="M285" s="4">
        <f>J285*7%</f>
      </c>
      <c r="N285" s="4">
        <f>M285*20%</f>
      </c>
      <c r="O285" s="4">
        <v>0</v>
      </c>
      <c r="P285" s="4">
        <f>O285*20%</f>
      </c>
      <c r="Q285" s="4">
        <v>1</v>
      </c>
      <c r="R285" s="4">
        <f>N285+P285</f>
      </c>
      <c r="S285" s="4">
        <f>K285-L285-M285-N285-O285-P285-Q285</f>
      </c>
      <c r="T285" s="4">
        <f>(S285-V285)/I285*100</f>
      </c>
      <c r="U285" s="4">
        <f>L285-R285</f>
      </c>
      <c r="W285" s="4">
        <f>S285-V285</f>
      </c>
      <c r="AB285" t="s">
        <v>1</v>
      </c>
    </row>
    <row r="286" spans="1:28" x14ac:dyDescent="0.25">
      <c r="A286" s="8">
        <v>46179.5</v>
      </c>
      <c r="B286" t="s">
        <v>2818</v>
      </c>
      <c r="C286" t="s">
        <v>174</v>
      </c>
      <c r="D286" s="9" t="s">
        <v>1</v>
      </c>
      <c r="E286" t="s">
        <v>174</v>
      </c>
      <c r="F286" t="s">
        <v>1</v>
      </c>
      <c r="G286" t="s">
        <v>1</v>
      </c>
      <c r="H286" t="s">
        <v>66</v>
      </c>
      <c r="I286" s="4">
        <v>4.25</v>
      </c>
      <c r="J286" s="4">
        <v>6.16</v>
      </c>
      <c r="K286" s="4">
        <f>J286-I286</f>
      </c>
      <c r="L286" s="4">
        <f>K286*16.67%</f>
      </c>
      <c r="M286" s="4">
        <f>J286*7%</f>
      </c>
      <c r="N286" s="4">
        <f>M286*20%</f>
      </c>
      <c r="O286" s="4">
        <v>0</v>
      </c>
      <c r="P286" s="4">
        <f>O286*20%</f>
      </c>
      <c r="Q286" s="4">
        <v>0</v>
      </c>
      <c r="R286" s="4">
        <f>N286+P286</f>
      </c>
      <c r="S286" s="4">
        <f>K286-L286-M286-N286-O286-P286-Q286</f>
      </c>
      <c r="T286" s="4">
        <f>(S286-V286)/I286*100</f>
      </c>
      <c r="U286" s="4">
        <f>L286-R286</f>
      </c>
      <c r="W286" s="4">
        <f>S286-V286</f>
      </c>
      <c r="AB286" t="s">
        <v>1</v>
      </c>
    </row>
    <row r="287" spans="1:28" x14ac:dyDescent="0.25">
      <c r="A287" s="8">
        <v>46179.5</v>
      </c>
      <c r="B287" t="s">
        <v>2819</v>
      </c>
      <c r="C287" t="s">
        <v>254</v>
      </c>
      <c r="D287" s="9" t="s">
        <v>1</v>
      </c>
      <c r="E287" t="s">
        <v>254</v>
      </c>
      <c r="F287" t="s">
        <v>1</v>
      </c>
      <c r="G287" t="s">
        <v>1</v>
      </c>
      <c r="H287" t="s">
        <v>61</v>
      </c>
      <c r="I287" s="4">
        <v>0.8</v>
      </c>
      <c r="J287" s="4">
        <v>0.94</v>
      </c>
      <c r="K287" s="4">
        <f>J287-I287</f>
      </c>
      <c r="L287" s="4">
        <f>K287*16.67%</f>
      </c>
      <c r="M287" s="4">
        <f>J287*7%</f>
      </c>
      <c r="N287" s="4">
        <f>M287*20%</f>
      </c>
      <c r="O287" s="4">
        <v>0</v>
      </c>
      <c r="P287" s="4">
        <f>O287*20%</f>
      </c>
      <c r="Q287" s="4">
        <v>0</v>
      </c>
      <c r="R287" s="4">
        <f>N287+P287</f>
      </c>
      <c r="S287" s="4">
        <f>K287-L287-M287-N287-O287-P287-Q287</f>
      </c>
      <c r="T287" s="4">
        <f>(S287-V287)/I287*100</f>
      </c>
      <c r="U287" s="4">
        <f>L287-R287</f>
      </c>
      <c r="W287" s="4">
        <f>S287-V287</f>
      </c>
      <c r="AB287" t="s">
        <v>1</v>
      </c>
    </row>
    <row r="288" spans="1:28" x14ac:dyDescent="0.25">
      <c r="A288" s="8">
        <v>46178.5</v>
      </c>
      <c r="B288" t="s">
        <v>2820</v>
      </c>
      <c r="C288" t="s">
        <v>1</v>
      </c>
      <c r="D288" s="9" t="s">
        <v>2821</v>
      </c>
      <c r="E288" t="s">
        <v>234</v>
      </c>
      <c r="F288" t="s">
        <v>88</v>
      </c>
      <c r="G288" t="s">
        <v>65</v>
      </c>
      <c r="H288" t="s">
        <v>78</v>
      </c>
      <c r="I288" s="4">
        <v>161</v>
      </c>
      <c r="J288" s="4">
        <v>196.42</v>
      </c>
      <c r="K288" s="4">
        <f>J288-I288</f>
      </c>
      <c r="L288" s="4">
        <f>K288*16.67%</f>
      </c>
      <c r="M288" s="4">
        <f>J288*7%</f>
      </c>
      <c r="N288" s="4">
        <f>M288*20%</f>
      </c>
      <c r="O288" s="4">
        <v>0</v>
      </c>
      <c r="P288" s="4">
        <f>O288*20%</f>
      </c>
      <c r="Q288" s="4">
        <v>1</v>
      </c>
      <c r="R288" s="4">
        <f>N288+P288</f>
      </c>
      <c r="S288" s="4">
        <f>K288-L288-M288-N288-O288-P288-Q288</f>
      </c>
      <c r="T288" s="4">
        <f>(S288-V288)/I288*100</f>
      </c>
      <c r="U288" s="4">
        <f>L288-R288</f>
      </c>
      <c r="W288" s="4">
        <f>S288-V288</f>
      </c>
      <c r="AB288" t="s">
        <v>1</v>
      </c>
    </row>
    <row r="289" spans="1:28" x14ac:dyDescent="0.25">
      <c r="A289" s="8">
        <v>46178.5</v>
      </c>
      <c r="B289" t="s">
        <v>2822</v>
      </c>
      <c r="C289" t="s">
        <v>1</v>
      </c>
      <c r="D289" s="9" t="s">
        <v>2823</v>
      </c>
      <c r="E289" t="s">
        <v>98</v>
      </c>
      <c r="F289" t="s">
        <v>85</v>
      </c>
      <c r="G289" t="s">
        <v>65</v>
      </c>
      <c r="H289" t="s">
        <v>102</v>
      </c>
      <c r="I289" s="4">
        <v>290</v>
      </c>
      <c r="J289" s="4">
        <v>417.6</v>
      </c>
      <c r="K289" s="4">
        <f>J289-I289</f>
      </c>
      <c r="L289" s="4">
        <f>K289*16.67%</f>
      </c>
      <c r="M289" s="4">
        <f>J289*7%</f>
      </c>
      <c r="N289" s="4">
        <f>M289*20%</f>
      </c>
      <c r="O289" s="4">
        <v>0</v>
      </c>
      <c r="P289" s="4">
        <f>O289*20%</f>
      </c>
      <c r="Q289" s="4">
        <v>1</v>
      </c>
      <c r="R289" s="4">
        <f>N289+P289</f>
      </c>
      <c r="S289" s="4">
        <f>K289-L289-M289-N289-O289-P289-Q289</f>
      </c>
      <c r="T289" s="4">
        <f>(S289-V289)/I289*100</f>
      </c>
      <c r="U289" s="4">
        <f>L289-R289</f>
      </c>
      <c r="W289" s="4">
        <f>S289-V289</f>
      </c>
      <c r="AB289" t="s">
        <v>1</v>
      </c>
    </row>
    <row r="290" spans="1:28" x14ac:dyDescent="0.25">
      <c r="A290" s="8">
        <v>46178.5</v>
      </c>
      <c r="B290" t="s">
        <v>2824</v>
      </c>
      <c r="C290" t="s">
        <v>1</v>
      </c>
      <c r="D290" s="9" t="s">
        <v>2825</v>
      </c>
      <c r="E290" t="s">
        <v>114</v>
      </c>
      <c r="F290" t="s">
        <v>74</v>
      </c>
      <c r="G290" t="s">
        <v>60</v>
      </c>
      <c r="H290" t="s">
        <v>75</v>
      </c>
      <c r="I290" s="4">
        <v>230</v>
      </c>
      <c r="J290" s="4">
        <v>269.1</v>
      </c>
      <c r="K290" s="4">
        <f>J290-I290</f>
      </c>
      <c r="L290" s="4">
        <f>K290*16.67%</f>
      </c>
      <c r="M290" s="4">
        <f>J290*7%</f>
      </c>
      <c r="N290" s="4">
        <f>M290*20%</f>
      </c>
      <c r="O290" s="4">
        <v>0</v>
      </c>
      <c r="P290" s="4">
        <f>O290*20%</f>
      </c>
      <c r="Q290" s="4">
        <v>1</v>
      </c>
      <c r="R290" s="4">
        <f>N290+P290</f>
      </c>
      <c r="S290" s="4">
        <f>K290-L290-M290-N290-O290-P290-Q290</f>
      </c>
      <c r="T290" s="4">
        <f>(S290-V290)/I290*100</f>
      </c>
      <c r="U290" s="4">
        <f>L290-R290</f>
      </c>
      <c r="W290" s="4">
        <f>S290-V290</f>
      </c>
      <c r="AB290" t="s">
        <v>1</v>
      </c>
    </row>
    <row r="291" spans="1:28" x14ac:dyDescent="0.25">
      <c r="A291" s="8">
        <v>46178.5</v>
      </c>
      <c r="B291" t="s">
        <v>2826</v>
      </c>
      <c r="C291" t="s">
        <v>1</v>
      </c>
      <c r="D291" s="9" t="s">
        <v>2827</v>
      </c>
      <c r="E291" t="s">
        <v>125</v>
      </c>
      <c r="F291" t="s">
        <v>105</v>
      </c>
      <c r="G291" t="s">
        <v>126</v>
      </c>
      <c r="H291" t="s">
        <v>102</v>
      </c>
      <c r="I291" s="4">
        <v>279</v>
      </c>
      <c r="J291" s="4">
        <v>320.85</v>
      </c>
      <c r="K291" s="4">
        <f>J291-I291</f>
      </c>
      <c r="L291" s="4">
        <f>K291*16.67%</f>
      </c>
      <c r="M291" s="4">
        <f>J291*7%</f>
      </c>
      <c r="N291" s="4">
        <f>M291*20%</f>
      </c>
      <c r="O291" s="4">
        <v>0</v>
      </c>
      <c r="P291" s="4">
        <f>O291*20%</f>
      </c>
      <c r="Q291" s="4">
        <v>1</v>
      </c>
      <c r="R291" s="4">
        <f>N291+P291</f>
      </c>
      <c r="S291" s="4">
        <f>K291-L291-M291-N291-O291-P291-Q291</f>
      </c>
      <c r="T291" s="4">
        <f>(S291-V291)/I291*100</f>
      </c>
      <c r="U291" s="4">
        <f>L291-R291</f>
      </c>
      <c r="W291" s="4">
        <f>S291-V291</f>
      </c>
      <c r="AB291" t="s">
        <v>1</v>
      </c>
    </row>
    <row r="292" spans="1:28" x14ac:dyDescent="0.25">
      <c r="A292" s="8">
        <v>46178.5</v>
      </c>
      <c r="B292" t="s">
        <v>2828</v>
      </c>
      <c r="C292" t="s">
        <v>1</v>
      </c>
      <c r="D292" s="9" t="s">
        <v>2829</v>
      </c>
      <c r="E292" t="s">
        <v>58</v>
      </c>
      <c r="F292" t="s">
        <v>59</v>
      </c>
      <c r="G292" t="s">
        <v>60</v>
      </c>
      <c r="H292" t="s">
        <v>61</v>
      </c>
      <c r="I292" s="4">
        <v>454</v>
      </c>
      <c r="J292" s="4">
        <v>635.6</v>
      </c>
      <c r="K292" s="4">
        <f>J292-I292</f>
      </c>
      <c r="L292" s="4">
        <f>K292*16.67%</f>
      </c>
      <c r="M292" s="4">
        <f>J292*7%</f>
      </c>
      <c r="N292" s="4">
        <f>M292*20%</f>
      </c>
      <c r="O292" s="4">
        <v>0</v>
      </c>
      <c r="P292" s="4">
        <f>O292*20%</f>
      </c>
      <c r="Q292" s="4">
        <v>1</v>
      </c>
      <c r="R292" s="4">
        <f>N292+P292</f>
      </c>
      <c r="S292" s="4">
        <f>K292-L292-M292-N292-O292-P292-Q292</f>
      </c>
      <c r="T292" s="4">
        <f>(S292-V292)/I292*100</f>
      </c>
      <c r="U292" s="4">
        <f>L292-R292</f>
      </c>
      <c r="W292" s="4">
        <f>S292-V292</f>
      </c>
      <c r="AB292" t="s">
        <v>1</v>
      </c>
    </row>
    <row r="293" spans="1:28" x14ac:dyDescent="0.25">
      <c r="A293" s="8">
        <v>46178.5</v>
      </c>
      <c r="B293" t="s">
        <v>2830</v>
      </c>
      <c r="C293" t="s">
        <v>1</v>
      </c>
      <c r="D293" s="9" t="s">
        <v>1</v>
      </c>
      <c r="E293" t="s">
        <v>1</v>
      </c>
      <c r="F293" t="s">
        <v>1</v>
      </c>
      <c r="G293" t="s">
        <v>1</v>
      </c>
      <c r="H293" t="s">
        <v>78</v>
      </c>
      <c r="I293" s="4">
        <v>596</v>
      </c>
      <c r="J293" s="4">
        <v>834.4</v>
      </c>
      <c r="K293" s="4">
        <f>J293-I293</f>
      </c>
      <c r="L293" s="4">
        <f>K293*16.67%</f>
      </c>
      <c r="M293" s="4">
        <f>J293*7%</f>
      </c>
      <c r="N293" s="4">
        <f>M293*20%</f>
      </c>
      <c r="O293" s="4">
        <v>0</v>
      </c>
      <c r="P293" s="4">
        <f>O293*20%</f>
      </c>
      <c r="Q293" s="4">
        <v>1</v>
      </c>
      <c r="R293" s="4">
        <f>N293+P293</f>
      </c>
      <c r="S293" s="4">
        <f>K293-L293-M293-N293-O293-P293-Q293</f>
      </c>
      <c r="T293" s="4">
        <f>(S293-V293)/I293*100</f>
      </c>
      <c r="U293" s="4">
        <f>L293-R293</f>
      </c>
      <c r="W293" s="4">
        <f>S293-V293</f>
      </c>
      <c r="AB293" t="s">
        <v>1</v>
      </c>
    </row>
    <row r="294" spans="1:28" x14ac:dyDescent="0.25">
      <c r="A294" s="8">
        <v>46177.5</v>
      </c>
      <c r="B294" t="s">
        <v>2831</v>
      </c>
      <c r="C294" t="s">
        <v>1</v>
      </c>
      <c r="D294" s="9" t="s">
        <v>2832</v>
      </c>
      <c r="E294" t="s">
        <v>125</v>
      </c>
      <c r="F294" t="s">
        <v>70</v>
      </c>
      <c r="G294" t="s">
        <v>126</v>
      </c>
      <c r="H294" t="s">
        <v>61</v>
      </c>
      <c r="I294" s="4">
        <v>292</v>
      </c>
      <c r="J294" s="4">
        <v>411.72</v>
      </c>
      <c r="K294" s="4">
        <f>J294-I294</f>
      </c>
      <c r="L294" s="4">
        <f>K294*16.67%</f>
      </c>
      <c r="M294" s="4">
        <f>J294*7%</f>
      </c>
      <c r="N294" s="4">
        <f>M294*20%</f>
      </c>
      <c r="O294" s="4">
        <v>0</v>
      </c>
      <c r="P294" s="4">
        <f>O294*20%</f>
      </c>
      <c r="Q294" s="4">
        <v>1</v>
      </c>
      <c r="R294" s="4">
        <f>N294+P294</f>
      </c>
      <c r="S294" s="4">
        <f>K294-L294-M294-N294-O294-P294-Q294</f>
      </c>
      <c r="T294" s="4">
        <f>(S294-V294)/I294*100</f>
      </c>
      <c r="U294" s="4">
        <f>L294-R294</f>
      </c>
      <c r="W294" s="4">
        <f>S294-V294</f>
      </c>
      <c r="AB294" t="s">
        <v>1</v>
      </c>
    </row>
    <row r="295" spans="1:28" x14ac:dyDescent="0.25">
      <c r="A295" s="8">
        <v>46177.5</v>
      </c>
      <c r="B295" t="s">
        <v>2833</v>
      </c>
      <c r="C295" t="s">
        <v>1</v>
      </c>
      <c r="D295" s="9" t="s">
        <v>2834</v>
      </c>
      <c r="E295" t="s">
        <v>58</v>
      </c>
      <c r="F295" t="s">
        <v>74</v>
      </c>
      <c r="G295" t="s">
        <v>60</v>
      </c>
      <c r="H295" t="s">
        <v>102</v>
      </c>
      <c r="I295" s="4">
        <v>480</v>
      </c>
      <c r="J295" s="4">
        <v>633.6</v>
      </c>
      <c r="K295" s="4">
        <f>J295-I295</f>
      </c>
      <c r="L295" s="4">
        <f>K295*16.67%</f>
      </c>
      <c r="M295" s="4">
        <f>J295*7%</f>
      </c>
      <c r="N295" s="4">
        <f>M295*20%</f>
      </c>
      <c r="O295" s="4">
        <v>0</v>
      </c>
      <c r="P295" s="4">
        <f>O295*20%</f>
      </c>
      <c r="Q295" s="4">
        <v>1</v>
      </c>
      <c r="R295" s="4">
        <f>N295+P295</f>
      </c>
      <c r="S295" s="4">
        <f>K295-L295-M295-N295-O295-P295-Q295</f>
      </c>
      <c r="T295" s="4">
        <f>(S295-V295)/I295*100</f>
      </c>
      <c r="U295" s="4">
        <f>L295-R295</f>
      </c>
      <c r="W295" s="4">
        <f>S295-V295</f>
      </c>
      <c r="AB295" t="s">
        <v>1</v>
      </c>
    </row>
    <row r="296" spans="1:28" x14ac:dyDescent="0.25">
      <c r="A296" s="8">
        <v>46177.5</v>
      </c>
      <c r="B296" t="s">
        <v>2835</v>
      </c>
      <c r="C296" t="s">
        <v>1</v>
      </c>
      <c r="D296" s="9" t="s">
        <v>2836</v>
      </c>
      <c r="E296" t="s">
        <v>94</v>
      </c>
      <c r="F296" t="s">
        <v>59</v>
      </c>
      <c r="G296" t="s">
        <v>95</v>
      </c>
      <c r="H296" t="s">
        <v>61</v>
      </c>
      <c r="I296" s="4">
        <v>74</v>
      </c>
      <c r="J296" s="4">
        <v>85.84</v>
      </c>
      <c r="K296" s="4">
        <f>J296-I296</f>
      </c>
      <c r="L296" s="4">
        <f>K296*16.67%</f>
      </c>
      <c r="M296" s="4">
        <f>J296*7%</f>
      </c>
      <c r="N296" s="4">
        <f>M296*20%</f>
      </c>
      <c r="O296" s="4">
        <v>0</v>
      </c>
      <c r="P296" s="4">
        <f>O296*20%</f>
      </c>
      <c r="Q296" s="4">
        <v>1</v>
      </c>
      <c r="R296" s="4">
        <f>N296+P296</f>
      </c>
      <c r="S296" s="4">
        <f>K296-L296-M296-N296-O296-P296-Q296</f>
      </c>
      <c r="T296" s="4">
        <f>(S296-V296)/I296*100</f>
      </c>
      <c r="U296" s="4">
        <f>L296-R296</f>
      </c>
      <c r="W296" s="4">
        <f>S296-V296</f>
      </c>
      <c r="AB296" t="s">
        <v>1</v>
      </c>
    </row>
    <row r="297" spans="1:28" x14ac:dyDescent="0.25">
      <c r="A297" s="8">
        <v>46177.5</v>
      </c>
      <c r="B297" t="s">
        <v>2837</v>
      </c>
      <c r="C297" t="s">
        <v>1</v>
      </c>
      <c r="D297" s="9" t="s">
        <v>2838</v>
      </c>
      <c r="E297" t="s">
        <v>84</v>
      </c>
      <c r="F297" t="s">
        <v>99</v>
      </c>
      <c r="G297" t="s">
        <v>60</v>
      </c>
      <c r="H297" t="s">
        <v>75</v>
      </c>
      <c r="I297" s="4">
        <v>671</v>
      </c>
      <c r="J297" s="4">
        <v>952.82</v>
      </c>
      <c r="K297" s="4">
        <f>J297-I297</f>
      </c>
      <c r="L297" s="4">
        <f>K297*16.67%</f>
      </c>
      <c r="M297" s="4">
        <f>J297*7%</f>
      </c>
      <c r="N297" s="4">
        <f>M297*20%</f>
      </c>
      <c r="O297" s="4">
        <v>0</v>
      </c>
      <c r="P297" s="4">
        <f>O297*20%</f>
      </c>
      <c r="Q297" s="4">
        <v>1</v>
      </c>
      <c r="R297" s="4">
        <f>N297+P297</f>
      </c>
      <c r="S297" s="4">
        <f>K297-L297-M297-N297-O297-P297-Q297</f>
      </c>
      <c r="T297" s="4">
        <f>(S297-V297)/I297*100</f>
      </c>
      <c r="U297" s="4">
        <f>L297-R297</f>
      </c>
      <c r="W297" s="4">
        <f>S297-V297</f>
      </c>
      <c r="AB297" t="s">
        <v>1</v>
      </c>
    </row>
    <row r="298" spans="1:28" x14ac:dyDescent="0.25">
      <c r="A298" s="8">
        <v>46177.5</v>
      </c>
      <c r="B298" t="s">
        <v>2839</v>
      </c>
      <c r="C298" t="s">
        <v>1</v>
      </c>
      <c r="D298" s="9" t="s">
        <v>2840</v>
      </c>
      <c r="E298" t="s">
        <v>172</v>
      </c>
      <c r="F298" t="s">
        <v>74</v>
      </c>
      <c r="G298" t="s">
        <v>65</v>
      </c>
      <c r="H298" t="s">
        <v>66</v>
      </c>
      <c r="I298" s="4">
        <v>142</v>
      </c>
      <c r="J298" s="4">
        <v>164.72</v>
      </c>
      <c r="K298" s="4">
        <f>J298-I298</f>
      </c>
      <c r="L298" s="4">
        <f>K298*16.67%</f>
      </c>
      <c r="M298" s="4">
        <f>J298*7%</f>
      </c>
      <c r="N298" s="4">
        <f>M298*20%</f>
      </c>
      <c r="O298" s="4">
        <v>0</v>
      </c>
      <c r="P298" s="4">
        <f>O298*20%</f>
      </c>
      <c r="Q298" s="4">
        <v>1</v>
      </c>
      <c r="R298" s="4">
        <f>N298+P298</f>
      </c>
      <c r="S298" s="4">
        <f>K298-L298-M298-N298-O298-P298-Q298</f>
      </c>
      <c r="T298" s="4">
        <f>(S298-V298)/I298*100</f>
      </c>
      <c r="U298" s="4">
        <f>L298-R298</f>
      </c>
      <c r="W298" s="4">
        <f>S298-V298</f>
      </c>
      <c r="AB298" t="s">
        <v>1</v>
      </c>
    </row>
    <row r="299" spans="1:28" x14ac:dyDescent="0.25">
      <c r="A299" s="8">
        <v>46177.5</v>
      </c>
      <c r="B299" t="s">
        <v>2841</v>
      </c>
      <c r="C299" t="s">
        <v>1</v>
      </c>
      <c r="D299" s="9" t="s">
        <v>2842</v>
      </c>
      <c r="E299" t="s">
        <v>134</v>
      </c>
      <c r="F299" t="s">
        <v>70</v>
      </c>
      <c r="G299" t="s">
        <v>95</v>
      </c>
      <c r="H299" t="s">
        <v>61</v>
      </c>
      <c r="I299" s="4">
        <v>132</v>
      </c>
      <c r="J299" s="4">
        <v>180.84</v>
      </c>
      <c r="K299" s="4">
        <f>J299-I299</f>
      </c>
      <c r="L299" s="4">
        <f>K299*16.67%</f>
      </c>
      <c r="M299" s="4">
        <f>J299*7%</f>
      </c>
      <c r="N299" s="4">
        <f>M299*20%</f>
      </c>
      <c r="O299" s="4">
        <v>0</v>
      </c>
      <c r="P299" s="4">
        <f>O299*20%</f>
      </c>
      <c r="Q299" s="4">
        <v>1</v>
      </c>
      <c r="R299" s="4">
        <f>N299+P299</f>
      </c>
      <c r="S299" s="4">
        <f>K299-L299-M299-N299-O299-P299-Q299</f>
      </c>
      <c r="T299" s="4">
        <f>(S299-V299)/I299*100</f>
      </c>
      <c r="U299" s="4">
        <f>L299-R299</f>
      </c>
      <c r="W299" s="4">
        <f>S299-V299</f>
      </c>
      <c r="AB299" t="s">
        <v>1</v>
      </c>
    </row>
    <row r="300" spans="1:28" x14ac:dyDescent="0.25">
      <c r="A300" s="8">
        <v>46177.5</v>
      </c>
      <c r="B300" t="s">
        <v>2843</v>
      </c>
      <c r="C300" t="s">
        <v>1</v>
      </c>
      <c r="D300" s="9" t="s">
        <v>1</v>
      </c>
      <c r="E300" t="s">
        <v>1</v>
      </c>
      <c r="F300" t="s">
        <v>1</v>
      </c>
      <c r="G300" t="s">
        <v>1</v>
      </c>
      <c r="H300" t="s">
        <v>102</v>
      </c>
      <c r="I300" s="4">
        <v>731</v>
      </c>
      <c r="J300" s="4">
        <v>1045.33</v>
      </c>
      <c r="K300" s="4">
        <f>J300-I300</f>
      </c>
      <c r="L300" s="4">
        <f>K300*16.67%</f>
      </c>
      <c r="M300" s="4">
        <f>J300*7%</f>
      </c>
      <c r="N300" s="4">
        <f>M300*20%</f>
      </c>
      <c r="O300" s="4">
        <v>0</v>
      </c>
      <c r="P300" s="4">
        <f>O300*20%</f>
      </c>
      <c r="Q300" s="4">
        <v>1</v>
      </c>
      <c r="R300" s="4">
        <f>N300+P300</f>
      </c>
      <c r="S300" s="4">
        <f>K300-L300-M300-N300-O300-P300-Q300</f>
      </c>
      <c r="T300" s="4">
        <f>(S300-V300)/I300*100</f>
      </c>
      <c r="U300" s="4">
        <f>L300-R300</f>
      </c>
      <c r="W300" s="4">
        <f>S300-V300</f>
      </c>
      <c r="AB300" t="s">
        <v>1</v>
      </c>
    </row>
    <row r="301" spans="1:28" x14ac:dyDescent="0.25">
      <c r="A301" s="8">
        <v>46176.5</v>
      </c>
      <c r="B301" t="s">
        <v>2844</v>
      </c>
      <c r="C301" t="s">
        <v>1</v>
      </c>
      <c r="D301" s="9" t="s">
        <v>2845</v>
      </c>
      <c r="E301" t="s">
        <v>134</v>
      </c>
      <c r="F301" t="s">
        <v>70</v>
      </c>
      <c r="G301" t="s">
        <v>65</v>
      </c>
      <c r="H301" t="s">
        <v>61</v>
      </c>
      <c r="I301" s="4">
        <v>129</v>
      </c>
      <c r="J301" s="4">
        <v>172.86</v>
      </c>
      <c r="K301" s="4">
        <f>J301-I301</f>
      </c>
      <c r="L301" s="4">
        <f>K301*16.67%</f>
      </c>
      <c r="M301" s="4">
        <f>J301*7%</f>
      </c>
      <c r="N301" s="4">
        <f>M301*20%</f>
      </c>
      <c r="O301" s="4">
        <v>0</v>
      </c>
      <c r="P301" s="4">
        <f>O301*20%</f>
      </c>
      <c r="Q301" s="4">
        <v>1</v>
      </c>
      <c r="R301" s="4">
        <f>N301+P301</f>
      </c>
      <c r="S301" s="4">
        <f>K301-L301-M301-N301-O301-P301-Q301</f>
      </c>
      <c r="T301" s="4">
        <f>(S301-V301)/I301*100</f>
      </c>
      <c r="U301" s="4">
        <f>L301-R301</f>
      </c>
      <c r="W301" s="4">
        <f>S301-V301</f>
      </c>
      <c r="AB301" t="s">
        <v>1</v>
      </c>
    </row>
    <row r="302" spans="1:28" x14ac:dyDescent="0.25">
      <c r="A302" s="8">
        <v>46176.5</v>
      </c>
      <c r="B302" t="s">
        <v>2846</v>
      </c>
      <c r="C302" t="s">
        <v>1</v>
      </c>
      <c r="D302" s="9" t="s">
        <v>2847</v>
      </c>
      <c r="E302" t="s">
        <v>64</v>
      </c>
      <c r="F302" t="s">
        <v>74</v>
      </c>
      <c r="G302" t="s">
        <v>65</v>
      </c>
      <c r="H302" t="s">
        <v>66</v>
      </c>
      <c r="I302" s="4">
        <v>235</v>
      </c>
      <c r="J302" s="4">
        <v>282</v>
      </c>
      <c r="K302" s="4">
        <f>J302-I302</f>
      </c>
      <c r="L302" s="4">
        <f>K302*16.67%</f>
      </c>
      <c r="M302" s="4">
        <f>J302*7%</f>
      </c>
      <c r="N302" s="4">
        <f>M302*20%</f>
      </c>
      <c r="O302" s="4">
        <v>0</v>
      </c>
      <c r="P302" s="4">
        <f>O302*20%</f>
      </c>
      <c r="Q302" s="4">
        <v>1</v>
      </c>
      <c r="R302" s="4">
        <f>N302+P302</f>
      </c>
      <c r="S302" s="4">
        <f>K302-L302-M302-N302-O302-P302-Q302</f>
      </c>
      <c r="T302" s="4">
        <f>(S302-V302)/I302*100</f>
      </c>
      <c r="U302" s="4">
        <f>L302-R302</f>
      </c>
      <c r="W302" s="4">
        <f>S302-V302</f>
      </c>
      <c r="AB302" t="s">
        <v>1</v>
      </c>
    </row>
    <row r="303" spans="1:28" x14ac:dyDescent="0.25">
      <c r="A303" s="8">
        <v>46176.5</v>
      </c>
      <c r="B303" t="s">
        <v>2848</v>
      </c>
      <c r="C303" t="s">
        <v>174</v>
      </c>
      <c r="D303" s="9" t="s">
        <v>1</v>
      </c>
      <c r="E303" t="s">
        <v>174</v>
      </c>
      <c r="F303" t="s">
        <v>1</v>
      </c>
      <c r="G303" t="s">
        <v>1</v>
      </c>
      <c r="H303" t="s">
        <v>66</v>
      </c>
      <c r="I303" s="4">
        <v>4.25</v>
      </c>
      <c r="J303" s="4">
        <v>5.74</v>
      </c>
      <c r="K303" s="4">
        <f>J303-I303</f>
      </c>
      <c r="L303" s="4">
        <f>K303*16.67%</f>
      </c>
      <c r="M303" s="4">
        <f>J303*7%</f>
      </c>
      <c r="N303" s="4">
        <f>M303*20%</f>
      </c>
      <c r="O303" s="4">
        <v>0</v>
      </c>
      <c r="P303" s="4">
        <f>O303*20%</f>
      </c>
      <c r="Q303" s="4">
        <v>0</v>
      </c>
      <c r="R303" s="4">
        <f>N303+P303</f>
      </c>
      <c r="S303" s="4">
        <f>K303-L303-M303-N303-O303-P303-Q303</f>
      </c>
      <c r="T303" s="4">
        <f>(S303-V303)/I303*100</f>
      </c>
      <c r="U303" s="4">
        <f>L303-R303</f>
      </c>
      <c r="W303" s="4">
        <f>S303-V303</f>
      </c>
      <c r="AB303" t="s">
        <v>1</v>
      </c>
    </row>
    <row r="304" spans="1:28" x14ac:dyDescent="0.25">
      <c r="A304" s="8">
        <v>46176.5</v>
      </c>
      <c r="B304" t="s">
        <v>2849</v>
      </c>
      <c r="C304" t="s">
        <v>1</v>
      </c>
      <c r="D304" s="9" t="s">
        <v>1</v>
      </c>
      <c r="E304" t="s">
        <v>1</v>
      </c>
      <c r="F304" t="s">
        <v>1</v>
      </c>
      <c r="G304" t="s">
        <v>1</v>
      </c>
      <c r="H304" t="s">
        <v>75</v>
      </c>
      <c r="I304" s="4">
        <v>277</v>
      </c>
      <c r="J304" s="4">
        <v>396.11</v>
      </c>
      <c r="K304" s="4">
        <f>J304-I304</f>
      </c>
      <c r="L304" s="4">
        <f>K304*16.67%</f>
      </c>
      <c r="M304" s="4">
        <f>J304*7%</f>
      </c>
      <c r="N304" s="4">
        <f>M304*20%</f>
      </c>
      <c r="O304" s="4">
        <v>0</v>
      </c>
      <c r="P304" s="4">
        <f>O304*20%</f>
      </c>
      <c r="Q304" s="4">
        <v>1</v>
      </c>
      <c r="R304" s="4">
        <f>N304+P304</f>
      </c>
      <c r="S304" s="4">
        <f>K304-L304-M304-N304-O304-P304-Q304</f>
      </c>
      <c r="T304" s="4">
        <f>(S304-V304)/I304*100</f>
      </c>
      <c r="U304" s="4">
        <f>L304-R304</f>
      </c>
      <c r="W304" s="4">
        <f>S304-V304</f>
      </c>
      <c r="AB304" t="s">
        <v>1</v>
      </c>
    </row>
    <row r="305" spans="1:28" x14ac:dyDescent="0.25">
      <c r="A305" s="8">
        <v>46175.5</v>
      </c>
      <c r="B305" t="s">
        <v>2850</v>
      </c>
      <c r="C305" t="s">
        <v>1</v>
      </c>
      <c r="D305" s="9" t="s">
        <v>2851</v>
      </c>
      <c r="E305" t="s">
        <v>73</v>
      </c>
      <c r="F305" t="s">
        <v>99</v>
      </c>
      <c r="G305" t="s">
        <v>60</v>
      </c>
      <c r="H305" t="s">
        <v>61</v>
      </c>
      <c r="I305" s="4">
        <v>324</v>
      </c>
      <c r="J305" s="4">
        <v>450.36</v>
      </c>
      <c r="K305" s="4">
        <f>J305-I305</f>
      </c>
      <c r="L305" s="4">
        <f>K305*16.67%</f>
      </c>
      <c r="M305" s="4">
        <f>J305*7%</f>
      </c>
      <c r="N305" s="4">
        <f>M305*20%</f>
      </c>
      <c r="O305" s="4">
        <v>0</v>
      </c>
      <c r="P305" s="4">
        <f>O305*20%</f>
      </c>
      <c r="Q305" s="4">
        <v>1</v>
      </c>
      <c r="R305" s="4">
        <f>N305+P305</f>
      </c>
      <c r="S305" s="4">
        <f>K305-L305-M305-N305-O305-P305-Q305</f>
      </c>
      <c r="T305" s="4">
        <f>(S305-V305)/I305*100</f>
      </c>
      <c r="U305" s="4">
        <f>L305-R305</f>
      </c>
      <c r="W305" s="4">
        <f>S305-V305</f>
      </c>
      <c r="AB305" t="s">
        <v>1</v>
      </c>
    </row>
    <row r="306" spans="1:28" x14ac:dyDescent="0.25">
      <c r="A306" s="8">
        <v>46175.5</v>
      </c>
      <c r="B306" t="s">
        <v>2852</v>
      </c>
      <c r="C306" t="s">
        <v>1</v>
      </c>
      <c r="D306" s="9" t="s">
        <v>2853</v>
      </c>
      <c r="E306" t="s">
        <v>114</v>
      </c>
      <c r="F306" t="s">
        <v>85</v>
      </c>
      <c r="G306" t="s">
        <v>95</v>
      </c>
      <c r="H306" t="s">
        <v>78</v>
      </c>
      <c r="I306" s="4">
        <v>258</v>
      </c>
      <c r="J306" s="4">
        <v>317.34</v>
      </c>
      <c r="K306" s="4">
        <f>J306-I306</f>
      </c>
      <c r="L306" s="4">
        <f>K306*16.67%</f>
      </c>
      <c r="M306" s="4">
        <f>J306*7%</f>
      </c>
      <c r="N306" s="4">
        <f>M306*20%</f>
      </c>
      <c r="O306" s="4">
        <v>0</v>
      </c>
      <c r="P306" s="4">
        <f>O306*20%</f>
      </c>
      <c r="Q306" s="4">
        <v>1</v>
      </c>
      <c r="R306" s="4">
        <f>N306+P306</f>
      </c>
      <c r="S306" s="4">
        <f>K306-L306-M306-N306-O306-P306-Q306</f>
      </c>
      <c r="T306" s="4">
        <f>(S306-V306)/I306*100</f>
      </c>
      <c r="U306" s="4">
        <f>L306-R306</f>
      </c>
      <c r="W306" s="4">
        <f>S306-V306</f>
      </c>
      <c r="AB306" t="s">
        <v>1</v>
      </c>
    </row>
    <row r="307" spans="1:28" x14ac:dyDescent="0.25">
      <c r="A307" s="8">
        <v>46175.5</v>
      </c>
      <c r="B307" t="s">
        <v>2854</v>
      </c>
      <c r="C307" t="s">
        <v>254</v>
      </c>
      <c r="D307" s="9" t="s">
        <v>1</v>
      </c>
      <c r="E307" t="s">
        <v>254</v>
      </c>
      <c r="F307" t="s">
        <v>1</v>
      </c>
      <c r="G307" t="s">
        <v>1</v>
      </c>
      <c r="H307" t="s">
        <v>61</v>
      </c>
      <c r="I307" s="4">
        <v>0.8</v>
      </c>
      <c r="J307" s="4">
        <v>1.16</v>
      </c>
      <c r="K307" s="4">
        <f>J307-I307</f>
      </c>
      <c r="L307" s="4">
        <f>K307*16.67%</f>
      </c>
      <c r="M307" s="4">
        <f>J307*7%</f>
      </c>
      <c r="N307" s="4">
        <f>M307*20%</f>
      </c>
      <c r="O307" s="4">
        <v>0</v>
      </c>
      <c r="P307" s="4">
        <f>O307*20%</f>
      </c>
      <c r="Q307" s="4">
        <v>0</v>
      </c>
      <c r="R307" s="4">
        <f>N307+P307</f>
      </c>
      <c r="S307" s="4">
        <f>K307-L307-M307-N307-O307-P307-Q307</f>
      </c>
      <c r="T307" s="4">
        <f>(S307-V307)/I307*100</f>
      </c>
      <c r="U307" s="4">
        <f>L307-R307</f>
      </c>
      <c r="W307" s="4">
        <f>S307-V307</f>
      </c>
      <c r="AB307" t="s">
        <v>1</v>
      </c>
    </row>
    <row r="308" spans="1:28" x14ac:dyDescent="0.25">
      <c r="A308" s="8">
        <v>46175.5</v>
      </c>
      <c r="B308" t="s">
        <v>2855</v>
      </c>
      <c r="C308" t="s">
        <v>1</v>
      </c>
      <c r="D308" s="9" t="s">
        <v>1</v>
      </c>
      <c r="E308" t="s">
        <v>1</v>
      </c>
      <c r="F308" t="s">
        <v>1</v>
      </c>
      <c r="G308" t="s">
        <v>1</v>
      </c>
      <c r="H308" t="s">
        <v>66</v>
      </c>
      <c r="I308" s="4">
        <v>198</v>
      </c>
      <c r="J308" s="4">
        <v>243.54</v>
      </c>
      <c r="K308" s="4">
        <f>J308-I308</f>
      </c>
      <c r="L308" s="4">
        <f>K308*16.67%</f>
      </c>
      <c r="M308" s="4">
        <f>J308*7%</f>
      </c>
      <c r="N308" s="4">
        <f>M308*20%</f>
      </c>
      <c r="O308" s="4">
        <v>0</v>
      </c>
      <c r="P308" s="4">
        <f>O308*20%</f>
      </c>
      <c r="Q308" s="4">
        <v>1</v>
      </c>
      <c r="R308" s="4">
        <f>N308+P308</f>
      </c>
      <c r="S308" s="4">
        <f>K308-L308-M308-N308-O308-P308-Q308</f>
      </c>
      <c r="T308" s="4">
        <f>(S308-V308)/I308*100</f>
      </c>
      <c r="U308" s="4">
        <f>L308-R308</f>
      </c>
      <c r="W308" s="4">
        <f>S308-V308</f>
      </c>
      <c r="AB308" t="s">
        <v>1</v>
      </c>
    </row>
    <row r="309" spans="1:28" x14ac:dyDescent="0.25">
      <c r="A309" s="8">
        <v>46175.5</v>
      </c>
      <c r="B309" t="s">
        <v>2856</v>
      </c>
      <c r="C309" t="s">
        <v>1</v>
      </c>
      <c r="D309" s="9" t="s">
        <v>1</v>
      </c>
      <c r="E309" t="s">
        <v>1</v>
      </c>
      <c r="F309" t="s">
        <v>1</v>
      </c>
      <c r="G309" t="s">
        <v>1</v>
      </c>
      <c r="H309" t="s">
        <v>78</v>
      </c>
      <c r="I309" s="4">
        <v>541</v>
      </c>
      <c r="J309" s="4">
        <v>681.66</v>
      </c>
      <c r="K309" s="4">
        <f>J309-I309</f>
      </c>
      <c r="L309" s="4">
        <f>K309*16.67%</f>
      </c>
      <c r="M309" s="4">
        <f>J309*7%</f>
      </c>
      <c r="N309" s="4">
        <f>M309*20%</f>
      </c>
      <c r="O309" s="4">
        <v>0</v>
      </c>
      <c r="P309" s="4">
        <f>O309*20%</f>
      </c>
      <c r="Q309" s="4">
        <v>1</v>
      </c>
      <c r="R309" s="4">
        <f>N309+P309</f>
      </c>
      <c r="S309" s="4">
        <f>K309-L309-M309-N309-O309-P309-Q309</f>
      </c>
      <c r="T309" s="4">
        <f>(S309-V309)/I309*100</f>
      </c>
      <c r="U309" s="4">
        <f>L309-R309</f>
      </c>
      <c r="W309" s="4">
        <f>S309-V309</f>
      </c>
      <c r="AB309" t="s">
        <v>1</v>
      </c>
    </row>
    <row r="310" spans="1:28" x14ac:dyDescent="0.25">
      <c r="A310" s="8">
        <v>46174.5</v>
      </c>
      <c r="B310" t="s">
        <v>2857</v>
      </c>
      <c r="C310" t="s">
        <v>1</v>
      </c>
      <c r="D310" s="9" t="s">
        <v>2858</v>
      </c>
      <c r="E310" t="s">
        <v>73</v>
      </c>
      <c r="F310" t="s">
        <v>85</v>
      </c>
      <c r="G310" t="s">
        <v>60</v>
      </c>
      <c r="H310" t="s">
        <v>78</v>
      </c>
      <c r="I310" s="4">
        <v>330</v>
      </c>
      <c r="J310" s="4">
        <v>429</v>
      </c>
      <c r="K310" s="4">
        <f>J310-I310</f>
      </c>
      <c r="L310" s="4">
        <f>K310*16.67%</f>
      </c>
      <c r="M310" s="4">
        <f>J310*7%</f>
      </c>
      <c r="N310" s="4">
        <f>M310*20%</f>
      </c>
      <c r="O310" s="4">
        <v>0</v>
      </c>
      <c r="P310" s="4">
        <f>O310*20%</f>
      </c>
      <c r="Q310" s="4">
        <v>1</v>
      </c>
      <c r="R310" s="4">
        <f>N310+P310</f>
      </c>
      <c r="S310" s="4">
        <f>K310-L310-M310-N310-O310-P310-Q310</f>
      </c>
      <c r="T310" s="4">
        <f>(S310-V310)/I310*100</f>
      </c>
      <c r="U310" s="4">
        <f>L310-R310</f>
      </c>
      <c r="W310" s="4">
        <f>S310-V310</f>
      </c>
      <c r="AB310" t="s">
        <v>1</v>
      </c>
    </row>
    <row r="311" spans="1:28" x14ac:dyDescent="0.25">
      <c r="A311" s="8">
        <v>46174.5</v>
      </c>
      <c r="B311" t="s">
        <v>2859</v>
      </c>
      <c r="C311" t="s">
        <v>1</v>
      </c>
      <c r="D311" s="9" t="s">
        <v>2860</v>
      </c>
      <c r="E311" t="s">
        <v>234</v>
      </c>
      <c r="F311" t="s">
        <v>59</v>
      </c>
      <c r="G311" t="s">
        <v>65</v>
      </c>
      <c r="H311" t="s">
        <v>102</v>
      </c>
      <c r="I311" s="4">
        <v>189</v>
      </c>
      <c r="J311" s="4">
        <v>264.6</v>
      </c>
      <c r="K311" s="4">
        <f>J311-I311</f>
      </c>
      <c r="L311" s="4">
        <f>K311*16.67%</f>
      </c>
      <c r="M311" s="4">
        <f>J311*7%</f>
      </c>
      <c r="N311" s="4">
        <f>M311*20%</f>
      </c>
      <c r="O311" s="4">
        <v>0</v>
      </c>
      <c r="P311" s="4">
        <f>O311*20%</f>
      </c>
      <c r="Q311" s="4">
        <v>1</v>
      </c>
      <c r="R311" s="4">
        <f>N311+P311</f>
      </c>
      <c r="S311" s="4">
        <f>K311-L311-M311-N311-O311-P311-Q311</f>
      </c>
      <c r="T311" s="4">
        <f>(S311-V311)/I311*100</f>
      </c>
      <c r="U311" s="4">
        <f>L311-R311</f>
      </c>
      <c r="W311" s="4">
        <f>S311-V311</f>
      </c>
      <c r="AB311" t="s">
        <v>1</v>
      </c>
    </row>
    <row r="312" spans="1:28" x14ac:dyDescent="0.25">
      <c r="A312" s="8">
        <v>46174.5</v>
      </c>
      <c r="B312" t="s">
        <v>2861</v>
      </c>
      <c r="C312" t="s">
        <v>1</v>
      </c>
      <c r="D312" s="9" t="s">
        <v>2862</v>
      </c>
      <c r="E312" t="s">
        <v>58</v>
      </c>
      <c r="F312" t="s">
        <v>99</v>
      </c>
      <c r="G312" t="s">
        <v>60</v>
      </c>
      <c r="H312" t="s">
        <v>66</v>
      </c>
      <c r="I312" s="4">
        <v>430</v>
      </c>
      <c r="J312" s="4">
        <v>597.7</v>
      </c>
      <c r="K312" s="4">
        <f>J312-I312</f>
      </c>
      <c r="L312" s="4">
        <f>K312*16.67%</f>
      </c>
      <c r="M312" s="4">
        <f>J312*7%</f>
      </c>
      <c r="N312" s="4">
        <f>M312*20%</f>
      </c>
      <c r="O312" s="4">
        <v>0</v>
      </c>
      <c r="P312" s="4">
        <f>O312*20%</f>
      </c>
      <c r="Q312" s="4">
        <v>1</v>
      </c>
      <c r="R312" s="4">
        <f>N312+P312</f>
      </c>
      <c r="S312" s="4">
        <f>K312-L312-M312-N312-O312-P312-Q312</f>
      </c>
      <c r="T312" s="4">
        <f>(S312-V312)/I312*100</f>
      </c>
      <c r="U312" s="4">
        <f>L312-R312</f>
      </c>
      <c r="W312" s="4">
        <f>S312-V312</f>
      </c>
      <c r="AB312" t="s">
        <v>1</v>
      </c>
    </row>
    <row r="313" spans="1:28" x14ac:dyDescent="0.25">
      <c r="A313" s="8">
        <v>46174.5</v>
      </c>
      <c r="B313" t="s">
        <v>2863</v>
      </c>
      <c r="C313" t="s">
        <v>1</v>
      </c>
      <c r="D313" s="9" t="s">
        <v>2864</v>
      </c>
      <c r="E313" t="s">
        <v>58</v>
      </c>
      <c r="F313" t="s">
        <v>99</v>
      </c>
      <c r="G313" t="s">
        <v>60</v>
      </c>
      <c r="H313" t="s">
        <v>61</v>
      </c>
      <c r="I313" s="4">
        <v>436</v>
      </c>
      <c r="J313" s="4">
        <v>632.2</v>
      </c>
      <c r="K313" s="4">
        <f>J313-I313</f>
      </c>
      <c r="L313" s="4">
        <f>K313*16.67%</f>
      </c>
      <c r="M313" s="4">
        <f>J313*7%</f>
      </c>
      <c r="N313" s="4">
        <f>M313*20%</f>
      </c>
      <c r="O313" s="4">
        <v>0</v>
      </c>
      <c r="P313" s="4">
        <f>O313*20%</f>
      </c>
      <c r="Q313" s="4">
        <v>1</v>
      </c>
      <c r="R313" s="4">
        <f>N313+P313</f>
      </c>
      <c r="S313" s="4">
        <f>K313-L313-M313-N313-O313-P313-Q313</f>
      </c>
      <c r="T313" s="4">
        <f>(S313-V313)/I313*100</f>
      </c>
      <c r="U313" s="4">
        <f>L313-R313</f>
      </c>
      <c r="W313" s="4">
        <f>S313-V313</f>
      </c>
      <c r="AB313" t="s">
        <v>1</v>
      </c>
    </row>
    <row r="314" spans="1:28" x14ac:dyDescent="0.25">
      <c r="A314" s="8">
        <v>46174.5</v>
      </c>
      <c r="B314" t="s">
        <v>2865</v>
      </c>
      <c r="C314" t="s">
        <v>1</v>
      </c>
      <c r="D314" s="9" t="s">
        <v>2866</v>
      </c>
      <c r="E314" t="s">
        <v>73</v>
      </c>
      <c r="F314" t="s">
        <v>70</v>
      </c>
      <c r="G314" t="s">
        <v>60</v>
      </c>
      <c r="H314" t="s">
        <v>66</v>
      </c>
      <c r="I314" s="4">
        <v>328</v>
      </c>
      <c r="J314" s="4">
        <v>426.4</v>
      </c>
      <c r="K314" s="4">
        <f>J314-I314</f>
      </c>
      <c r="L314" s="4">
        <f>K314*16.67%</f>
      </c>
      <c r="M314" s="4">
        <f>J314*7%</f>
      </c>
      <c r="N314" s="4">
        <f>M314*20%</f>
      </c>
      <c r="O314" s="4">
        <v>0</v>
      </c>
      <c r="P314" s="4">
        <f>O314*20%</f>
      </c>
      <c r="Q314" s="4">
        <v>1</v>
      </c>
      <c r="R314" s="4">
        <f>N314+P314</f>
      </c>
      <c r="S314" s="4">
        <f>K314-L314-M314-N314-O314-P314-Q314</f>
      </c>
      <c r="T314" s="4">
        <f>(S314-V314)/I314*100</f>
      </c>
      <c r="U314" s="4">
        <f>L314-R314</f>
      </c>
      <c r="W314" s="4">
        <f>S314-V314</f>
      </c>
      <c r="AB314" t="s">
        <v>1</v>
      </c>
    </row>
    <row r="315" spans="1:28" x14ac:dyDescent="0.25">
      <c r="A315" s="8">
        <v>46174.5</v>
      </c>
      <c r="B315" t="s">
        <v>2867</v>
      </c>
      <c r="C315" t="s">
        <v>1</v>
      </c>
      <c r="D315" s="9" t="s">
        <v>2868</v>
      </c>
      <c r="E315" t="s">
        <v>73</v>
      </c>
      <c r="F315" t="s">
        <v>74</v>
      </c>
      <c r="G315" t="s">
        <v>60</v>
      </c>
      <c r="H315" t="s">
        <v>78</v>
      </c>
      <c r="I315" s="4">
        <v>334</v>
      </c>
      <c r="J315" s="4">
        <v>450.9</v>
      </c>
      <c r="K315" s="4">
        <f>J315-I315</f>
      </c>
      <c r="L315" s="4">
        <f>K315*16.67%</f>
      </c>
      <c r="M315" s="4">
        <f>J315*7%</f>
      </c>
      <c r="N315" s="4">
        <f>M315*20%</f>
      </c>
      <c r="O315" s="4">
        <v>0</v>
      </c>
      <c r="P315" s="4">
        <f>O315*20%</f>
      </c>
      <c r="Q315" s="4">
        <v>1</v>
      </c>
      <c r="R315" s="4">
        <f>N315+P315</f>
      </c>
      <c r="S315" s="4">
        <f>K315-L315-M315-N315-O315-P315-Q315</f>
      </c>
      <c r="T315" s="4">
        <f>(S315-V315)/I315*100</f>
      </c>
      <c r="U315" s="4">
        <f>L315-R315</f>
      </c>
      <c r="W315" s="4">
        <f>S315-V315</f>
      </c>
      <c r="AB315" t="s">
        <v>1</v>
      </c>
    </row>
    <row r="316" spans="1:28" x14ac:dyDescent="0.25">
      <c r="A316" s="8">
        <v>46174.5</v>
      </c>
      <c r="B316" t="s">
        <v>2869</v>
      </c>
      <c r="C316" t="s">
        <v>1</v>
      </c>
      <c r="D316" s="9" t="s">
        <v>2870</v>
      </c>
      <c r="E316" t="s">
        <v>139</v>
      </c>
      <c r="F316" t="s">
        <v>74</v>
      </c>
      <c r="G316" t="s">
        <v>60</v>
      </c>
      <c r="H316" t="s">
        <v>61</v>
      </c>
      <c r="I316" s="4">
        <v>353</v>
      </c>
      <c r="J316" s="4">
        <v>497.73</v>
      </c>
      <c r="K316" s="4">
        <f>J316-I316</f>
      </c>
      <c r="L316" s="4">
        <f>K316*16.67%</f>
      </c>
      <c r="M316" s="4">
        <f>J316*7%</f>
      </c>
      <c r="N316" s="4">
        <f>M316*20%</f>
      </c>
      <c r="O316" s="4">
        <v>0</v>
      </c>
      <c r="P316" s="4">
        <f>O316*20%</f>
      </c>
      <c r="Q316" s="4">
        <v>1</v>
      </c>
      <c r="R316" s="4">
        <f>N316+P316</f>
      </c>
      <c r="S316" s="4">
        <f>K316-L316-M316-N316-O316-P316-Q316</f>
      </c>
      <c r="T316" s="4">
        <f>(S316-V316)/I316*100</f>
      </c>
      <c r="U316" s="4">
        <f>L316-R316</f>
      </c>
      <c r="W316" s="4">
        <f>S316-V316</f>
      </c>
      <c r="AB316" t="s">
        <v>1</v>
      </c>
    </row>
    <row r="317" spans="1:28" x14ac:dyDescent="0.25">
      <c r="A317" s="8">
        <v>46174.5</v>
      </c>
      <c r="B317" t="s">
        <v>2871</v>
      </c>
      <c r="C317" t="s">
        <v>182</v>
      </c>
      <c r="D317" s="9" t="s">
        <v>1</v>
      </c>
      <c r="E317" t="s">
        <v>182</v>
      </c>
      <c r="F317" t="s">
        <v>1</v>
      </c>
      <c r="G317" t="s">
        <v>1</v>
      </c>
      <c r="H317" t="s">
        <v>75</v>
      </c>
      <c r="I317" s="4">
        <v>1.9</v>
      </c>
      <c r="J317" s="4">
        <v>2.43</v>
      </c>
      <c r="K317" s="4">
        <f>J317-I317</f>
      </c>
      <c r="L317" s="4">
        <f>K317*16.67%</f>
      </c>
      <c r="M317" s="4">
        <f>J317*7%</f>
      </c>
      <c r="N317" s="4">
        <f>M317*20%</f>
      </c>
      <c r="O317" s="4">
        <v>0</v>
      </c>
      <c r="P317" s="4">
        <f>O317*20%</f>
      </c>
      <c r="Q317" s="4">
        <v>0</v>
      </c>
      <c r="R317" s="4">
        <f>N317+P317</f>
      </c>
      <c r="S317" s="4">
        <f>K317-L317-M317-N317-O317-P317-Q317</f>
      </c>
      <c r="T317" s="4">
        <f>(S317-V317)/I317*100</f>
      </c>
      <c r="U317" s="4">
        <f>L317-R317</f>
      </c>
      <c r="W317" s="4">
        <f>S317-V317</f>
      </c>
      <c r="AB317" t="s">
        <v>1</v>
      </c>
    </row>
    <row r="318" spans="1:28" x14ac:dyDescent="0.25">
      <c r="A318" s="8">
        <v>46174.5</v>
      </c>
      <c r="B318" t="s">
        <v>2872</v>
      </c>
      <c r="C318" t="s">
        <v>1</v>
      </c>
      <c r="D318" s="9" t="s">
        <v>1</v>
      </c>
      <c r="E318" t="s">
        <v>1</v>
      </c>
      <c r="F318" t="s">
        <v>1</v>
      </c>
      <c r="G318" t="s">
        <v>1</v>
      </c>
      <c r="H318" t="s">
        <v>61</v>
      </c>
      <c r="I318" s="4">
        <v>722</v>
      </c>
      <c r="J318" s="4">
        <v>945.82</v>
      </c>
      <c r="K318" s="4">
        <f>J318-I318</f>
      </c>
      <c r="L318" s="4">
        <f>K318*16.67%</f>
      </c>
      <c r="M318" s="4">
        <f>J318*7%</f>
      </c>
      <c r="N318" s="4">
        <f>M318*20%</f>
      </c>
      <c r="O318" s="4">
        <v>0</v>
      </c>
      <c r="P318" s="4">
        <f>O318*20%</f>
      </c>
      <c r="Q318" s="4">
        <v>1</v>
      </c>
      <c r="R318" s="4">
        <f>N318+P318</f>
      </c>
      <c r="S318" s="4">
        <f>K318-L318-M318-N318-O318-P318-Q318</f>
      </c>
      <c r="T318" s="4">
        <f>(S318-V318)/I318*100</f>
      </c>
      <c r="U318" s="4">
        <f>L318-R318</f>
      </c>
      <c r="W318" s="4">
        <f>S318-V318</f>
      </c>
      <c r="AB318" t="s">
        <v>1</v>
      </c>
    </row>
    <row r="319" spans="1:28" x14ac:dyDescent="0.25">
      <c r="A319" s="8">
        <v>46173.5</v>
      </c>
      <c r="B319" t="s">
        <v>2873</v>
      </c>
      <c r="C319" t="s">
        <v>1</v>
      </c>
      <c r="D319" s="9" t="s">
        <v>2874</v>
      </c>
      <c r="E319" t="s">
        <v>172</v>
      </c>
      <c r="F319" t="s">
        <v>105</v>
      </c>
      <c r="G319" t="s">
        <v>65</v>
      </c>
      <c r="H319" t="s">
        <v>61</v>
      </c>
      <c r="I319" s="4">
        <v>159</v>
      </c>
      <c r="J319" s="4">
        <v>184.44</v>
      </c>
      <c r="K319" s="4">
        <f>J319-I319</f>
      </c>
      <c r="L319" s="4">
        <f>K319*16.67%</f>
      </c>
      <c r="M319" s="4">
        <f>J319*7%</f>
      </c>
      <c r="N319" s="4">
        <f>M319*20%</f>
      </c>
      <c r="O319" s="4">
        <v>0</v>
      </c>
      <c r="P319" s="4">
        <f>O319*20%</f>
      </c>
      <c r="Q319" s="4">
        <v>1</v>
      </c>
      <c r="R319" s="4">
        <f>N319+P319</f>
      </c>
      <c r="S319" s="4">
        <f>K319-L319-M319-N319-O319-P319-Q319</f>
      </c>
      <c r="T319" s="4">
        <f>(S319-V319)/I319*100</f>
      </c>
      <c r="U319" s="4">
        <f>L319-R319</f>
      </c>
      <c r="W319" s="4">
        <f>S319-V319</f>
      </c>
      <c r="AB319" t="s">
        <v>1</v>
      </c>
    </row>
    <row r="320" spans="1:28" x14ac:dyDescent="0.25">
      <c r="A320" s="8">
        <v>46173.5</v>
      </c>
      <c r="B320" t="s">
        <v>2875</v>
      </c>
      <c r="C320" t="s">
        <v>1</v>
      </c>
      <c r="D320" s="9" t="s">
        <v>2876</v>
      </c>
      <c r="E320" t="s">
        <v>58</v>
      </c>
      <c r="F320" t="s">
        <v>59</v>
      </c>
      <c r="G320" t="s">
        <v>60</v>
      </c>
      <c r="H320" t="s">
        <v>61</v>
      </c>
      <c r="I320" s="4">
        <v>465</v>
      </c>
      <c r="J320" s="4">
        <v>669.6</v>
      </c>
      <c r="K320" s="4">
        <f>J320-I320</f>
      </c>
      <c r="L320" s="4">
        <f>K320*16.67%</f>
      </c>
      <c r="M320" s="4">
        <f>J320*7%</f>
      </c>
      <c r="N320" s="4">
        <f>M320*20%</f>
      </c>
      <c r="O320" s="4">
        <v>0</v>
      </c>
      <c r="P320" s="4">
        <f>O320*20%</f>
      </c>
      <c r="Q320" s="4">
        <v>1</v>
      </c>
      <c r="R320" s="4">
        <f>N320+P320</f>
      </c>
      <c r="S320" s="4">
        <f>K320-L320-M320-N320-O320-P320-Q320</f>
      </c>
      <c r="T320" s="4">
        <f>(S320-V320)/I320*100</f>
      </c>
      <c r="U320" s="4">
        <f>L320-R320</f>
      </c>
      <c r="W320" s="4">
        <f>S320-V320</f>
      </c>
      <c r="AB320" t="s">
        <v>1</v>
      </c>
    </row>
    <row r="321" spans="1:28" x14ac:dyDescent="0.25">
      <c r="A321" s="8">
        <v>46173.5</v>
      </c>
      <c r="B321" t="s">
        <v>2877</v>
      </c>
      <c r="C321" t="s">
        <v>1</v>
      </c>
      <c r="D321" s="9" t="s">
        <v>2878</v>
      </c>
      <c r="E321" t="s">
        <v>91</v>
      </c>
      <c r="F321" t="s">
        <v>85</v>
      </c>
      <c r="G321" t="s">
        <v>65</v>
      </c>
      <c r="H321" t="s">
        <v>75</v>
      </c>
      <c r="I321" s="4">
        <v>97</v>
      </c>
      <c r="J321" s="4">
        <v>129.98</v>
      </c>
      <c r="K321" s="4">
        <f>J321-I321</f>
      </c>
      <c r="L321" s="4">
        <f>K321*16.67%</f>
      </c>
      <c r="M321" s="4">
        <f>J321*7%</f>
      </c>
      <c r="N321" s="4">
        <f>M321*20%</f>
      </c>
      <c r="O321" s="4">
        <v>0</v>
      </c>
      <c r="P321" s="4">
        <f>O321*20%</f>
      </c>
      <c r="Q321" s="4">
        <v>1</v>
      </c>
      <c r="R321" s="4">
        <f>N321+P321</f>
      </c>
      <c r="S321" s="4">
        <f>K321-L321-M321-N321-O321-P321-Q321</f>
      </c>
      <c r="T321" s="4">
        <f>(S321-V321)/I321*100</f>
      </c>
      <c r="U321" s="4">
        <f>L321-R321</f>
      </c>
      <c r="W321" s="4">
        <f>S321-V321</f>
      </c>
      <c r="AB321" t="s">
        <v>1</v>
      </c>
    </row>
    <row r="322" spans="1:28" x14ac:dyDescent="0.25">
      <c r="A322" s="8">
        <v>46173.5</v>
      </c>
      <c r="B322" t="s">
        <v>2879</v>
      </c>
      <c r="C322" t="s">
        <v>1</v>
      </c>
      <c r="D322" s="9" t="s">
        <v>2880</v>
      </c>
      <c r="E322" t="s">
        <v>98</v>
      </c>
      <c r="F322" t="s">
        <v>105</v>
      </c>
      <c r="G322" t="s">
        <v>65</v>
      </c>
      <c r="H322" t="s">
        <v>75</v>
      </c>
      <c r="I322" s="4">
        <v>302</v>
      </c>
      <c r="J322" s="4">
        <v>404.68</v>
      </c>
      <c r="K322" s="4">
        <f>J322-I322</f>
      </c>
      <c r="L322" s="4">
        <f>K322*16.67%</f>
      </c>
      <c r="M322" s="4">
        <f>J322*7%</f>
      </c>
      <c r="N322" s="4">
        <f>M322*20%</f>
      </c>
      <c r="O322" s="4">
        <v>0</v>
      </c>
      <c r="P322" s="4">
        <f>O322*20%</f>
      </c>
      <c r="Q322" s="4">
        <v>1</v>
      </c>
      <c r="R322" s="4">
        <f>N322+P322</f>
      </c>
      <c r="S322" s="4">
        <f>K322-L322-M322-N322-O322-P322-Q322</f>
      </c>
      <c r="T322" s="4">
        <f>(S322-V322)/I322*100</f>
      </c>
      <c r="U322" s="4">
        <f>L322-R322</f>
      </c>
      <c r="W322" s="4">
        <f>S322-V322</f>
      </c>
      <c r="AB322" t="s">
        <v>1</v>
      </c>
    </row>
    <row r="323" spans="1:28" x14ac:dyDescent="0.25">
      <c r="A323" s="8">
        <v>46173.5</v>
      </c>
      <c r="B323" t="s">
        <v>2881</v>
      </c>
      <c r="C323" t="s">
        <v>1</v>
      </c>
      <c r="D323" s="9" t="s">
        <v>2882</v>
      </c>
      <c r="E323" t="s">
        <v>172</v>
      </c>
      <c r="F323" t="s">
        <v>88</v>
      </c>
      <c r="G323" t="s">
        <v>65</v>
      </c>
      <c r="H323" t="s">
        <v>61</v>
      </c>
      <c r="I323" s="4">
        <v>146</v>
      </c>
      <c r="J323" s="4">
        <v>201.48</v>
      </c>
      <c r="K323" s="4">
        <f>J323-I323</f>
      </c>
      <c r="L323" s="4">
        <f>K323*16.67%</f>
      </c>
      <c r="M323" s="4">
        <f>J323*7%</f>
      </c>
      <c r="N323" s="4">
        <f>M323*20%</f>
      </c>
      <c r="O323" s="4">
        <v>0</v>
      </c>
      <c r="P323" s="4">
        <f>O323*20%</f>
      </c>
      <c r="Q323" s="4">
        <v>1</v>
      </c>
      <c r="R323" s="4">
        <f>N323+P323</f>
      </c>
      <c r="S323" s="4">
        <f>K323-L323-M323-N323-O323-P323-Q323</f>
      </c>
      <c r="T323" s="4">
        <f>(S323-V323)/I323*100</f>
      </c>
      <c r="U323" s="4">
        <f>L323-R323</f>
      </c>
      <c r="W323" s="4">
        <f>S323-V323</f>
      </c>
      <c r="AB323" t="s">
        <v>1</v>
      </c>
    </row>
    <row r="324" spans="1:28" x14ac:dyDescent="0.25">
      <c r="A324" s="8">
        <v>46173.5</v>
      </c>
      <c r="B324" t="s">
        <v>2883</v>
      </c>
      <c r="C324" t="s">
        <v>1</v>
      </c>
      <c r="D324" s="9" t="s">
        <v>2884</v>
      </c>
      <c r="E324" t="s">
        <v>81</v>
      </c>
      <c r="F324" t="s">
        <v>70</v>
      </c>
      <c r="G324" t="s">
        <v>60</v>
      </c>
      <c r="H324" t="s">
        <v>66</v>
      </c>
      <c r="I324" s="4">
        <v>572</v>
      </c>
      <c r="J324" s="4">
        <v>795.08</v>
      </c>
      <c r="K324" s="4">
        <f>J324-I324</f>
      </c>
      <c r="L324" s="4">
        <f>K324*16.67%</f>
      </c>
      <c r="M324" s="4">
        <f>J324*7%</f>
      </c>
      <c r="N324" s="4">
        <f>M324*20%</f>
      </c>
      <c r="O324" s="4">
        <v>0</v>
      </c>
      <c r="P324" s="4">
        <f>O324*20%</f>
      </c>
      <c r="Q324" s="4">
        <v>1</v>
      </c>
      <c r="R324" s="4">
        <f>N324+P324</f>
      </c>
      <c r="S324" s="4">
        <f>K324-L324-M324-N324-O324-P324-Q324</f>
      </c>
      <c r="T324" s="4">
        <f>(S324-V324)/I324*100</f>
      </c>
      <c r="U324" s="4">
        <f>L324-R324</f>
      </c>
      <c r="W324" s="4">
        <f>S324-V324</f>
      </c>
      <c r="AB324" t="s">
        <v>1</v>
      </c>
    </row>
    <row r="325" spans="1:28" x14ac:dyDescent="0.25">
      <c r="A325" s="8">
        <v>46173.5</v>
      </c>
      <c r="B325" t="s">
        <v>2885</v>
      </c>
      <c r="C325" t="s">
        <v>1</v>
      </c>
      <c r="D325" s="9" t="s">
        <v>2886</v>
      </c>
      <c r="E325" t="s">
        <v>73</v>
      </c>
      <c r="F325" t="s">
        <v>99</v>
      </c>
      <c r="G325" t="s">
        <v>60</v>
      </c>
      <c r="H325" t="s">
        <v>78</v>
      </c>
      <c r="I325" s="4">
        <v>332</v>
      </c>
      <c r="J325" s="4">
        <v>411.68</v>
      </c>
      <c r="K325" s="4">
        <f>J325-I325</f>
      </c>
      <c r="L325" s="4">
        <f>K325*16.67%</f>
      </c>
      <c r="M325" s="4">
        <f>J325*7%</f>
      </c>
      <c r="N325" s="4">
        <f>M325*20%</f>
      </c>
      <c r="O325" s="4">
        <v>0</v>
      </c>
      <c r="P325" s="4">
        <f>O325*20%</f>
      </c>
      <c r="Q325" s="4">
        <v>1</v>
      </c>
      <c r="R325" s="4">
        <f>N325+P325</f>
      </c>
      <c r="S325" s="4">
        <f>K325-L325-M325-N325-O325-P325-Q325</f>
      </c>
      <c r="T325" s="4">
        <f>(S325-V325)/I325*100</f>
      </c>
      <c r="U325" s="4">
        <f>L325-R325</f>
      </c>
      <c r="W325" s="4">
        <f>S325-V325</f>
      </c>
      <c r="AB325" t="s">
        <v>1</v>
      </c>
    </row>
    <row r="326" spans="1:28" x14ac:dyDescent="0.25">
      <c r="A326" s="8">
        <v>46173.5</v>
      </c>
      <c r="B326" t="s">
        <v>2887</v>
      </c>
      <c r="C326" t="s">
        <v>1</v>
      </c>
      <c r="D326" s="9" t="s">
        <v>2888</v>
      </c>
      <c r="E326" t="s">
        <v>139</v>
      </c>
      <c r="F326" t="s">
        <v>99</v>
      </c>
      <c r="G326" t="s">
        <v>60</v>
      </c>
      <c r="H326" t="s">
        <v>61</v>
      </c>
      <c r="I326" s="4">
        <v>318</v>
      </c>
      <c r="J326" s="4">
        <v>381.6</v>
      </c>
      <c r="K326" s="4">
        <f>J326-I326</f>
      </c>
      <c r="L326" s="4">
        <f>K326*16.67%</f>
      </c>
      <c r="M326" s="4">
        <f>J326*7%</f>
      </c>
      <c r="N326" s="4">
        <f>M326*20%</f>
      </c>
      <c r="O326" s="4">
        <v>0</v>
      </c>
      <c r="P326" s="4">
        <f>O326*20%</f>
      </c>
      <c r="Q326" s="4">
        <v>1</v>
      </c>
      <c r="R326" s="4">
        <f>N326+P326</f>
      </c>
      <c r="S326" s="4">
        <f>K326-L326-M326-N326-O326-P326-Q326</f>
      </c>
      <c r="T326" s="4">
        <f>(S326-V326)/I326*100</f>
      </c>
      <c r="U326" s="4">
        <f>L326-R326</f>
      </c>
      <c r="W326" s="4">
        <f>S326-V326</f>
      </c>
      <c r="AB326" t="s">
        <v>1</v>
      </c>
    </row>
    <row r="327" spans="1:28" x14ac:dyDescent="0.25">
      <c r="A327" s="8">
        <v>46172.5</v>
      </c>
      <c r="B327" t="s">
        <v>2889</v>
      </c>
      <c r="C327" t="s">
        <v>1</v>
      </c>
      <c r="D327" s="9" t="s">
        <v>2890</v>
      </c>
      <c r="E327" t="s">
        <v>98</v>
      </c>
      <c r="F327" t="s">
        <v>85</v>
      </c>
      <c r="G327" t="s">
        <v>65</v>
      </c>
      <c r="H327" t="s">
        <v>61</v>
      </c>
      <c r="I327" s="4">
        <v>320</v>
      </c>
      <c r="J327" s="4">
        <v>393.6</v>
      </c>
      <c r="K327" s="4">
        <f>J327-I327</f>
      </c>
      <c r="L327" s="4">
        <f>K327*16.67%</f>
      </c>
      <c r="M327" s="4">
        <f>J327*7%</f>
      </c>
      <c r="N327" s="4">
        <f>M327*20%</f>
      </c>
      <c r="O327" s="4">
        <v>0</v>
      </c>
      <c r="P327" s="4">
        <f>O327*20%</f>
      </c>
      <c r="Q327" s="4">
        <v>1</v>
      </c>
      <c r="R327" s="4">
        <f>N327+P327</f>
      </c>
      <c r="S327" s="4">
        <f>K327-L327-M327-N327-O327-P327-Q327</f>
      </c>
      <c r="T327" s="4">
        <f>(S327-V327)/I327*100</f>
      </c>
      <c r="U327" s="4">
        <f>L327-R327</f>
      </c>
      <c r="W327" s="4">
        <f>S327-V327</f>
      </c>
      <c r="AB327" t="s">
        <v>1</v>
      </c>
    </row>
    <row r="328" spans="1:28" x14ac:dyDescent="0.25">
      <c r="A328" s="8">
        <v>46172.5</v>
      </c>
      <c r="B328" t="s">
        <v>2891</v>
      </c>
      <c r="C328" t="s">
        <v>1</v>
      </c>
      <c r="D328" s="9" t="s">
        <v>2892</v>
      </c>
      <c r="E328" t="s">
        <v>84</v>
      </c>
      <c r="F328" t="s">
        <v>74</v>
      </c>
      <c r="G328" t="s">
        <v>60</v>
      </c>
      <c r="H328" t="s">
        <v>102</v>
      </c>
      <c r="I328" s="4">
        <v>754</v>
      </c>
      <c r="J328" s="4">
        <v>919.88</v>
      </c>
      <c r="K328" s="4">
        <f>J328-I328</f>
      </c>
      <c r="L328" s="4">
        <f>K328*16.67%</f>
      </c>
      <c r="M328" s="4">
        <f>J328*7%</f>
      </c>
      <c r="N328" s="4">
        <f>M328*20%</f>
      </c>
      <c r="O328" s="4">
        <v>0</v>
      </c>
      <c r="P328" s="4">
        <f>O328*20%</f>
      </c>
      <c r="Q328" s="4">
        <v>1</v>
      </c>
      <c r="R328" s="4">
        <f>N328+P328</f>
      </c>
      <c r="S328" s="4">
        <f>K328-L328-M328-N328-O328-P328-Q328</f>
      </c>
      <c r="T328" s="4">
        <f>(S328-V328)/I328*100</f>
      </c>
      <c r="U328" s="4">
        <f>L328-R328</f>
      </c>
      <c r="W328" s="4">
        <f>S328-V328</f>
      </c>
      <c r="AB328" t="s">
        <v>1</v>
      </c>
    </row>
    <row r="329" spans="1:28" x14ac:dyDescent="0.25">
      <c r="A329" s="8">
        <v>46172.5</v>
      </c>
      <c r="B329" t="s">
        <v>2893</v>
      </c>
      <c r="C329" t="s">
        <v>1</v>
      </c>
      <c r="D329" s="9" t="s">
        <v>2894</v>
      </c>
      <c r="E329" t="s">
        <v>139</v>
      </c>
      <c r="F329" t="s">
        <v>70</v>
      </c>
      <c r="G329" t="s">
        <v>65</v>
      </c>
      <c r="H329" t="s">
        <v>66</v>
      </c>
      <c r="I329" s="4">
        <v>360</v>
      </c>
      <c r="J329" s="4">
        <v>486</v>
      </c>
      <c r="K329" s="4">
        <f>J329-I329</f>
      </c>
      <c r="L329" s="4">
        <f>K329*16.67%</f>
      </c>
      <c r="M329" s="4">
        <f>J329*7%</f>
      </c>
      <c r="N329" s="4">
        <f>M329*20%</f>
      </c>
      <c r="O329" s="4">
        <v>0</v>
      </c>
      <c r="P329" s="4">
        <f>O329*20%</f>
      </c>
      <c r="Q329" s="4">
        <v>1</v>
      </c>
      <c r="R329" s="4">
        <f>N329+P329</f>
      </c>
      <c r="S329" s="4">
        <f>K329-L329-M329-N329-O329-P329-Q329</f>
      </c>
      <c r="T329" s="4">
        <f>(S329-V329)/I329*100</f>
      </c>
      <c r="U329" s="4">
        <f>L329-R329</f>
      </c>
      <c r="W329" s="4">
        <f>S329-V329</f>
      </c>
      <c r="AB329" t="s">
        <v>1</v>
      </c>
    </row>
    <row r="330" spans="1:28" x14ac:dyDescent="0.25">
      <c r="A330" s="8">
        <v>46172.5</v>
      </c>
      <c r="B330" t="s">
        <v>2895</v>
      </c>
      <c r="C330" t="s">
        <v>1</v>
      </c>
      <c r="D330" s="9" t="s">
        <v>2896</v>
      </c>
      <c r="E330" t="s">
        <v>98</v>
      </c>
      <c r="F330" t="s">
        <v>105</v>
      </c>
      <c r="G330" t="s">
        <v>65</v>
      </c>
      <c r="H330" t="s">
        <v>61</v>
      </c>
      <c r="I330" s="4">
        <v>300</v>
      </c>
      <c r="J330" s="4">
        <v>351</v>
      </c>
      <c r="K330" s="4">
        <f>J330-I330</f>
      </c>
      <c r="L330" s="4">
        <f>K330*16.67%</f>
      </c>
      <c r="M330" s="4">
        <f>J330*7%</f>
      </c>
      <c r="N330" s="4">
        <f>M330*20%</f>
      </c>
      <c r="O330" s="4">
        <v>0</v>
      </c>
      <c r="P330" s="4">
        <f>O330*20%</f>
      </c>
      <c r="Q330" s="4">
        <v>1</v>
      </c>
      <c r="R330" s="4">
        <f>N330+P330</f>
      </c>
      <c r="S330" s="4">
        <f>K330-L330-M330-N330-O330-P330-Q330</f>
      </c>
      <c r="T330" s="4">
        <f>(S330-V330)/I330*100</f>
      </c>
      <c r="U330" s="4">
        <f>L330-R330</f>
      </c>
      <c r="W330" s="4">
        <f>S330-V330</f>
      </c>
      <c r="AB330" t="s">
        <v>1</v>
      </c>
    </row>
    <row r="331" spans="1:28" x14ac:dyDescent="0.25">
      <c r="A331" s="8">
        <v>46172.5</v>
      </c>
      <c r="B331" t="s">
        <v>2897</v>
      </c>
      <c r="C331" t="s">
        <v>1</v>
      </c>
      <c r="D331" s="9" t="s">
        <v>2898</v>
      </c>
      <c r="E331" t="s">
        <v>73</v>
      </c>
      <c r="F331" t="s">
        <v>70</v>
      </c>
      <c r="G331" t="s">
        <v>60</v>
      </c>
      <c r="H331" t="s">
        <v>66</v>
      </c>
      <c r="I331" s="4">
        <v>341</v>
      </c>
      <c r="J331" s="4">
        <v>422.84</v>
      </c>
      <c r="K331" s="4">
        <f>J331-I331</f>
      </c>
      <c r="L331" s="4">
        <f>K331*16.67%</f>
      </c>
      <c r="M331" s="4">
        <f>J331*7%</f>
      </c>
      <c r="N331" s="4">
        <f>M331*20%</f>
      </c>
      <c r="O331" s="4">
        <v>0</v>
      </c>
      <c r="P331" s="4">
        <f>O331*20%</f>
      </c>
      <c r="Q331" s="4">
        <v>1</v>
      </c>
      <c r="R331" s="4">
        <f>N331+P331</f>
      </c>
      <c r="S331" s="4">
        <f>K331-L331-M331-N331-O331-P331-Q331</f>
      </c>
      <c r="T331" s="4">
        <f>(S331-V331)/I331*100</f>
      </c>
      <c r="U331" s="4">
        <f>L331-R331</f>
      </c>
      <c r="W331" s="4">
        <f>S331-V331</f>
      </c>
      <c r="AB331" t="s">
        <v>1</v>
      </c>
    </row>
    <row r="332" spans="1:28" x14ac:dyDescent="0.25">
      <c r="A332" s="8">
        <v>46172.5</v>
      </c>
      <c r="B332" t="s">
        <v>2899</v>
      </c>
      <c r="C332" t="s">
        <v>189</v>
      </c>
      <c r="D332" s="9" t="s">
        <v>1</v>
      </c>
      <c r="E332" t="s">
        <v>189</v>
      </c>
      <c r="F332" t="s">
        <v>1</v>
      </c>
      <c r="G332" t="s">
        <v>1</v>
      </c>
      <c r="H332" t="s">
        <v>66</v>
      </c>
      <c r="I332" s="4">
        <v>3.5</v>
      </c>
      <c r="J332" s="4">
        <v>4.58</v>
      </c>
      <c r="K332" s="4">
        <f>J332-I332</f>
      </c>
      <c r="L332" s="4">
        <f>K332*16.67%</f>
      </c>
      <c r="M332" s="4">
        <f>J332*7%</f>
      </c>
      <c r="N332" s="4">
        <f>M332*20%</f>
      </c>
      <c r="O332" s="4">
        <v>0</v>
      </c>
      <c r="P332" s="4">
        <f>O332*20%</f>
      </c>
      <c r="Q332" s="4">
        <v>0</v>
      </c>
      <c r="R332" s="4">
        <f>N332+P332</f>
      </c>
      <c r="S332" s="4">
        <f>K332-L332-M332-N332-O332-P332-Q332</f>
      </c>
      <c r="T332" s="4">
        <f>(S332-V332)/I332*100</f>
      </c>
      <c r="U332" s="4">
        <f>L332-R332</f>
      </c>
      <c r="W332" s="4">
        <f>S332-V332</f>
      </c>
      <c r="AB332" t="s">
        <v>1</v>
      </c>
    </row>
    <row r="333" spans="1:28" x14ac:dyDescent="0.25">
      <c r="A333" s="8">
        <v>46172.5</v>
      </c>
      <c r="B333" t="s">
        <v>2900</v>
      </c>
      <c r="C333" t="s">
        <v>189</v>
      </c>
      <c r="D333" s="9" t="s">
        <v>1</v>
      </c>
      <c r="E333" t="s">
        <v>189</v>
      </c>
      <c r="F333" t="s">
        <v>1</v>
      </c>
      <c r="G333" t="s">
        <v>1</v>
      </c>
      <c r="H333" t="s">
        <v>66</v>
      </c>
      <c r="I333" s="4">
        <v>3.5</v>
      </c>
      <c r="J333" s="4">
        <v>4.2</v>
      </c>
      <c r="K333" s="4">
        <f>J333-I333</f>
      </c>
      <c r="L333" s="4">
        <f>K333*16.67%</f>
      </c>
      <c r="M333" s="4">
        <f>J333*7%</f>
      </c>
      <c r="N333" s="4">
        <f>M333*20%</f>
      </c>
      <c r="O333" s="4">
        <v>0</v>
      </c>
      <c r="P333" s="4">
        <f>O333*20%</f>
      </c>
      <c r="Q333" s="4">
        <v>0</v>
      </c>
      <c r="R333" s="4">
        <f>N333+P333</f>
      </c>
      <c r="S333" s="4">
        <f>K333-L333-M333-N333-O333-P333-Q333</f>
      </c>
      <c r="T333" s="4">
        <f>(S333-V333)/I333*100</f>
      </c>
      <c r="U333" s="4">
        <f>L333-R333</f>
      </c>
      <c r="W333" s="4">
        <f>S333-V333</f>
      </c>
      <c r="AB333" t="s">
        <v>1</v>
      </c>
    </row>
    <row r="334" spans="1:28" x14ac:dyDescent="0.25">
      <c r="A334" s="8">
        <v>46171.5</v>
      </c>
      <c r="B334" t="s">
        <v>2901</v>
      </c>
      <c r="C334" t="s">
        <v>1</v>
      </c>
      <c r="D334" s="9" t="s">
        <v>2902</v>
      </c>
      <c r="E334" t="s">
        <v>58</v>
      </c>
      <c r="F334" t="s">
        <v>74</v>
      </c>
      <c r="G334" t="s">
        <v>60</v>
      </c>
      <c r="H334" t="s">
        <v>78</v>
      </c>
      <c r="I334" s="4">
        <v>466</v>
      </c>
      <c r="J334" s="4">
        <v>568.52</v>
      </c>
      <c r="K334" s="4">
        <f>J334-I334</f>
      </c>
      <c r="L334" s="4">
        <f>K334*16.67%</f>
      </c>
      <c r="M334" s="4">
        <f>J334*7%</f>
      </c>
      <c r="N334" s="4">
        <f>M334*20%</f>
      </c>
      <c r="O334" s="4">
        <v>0</v>
      </c>
      <c r="P334" s="4">
        <f>O334*20%</f>
      </c>
      <c r="Q334" s="4">
        <v>1</v>
      </c>
      <c r="R334" s="4">
        <f>N334+P334</f>
      </c>
      <c r="S334" s="4">
        <f>K334-L334-M334-N334-O334-P334-Q334</f>
      </c>
      <c r="T334" s="4">
        <f>(S334-V334)/I334*100</f>
      </c>
      <c r="U334" s="4">
        <f>L334-R334</f>
      </c>
      <c r="W334" s="4">
        <f>S334-V334</f>
      </c>
      <c r="AB334" t="s">
        <v>1</v>
      </c>
    </row>
    <row r="335" spans="1:28" x14ac:dyDescent="0.25">
      <c r="A335" s="8">
        <v>46171.5</v>
      </c>
      <c r="B335" t="s">
        <v>2903</v>
      </c>
      <c r="C335" t="s">
        <v>1</v>
      </c>
      <c r="D335" s="9" t="s">
        <v>2904</v>
      </c>
      <c r="E335" t="s">
        <v>91</v>
      </c>
      <c r="F335" t="s">
        <v>70</v>
      </c>
      <c r="G335" t="s">
        <v>65</v>
      </c>
      <c r="H335" t="s">
        <v>61</v>
      </c>
      <c r="I335" s="4">
        <v>95</v>
      </c>
      <c r="J335" s="4">
        <v>113.05</v>
      </c>
      <c r="K335" s="4">
        <f>J335-I335</f>
      </c>
      <c r="L335" s="4">
        <f>K335*16.67%</f>
      </c>
      <c r="M335" s="4">
        <f>J335*7%</f>
      </c>
      <c r="N335" s="4">
        <f>M335*20%</f>
      </c>
      <c r="O335" s="4">
        <v>0</v>
      </c>
      <c r="P335" s="4">
        <f>O335*20%</f>
      </c>
      <c r="Q335" s="4">
        <v>1</v>
      </c>
      <c r="R335" s="4">
        <f>N335+P335</f>
      </c>
      <c r="S335" s="4">
        <f>K335-L335-M335-N335-O335-P335-Q335</f>
      </c>
      <c r="T335" s="4">
        <f>(S335-V335)/I335*100</f>
      </c>
      <c r="U335" s="4">
        <f>L335-R335</f>
      </c>
      <c r="W335" s="4">
        <f>S335-V335</f>
      </c>
      <c r="AB335" t="s">
        <v>1</v>
      </c>
    </row>
    <row r="336" spans="1:28" x14ac:dyDescent="0.25">
      <c r="A336" s="8">
        <v>46171.5</v>
      </c>
      <c r="B336" t="s">
        <v>2905</v>
      </c>
      <c r="C336" t="s">
        <v>1</v>
      </c>
      <c r="D336" s="9" t="s">
        <v>2906</v>
      </c>
      <c r="E336" t="s">
        <v>84</v>
      </c>
      <c r="F336" t="s">
        <v>85</v>
      </c>
      <c r="G336" t="s">
        <v>60</v>
      </c>
      <c r="H336" t="s">
        <v>75</v>
      </c>
      <c r="I336" s="4">
        <v>662</v>
      </c>
      <c r="J336" s="4">
        <v>946.66</v>
      </c>
      <c r="K336" s="4">
        <f>J336-I336</f>
      </c>
      <c r="L336" s="4">
        <f>K336*16.67%</f>
      </c>
      <c r="M336" s="4">
        <f>J336*7%</f>
      </c>
      <c r="N336" s="4">
        <f>M336*20%</f>
      </c>
      <c r="O336" s="4">
        <v>0</v>
      </c>
      <c r="P336" s="4">
        <f>O336*20%</f>
      </c>
      <c r="Q336" s="4">
        <v>1</v>
      </c>
      <c r="R336" s="4">
        <f>N336+P336</f>
      </c>
      <c r="S336" s="4">
        <f>K336-L336-M336-N336-O336-P336-Q336</f>
      </c>
      <c r="T336" s="4">
        <f>(S336-V336)/I336*100</f>
      </c>
      <c r="U336" s="4">
        <f>L336-R336</f>
      </c>
      <c r="W336" s="4">
        <f>S336-V336</f>
      </c>
      <c r="AB336" t="s">
        <v>1</v>
      </c>
    </row>
    <row r="337" spans="1:28" x14ac:dyDescent="0.25">
      <c r="A337" s="8">
        <v>46171.5</v>
      </c>
      <c r="B337" t="s">
        <v>2907</v>
      </c>
      <c r="C337" t="s">
        <v>174</v>
      </c>
      <c r="D337" s="9" t="s">
        <v>1</v>
      </c>
      <c r="E337" t="s">
        <v>174</v>
      </c>
      <c r="F337" t="s">
        <v>1</v>
      </c>
      <c r="G337" t="s">
        <v>1</v>
      </c>
      <c r="H337" t="s">
        <v>66</v>
      </c>
      <c r="I337" s="4">
        <v>4.25</v>
      </c>
      <c r="J337" s="4">
        <v>5.14</v>
      </c>
      <c r="K337" s="4">
        <f>J337-I337</f>
      </c>
      <c r="L337" s="4">
        <f>K337*16.67%</f>
      </c>
      <c r="M337" s="4">
        <f>J337*7%</f>
      </c>
      <c r="N337" s="4">
        <f>M337*20%</f>
      </c>
      <c r="O337" s="4">
        <v>0</v>
      </c>
      <c r="P337" s="4">
        <f>O337*20%</f>
      </c>
      <c r="Q337" s="4">
        <v>0</v>
      </c>
      <c r="R337" s="4">
        <f>N337+P337</f>
      </c>
      <c r="S337" s="4">
        <f>K337-L337-M337-N337-O337-P337-Q337</f>
      </c>
      <c r="T337" s="4">
        <f>(S337-V337)/I337*100</f>
      </c>
      <c r="U337" s="4">
        <f>L337-R337</f>
      </c>
      <c r="W337" s="4">
        <f>S337-V337</f>
      </c>
      <c r="AB337" t="s">
        <v>1</v>
      </c>
    </row>
    <row r="338" spans="1:28" x14ac:dyDescent="0.25">
      <c r="A338" s="8">
        <v>46171.5</v>
      </c>
      <c r="B338" t="s">
        <v>2908</v>
      </c>
      <c r="C338" t="s">
        <v>174</v>
      </c>
      <c r="D338" s="9" t="s">
        <v>1</v>
      </c>
      <c r="E338" t="s">
        <v>174</v>
      </c>
      <c r="F338" t="s">
        <v>1</v>
      </c>
      <c r="G338" t="s">
        <v>1</v>
      </c>
      <c r="H338" t="s">
        <v>66</v>
      </c>
      <c r="I338" s="4">
        <v>4.25</v>
      </c>
      <c r="J338" s="4">
        <v>5.86</v>
      </c>
      <c r="K338" s="4">
        <f>J338-I338</f>
      </c>
      <c r="L338" s="4">
        <f>K338*16.67%</f>
      </c>
      <c r="M338" s="4">
        <f>J338*7%</f>
      </c>
      <c r="N338" s="4">
        <f>M338*20%</f>
      </c>
      <c r="O338" s="4">
        <v>0</v>
      </c>
      <c r="P338" s="4">
        <f>O338*20%</f>
      </c>
      <c r="Q338" s="4">
        <v>0</v>
      </c>
      <c r="R338" s="4">
        <f>N338+P338</f>
      </c>
      <c r="S338" s="4">
        <f>K338-L338-M338-N338-O338-P338-Q338</f>
      </c>
      <c r="T338" s="4">
        <f>(S338-V338)/I338*100</f>
      </c>
      <c r="U338" s="4">
        <f>L338-R338</f>
      </c>
      <c r="W338" s="4">
        <f>S338-V338</f>
      </c>
      <c r="AB338" t="s">
        <v>1</v>
      </c>
    </row>
    <row r="339" spans="1:28" x14ac:dyDescent="0.25">
      <c r="A339" s="8">
        <v>46171.5</v>
      </c>
      <c r="B339" t="s">
        <v>2909</v>
      </c>
      <c r="C339" t="s">
        <v>185</v>
      </c>
      <c r="D339" s="9" t="s">
        <v>1</v>
      </c>
      <c r="E339" t="s">
        <v>185</v>
      </c>
      <c r="F339" t="s">
        <v>1</v>
      </c>
      <c r="G339" t="s">
        <v>1</v>
      </c>
      <c r="H339" t="s">
        <v>102</v>
      </c>
      <c r="I339" s="4">
        <v>1.2</v>
      </c>
      <c r="J339" s="4">
        <v>1.52</v>
      </c>
      <c r="K339" s="4">
        <f>J339-I339</f>
      </c>
      <c r="L339" s="4">
        <f>K339*16.67%</f>
      </c>
      <c r="M339" s="4">
        <f>J339*7%</f>
      </c>
      <c r="N339" s="4">
        <f>M339*20%</f>
      </c>
      <c r="O339" s="4">
        <v>0</v>
      </c>
      <c r="P339" s="4">
        <f>O339*20%</f>
      </c>
      <c r="Q339" s="4">
        <v>0</v>
      </c>
      <c r="R339" s="4">
        <f>N339+P339</f>
      </c>
      <c r="S339" s="4">
        <f>K339-L339-M339-N339-O339-P339-Q339</f>
      </c>
      <c r="T339" s="4">
        <f>(S339-V339)/I339*100</f>
      </c>
      <c r="U339" s="4">
        <f>L339-R339</f>
      </c>
      <c r="W339" s="4">
        <f>S339-V339</f>
      </c>
      <c r="AB339" t="s">
        <v>1</v>
      </c>
    </row>
    <row r="340" spans="1:28" x14ac:dyDescent="0.25">
      <c r="A340" s="8">
        <v>46170.5</v>
      </c>
      <c r="B340" t="s">
        <v>2910</v>
      </c>
      <c r="C340" t="s">
        <v>1</v>
      </c>
      <c r="D340" s="9" t="s">
        <v>2911</v>
      </c>
      <c r="E340" t="s">
        <v>139</v>
      </c>
      <c r="F340" t="s">
        <v>88</v>
      </c>
      <c r="G340" t="s">
        <v>60</v>
      </c>
      <c r="H340" t="s">
        <v>61</v>
      </c>
      <c r="I340" s="4">
        <v>361</v>
      </c>
      <c r="J340" s="4">
        <v>523.45</v>
      </c>
      <c r="K340" s="4">
        <f>J340-I340</f>
      </c>
      <c r="L340" s="4">
        <f>K340*16.67%</f>
      </c>
      <c r="M340" s="4">
        <f>J340*7%</f>
      </c>
      <c r="N340" s="4">
        <f>M340*20%</f>
      </c>
      <c r="O340" s="4">
        <v>0</v>
      </c>
      <c r="P340" s="4">
        <f>O340*20%</f>
      </c>
      <c r="Q340" s="4">
        <v>1</v>
      </c>
      <c r="R340" s="4">
        <f>N340+P340</f>
      </c>
      <c r="S340" s="4">
        <f>K340-L340-M340-N340-O340-P340-Q340</f>
      </c>
      <c r="T340" s="4">
        <f>(S340-V340)/I340*100</f>
      </c>
      <c r="U340" s="4">
        <f>L340-R340</f>
      </c>
      <c r="W340" s="4">
        <f>S340-V340</f>
      </c>
      <c r="AB340" t="s">
        <v>1</v>
      </c>
    </row>
    <row r="341" spans="1:28" x14ac:dyDescent="0.25">
      <c r="A341" s="8">
        <v>46170.5</v>
      </c>
      <c r="B341" t="s">
        <v>2912</v>
      </c>
      <c r="C341" t="s">
        <v>1</v>
      </c>
      <c r="D341" s="9" t="s">
        <v>2913</v>
      </c>
      <c r="E341" t="s">
        <v>98</v>
      </c>
      <c r="F341" t="s">
        <v>85</v>
      </c>
      <c r="G341" t="s">
        <v>65</v>
      </c>
      <c r="H341" t="s">
        <v>75</v>
      </c>
      <c r="I341" s="4">
        <v>301</v>
      </c>
      <c r="J341" s="4">
        <v>385.28</v>
      </c>
      <c r="K341" s="4">
        <f>J341-I341</f>
      </c>
      <c r="L341" s="4">
        <f>K341*16.67%</f>
      </c>
      <c r="M341" s="4">
        <f>J341*7%</f>
      </c>
      <c r="N341" s="4">
        <f>M341*20%</f>
      </c>
      <c r="O341" s="4">
        <v>0</v>
      </c>
      <c r="P341" s="4">
        <f>O341*20%</f>
      </c>
      <c r="Q341" s="4">
        <v>1</v>
      </c>
      <c r="R341" s="4">
        <f>N341+P341</f>
      </c>
      <c r="S341" s="4">
        <f>K341-L341-M341-N341-O341-P341-Q341</f>
      </c>
      <c r="T341" s="4">
        <f>(S341-V341)/I341*100</f>
      </c>
      <c r="U341" s="4">
        <f>L341-R341</f>
      </c>
      <c r="W341" s="4">
        <f>S341-V341</f>
      </c>
      <c r="AB341" t="s">
        <v>1</v>
      </c>
    </row>
    <row r="342" spans="1:28" x14ac:dyDescent="0.25">
      <c r="A342" s="8">
        <v>46170.5</v>
      </c>
      <c r="B342" t="s">
        <v>2914</v>
      </c>
      <c r="C342" t="s">
        <v>1</v>
      </c>
      <c r="D342" s="9" t="s">
        <v>2915</v>
      </c>
      <c r="E342" t="s">
        <v>73</v>
      </c>
      <c r="F342" t="s">
        <v>70</v>
      </c>
      <c r="G342" t="s">
        <v>60</v>
      </c>
      <c r="H342" t="s">
        <v>66</v>
      </c>
      <c r="I342" s="4">
        <v>329</v>
      </c>
      <c r="J342" s="4">
        <v>398.09</v>
      </c>
      <c r="K342" s="4">
        <f>J342-I342</f>
      </c>
      <c r="L342" s="4">
        <f>K342*16.67%</f>
      </c>
      <c r="M342" s="4">
        <f>J342*7%</f>
      </c>
      <c r="N342" s="4">
        <f>M342*20%</f>
      </c>
      <c r="O342" s="4">
        <v>0</v>
      </c>
      <c r="P342" s="4">
        <f>O342*20%</f>
      </c>
      <c r="Q342" s="4">
        <v>1</v>
      </c>
      <c r="R342" s="4">
        <f>N342+P342</f>
      </c>
      <c r="S342" s="4">
        <f>K342-L342-M342-N342-O342-P342-Q342</f>
      </c>
      <c r="T342" s="4">
        <f>(S342-V342)/I342*100</f>
      </c>
      <c r="U342" s="4">
        <f>L342-R342</f>
      </c>
      <c r="W342" s="4">
        <f>S342-V342</f>
      </c>
      <c r="AB342" t="s">
        <v>1</v>
      </c>
    </row>
    <row r="343" spans="1:28" x14ac:dyDescent="0.25">
      <c r="A343" s="8">
        <v>46169.5</v>
      </c>
      <c r="B343" t="s">
        <v>2916</v>
      </c>
      <c r="C343" t="s">
        <v>1</v>
      </c>
      <c r="D343" s="9" t="s">
        <v>2917</v>
      </c>
      <c r="E343" t="s">
        <v>84</v>
      </c>
      <c r="F343" t="s">
        <v>88</v>
      </c>
      <c r="G343" t="s">
        <v>60</v>
      </c>
      <c r="H343" t="s">
        <v>78</v>
      </c>
      <c r="I343" s="4">
        <v>760</v>
      </c>
      <c r="J343" s="4">
        <v>1010.8</v>
      </c>
      <c r="K343" s="4">
        <f>J343-I343</f>
      </c>
      <c r="L343" s="4">
        <f>K343*16.67%</f>
      </c>
      <c r="M343" s="4">
        <f>J343*7%</f>
      </c>
      <c r="N343" s="4">
        <f>M343*20%</f>
      </c>
      <c r="O343" s="4">
        <v>0</v>
      </c>
      <c r="P343" s="4">
        <f>O343*20%</f>
      </c>
      <c r="Q343" s="4">
        <v>1</v>
      </c>
      <c r="R343" s="4">
        <f>N343+P343</f>
      </c>
      <c r="S343" s="4">
        <f>K343-L343-M343-N343-O343-P343-Q343</f>
      </c>
      <c r="T343" s="4">
        <f>(S343-V343)/I343*100</f>
      </c>
      <c r="U343" s="4">
        <f>L343-R343</f>
      </c>
      <c r="W343" s="4">
        <f>S343-V343</f>
      </c>
      <c r="AB343" t="s">
        <v>1</v>
      </c>
    </row>
    <row r="344" spans="1:28" x14ac:dyDescent="0.25">
      <c r="A344" s="8">
        <v>46169.5</v>
      </c>
      <c r="B344" t="s">
        <v>2918</v>
      </c>
      <c r="C344" t="s">
        <v>1</v>
      </c>
      <c r="D344" s="9" t="s">
        <v>2919</v>
      </c>
      <c r="E344" t="s">
        <v>73</v>
      </c>
      <c r="F344" t="s">
        <v>74</v>
      </c>
      <c r="G344" t="s">
        <v>60</v>
      </c>
      <c r="H344" t="s">
        <v>75</v>
      </c>
      <c r="I344" s="4">
        <v>338</v>
      </c>
      <c r="J344" s="4">
        <v>442.78</v>
      </c>
      <c r="K344" s="4">
        <f>J344-I344</f>
      </c>
      <c r="L344" s="4">
        <f>K344*16.67%</f>
      </c>
      <c r="M344" s="4">
        <f>J344*7%</f>
      </c>
      <c r="N344" s="4">
        <f>M344*20%</f>
      </c>
      <c r="O344" s="4">
        <v>0</v>
      </c>
      <c r="P344" s="4">
        <f>O344*20%</f>
      </c>
      <c r="Q344" s="4">
        <v>1</v>
      </c>
      <c r="R344" s="4">
        <f>N344+P344</f>
      </c>
      <c r="S344" s="4">
        <f>K344-L344-M344-N344-O344-P344-Q344</f>
      </c>
      <c r="T344" s="4">
        <f>(S344-V344)/I344*100</f>
      </c>
      <c r="U344" s="4">
        <f>L344-R344</f>
      </c>
      <c r="W344" s="4">
        <f>S344-V344</f>
      </c>
      <c r="AB344" t="s">
        <v>1</v>
      </c>
    </row>
    <row r="345" spans="1:28" x14ac:dyDescent="0.25">
      <c r="A345" s="8">
        <v>46169.5</v>
      </c>
      <c r="B345" t="s">
        <v>2920</v>
      </c>
      <c r="C345" t="s">
        <v>1</v>
      </c>
      <c r="D345" s="9" t="s">
        <v>2921</v>
      </c>
      <c r="E345" t="s">
        <v>98</v>
      </c>
      <c r="F345" t="s">
        <v>99</v>
      </c>
      <c r="G345" t="s">
        <v>65</v>
      </c>
      <c r="H345" t="s">
        <v>78</v>
      </c>
      <c r="I345" s="4">
        <v>315</v>
      </c>
      <c r="J345" s="4">
        <v>422.1</v>
      </c>
      <c r="K345" s="4">
        <f>J345-I345</f>
      </c>
      <c r="L345" s="4">
        <f>K345*16.67%</f>
      </c>
      <c r="M345" s="4">
        <f>J345*7%</f>
      </c>
      <c r="N345" s="4">
        <f>M345*20%</f>
      </c>
      <c r="O345" s="4">
        <v>0</v>
      </c>
      <c r="P345" s="4">
        <f>O345*20%</f>
      </c>
      <c r="Q345" s="4">
        <v>1</v>
      </c>
      <c r="R345" s="4">
        <f>N345+P345</f>
      </c>
      <c r="S345" s="4">
        <f>K345-L345-M345-N345-O345-P345-Q345</f>
      </c>
      <c r="T345" s="4">
        <f>(S345-V345)/I345*100</f>
      </c>
      <c r="U345" s="4">
        <f>L345-R345</f>
      </c>
      <c r="W345" s="4">
        <f>S345-V345</f>
      </c>
      <c r="AB345" t="s">
        <v>1</v>
      </c>
    </row>
    <row r="346" spans="1:28" x14ac:dyDescent="0.25">
      <c r="A346" s="8">
        <v>46169.5</v>
      </c>
      <c r="B346" t="s">
        <v>2922</v>
      </c>
      <c r="C346" t="s">
        <v>1</v>
      </c>
      <c r="D346" s="9" t="s">
        <v>2923</v>
      </c>
      <c r="E346" t="s">
        <v>134</v>
      </c>
      <c r="F346" t="s">
        <v>99</v>
      </c>
      <c r="G346" t="s">
        <v>65</v>
      </c>
      <c r="H346" t="s">
        <v>102</v>
      </c>
      <c r="I346" s="4">
        <v>137</v>
      </c>
      <c r="J346" s="4">
        <v>180.84</v>
      </c>
      <c r="K346" s="4">
        <f>J346-I346</f>
      </c>
      <c r="L346" s="4">
        <f>K346*16.67%</f>
      </c>
      <c r="M346" s="4">
        <f>J346*7%</f>
      </c>
      <c r="N346" s="4">
        <f>M346*20%</f>
      </c>
      <c r="O346" s="4">
        <v>0</v>
      </c>
      <c r="P346" s="4">
        <f>O346*20%</f>
      </c>
      <c r="Q346" s="4">
        <v>1</v>
      </c>
      <c r="R346" s="4">
        <f>N346+P346</f>
      </c>
      <c r="S346" s="4">
        <f>K346-L346-M346-N346-O346-P346-Q346</f>
      </c>
      <c r="T346" s="4">
        <f>(S346-V346)/I346*100</f>
      </c>
      <c r="U346" s="4">
        <f>L346-R346</f>
      </c>
      <c r="W346" s="4">
        <f>S346-V346</f>
      </c>
      <c r="AB346" t="s">
        <v>1</v>
      </c>
    </row>
    <row r="347" spans="1:28" x14ac:dyDescent="0.25">
      <c r="A347" s="8">
        <v>46168.5</v>
      </c>
      <c r="B347" t="s">
        <v>2924</v>
      </c>
      <c r="C347" t="s">
        <v>1</v>
      </c>
      <c r="D347" s="9" t="s">
        <v>2925</v>
      </c>
      <c r="E347" t="s">
        <v>98</v>
      </c>
      <c r="F347" t="s">
        <v>74</v>
      </c>
      <c r="G347" t="s">
        <v>60</v>
      </c>
      <c r="H347" t="s">
        <v>78</v>
      </c>
      <c r="I347" s="4">
        <v>314</v>
      </c>
      <c r="J347" s="4">
        <v>370.52</v>
      </c>
      <c r="K347" s="4">
        <f>J347-I347</f>
      </c>
      <c r="L347" s="4">
        <f>K347*16.67%</f>
      </c>
      <c r="M347" s="4">
        <f>J347*7%</f>
      </c>
      <c r="N347" s="4">
        <f>M347*20%</f>
      </c>
      <c r="O347" s="4">
        <v>0</v>
      </c>
      <c r="P347" s="4">
        <f>O347*20%</f>
      </c>
      <c r="Q347" s="4">
        <v>1</v>
      </c>
      <c r="R347" s="4">
        <f>N347+P347</f>
      </c>
      <c r="S347" s="4">
        <f>K347-L347-M347-N347-O347-P347-Q347</f>
      </c>
      <c r="T347" s="4">
        <f>(S347-V347)/I347*100</f>
      </c>
      <c r="U347" s="4">
        <f>L347-R347</f>
      </c>
      <c r="W347" s="4">
        <f>S347-V347</f>
      </c>
      <c r="AB347" t="s">
        <v>1</v>
      </c>
    </row>
    <row r="348" spans="1:28" x14ac:dyDescent="0.25">
      <c r="A348" s="8">
        <v>46168.5</v>
      </c>
      <c r="B348" t="s">
        <v>2926</v>
      </c>
      <c r="C348" t="s">
        <v>1</v>
      </c>
      <c r="D348" s="9" t="s">
        <v>2927</v>
      </c>
      <c r="E348" t="s">
        <v>98</v>
      </c>
      <c r="F348" t="s">
        <v>74</v>
      </c>
      <c r="G348" t="s">
        <v>60</v>
      </c>
      <c r="H348" t="s">
        <v>75</v>
      </c>
      <c r="I348" s="4">
        <v>295</v>
      </c>
      <c r="J348" s="4">
        <v>377.6</v>
      </c>
      <c r="K348" s="4">
        <f>J348-I348</f>
      </c>
      <c r="L348" s="4">
        <f>K348*16.67%</f>
      </c>
      <c r="M348" s="4">
        <f>J348*7%</f>
      </c>
      <c r="N348" s="4">
        <f>M348*20%</f>
      </c>
      <c r="O348" s="4">
        <v>0</v>
      </c>
      <c r="P348" s="4">
        <f>O348*20%</f>
      </c>
      <c r="Q348" s="4">
        <v>1</v>
      </c>
      <c r="R348" s="4">
        <f>N348+P348</f>
      </c>
      <c r="S348" s="4">
        <f>K348-L348-M348-N348-O348-P348-Q348</f>
      </c>
      <c r="T348" s="4">
        <f>(S348-V348)/I348*100</f>
      </c>
      <c r="U348" s="4">
        <f>L348-R348</f>
      </c>
      <c r="W348" s="4">
        <f>S348-V348</f>
      </c>
      <c r="AB348" t="s">
        <v>1</v>
      </c>
    </row>
    <row r="349" spans="1:28" x14ac:dyDescent="0.25">
      <c r="A349" s="8">
        <v>46168.5</v>
      </c>
      <c r="B349" t="s">
        <v>2928</v>
      </c>
      <c r="C349" t="s">
        <v>189</v>
      </c>
      <c r="D349" s="9" t="s">
        <v>1</v>
      </c>
      <c r="E349" t="s">
        <v>189</v>
      </c>
      <c r="F349" t="s">
        <v>1</v>
      </c>
      <c r="G349" t="s">
        <v>1</v>
      </c>
      <c r="H349" t="s">
        <v>66</v>
      </c>
      <c r="I349" s="4">
        <v>3.5</v>
      </c>
      <c r="J349" s="4">
        <v>4.06</v>
      </c>
      <c r="K349" s="4">
        <f>J349-I349</f>
      </c>
      <c r="L349" s="4">
        <f>K349*16.67%</f>
      </c>
      <c r="M349" s="4">
        <f>J349*7%</f>
      </c>
      <c r="N349" s="4">
        <f>M349*20%</f>
      </c>
      <c r="O349" s="4">
        <v>0</v>
      </c>
      <c r="P349" s="4">
        <f>O349*20%</f>
      </c>
      <c r="Q349" s="4">
        <v>0</v>
      </c>
      <c r="R349" s="4">
        <f>N349+P349</f>
      </c>
      <c r="S349" s="4">
        <f>K349-L349-M349-N349-O349-P349-Q349</f>
      </c>
      <c r="T349" s="4">
        <f>(S349-V349)/I349*100</f>
      </c>
      <c r="U349" s="4">
        <f>L349-R349</f>
      </c>
      <c r="W349" s="4">
        <f>S349-V349</f>
      </c>
      <c r="AB349" t="s">
        <v>1</v>
      </c>
    </row>
    <row r="350" spans="1:28" x14ac:dyDescent="0.25">
      <c r="A350" s="8">
        <v>46167.5</v>
      </c>
      <c r="B350" t="s">
        <v>2929</v>
      </c>
      <c r="C350" t="s">
        <v>1</v>
      </c>
      <c r="D350" s="9" t="s">
        <v>2930</v>
      </c>
      <c r="E350" t="s">
        <v>91</v>
      </c>
      <c r="F350" t="s">
        <v>70</v>
      </c>
      <c r="G350" t="s">
        <v>95</v>
      </c>
      <c r="H350" t="s">
        <v>75</v>
      </c>
      <c r="I350" s="4">
        <v>104</v>
      </c>
      <c r="J350" s="4">
        <v>134.16</v>
      </c>
      <c r="K350" s="4">
        <f>J350-I350</f>
      </c>
      <c r="L350" s="4">
        <f>K350*16.67%</f>
      </c>
      <c r="M350" s="4">
        <f>J350*7%</f>
      </c>
      <c r="N350" s="4">
        <f>M350*20%</f>
      </c>
      <c r="O350" s="4">
        <v>0</v>
      </c>
      <c r="P350" s="4">
        <f>O350*20%</f>
      </c>
      <c r="Q350" s="4">
        <v>1</v>
      </c>
      <c r="R350" s="4">
        <f>N350+P350</f>
      </c>
      <c r="S350" s="4">
        <f>K350-L350-M350-N350-O350-P350-Q350</f>
      </c>
      <c r="T350" s="4">
        <f>(S350-V350)/I350*100</f>
      </c>
      <c r="U350" s="4">
        <f>L350-R350</f>
      </c>
      <c r="W350" s="4">
        <f>S350-V350</f>
      </c>
      <c r="AB350" t="s">
        <v>1</v>
      </c>
    </row>
    <row r="351" spans="1:28" x14ac:dyDescent="0.25">
      <c r="A351" s="8">
        <v>46167.5</v>
      </c>
      <c r="B351" t="s">
        <v>2931</v>
      </c>
      <c r="C351" t="s">
        <v>1</v>
      </c>
      <c r="D351" s="9" t="s">
        <v>2932</v>
      </c>
      <c r="E351" t="s">
        <v>234</v>
      </c>
      <c r="F351" t="s">
        <v>74</v>
      </c>
      <c r="G351" t="s">
        <v>65</v>
      </c>
      <c r="H351" t="s">
        <v>61</v>
      </c>
      <c r="I351" s="4">
        <v>168</v>
      </c>
      <c r="J351" s="4">
        <v>213.36</v>
      </c>
      <c r="K351" s="4">
        <f>J351-I351</f>
      </c>
      <c r="L351" s="4">
        <f>K351*16.67%</f>
      </c>
      <c r="M351" s="4">
        <f>J351*7%</f>
      </c>
      <c r="N351" s="4">
        <f>M351*20%</f>
      </c>
      <c r="O351" s="4">
        <v>0</v>
      </c>
      <c r="P351" s="4">
        <f>O351*20%</f>
      </c>
      <c r="Q351" s="4">
        <v>1</v>
      </c>
      <c r="R351" s="4">
        <f>N351+P351</f>
      </c>
      <c r="S351" s="4">
        <f>K351-L351-M351-N351-O351-P351-Q351</f>
      </c>
      <c r="T351" s="4">
        <f>(S351-V351)/I351*100</f>
      </c>
      <c r="U351" s="4">
        <f>L351-R351</f>
      </c>
      <c r="W351" s="4">
        <f>S351-V351</f>
      </c>
      <c r="AB351" t="s">
        <v>1</v>
      </c>
    </row>
    <row r="352" spans="1:28" x14ac:dyDescent="0.25">
      <c r="A352" s="8">
        <v>46167.5</v>
      </c>
      <c r="B352" t="s">
        <v>2933</v>
      </c>
      <c r="C352" t="s">
        <v>1</v>
      </c>
      <c r="D352" s="9" t="s">
        <v>2934</v>
      </c>
      <c r="E352" t="s">
        <v>81</v>
      </c>
      <c r="F352" t="s">
        <v>99</v>
      </c>
      <c r="G352" t="s">
        <v>60</v>
      </c>
      <c r="H352" t="s">
        <v>61</v>
      </c>
      <c r="I352" s="4">
        <v>611</v>
      </c>
      <c r="J352" s="4">
        <v>720.98</v>
      </c>
      <c r="K352" s="4">
        <f>J352-I352</f>
      </c>
      <c r="L352" s="4">
        <f>K352*16.67%</f>
      </c>
      <c r="M352" s="4">
        <f>J352*7%</f>
      </c>
      <c r="N352" s="4">
        <f>M352*20%</f>
      </c>
      <c r="O352" s="4">
        <v>0</v>
      </c>
      <c r="P352" s="4">
        <f>O352*20%</f>
      </c>
      <c r="Q352" s="4">
        <v>1</v>
      </c>
      <c r="R352" s="4">
        <f>N352+P352</f>
      </c>
      <c r="S352" s="4">
        <f>K352-L352-M352-N352-O352-P352-Q352</f>
      </c>
      <c r="T352" s="4">
        <f>(S352-V352)/I352*100</f>
      </c>
      <c r="U352" s="4">
        <f>L352-R352</f>
      </c>
      <c r="W352" s="4">
        <f>S352-V352</f>
      </c>
      <c r="AB352" t="s">
        <v>1</v>
      </c>
    </row>
    <row r="353" spans="1:28" x14ac:dyDescent="0.25">
      <c r="A353" s="8">
        <v>46167.5</v>
      </c>
      <c r="B353" t="s">
        <v>2935</v>
      </c>
      <c r="C353" t="s">
        <v>1</v>
      </c>
      <c r="D353" s="9" t="s">
        <v>2936</v>
      </c>
      <c r="E353" t="s">
        <v>234</v>
      </c>
      <c r="F353" t="s">
        <v>59</v>
      </c>
      <c r="G353" t="s">
        <v>65</v>
      </c>
      <c r="H353" t="s">
        <v>61</v>
      </c>
      <c r="I353" s="4">
        <v>187</v>
      </c>
      <c r="J353" s="4">
        <v>246.84</v>
      </c>
      <c r="K353" s="4">
        <f>J353-I353</f>
      </c>
      <c r="L353" s="4">
        <f>K353*16.67%</f>
      </c>
      <c r="M353" s="4">
        <f>J353*7%</f>
      </c>
      <c r="N353" s="4">
        <f>M353*20%</f>
      </c>
      <c r="O353" s="4">
        <v>0</v>
      </c>
      <c r="P353" s="4">
        <f>O353*20%</f>
      </c>
      <c r="Q353" s="4">
        <v>1</v>
      </c>
      <c r="R353" s="4">
        <f>N353+P353</f>
      </c>
      <c r="S353" s="4">
        <f>K353-L353-M353-N353-O353-P353-Q353</f>
      </c>
      <c r="T353" s="4">
        <f>(S353-V353)/I353*100</f>
      </c>
      <c r="U353" s="4">
        <f>L353-R353</f>
      </c>
      <c r="W353" s="4">
        <f>S353-V353</f>
      </c>
      <c r="AB353" t="s">
        <v>1</v>
      </c>
    </row>
    <row r="354" spans="1:28" x14ac:dyDescent="0.25">
      <c r="A354" s="8">
        <v>46167.5</v>
      </c>
      <c r="B354" t="s">
        <v>2937</v>
      </c>
      <c r="C354" t="s">
        <v>1</v>
      </c>
      <c r="D354" s="9" t="s">
        <v>2938</v>
      </c>
      <c r="E354" t="s">
        <v>81</v>
      </c>
      <c r="F354" t="s">
        <v>85</v>
      </c>
      <c r="G354" t="s">
        <v>60</v>
      </c>
      <c r="H354" t="s">
        <v>61</v>
      </c>
      <c r="I354" s="4">
        <v>605</v>
      </c>
      <c r="J354" s="4">
        <v>810.7</v>
      </c>
      <c r="K354" s="4">
        <f>J354-I354</f>
      </c>
      <c r="L354" s="4">
        <f>K354*16.67%</f>
      </c>
      <c r="M354" s="4">
        <f>J354*7%</f>
      </c>
      <c r="N354" s="4">
        <f>M354*20%</f>
      </c>
      <c r="O354" s="4">
        <v>0</v>
      </c>
      <c r="P354" s="4">
        <f>O354*20%</f>
      </c>
      <c r="Q354" s="4">
        <v>1</v>
      </c>
      <c r="R354" s="4">
        <f>N354+P354</f>
      </c>
      <c r="S354" s="4">
        <f>K354-L354-M354-N354-O354-P354-Q354</f>
      </c>
      <c r="T354" s="4">
        <f>(S354-V354)/I354*100</f>
      </c>
      <c r="U354" s="4">
        <f>L354-R354</f>
      </c>
      <c r="W354" s="4">
        <f>S354-V354</f>
      </c>
      <c r="AB354" t="s">
        <v>1</v>
      </c>
    </row>
    <row r="355" spans="1:28" x14ac:dyDescent="0.25">
      <c r="A355" s="8">
        <v>46167.5</v>
      </c>
      <c r="B355" t="s">
        <v>2939</v>
      </c>
      <c r="C355" t="s">
        <v>1</v>
      </c>
      <c r="D355" s="9" t="s">
        <v>2940</v>
      </c>
      <c r="E355" t="s">
        <v>131</v>
      </c>
      <c r="F355" t="s">
        <v>105</v>
      </c>
      <c r="G355" t="s">
        <v>60</v>
      </c>
      <c r="H355" t="s">
        <v>78</v>
      </c>
      <c r="I355" s="4">
        <v>321</v>
      </c>
      <c r="J355" s="4">
        <v>439.77</v>
      </c>
      <c r="K355" s="4">
        <f>J355-I355</f>
      </c>
      <c r="L355" s="4">
        <f>K355*16.67%</f>
      </c>
      <c r="M355" s="4">
        <f>J355*7%</f>
      </c>
      <c r="N355" s="4">
        <f>M355*20%</f>
      </c>
      <c r="O355" s="4">
        <v>0</v>
      </c>
      <c r="P355" s="4">
        <f>O355*20%</f>
      </c>
      <c r="Q355" s="4">
        <v>1</v>
      </c>
      <c r="R355" s="4">
        <f>N355+P355</f>
      </c>
      <c r="S355" s="4">
        <f>K355-L355-M355-N355-O355-P355-Q355</f>
      </c>
      <c r="T355" s="4">
        <f>(S355-V355)/I355*100</f>
      </c>
      <c r="U355" s="4">
        <f>L355-R355</f>
      </c>
      <c r="W355" s="4">
        <f>S355-V355</f>
      </c>
      <c r="AB355" t="s">
        <v>1</v>
      </c>
    </row>
    <row r="356" spans="1:28" x14ac:dyDescent="0.25">
      <c r="A356" s="8">
        <v>46167.5</v>
      </c>
      <c r="B356" t="s">
        <v>2941</v>
      </c>
      <c r="C356" t="s">
        <v>1</v>
      </c>
      <c r="D356" s="9" t="s">
        <v>1</v>
      </c>
      <c r="E356" t="s">
        <v>1</v>
      </c>
      <c r="F356" t="s">
        <v>1</v>
      </c>
      <c r="G356" t="s">
        <v>1</v>
      </c>
      <c r="H356" t="s">
        <v>75</v>
      </c>
      <c r="I356" s="4">
        <v>528</v>
      </c>
      <c r="J356" s="4">
        <v>712.8</v>
      </c>
      <c r="K356" s="4">
        <f>J356-I356</f>
      </c>
      <c r="L356" s="4">
        <f>K356*16.67%</f>
      </c>
      <c r="M356" s="4">
        <f>J356*7%</f>
      </c>
      <c r="N356" s="4">
        <f>M356*20%</f>
      </c>
      <c r="O356" s="4">
        <v>0</v>
      </c>
      <c r="P356" s="4">
        <f>O356*20%</f>
      </c>
      <c r="Q356" s="4">
        <v>1</v>
      </c>
      <c r="R356" s="4">
        <f>N356+P356</f>
      </c>
      <c r="S356" s="4">
        <f>K356-L356-M356-N356-O356-P356-Q356</f>
      </c>
      <c r="T356" s="4">
        <f>(S356-V356)/I356*100</f>
      </c>
      <c r="U356" s="4">
        <f>L356-R356</f>
      </c>
      <c r="W356" s="4">
        <f>S356-V356</f>
      </c>
      <c r="AB356" t="s">
        <v>1</v>
      </c>
    </row>
    <row r="357" spans="1:28" x14ac:dyDescent="0.25">
      <c r="A357" s="8">
        <v>46166.5</v>
      </c>
      <c r="B357" t="s">
        <v>2942</v>
      </c>
      <c r="C357" t="s">
        <v>1</v>
      </c>
      <c r="D357" s="9" t="s">
        <v>2943</v>
      </c>
      <c r="E357" t="s">
        <v>94</v>
      </c>
      <c r="F357" t="s">
        <v>88</v>
      </c>
      <c r="G357" t="s">
        <v>95</v>
      </c>
      <c r="H357" t="s">
        <v>102</v>
      </c>
      <c r="I357" s="4">
        <v>76</v>
      </c>
      <c r="J357" s="4">
        <v>92.72</v>
      </c>
      <c r="K357" s="4">
        <f>J357-I357</f>
      </c>
      <c r="L357" s="4">
        <f>K357*16.67%</f>
      </c>
      <c r="M357" s="4">
        <f>J357*7%</f>
      </c>
      <c r="N357" s="4">
        <f>M357*20%</f>
      </c>
      <c r="O357" s="4">
        <v>0</v>
      </c>
      <c r="P357" s="4">
        <f>O357*20%</f>
      </c>
      <c r="Q357" s="4">
        <v>1</v>
      </c>
      <c r="R357" s="4">
        <f>N357+P357</f>
      </c>
      <c r="S357" s="4">
        <f>K357-L357-M357-N357-O357-P357-Q357</f>
      </c>
      <c r="T357" s="4">
        <f>(S357-V357)/I357*100</f>
      </c>
      <c r="U357" s="4">
        <f>L357-R357</f>
      </c>
      <c r="W357" s="4">
        <f>S357-V357</f>
      </c>
      <c r="AB357" t="s">
        <v>1</v>
      </c>
    </row>
    <row r="358" spans="1:28" x14ac:dyDescent="0.25">
      <c r="A358" s="8">
        <v>46166.5</v>
      </c>
      <c r="B358" t="s">
        <v>2944</v>
      </c>
      <c r="C358" t="s">
        <v>1</v>
      </c>
      <c r="D358" s="9" t="s">
        <v>2945</v>
      </c>
      <c r="E358" t="s">
        <v>139</v>
      </c>
      <c r="F358" t="s">
        <v>88</v>
      </c>
      <c r="G358" t="s">
        <v>65</v>
      </c>
      <c r="H358" t="s">
        <v>66</v>
      </c>
      <c r="I358" s="4">
        <v>366</v>
      </c>
      <c r="J358" s="4">
        <v>523.38</v>
      </c>
      <c r="K358" s="4">
        <f>J358-I358</f>
      </c>
      <c r="L358" s="4">
        <f>K358*16.67%</f>
      </c>
      <c r="M358" s="4">
        <f>J358*7%</f>
      </c>
      <c r="N358" s="4">
        <f>M358*20%</f>
      </c>
      <c r="O358" s="4">
        <v>0</v>
      </c>
      <c r="P358" s="4">
        <f>O358*20%</f>
      </c>
      <c r="Q358" s="4">
        <v>1</v>
      </c>
      <c r="R358" s="4">
        <f>N358+P358</f>
      </c>
      <c r="S358" s="4">
        <f>K358-L358-M358-N358-O358-P358-Q358</f>
      </c>
      <c r="T358" s="4">
        <f>(S358-V358)/I358*100</f>
      </c>
      <c r="U358" s="4">
        <f>L358-R358</f>
      </c>
      <c r="W358" s="4">
        <f>S358-V358</f>
      </c>
      <c r="AB358" t="s">
        <v>1</v>
      </c>
    </row>
    <row r="359" spans="1:28" x14ac:dyDescent="0.25">
      <c r="A359" s="8">
        <v>46166.5</v>
      </c>
      <c r="B359" t="s">
        <v>2946</v>
      </c>
      <c r="C359" t="s">
        <v>182</v>
      </c>
      <c r="D359" s="9" t="s">
        <v>1</v>
      </c>
      <c r="E359" t="s">
        <v>182</v>
      </c>
      <c r="F359" t="s">
        <v>1</v>
      </c>
      <c r="G359" t="s">
        <v>1</v>
      </c>
      <c r="H359" t="s">
        <v>75</v>
      </c>
      <c r="I359" s="4">
        <v>1.9</v>
      </c>
      <c r="J359" s="4">
        <v>2.53</v>
      </c>
      <c r="K359" s="4">
        <f>J359-I359</f>
      </c>
      <c r="L359" s="4">
        <f>K359*16.67%</f>
      </c>
      <c r="M359" s="4">
        <f>J359*7%</f>
      </c>
      <c r="N359" s="4">
        <f>M359*20%</f>
      </c>
      <c r="O359" s="4">
        <v>0</v>
      </c>
      <c r="P359" s="4">
        <f>O359*20%</f>
      </c>
      <c r="Q359" s="4">
        <v>0</v>
      </c>
      <c r="R359" s="4">
        <f>N359+P359</f>
      </c>
      <c r="S359" s="4">
        <f>K359-L359-M359-N359-O359-P359-Q359</f>
      </c>
      <c r="T359" s="4">
        <f>(S359-V359)/I359*100</f>
      </c>
      <c r="U359" s="4">
        <f>L359-R359</f>
      </c>
      <c r="W359" s="4">
        <f>S359-V359</f>
      </c>
      <c r="AB359" t="s">
        <v>1</v>
      </c>
    </row>
    <row r="360" spans="1:28" x14ac:dyDescent="0.25">
      <c r="A360" s="8">
        <v>46166.5</v>
      </c>
      <c r="B360" t="s">
        <v>2947</v>
      </c>
      <c r="C360" t="s">
        <v>177</v>
      </c>
      <c r="D360" s="9" t="s">
        <v>1</v>
      </c>
      <c r="E360" t="s">
        <v>177</v>
      </c>
      <c r="F360" t="s">
        <v>1</v>
      </c>
      <c r="G360" t="s">
        <v>1</v>
      </c>
      <c r="H360" t="s">
        <v>78</v>
      </c>
      <c r="I360" s="4">
        <v>0.15</v>
      </c>
      <c r="J360" s="4">
        <v>0.2</v>
      </c>
      <c r="K360" s="4">
        <f>J360-I360</f>
      </c>
      <c r="L360" s="4">
        <f>K360*16.67%</f>
      </c>
      <c r="M360" s="4">
        <f>J360*7%</f>
      </c>
      <c r="N360" s="4">
        <f>M360*20%</f>
      </c>
      <c r="O360" s="4">
        <v>0</v>
      </c>
      <c r="P360" s="4">
        <f>O360*20%</f>
      </c>
      <c r="Q360" s="4">
        <v>0</v>
      </c>
      <c r="R360" s="4">
        <f>N360+P360</f>
      </c>
      <c r="S360" s="4">
        <f>K360-L360-M360-N360-O360-P360-Q360</f>
      </c>
      <c r="T360" s="4">
        <f>(S360-V360)/I360*100</f>
      </c>
      <c r="U360" s="4">
        <f>L360-R360</f>
      </c>
      <c r="W360" s="4">
        <f>S360-V360</f>
      </c>
      <c r="AB360" t="s">
        <v>1</v>
      </c>
    </row>
    <row r="361" spans="1:28" x14ac:dyDescent="0.25">
      <c r="A361" s="8">
        <v>46165.5</v>
      </c>
      <c r="B361" t="s">
        <v>2948</v>
      </c>
      <c r="C361" t="s">
        <v>1</v>
      </c>
      <c r="D361" s="9" t="s">
        <v>2949</v>
      </c>
      <c r="E361" t="s">
        <v>58</v>
      </c>
      <c r="F361" t="s">
        <v>74</v>
      </c>
      <c r="G361" t="s">
        <v>60</v>
      </c>
      <c r="H361" t="s">
        <v>102</v>
      </c>
      <c r="I361" s="4">
        <v>470</v>
      </c>
      <c r="J361" s="4">
        <v>596.9</v>
      </c>
      <c r="K361" s="4">
        <f>J361-I361</f>
      </c>
      <c r="L361" s="4">
        <f>K361*16.67%</f>
      </c>
      <c r="M361" s="4">
        <f>J361*7%</f>
      </c>
      <c r="N361" s="4">
        <f>M361*20%</f>
      </c>
      <c r="O361" s="4">
        <v>0</v>
      </c>
      <c r="P361" s="4">
        <f>O361*20%</f>
      </c>
      <c r="Q361" s="4">
        <v>1</v>
      </c>
      <c r="R361" s="4">
        <f>N361+P361</f>
      </c>
      <c r="S361" s="4">
        <f>K361-L361-M361-N361-O361-P361-Q361</f>
      </c>
      <c r="T361" s="4">
        <f>(S361-V361)/I361*100</f>
      </c>
      <c r="U361" s="4">
        <f>L361-R361</f>
      </c>
      <c r="W361" s="4">
        <f>S361-V361</f>
      </c>
      <c r="AB361" t="s">
        <v>1</v>
      </c>
    </row>
    <row r="362" spans="1:28" x14ac:dyDescent="0.25">
      <c r="A362" s="8">
        <v>46165.5</v>
      </c>
      <c r="B362" t="s">
        <v>2950</v>
      </c>
      <c r="C362" t="s">
        <v>1</v>
      </c>
      <c r="D362" s="9" t="s">
        <v>2951</v>
      </c>
      <c r="E362" t="s">
        <v>292</v>
      </c>
      <c r="F362" t="s">
        <v>99</v>
      </c>
      <c r="G362" t="s">
        <v>126</v>
      </c>
      <c r="H362" t="s">
        <v>66</v>
      </c>
      <c r="I362" s="4">
        <v>165</v>
      </c>
      <c r="J362" s="4">
        <v>212.85</v>
      </c>
      <c r="K362" s="4">
        <f>J362-I362</f>
      </c>
      <c r="L362" s="4">
        <f>K362*16.67%</f>
      </c>
      <c r="M362" s="4">
        <f>J362*7%</f>
      </c>
      <c r="N362" s="4">
        <f>M362*20%</f>
      </c>
      <c r="O362" s="4">
        <v>0</v>
      </c>
      <c r="P362" s="4">
        <f>O362*20%</f>
      </c>
      <c r="Q362" s="4">
        <v>1</v>
      </c>
      <c r="R362" s="4">
        <f>N362+P362</f>
      </c>
      <c r="S362" s="4">
        <f>K362-L362-M362-N362-O362-P362-Q362</f>
      </c>
      <c r="T362" s="4">
        <f>(S362-V362)/I362*100</f>
      </c>
      <c r="U362" s="4">
        <f>L362-R362</f>
      </c>
      <c r="W362" s="4">
        <f>S362-V362</f>
      </c>
      <c r="AB362" t="s">
        <v>1</v>
      </c>
    </row>
    <row r="363" spans="1:28" x14ac:dyDescent="0.25">
      <c r="A363" s="8">
        <v>46165.5</v>
      </c>
      <c r="B363" t="s">
        <v>2952</v>
      </c>
      <c r="C363" t="s">
        <v>1</v>
      </c>
      <c r="D363" s="9" t="s">
        <v>2953</v>
      </c>
      <c r="E363" t="s">
        <v>73</v>
      </c>
      <c r="F363" t="s">
        <v>59</v>
      </c>
      <c r="G363" t="s">
        <v>60</v>
      </c>
      <c r="H363" t="s">
        <v>78</v>
      </c>
      <c r="I363" s="4">
        <v>363</v>
      </c>
      <c r="J363" s="4">
        <v>519.09</v>
      </c>
      <c r="K363" s="4">
        <f>J363-I363</f>
      </c>
      <c r="L363" s="4">
        <f>K363*16.67%</f>
      </c>
      <c r="M363" s="4">
        <f>J363*7%</f>
      </c>
      <c r="N363" s="4">
        <f>M363*20%</f>
      </c>
      <c r="O363" s="4">
        <v>0</v>
      </c>
      <c r="P363" s="4">
        <f>O363*20%</f>
      </c>
      <c r="Q363" s="4">
        <v>1</v>
      </c>
      <c r="R363" s="4">
        <f>N363+P363</f>
      </c>
      <c r="S363" s="4">
        <f>K363-L363-M363-N363-O363-P363-Q363</f>
      </c>
      <c r="T363" s="4">
        <f>(S363-V363)/I363*100</f>
      </c>
      <c r="U363" s="4">
        <f>L363-R363</f>
      </c>
      <c r="W363" s="4">
        <f>S363-V363</f>
      </c>
      <c r="AB363" t="s">
        <v>1</v>
      </c>
    </row>
    <row r="364" spans="1:28" x14ac:dyDescent="0.25">
      <c r="A364" s="8">
        <v>46165.5</v>
      </c>
      <c r="B364" t="s">
        <v>2954</v>
      </c>
      <c r="C364" t="s">
        <v>177</v>
      </c>
      <c r="D364" s="9" t="s">
        <v>1</v>
      </c>
      <c r="E364" t="s">
        <v>177</v>
      </c>
      <c r="F364" t="s">
        <v>1</v>
      </c>
      <c r="G364" t="s">
        <v>1</v>
      </c>
      <c r="H364" t="s">
        <v>78</v>
      </c>
      <c r="I364" s="4">
        <v>0.15</v>
      </c>
      <c r="J364" s="4">
        <v>0.18</v>
      </c>
      <c r="K364" s="4">
        <f>J364-I364</f>
      </c>
      <c r="L364" s="4">
        <f>K364*16.67%</f>
      </c>
      <c r="M364" s="4">
        <f>J364*7%</f>
      </c>
      <c r="N364" s="4">
        <f>M364*20%</f>
      </c>
      <c r="O364" s="4">
        <v>0</v>
      </c>
      <c r="P364" s="4">
        <f>O364*20%</f>
      </c>
      <c r="Q364" s="4">
        <v>0</v>
      </c>
      <c r="R364" s="4">
        <f>N364+P364</f>
      </c>
      <c r="S364" s="4">
        <f>K364-L364-M364-N364-O364-P364-Q364</f>
      </c>
      <c r="T364" s="4">
        <f>(S364-V364)/I364*100</f>
      </c>
      <c r="U364" s="4">
        <f>L364-R364</f>
      </c>
      <c r="W364" s="4">
        <f>S364-V364</f>
      </c>
      <c r="AB364" t="s">
        <v>1</v>
      </c>
    </row>
    <row r="365" spans="1:28" x14ac:dyDescent="0.25">
      <c r="A365" s="8">
        <v>46164.5</v>
      </c>
      <c r="B365" t="s">
        <v>2955</v>
      </c>
      <c r="C365" t="s">
        <v>1</v>
      </c>
      <c r="D365" s="9" t="s">
        <v>2956</v>
      </c>
      <c r="E365" t="s">
        <v>91</v>
      </c>
      <c r="F365" t="s">
        <v>74</v>
      </c>
      <c r="G365" t="s">
        <v>95</v>
      </c>
      <c r="H365" t="s">
        <v>75</v>
      </c>
      <c r="I365" s="4">
        <v>104</v>
      </c>
      <c r="J365" s="4">
        <v>149.76</v>
      </c>
      <c r="K365" s="4">
        <f>J365-I365</f>
      </c>
      <c r="L365" s="4">
        <f>K365*16.67%</f>
      </c>
      <c r="M365" s="4">
        <f>J365*7%</f>
      </c>
      <c r="N365" s="4">
        <f>M365*20%</f>
      </c>
      <c r="O365" s="4">
        <v>0</v>
      </c>
      <c r="P365" s="4">
        <f>O365*20%</f>
      </c>
      <c r="Q365" s="4">
        <v>1</v>
      </c>
      <c r="R365" s="4">
        <f>N365+P365</f>
      </c>
      <c r="S365" s="4">
        <f>K365-L365-M365-N365-O365-P365-Q365</f>
      </c>
      <c r="T365" s="4">
        <f>(S365-V365)/I365*100</f>
      </c>
      <c r="U365" s="4">
        <f>L365-R365</f>
      </c>
      <c r="W365" s="4">
        <f>S365-V365</f>
      </c>
      <c r="AB365" t="s">
        <v>1</v>
      </c>
    </row>
    <row r="366" spans="1:28" x14ac:dyDescent="0.25">
      <c r="A366" s="8">
        <v>46164.5</v>
      </c>
      <c r="B366" t="s">
        <v>2957</v>
      </c>
      <c r="C366" t="s">
        <v>1</v>
      </c>
      <c r="D366" s="9" t="s">
        <v>2958</v>
      </c>
      <c r="E366" t="s">
        <v>94</v>
      </c>
      <c r="F366" t="s">
        <v>74</v>
      </c>
      <c r="G366" t="s">
        <v>95</v>
      </c>
      <c r="H366" t="s">
        <v>61</v>
      </c>
      <c r="I366" s="4">
        <v>74</v>
      </c>
      <c r="J366" s="4">
        <v>106.56</v>
      </c>
      <c r="K366" s="4">
        <f>J366-I366</f>
      </c>
      <c r="L366" s="4">
        <f>K366*16.67%</f>
      </c>
      <c r="M366" s="4">
        <f>J366*7%</f>
      </c>
      <c r="N366" s="4">
        <f>M366*20%</f>
      </c>
      <c r="O366" s="4">
        <v>0</v>
      </c>
      <c r="P366" s="4">
        <f>O366*20%</f>
      </c>
      <c r="Q366" s="4">
        <v>1</v>
      </c>
      <c r="R366" s="4">
        <f>N366+P366</f>
      </c>
      <c r="S366" s="4">
        <f>K366-L366-M366-N366-O366-P366-Q366</f>
      </c>
      <c r="T366" s="4">
        <f>(S366-V366)/I366*100</f>
      </c>
      <c r="U366" s="4">
        <f>L366-R366</f>
      </c>
      <c r="W366" s="4">
        <f>S366-V366</f>
      </c>
      <c r="AB366" t="s">
        <v>1</v>
      </c>
    </row>
    <row r="367" spans="1:28" x14ac:dyDescent="0.25">
      <c r="A367" s="8">
        <v>46164.5</v>
      </c>
      <c r="B367" t="s">
        <v>2959</v>
      </c>
      <c r="C367" t="s">
        <v>1</v>
      </c>
      <c r="D367" s="9" t="s">
        <v>2960</v>
      </c>
      <c r="E367" t="s">
        <v>131</v>
      </c>
      <c r="F367" t="s">
        <v>74</v>
      </c>
      <c r="G367" t="s">
        <v>60</v>
      </c>
      <c r="H367" t="s">
        <v>75</v>
      </c>
      <c r="I367" s="4">
        <v>336</v>
      </c>
      <c r="J367" s="4">
        <v>426.72</v>
      </c>
      <c r="K367" s="4">
        <f>J367-I367</f>
      </c>
      <c r="L367" s="4">
        <f>K367*16.67%</f>
      </c>
      <c r="M367" s="4">
        <f>J367*7%</f>
      </c>
      <c r="N367" s="4">
        <f>M367*20%</f>
      </c>
      <c r="O367" s="4">
        <v>0</v>
      </c>
      <c r="P367" s="4">
        <f>O367*20%</f>
      </c>
      <c r="Q367" s="4">
        <v>1</v>
      </c>
      <c r="R367" s="4">
        <f>N367+P367</f>
      </c>
      <c r="S367" s="4">
        <f>K367-L367-M367-N367-O367-P367-Q367</f>
      </c>
      <c r="T367" s="4">
        <f>(S367-V367)/I367*100</f>
      </c>
      <c r="U367" s="4">
        <f>L367-R367</f>
      </c>
      <c r="W367" s="4">
        <f>S367-V367</f>
      </c>
      <c r="AB367" t="s">
        <v>1</v>
      </c>
    </row>
    <row r="368" spans="1:28" x14ac:dyDescent="0.25">
      <c r="A368" s="8">
        <v>46164.5</v>
      </c>
      <c r="B368" t="s">
        <v>2961</v>
      </c>
      <c r="C368" t="s">
        <v>185</v>
      </c>
      <c r="D368" s="9" t="s">
        <v>1</v>
      </c>
      <c r="E368" t="s">
        <v>185</v>
      </c>
      <c r="F368" t="s">
        <v>1</v>
      </c>
      <c r="G368" t="s">
        <v>1</v>
      </c>
      <c r="H368" t="s">
        <v>102</v>
      </c>
      <c r="I368" s="4">
        <v>1.2</v>
      </c>
      <c r="J368" s="4">
        <v>1.5</v>
      </c>
      <c r="K368" s="4">
        <f>J368-I368</f>
      </c>
      <c r="L368" s="4">
        <f>K368*16.67%</f>
      </c>
      <c r="M368" s="4">
        <f>J368*7%</f>
      </c>
      <c r="N368" s="4">
        <f>M368*20%</f>
      </c>
      <c r="O368" s="4">
        <v>0</v>
      </c>
      <c r="P368" s="4">
        <f>O368*20%</f>
      </c>
      <c r="Q368" s="4">
        <v>0</v>
      </c>
      <c r="R368" s="4">
        <f>N368+P368</f>
      </c>
      <c r="S368" s="4">
        <f>K368-L368-M368-N368-O368-P368-Q368</f>
      </c>
      <c r="T368" s="4">
        <f>(S368-V368)/I368*100</f>
      </c>
      <c r="U368" s="4">
        <f>L368-R368</f>
      </c>
      <c r="W368" s="4">
        <f>S368-V368</f>
      </c>
      <c r="AB368" t="s">
        <v>1</v>
      </c>
    </row>
    <row r="369" spans="1:28" x14ac:dyDescent="0.25">
      <c r="A369" s="8">
        <v>46163.5</v>
      </c>
      <c r="B369" t="s">
        <v>2962</v>
      </c>
      <c r="C369" t="s">
        <v>1</v>
      </c>
      <c r="D369" s="9" t="s">
        <v>2963</v>
      </c>
      <c r="E369" t="s">
        <v>73</v>
      </c>
      <c r="F369" t="s">
        <v>88</v>
      </c>
      <c r="G369" t="s">
        <v>60</v>
      </c>
      <c r="H369" t="s">
        <v>102</v>
      </c>
      <c r="I369" s="4">
        <v>362</v>
      </c>
      <c r="J369" s="4">
        <v>445.26</v>
      </c>
      <c r="K369" s="4">
        <f>J369-I369</f>
      </c>
      <c r="L369" s="4">
        <f>K369*16.67%</f>
      </c>
      <c r="M369" s="4">
        <f>J369*7%</f>
      </c>
      <c r="N369" s="4">
        <f>M369*20%</f>
      </c>
      <c r="O369" s="4">
        <v>0</v>
      </c>
      <c r="P369" s="4">
        <f>O369*20%</f>
      </c>
      <c r="Q369" s="4">
        <v>1</v>
      </c>
      <c r="R369" s="4">
        <f>N369+P369</f>
      </c>
      <c r="S369" s="4">
        <f>K369-L369-M369-N369-O369-P369-Q369</f>
      </c>
      <c r="T369" s="4">
        <f>(S369-V369)/I369*100</f>
      </c>
      <c r="U369" s="4">
        <f>L369-R369</f>
      </c>
      <c r="W369" s="4">
        <f>S369-V369</f>
      </c>
      <c r="AB369" t="s">
        <v>1</v>
      </c>
    </row>
    <row r="370" spans="1:28" x14ac:dyDescent="0.25">
      <c r="A370" s="8">
        <v>46163.5</v>
      </c>
      <c r="B370" t="s">
        <v>2964</v>
      </c>
      <c r="C370" t="s">
        <v>1</v>
      </c>
      <c r="D370" s="9" t="s">
        <v>2965</v>
      </c>
      <c r="E370" t="s">
        <v>84</v>
      </c>
      <c r="F370" t="s">
        <v>105</v>
      </c>
      <c r="G370" t="s">
        <v>60</v>
      </c>
      <c r="H370" t="s">
        <v>66</v>
      </c>
      <c r="I370" s="4">
        <v>695</v>
      </c>
      <c r="J370" s="4">
        <v>945.2</v>
      </c>
      <c r="K370" s="4">
        <f>J370-I370</f>
      </c>
      <c r="L370" s="4">
        <f>K370*16.67%</f>
      </c>
      <c r="M370" s="4">
        <f>J370*7%</f>
      </c>
      <c r="N370" s="4">
        <f>M370*20%</f>
      </c>
      <c r="O370" s="4">
        <v>0</v>
      </c>
      <c r="P370" s="4">
        <f>O370*20%</f>
      </c>
      <c r="Q370" s="4">
        <v>1</v>
      </c>
      <c r="R370" s="4">
        <f>N370+P370</f>
      </c>
      <c r="S370" s="4">
        <f>K370-L370-M370-N370-O370-P370-Q370</f>
      </c>
      <c r="T370" s="4">
        <f>(S370-V370)/I370*100</f>
      </c>
      <c r="U370" s="4">
        <f>L370-R370</f>
      </c>
      <c r="W370" s="4">
        <f>S370-V370</f>
      </c>
      <c r="AB370" t="s">
        <v>1</v>
      </c>
    </row>
    <row r="371" spans="1:28" x14ac:dyDescent="0.25">
      <c r="A371" s="8">
        <v>46163.5</v>
      </c>
      <c r="B371" t="s">
        <v>2966</v>
      </c>
      <c r="C371" t="s">
        <v>1</v>
      </c>
      <c r="D371" s="9" t="s">
        <v>2967</v>
      </c>
      <c r="E371" t="s">
        <v>131</v>
      </c>
      <c r="F371" t="s">
        <v>85</v>
      </c>
      <c r="G371" t="s">
        <v>65</v>
      </c>
      <c r="H371" t="s">
        <v>75</v>
      </c>
      <c r="I371" s="4">
        <v>316</v>
      </c>
      <c r="J371" s="4">
        <v>366.56</v>
      </c>
      <c r="K371" s="4">
        <f>J371-I371</f>
      </c>
      <c r="L371" s="4">
        <f>K371*16.67%</f>
      </c>
      <c r="M371" s="4">
        <f>J371*7%</f>
      </c>
      <c r="N371" s="4">
        <f>M371*20%</f>
      </c>
      <c r="O371" s="4">
        <v>0</v>
      </c>
      <c r="P371" s="4">
        <f>O371*20%</f>
      </c>
      <c r="Q371" s="4">
        <v>1</v>
      </c>
      <c r="R371" s="4">
        <f>N371+P371</f>
      </c>
      <c r="S371" s="4">
        <f>K371-L371-M371-N371-O371-P371-Q371</f>
      </c>
      <c r="T371" s="4">
        <f>(S371-V371)/I371*100</f>
      </c>
      <c r="U371" s="4">
        <f>L371-R371</f>
      </c>
      <c r="W371" s="4">
        <f>S371-V371</f>
      </c>
      <c r="AB371" t="s">
        <v>1</v>
      </c>
    </row>
    <row r="372" spans="1:28" x14ac:dyDescent="0.25">
      <c r="A372" s="8">
        <v>46163.5</v>
      </c>
      <c r="B372" t="s">
        <v>2968</v>
      </c>
      <c r="C372" t="s">
        <v>1</v>
      </c>
      <c r="D372" s="9" t="s">
        <v>2969</v>
      </c>
      <c r="E372" t="s">
        <v>81</v>
      </c>
      <c r="F372" t="s">
        <v>85</v>
      </c>
      <c r="G372" t="s">
        <v>65</v>
      </c>
      <c r="H372" t="s">
        <v>61</v>
      </c>
      <c r="I372" s="4">
        <v>538</v>
      </c>
      <c r="J372" s="4">
        <v>763.96</v>
      </c>
      <c r="K372" s="4">
        <f>J372-I372</f>
      </c>
      <c r="L372" s="4">
        <f>K372*16.67%</f>
      </c>
      <c r="M372" s="4">
        <f>J372*7%</f>
      </c>
      <c r="N372" s="4">
        <f>M372*20%</f>
      </c>
      <c r="O372" s="4">
        <v>0</v>
      </c>
      <c r="P372" s="4">
        <f>O372*20%</f>
      </c>
      <c r="Q372" s="4">
        <v>1</v>
      </c>
      <c r="R372" s="4">
        <f>N372+P372</f>
      </c>
      <c r="S372" s="4">
        <f>K372-L372-M372-N372-O372-P372-Q372</f>
      </c>
      <c r="T372" s="4">
        <f>(S372-V372)/I372*100</f>
      </c>
      <c r="U372" s="4">
        <f>L372-R372</f>
      </c>
      <c r="W372" s="4">
        <f>S372-V372</f>
      </c>
      <c r="AB372" t="s">
        <v>1</v>
      </c>
    </row>
    <row r="373" spans="1:28" x14ac:dyDescent="0.25">
      <c r="A373" s="8">
        <v>46162.5</v>
      </c>
      <c r="B373" t="s">
        <v>2970</v>
      </c>
      <c r="C373" t="s">
        <v>1</v>
      </c>
      <c r="D373" s="9" t="s">
        <v>2971</v>
      </c>
      <c r="E373" t="s">
        <v>114</v>
      </c>
      <c r="F373" t="s">
        <v>85</v>
      </c>
      <c r="G373" t="s">
        <v>60</v>
      </c>
      <c r="H373" t="s">
        <v>75</v>
      </c>
      <c r="I373" s="4">
        <v>255</v>
      </c>
      <c r="J373" s="4">
        <v>328.95</v>
      </c>
      <c r="K373" s="4">
        <f>J373-I373</f>
      </c>
      <c r="L373" s="4">
        <f>K373*16.67%</f>
      </c>
      <c r="M373" s="4">
        <f>J373*7%</f>
      </c>
      <c r="N373" s="4">
        <f>M373*20%</f>
      </c>
      <c r="O373" s="4">
        <v>0</v>
      </c>
      <c r="P373" s="4">
        <f>O373*20%</f>
      </c>
      <c r="Q373" s="4">
        <v>1</v>
      </c>
      <c r="R373" s="4">
        <f>N373+P373</f>
      </c>
      <c r="S373" s="4">
        <f>K373-L373-M373-N373-O373-P373-Q373</f>
      </c>
      <c r="T373" s="4">
        <f>(S373-V373)/I373*100</f>
      </c>
      <c r="U373" s="4">
        <f>L373-R373</f>
      </c>
      <c r="W373" s="4">
        <f>S373-V373</f>
      </c>
      <c r="AB373" t="s">
        <v>1</v>
      </c>
    </row>
    <row r="374" spans="1:28" x14ac:dyDescent="0.25">
      <c r="A374" s="8">
        <v>46162.5</v>
      </c>
      <c r="B374" t="s">
        <v>2972</v>
      </c>
      <c r="C374" t="s">
        <v>1</v>
      </c>
      <c r="D374" s="9" t="s">
        <v>2973</v>
      </c>
      <c r="E374" t="s">
        <v>81</v>
      </c>
      <c r="F374" t="s">
        <v>105</v>
      </c>
      <c r="G374" t="s">
        <v>60</v>
      </c>
      <c r="H374" t="s">
        <v>75</v>
      </c>
      <c r="I374" s="4">
        <v>554</v>
      </c>
      <c r="J374" s="4">
        <v>686.96</v>
      </c>
      <c r="K374" s="4">
        <f>J374-I374</f>
      </c>
      <c r="L374" s="4">
        <f>K374*16.67%</f>
      </c>
      <c r="M374" s="4">
        <f>J374*7%</f>
      </c>
      <c r="N374" s="4">
        <f>M374*20%</f>
      </c>
      <c r="O374" s="4">
        <v>0</v>
      </c>
      <c r="P374" s="4">
        <f>O374*20%</f>
      </c>
      <c r="Q374" s="4">
        <v>1</v>
      </c>
      <c r="R374" s="4">
        <f>N374+P374</f>
      </c>
      <c r="S374" s="4">
        <f>K374-L374-M374-N374-O374-P374-Q374</f>
      </c>
      <c r="T374" s="4">
        <f>(S374-V374)/I374*100</f>
      </c>
      <c r="U374" s="4">
        <f>L374-R374</f>
      </c>
      <c r="W374" s="4">
        <f>S374-V374</f>
      </c>
      <c r="AB374" t="s">
        <v>1</v>
      </c>
    </row>
    <row r="375" spans="1:28" x14ac:dyDescent="0.25">
      <c r="A375" s="8">
        <v>46162.5</v>
      </c>
      <c r="B375" t="s">
        <v>2974</v>
      </c>
      <c r="C375" t="s">
        <v>182</v>
      </c>
      <c r="D375" s="9" t="s">
        <v>1</v>
      </c>
      <c r="E375" t="s">
        <v>182</v>
      </c>
      <c r="F375" t="s">
        <v>1</v>
      </c>
      <c r="G375" t="s">
        <v>1</v>
      </c>
      <c r="H375" t="s">
        <v>75</v>
      </c>
      <c r="I375" s="4">
        <v>1.9</v>
      </c>
      <c r="J375" s="4">
        <v>2.22</v>
      </c>
      <c r="K375" s="4">
        <f>J375-I375</f>
      </c>
      <c r="L375" s="4">
        <f>K375*16.67%</f>
      </c>
      <c r="M375" s="4">
        <f>J375*7%</f>
      </c>
      <c r="N375" s="4">
        <f>M375*20%</f>
      </c>
      <c r="O375" s="4">
        <v>0</v>
      </c>
      <c r="P375" s="4">
        <f>O375*20%</f>
      </c>
      <c r="Q375" s="4">
        <v>0</v>
      </c>
      <c r="R375" s="4">
        <f>N375+P375</f>
      </c>
      <c r="S375" s="4">
        <f>K375-L375-M375-N375-O375-P375-Q375</f>
      </c>
      <c r="T375" s="4">
        <f>(S375-V375)/I375*100</f>
      </c>
      <c r="U375" s="4">
        <f>L375-R375</f>
      </c>
      <c r="W375" s="4">
        <f>S375-V375</f>
      </c>
      <c r="AB375" t="s">
        <v>1</v>
      </c>
    </row>
    <row r="376" spans="1:28" x14ac:dyDescent="0.25">
      <c r="A376" s="8">
        <v>46161.5</v>
      </c>
      <c r="B376" t="s">
        <v>2975</v>
      </c>
      <c r="C376" t="s">
        <v>1</v>
      </c>
      <c r="D376" s="9" t="s">
        <v>2976</v>
      </c>
      <c r="E376" t="s">
        <v>81</v>
      </c>
      <c r="F376" t="s">
        <v>85</v>
      </c>
      <c r="G376" t="s">
        <v>65</v>
      </c>
      <c r="H376" t="s">
        <v>61</v>
      </c>
      <c r="I376" s="4">
        <v>562</v>
      </c>
      <c r="J376" s="4">
        <v>769.94</v>
      </c>
      <c r="K376" s="4">
        <f>J376-I376</f>
      </c>
      <c r="L376" s="4">
        <f>K376*16.67%</f>
      </c>
      <c r="M376" s="4">
        <f>J376*7%</f>
      </c>
      <c r="N376" s="4">
        <f>M376*20%</f>
      </c>
      <c r="O376" s="4">
        <v>0</v>
      </c>
      <c r="P376" s="4">
        <f>O376*20%</f>
      </c>
      <c r="Q376" s="4">
        <v>1</v>
      </c>
      <c r="R376" s="4">
        <f>N376+P376</f>
      </c>
      <c r="S376" s="4">
        <f>K376-L376-M376-N376-O376-P376-Q376</f>
      </c>
      <c r="T376" s="4">
        <f>(S376-V376)/I376*100</f>
      </c>
      <c r="U376" s="4">
        <f>L376-R376</f>
      </c>
      <c r="W376" s="4">
        <f>S376-V376</f>
      </c>
      <c r="AB376" t="s">
        <v>1</v>
      </c>
    </row>
    <row r="377" spans="1:28" x14ac:dyDescent="0.25">
      <c r="A377" s="8">
        <v>46161.5</v>
      </c>
      <c r="B377" t="s">
        <v>2977</v>
      </c>
      <c r="C377" t="s">
        <v>1</v>
      </c>
      <c r="D377" s="9" t="s">
        <v>2978</v>
      </c>
      <c r="E377" t="s">
        <v>84</v>
      </c>
      <c r="F377" t="s">
        <v>99</v>
      </c>
      <c r="G377" t="s">
        <v>60</v>
      </c>
      <c r="H377" t="s">
        <v>61</v>
      </c>
      <c r="I377" s="4">
        <v>739</v>
      </c>
      <c r="J377" s="4">
        <v>923.75</v>
      </c>
      <c r="K377" s="4">
        <f>J377-I377</f>
      </c>
      <c r="L377" s="4">
        <f>K377*16.67%</f>
      </c>
      <c r="M377" s="4">
        <f>J377*7%</f>
      </c>
      <c r="N377" s="4">
        <f>M377*20%</f>
      </c>
      <c r="O377" s="4">
        <v>0</v>
      </c>
      <c r="P377" s="4">
        <f>O377*20%</f>
      </c>
      <c r="Q377" s="4">
        <v>1</v>
      </c>
      <c r="R377" s="4">
        <f>N377+P377</f>
      </c>
      <c r="S377" s="4">
        <f>K377-L377-M377-N377-O377-P377-Q377</f>
      </c>
      <c r="T377" s="4">
        <f>(S377-V377)/I377*100</f>
      </c>
      <c r="U377" s="4">
        <f>L377-R377</f>
      </c>
      <c r="W377" s="4">
        <f>S377-V377</f>
      </c>
      <c r="AB377" t="s">
        <v>1</v>
      </c>
    </row>
    <row r="378" spans="1:28" x14ac:dyDescent="0.25">
      <c r="A378" s="8">
        <v>46161.5</v>
      </c>
      <c r="B378" t="s">
        <v>2979</v>
      </c>
      <c r="C378" t="s">
        <v>1</v>
      </c>
      <c r="D378" s="9" t="s">
        <v>2980</v>
      </c>
      <c r="E378" t="s">
        <v>234</v>
      </c>
      <c r="F378" t="s">
        <v>88</v>
      </c>
      <c r="G378" t="s">
        <v>65</v>
      </c>
      <c r="H378" t="s">
        <v>61</v>
      </c>
      <c r="I378" s="4">
        <v>166</v>
      </c>
      <c r="J378" s="4">
        <v>194.22</v>
      </c>
      <c r="K378" s="4">
        <f>J378-I378</f>
      </c>
      <c r="L378" s="4">
        <f>K378*16.67%</f>
      </c>
      <c r="M378" s="4">
        <f>J378*7%</f>
      </c>
      <c r="N378" s="4">
        <f>M378*20%</f>
      </c>
      <c r="O378" s="4">
        <v>0</v>
      </c>
      <c r="P378" s="4">
        <f>O378*20%</f>
      </c>
      <c r="Q378" s="4">
        <v>1</v>
      </c>
      <c r="R378" s="4">
        <f>N378+P378</f>
      </c>
      <c r="S378" s="4">
        <f>K378-L378-M378-N378-O378-P378-Q378</f>
      </c>
      <c r="T378" s="4">
        <f>(S378-V378)/I378*100</f>
      </c>
      <c r="U378" s="4">
        <f>L378-R378</f>
      </c>
      <c r="W378" s="4">
        <f>S378-V378</f>
      </c>
      <c r="AB378" t="s">
        <v>1</v>
      </c>
    </row>
    <row r="379" spans="1:28" x14ac:dyDescent="0.25">
      <c r="A379" s="8">
        <v>46161.5</v>
      </c>
      <c r="B379" t="s">
        <v>2981</v>
      </c>
      <c r="C379" t="s">
        <v>1</v>
      </c>
      <c r="D379" s="9" t="s">
        <v>2982</v>
      </c>
      <c r="E379" t="s">
        <v>134</v>
      </c>
      <c r="F379" t="s">
        <v>74</v>
      </c>
      <c r="G379" t="s">
        <v>95</v>
      </c>
      <c r="H379" t="s">
        <v>61</v>
      </c>
      <c r="I379" s="4">
        <v>121</v>
      </c>
      <c r="J379" s="4">
        <v>151.25</v>
      </c>
      <c r="K379" s="4">
        <f>J379-I379</f>
      </c>
      <c r="L379" s="4">
        <f>K379*16.67%</f>
      </c>
      <c r="M379" s="4">
        <f>J379*7%</f>
      </c>
      <c r="N379" s="4">
        <f>M379*20%</f>
      </c>
      <c r="O379" s="4">
        <v>0</v>
      </c>
      <c r="P379" s="4">
        <f>O379*20%</f>
      </c>
      <c r="Q379" s="4">
        <v>1</v>
      </c>
      <c r="R379" s="4">
        <f>N379+P379</f>
      </c>
      <c r="S379" s="4">
        <f>K379-L379-M379-N379-O379-P379-Q379</f>
      </c>
      <c r="T379" s="4">
        <f>(S379-V379)/I379*100</f>
      </c>
      <c r="U379" s="4">
        <f>L379-R379</f>
      </c>
      <c r="W379" s="4">
        <f>S379-V379</f>
      </c>
      <c r="AB379" t="s">
        <v>1</v>
      </c>
    </row>
    <row r="380" spans="1:28" x14ac:dyDescent="0.25">
      <c r="A380" s="8">
        <v>46161.5</v>
      </c>
      <c r="B380" t="s">
        <v>2983</v>
      </c>
      <c r="C380" t="s">
        <v>1</v>
      </c>
      <c r="D380" s="9" t="s">
        <v>2984</v>
      </c>
      <c r="E380" t="s">
        <v>172</v>
      </c>
      <c r="F380" t="s">
        <v>105</v>
      </c>
      <c r="G380" t="s">
        <v>65</v>
      </c>
      <c r="H380" t="s">
        <v>66</v>
      </c>
      <c r="I380" s="4">
        <v>178</v>
      </c>
      <c r="J380" s="4">
        <v>245.64</v>
      </c>
      <c r="K380" s="4">
        <f>J380-I380</f>
      </c>
      <c r="L380" s="4">
        <f>K380*16.67%</f>
      </c>
      <c r="M380" s="4">
        <f>J380*7%</f>
      </c>
      <c r="N380" s="4">
        <f>M380*20%</f>
      </c>
      <c r="O380" s="4">
        <v>0</v>
      </c>
      <c r="P380" s="4">
        <f>O380*20%</f>
      </c>
      <c r="Q380" s="4">
        <v>1</v>
      </c>
      <c r="R380" s="4">
        <f>N380+P380</f>
      </c>
      <c r="S380" s="4">
        <f>K380-L380-M380-N380-O380-P380-Q380</f>
      </c>
      <c r="T380" s="4">
        <f>(S380-V380)/I380*100</f>
      </c>
      <c r="U380" s="4">
        <f>L380-R380</f>
      </c>
      <c r="W380" s="4">
        <f>S380-V380</f>
      </c>
      <c r="AB380" t="s">
        <v>1</v>
      </c>
    </row>
    <row r="381" spans="1:28" x14ac:dyDescent="0.25">
      <c r="A381" s="8">
        <v>46161.5</v>
      </c>
      <c r="B381" t="s">
        <v>2985</v>
      </c>
      <c r="C381" t="s">
        <v>1</v>
      </c>
      <c r="D381" s="9" t="s">
        <v>2986</v>
      </c>
      <c r="E381" t="s">
        <v>81</v>
      </c>
      <c r="F381" t="s">
        <v>59</v>
      </c>
      <c r="G381" t="s">
        <v>65</v>
      </c>
      <c r="H381" t="s">
        <v>75</v>
      </c>
      <c r="I381" s="4">
        <v>545</v>
      </c>
      <c r="J381" s="4">
        <v>719.4</v>
      </c>
      <c r="K381" s="4">
        <f>J381-I381</f>
      </c>
      <c r="L381" s="4">
        <f>K381*16.67%</f>
      </c>
      <c r="M381" s="4">
        <f>J381*7%</f>
      </c>
      <c r="N381" s="4">
        <f>M381*20%</f>
      </c>
      <c r="O381" s="4">
        <v>0</v>
      </c>
      <c r="P381" s="4">
        <f>O381*20%</f>
      </c>
      <c r="Q381" s="4">
        <v>1</v>
      </c>
      <c r="R381" s="4">
        <f>N381+P381</f>
      </c>
      <c r="S381" s="4">
        <f>K381-L381-M381-N381-O381-P381-Q381</f>
      </c>
      <c r="T381" s="4">
        <f>(S381-V381)/I381*100</f>
      </c>
      <c r="U381" s="4">
        <f>L381-R381</f>
      </c>
      <c r="W381" s="4">
        <f>S381-V381</f>
      </c>
      <c r="AB381" t="s">
        <v>1</v>
      </c>
    </row>
    <row r="382" spans="1:28" x14ac:dyDescent="0.25">
      <c r="A382" s="8">
        <v>46161.5</v>
      </c>
      <c r="B382" t="s">
        <v>2987</v>
      </c>
      <c r="C382" t="s">
        <v>1</v>
      </c>
      <c r="D382" s="9" t="s">
        <v>2988</v>
      </c>
      <c r="E382" t="s">
        <v>292</v>
      </c>
      <c r="F382" t="s">
        <v>99</v>
      </c>
      <c r="G382" t="s">
        <v>126</v>
      </c>
      <c r="H382" t="s">
        <v>66</v>
      </c>
      <c r="I382" s="4">
        <v>173</v>
      </c>
      <c r="J382" s="4">
        <v>243.93</v>
      </c>
      <c r="K382" s="4">
        <f>J382-I382</f>
      </c>
      <c r="L382" s="4">
        <f>K382*16.67%</f>
      </c>
      <c r="M382" s="4">
        <f>J382*7%</f>
      </c>
      <c r="N382" s="4">
        <f>M382*20%</f>
      </c>
      <c r="O382" s="4">
        <v>0</v>
      </c>
      <c r="P382" s="4">
        <f>O382*20%</f>
      </c>
      <c r="Q382" s="4">
        <v>1</v>
      </c>
      <c r="R382" s="4">
        <f>N382+P382</f>
      </c>
      <c r="S382" s="4">
        <f>K382-L382-M382-N382-O382-P382-Q382</f>
      </c>
      <c r="T382" s="4">
        <f>(S382-V382)/I382*100</f>
      </c>
      <c r="U382" s="4">
        <f>L382-R382</f>
      </c>
      <c r="W382" s="4">
        <f>S382-V382</f>
      </c>
      <c r="AB382" t="s">
        <v>1</v>
      </c>
    </row>
    <row r="383" spans="1:28" x14ac:dyDescent="0.25">
      <c r="A383" s="8">
        <v>46161.5</v>
      </c>
      <c r="B383" t="s">
        <v>2989</v>
      </c>
      <c r="C383" t="s">
        <v>174</v>
      </c>
      <c r="D383" s="9" t="s">
        <v>1</v>
      </c>
      <c r="E383" t="s">
        <v>174</v>
      </c>
      <c r="F383" t="s">
        <v>1</v>
      </c>
      <c r="G383" t="s">
        <v>1</v>
      </c>
      <c r="H383" t="s">
        <v>66</v>
      </c>
      <c r="I383" s="4">
        <v>4.25</v>
      </c>
      <c r="J383" s="4">
        <v>5.74</v>
      </c>
      <c r="K383" s="4">
        <f>J383-I383</f>
      </c>
      <c r="L383" s="4">
        <f>K383*16.67%</f>
      </c>
      <c r="M383" s="4">
        <f>J383*7%</f>
      </c>
      <c r="N383" s="4">
        <f>M383*20%</f>
      </c>
      <c r="O383" s="4">
        <v>0</v>
      </c>
      <c r="P383" s="4">
        <f>O383*20%</f>
      </c>
      <c r="Q383" s="4">
        <v>0</v>
      </c>
      <c r="R383" s="4">
        <f>N383+P383</f>
      </c>
      <c r="S383" s="4">
        <f>K383-L383-M383-N383-O383-P383-Q383</f>
      </c>
      <c r="T383" s="4">
        <f>(S383-V383)/I383*100</f>
      </c>
      <c r="U383" s="4">
        <f>L383-R383</f>
      </c>
      <c r="W383" s="4">
        <f>S383-V383</f>
      </c>
      <c r="AB383" t="s">
        <v>1</v>
      </c>
    </row>
    <row r="384" spans="1:28" x14ac:dyDescent="0.25">
      <c r="A384" s="8">
        <v>46160.5</v>
      </c>
      <c r="B384" t="s">
        <v>2990</v>
      </c>
      <c r="C384" t="s">
        <v>1</v>
      </c>
      <c r="D384" s="9" t="s">
        <v>2991</v>
      </c>
      <c r="E384" t="s">
        <v>94</v>
      </c>
      <c r="F384" t="s">
        <v>70</v>
      </c>
      <c r="G384" t="s">
        <v>95</v>
      </c>
      <c r="H384" t="s">
        <v>61</v>
      </c>
      <c r="I384" s="4">
        <v>63</v>
      </c>
      <c r="J384" s="4">
        <v>74.97</v>
      </c>
      <c r="K384" s="4">
        <f>J384-I384</f>
      </c>
      <c r="L384" s="4">
        <f>K384*16.67%</f>
      </c>
      <c r="M384" s="4">
        <f>J384*7%</f>
      </c>
      <c r="N384" s="4">
        <f>M384*20%</f>
      </c>
      <c r="O384" s="4">
        <v>0</v>
      </c>
      <c r="P384" s="4">
        <f>O384*20%</f>
      </c>
      <c r="Q384" s="4">
        <v>1</v>
      </c>
      <c r="R384" s="4">
        <f>N384+P384</f>
      </c>
      <c r="S384" s="4">
        <f>K384-L384-M384-N384-O384-P384-Q384</f>
      </c>
      <c r="T384" s="4">
        <f>(S384-V384)/I384*100</f>
      </c>
      <c r="U384" s="4">
        <f>L384-R384</f>
      </c>
      <c r="W384" s="4">
        <f>S384-V384</f>
      </c>
      <c r="AB384" t="s">
        <v>1</v>
      </c>
    </row>
    <row r="385" spans="1:28" x14ac:dyDescent="0.25">
      <c r="A385" s="8">
        <v>46160.5</v>
      </c>
      <c r="B385" t="s">
        <v>2992</v>
      </c>
      <c r="C385" t="s">
        <v>1</v>
      </c>
      <c r="D385" s="9" t="s">
        <v>2993</v>
      </c>
      <c r="E385" t="s">
        <v>234</v>
      </c>
      <c r="F385" t="s">
        <v>85</v>
      </c>
      <c r="G385" t="s">
        <v>65</v>
      </c>
      <c r="H385" t="s">
        <v>61</v>
      </c>
      <c r="I385" s="4">
        <v>152</v>
      </c>
      <c r="J385" s="4">
        <v>194.56</v>
      </c>
      <c r="K385" s="4">
        <f>J385-I385</f>
      </c>
      <c r="L385" s="4">
        <f>K385*16.67%</f>
      </c>
      <c r="M385" s="4">
        <f>J385*7%</f>
      </c>
      <c r="N385" s="4">
        <f>M385*20%</f>
      </c>
      <c r="O385" s="4">
        <v>0</v>
      </c>
      <c r="P385" s="4">
        <f>O385*20%</f>
      </c>
      <c r="Q385" s="4">
        <v>1</v>
      </c>
      <c r="R385" s="4">
        <f>N385+P385</f>
      </c>
      <c r="S385" s="4">
        <f>K385-L385-M385-N385-O385-P385-Q385</f>
      </c>
      <c r="T385" s="4">
        <f>(S385-V385)/I385*100</f>
      </c>
      <c r="U385" s="4">
        <f>L385-R385</f>
      </c>
      <c r="W385" s="4">
        <f>S385-V385</f>
      </c>
      <c r="AB385" t="s">
        <v>1</v>
      </c>
    </row>
    <row r="386" spans="1:28" x14ac:dyDescent="0.25">
      <c r="A386" s="8">
        <v>46160.5</v>
      </c>
      <c r="B386" t="s">
        <v>2994</v>
      </c>
      <c r="C386" t="s">
        <v>1</v>
      </c>
      <c r="D386" s="9" t="s">
        <v>2995</v>
      </c>
      <c r="E386" t="s">
        <v>69</v>
      </c>
      <c r="F386" t="s">
        <v>99</v>
      </c>
      <c r="G386" t="s">
        <v>60</v>
      </c>
      <c r="H386" t="s">
        <v>75</v>
      </c>
      <c r="I386" s="4">
        <v>494</v>
      </c>
      <c r="J386" s="4">
        <v>577.98</v>
      </c>
      <c r="K386" s="4">
        <f>J386-I386</f>
      </c>
      <c r="L386" s="4">
        <f>K386*16.67%</f>
      </c>
      <c r="M386" s="4">
        <f>J386*7%</f>
      </c>
      <c r="N386" s="4">
        <f>M386*20%</f>
      </c>
      <c r="O386" s="4">
        <v>0</v>
      </c>
      <c r="P386" s="4">
        <f>O386*20%</f>
      </c>
      <c r="Q386" s="4">
        <v>1</v>
      </c>
      <c r="R386" s="4">
        <f>N386+P386</f>
      </c>
      <c r="S386" s="4">
        <f>K386-L386-M386-N386-O386-P386-Q386</f>
      </c>
      <c r="T386" s="4">
        <f>(S386-V386)/I386*100</f>
      </c>
      <c r="U386" s="4">
        <f>L386-R386</f>
      </c>
      <c r="W386" s="4">
        <f>S386-V386</f>
      </c>
      <c r="AB386" t="s">
        <v>1</v>
      </c>
    </row>
    <row r="387" spans="1:28" x14ac:dyDescent="0.25">
      <c r="A387" s="8">
        <v>46159.5</v>
      </c>
      <c r="B387" t="s">
        <v>2996</v>
      </c>
      <c r="C387" t="s">
        <v>1</v>
      </c>
      <c r="D387" s="9" t="s">
        <v>2997</v>
      </c>
      <c r="E387" t="s">
        <v>234</v>
      </c>
      <c r="F387" t="s">
        <v>70</v>
      </c>
      <c r="G387" t="s">
        <v>65</v>
      </c>
      <c r="H387" t="s">
        <v>78</v>
      </c>
      <c r="I387" s="4">
        <v>160</v>
      </c>
      <c r="J387" s="4">
        <v>222.4</v>
      </c>
      <c r="K387" s="4">
        <f>J387-I387</f>
      </c>
      <c r="L387" s="4">
        <f>K387*16.67%</f>
      </c>
      <c r="M387" s="4">
        <f>J387*7%</f>
      </c>
      <c r="N387" s="4">
        <f>M387*20%</f>
      </c>
      <c r="O387" s="4">
        <v>0</v>
      </c>
      <c r="P387" s="4">
        <f>O387*20%</f>
      </c>
      <c r="Q387" s="4">
        <v>1</v>
      </c>
      <c r="R387" s="4">
        <f>N387+P387</f>
      </c>
      <c r="S387" s="4">
        <f>K387-L387-M387-N387-O387-P387-Q387</f>
      </c>
      <c r="T387" s="4">
        <f>(S387-V387)/I387*100</f>
      </c>
      <c r="U387" s="4">
        <f>L387-R387</f>
      </c>
      <c r="W387" s="4">
        <f>S387-V387</f>
      </c>
      <c r="AB387" t="s">
        <v>1</v>
      </c>
    </row>
    <row r="388" spans="1:28" x14ac:dyDescent="0.25">
      <c r="A388" s="8">
        <v>46159.5</v>
      </c>
      <c r="B388" t="s">
        <v>2998</v>
      </c>
      <c r="C388" t="s">
        <v>1</v>
      </c>
      <c r="D388" s="9" t="s">
        <v>2999</v>
      </c>
      <c r="E388" t="s">
        <v>94</v>
      </c>
      <c r="F388" t="s">
        <v>85</v>
      </c>
      <c r="G388" t="s">
        <v>95</v>
      </c>
      <c r="H388" t="s">
        <v>75</v>
      </c>
      <c r="I388" s="4">
        <v>84</v>
      </c>
      <c r="J388" s="4">
        <v>105.84</v>
      </c>
      <c r="K388" s="4">
        <f>J388-I388</f>
      </c>
      <c r="L388" s="4">
        <f>K388*16.67%</f>
      </c>
      <c r="M388" s="4">
        <f>J388*7%</f>
      </c>
      <c r="N388" s="4">
        <f>M388*20%</f>
      </c>
      <c r="O388" s="4">
        <v>0</v>
      </c>
      <c r="P388" s="4">
        <f>O388*20%</f>
      </c>
      <c r="Q388" s="4">
        <v>1</v>
      </c>
      <c r="R388" s="4">
        <f>N388+P388</f>
      </c>
      <c r="S388" s="4">
        <f>K388-L388-M388-N388-O388-P388-Q388</f>
      </c>
      <c r="T388" s="4">
        <f>(S388-V388)/I388*100</f>
      </c>
      <c r="U388" s="4">
        <f>L388-R388</f>
      </c>
      <c r="W388" s="4">
        <f>S388-V388</f>
      </c>
      <c r="AB388" t="s">
        <v>1</v>
      </c>
    </row>
    <row r="389" spans="1:28" x14ac:dyDescent="0.25">
      <c r="A389" s="8">
        <v>46159.5</v>
      </c>
      <c r="B389" t="s">
        <v>3000</v>
      </c>
      <c r="C389" t="s">
        <v>1</v>
      </c>
      <c r="D389" s="9" t="s">
        <v>3001</v>
      </c>
      <c r="E389" t="s">
        <v>69</v>
      </c>
      <c r="F389" t="s">
        <v>74</v>
      </c>
      <c r="G389" t="s">
        <v>60</v>
      </c>
      <c r="H389" t="s">
        <v>66</v>
      </c>
      <c r="I389" s="4">
        <v>512</v>
      </c>
      <c r="J389" s="4">
        <v>645.12</v>
      </c>
      <c r="K389" s="4">
        <f>J389-I389</f>
      </c>
      <c r="L389" s="4">
        <f>K389*16.67%</f>
      </c>
      <c r="M389" s="4">
        <f>J389*7%</f>
      </c>
      <c r="N389" s="4">
        <f>M389*20%</f>
      </c>
      <c r="O389" s="4">
        <v>0</v>
      </c>
      <c r="P389" s="4">
        <f>O389*20%</f>
      </c>
      <c r="Q389" s="4">
        <v>1</v>
      </c>
      <c r="R389" s="4">
        <f>N389+P389</f>
      </c>
      <c r="S389" s="4">
        <f>K389-L389-M389-N389-O389-P389-Q389</f>
      </c>
      <c r="T389" s="4">
        <f>(S389-V389)/I389*100</f>
      </c>
      <c r="U389" s="4">
        <f>L389-R389</f>
      </c>
      <c r="W389" s="4">
        <f>S389-V389</f>
      </c>
      <c r="AB389" t="s">
        <v>1</v>
      </c>
    </row>
    <row r="390" spans="1:28" x14ac:dyDescent="0.25">
      <c r="A390" s="8">
        <v>46159.5</v>
      </c>
      <c r="B390" t="s">
        <v>3002</v>
      </c>
      <c r="C390" t="s">
        <v>1</v>
      </c>
      <c r="D390" s="9" t="s">
        <v>3003</v>
      </c>
      <c r="E390" t="s">
        <v>84</v>
      </c>
      <c r="F390" t="s">
        <v>70</v>
      </c>
      <c r="G390" t="s">
        <v>60</v>
      </c>
      <c r="H390" t="s">
        <v>78</v>
      </c>
      <c r="I390" s="4">
        <v>699</v>
      </c>
      <c r="J390" s="4">
        <v>894.72</v>
      </c>
      <c r="K390" s="4">
        <f>J390-I390</f>
      </c>
      <c r="L390" s="4">
        <f>K390*16.67%</f>
      </c>
      <c r="M390" s="4">
        <f>J390*7%</f>
      </c>
      <c r="N390" s="4">
        <f>M390*20%</f>
      </c>
      <c r="O390" s="4">
        <v>0</v>
      </c>
      <c r="P390" s="4">
        <f>O390*20%</f>
      </c>
      <c r="Q390" s="4">
        <v>1</v>
      </c>
      <c r="R390" s="4">
        <f>N390+P390</f>
      </c>
      <c r="S390" s="4">
        <f>K390-L390-M390-N390-O390-P390-Q390</f>
      </c>
      <c r="T390" s="4">
        <f>(S390-V390)/I390*100</f>
      </c>
      <c r="U390" s="4">
        <f>L390-R390</f>
      </c>
      <c r="W390" s="4">
        <f>S390-V390</f>
      </c>
      <c r="AB390" t="s">
        <v>1</v>
      </c>
    </row>
    <row r="391" spans="1:28" x14ac:dyDescent="0.25">
      <c r="A391" s="8">
        <v>46159.5</v>
      </c>
      <c r="B391" t="s">
        <v>3004</v>
      </c>
      <c r="C391" t="s">
        <v>1</v>
      </c>
      <c r="D391" s="9" t="s">
        <v>3005</v>
      </c>
      <c r="E391" t="s">
        <v>73</v>
      </c>
      <c r="F391" t="s">
        <v>85</v>
      </c>
      <c r="G391" t="s">
        <v>60</v>
      </c>
      <c r="H391" t="s">
        <v>61</v>
      </c>
      <c r="I391" s="4">
        <v>367</v>
      </c>
      <c r="J391" s="4">
        <v>517.47</v>
      </c>
      <c r="K391" s="4">
        <f>J391-I391</f>
      </c>
      <c r="L391" s="4">
        <f>K391*16.67%</f>
      </c>
      <c r="M391" s="4">
        <f>J391*7%</f>
      </c>
      <c r="N391" s="4">
        <f>M391*20%</f>
      </c>
      <c r="O391" s="4">
        <v>0</v>
      </c>
      <c r="P391" s="4">
        <f>O391*20%</f>
      </c>
      <c r="Q391" s="4">
        <v>1</v>
      </c>
      <c r="R391" s="4">
        <f>N391+P391</f>
      </c>
      <c r="S391" s="4">
        <f>K391-L391-M391-N391-O391-P391-Q391</f>
      </c>
      <c r="T391" s="4">
        <f>(S391-V391)/I391*100</f>
      </c>
      <c r="U391" s="4">
        <f>L391-R391</f>
      </c>
      <c r="W391" s="4">
        <f>S391-V391</f>
      </c>
      <c r="AB391" t="s">
        <v>1</v>
      </c>
    </row>
    <row r="392" spans="1:28" x14ac:dyDescent="0.25">
      <c r="A392" s="8">
        <v>46159.5</v>
      </c>
      <c r="B392" t="s">
        <v>3006</v>
      </c>
      <c r="C392" t="s">
        <v>182</v>
      </c>
      <c r="D392" s="9" t="s">
        <v>1</v>
      </c>
      <c r="E392" t="s">
        <v>182</v>
      </c>
      <c r="F392" t="s">
        <v>1</v>
      </c>
      <c r="G392" t="s">
        <v>1</v>
      </c>
      <c r="H392" t="s">
        <v>75</v>
      </c>
      <c r="I392" s="4">
        <v>1.9</v>
      </c>
      <c r="J392" s="4">
        <v>2.58</v>
      </c>
      <c r="K392" s="4">
        <f>J392-I392</f>
      </c>
      <c r="L392" s="4">
        <f>K392*16.67%</f>
      </c>
      <c r="M392" s="4">
        <f>J392*7%</f>
      </c>
      <c r="N392" s="4">
        <f>M392*20%</f>
      </c>
      <c r="O392" s="4">
        <v>0</v>
      </c>
      <c r="P392" s="4">
        <f>O392*20%</f>
      </c>
      <c r="Q392" s="4">
        <v>0</v>
      </c>
      <c r="R392" s="4">
        <f>N392+P392</f>
      </c>
      <c r="S392" s="4">
        <f>K392-L392-M392-N392-O392-P392-Q392</f>
      </c>
      <c r="T392" s="4">
        <f>(S392-V392)/I392*100</f>
      </c>
      <c r="U392" s="4">
        <f>L392-R392</f>
      </c>
      <c r="W392" s="4">
        <f>S392-V392</f>
      </c>
      <c r="AB392" t="s">
        <v>1</v>
      </c>
    </row>
    <row r="393" spans="1:28" x14ac:dyDescent="0.25">
      <c r="A393" s="8">
        <v>46158.5</v>
      </c>
      <c r="B393" t="s">
        <v>3007</v>
      </c>
      <c r="C393" t="s">
        <v>1</v>
      </c>
      <c r="D393" s="9" t="s">
        <v>3008</v>
      </c>
      <c r="E393" t="s">
        <v>234</v>
      </c>
      <c r="F393" t="s">
        <v>85</v>
      </c>
      <c r="G393" t="s">
        <v>65</v>
      </c>
      <c r="H393" t="s">
        <v>102</v>
      </c>
      <c r="I393" s="4">
        <v>151</v>
      </c>
      <c r="J393" s="4">
        <v>188.75</v>
      </c>
      <c r="K393" s="4">
        <f>J393-I393</f>
      </c>
      <c r="L393" s="4">
        <f>K393*16.67%</f>
      </c>
      <c r="M393" s="4">
        <f>J393*7%</f>
      </c>
      <c r="N393" s="4">
        <f>M393*20%</f>
      </c>
      <c r="O393" s="4">
        <v>0</v>
      </c>
      <c r="P393" s="4">
        <f>O393*20%</f>
      </c>
      <c r="Q393" s="4">
        <v>1</v>
      </c>
      <c r="R393" s="4">
        <f>N393+P393</f>
      </c>
      <c r="S393" s="4">
        <f>K393-L393-M393-N393-O393-P393-Q393</f>
      </c>
      <c r="T393" s="4">
        <f>(S393-V393)/I393*100</f>
      </c>
      <c r="U393" s="4">
        <f>L393-R393</f>
      </c>
      <c r="W393" s="4">
        <f>S393-V393</f>
      </c>
      <c r="AB393" t="s">
        <v>1</v>
      </c>
    </row>
    <row r="394" spans="1:28" x14ac:dyDescent="0.25">
      <c r="A394" s="8">
        <v>46158.5</v>
      </c>
      <c r="B394" t="s">
        <v>3009</v>
      </c>
      <c r="C394" t="s">
        <v>1</v>
      </c>
      <c r="D394" s="9" t="s">
        <v>3010</v>
      </c>
      <c r="E394" t="s">
        <v>292</v>
      </c>
      <c r="F394" t="s">
        <v>99</v>
      </c>
      <c r="G394" t="s">
        <v>126</v>
      </c>
      <c r="H394" t="s">
        <v>78</v>
      </c>
      <c r="I394" s="4">
        <v>206</v>
      </c>
      <c r="J394" s="4">
        <v>263.68</v>
      </c>
      <c r="K394" s="4">
        <f>J394-I394</f>
      </c>
      <c r="L394" s="4">
        <f>K394*16.67%</f>
      </c>
      <c r="M394" s="4">
        <f>J394*7%</f>
      </c>
      <c r="N394" s="4">
        <f>M394*20%</f>
      </c>
      <c r="O394" s="4">
        <v>0</v>
      </c>
      <c r="P394" s="4">
        <f>O394*20%</f>
      </c>
      <c r="Q394" s="4">
        <v>1</v>
      </c>
      <c r="R394" s="4">
        <f>N394+P394</f>
      </c>
      <c r="S394" s="4">
        <f>K394-L394-M394-N394-O394-P394-Q394</f>
      </c>
      <c r="T394" s="4">
        <f>(S394-V394)/I394*100</f>
      </c>
      <c r="U394" s="4">
        <f>L394-R394</f>
      </c>
      <c r="W394" s="4">
        <f>S394-V394</f>
      </c>
      <c r="AB394" t="s">
        <v>1</v>
      </c>
    </row>
    <row r="395" spans="1:28" x14ac:dyDescent="0.25">
      <c r="A395" s="8">
        <v>46158.5</v>
      </c>
      <c r="B395" t="s">
        <v>3011</v>
      </c>
      <c r="C395" t="s">
        <v>177</v>
      </c>
      <c r="D395" s="9" t="s">
        <v>1</v>
      </c>
      <c r="E395" t="s">
        <v>177</v>
      </c>
      <c r="F395" t="s">
        <v>1</v>
      </c>
      <c r="G395" t="s">
        <v>1</v>
      </c>
      <c r="H395" t="s">
        <v>78</v>
      </c>
      <c r="I395" s="4">
        <v>0.15</v>
      </c>
      <c r="J395" s="4">
        <v>0.2</v>
      </c>
      <c r="K395" s="4">
        <f>J395-I395</f>
      </c>
      <c r="L395" s="4">
        <f>K395*16.67%</f>
      </c>
      <c r="M395" s="4">
        <f>J395*7%</f>
      </c>
      <c r="N395" s="4">
        <f>M395*20%</f>
      </c>
      <c r="O395" s="4">
        <v>0</v>
      </c>
      <c r="P395" s="4">
        <f>O395*20%</f>
      </c>
      <c r="Q395" s="4">
        <v>0</v>
      </c>
      <c r="R395" s="4">
        <f>N395+P395</f>
      </c>
      <c r="S395" s="4">
        <f>K395-L395-M395-N395-O395-P395-Q395</f>
      </c>
      <c r="T395" s="4">
        <f>(S395-V395)/I395*100</f>
      </c>
      <c r="U395" s="4">
        <f>L395-R395</f>
      </c>
      <c r="W395" s="4">
        <f>S395-V395</f>
      </c>
      <c r="AB395" t="s">
        <v>1</v>
      </c>
    </row>
    <row r="396" spans="1:28" x14ac:dyDescent="0.25">
      <c r="A396" s="8">
        <v>46158.5</v>
      </c>
      <c r="B396" t="s">
        <v>3012</v>
      </c>
      <c r="C396" t="s">
        <v>254</v>
      </c>
      <c r="D396" s="9" t="s">
        <v>1</v>
      </c>
      <c r="E396" t="s">
        <v>254</v>
      </c>
      <c r="F396" t="s">
        <v>1</v>
      </c>
      <c r="G396" t="s">
        <v>1</v>
      </c>
      <c r="H396" t="s">
        <v>61</v>
      </c>
      <c r="I396" s="4">
        <v>0.8</v>
      </c>
      <c r="J396" s="4">
        <v>1.14</v>
      </c>
      <c r="K396" s="4">
        <f>J396-I396</f>
      </c>
      <c r="L396" s="4">
        <f>K396*16.67%</f>
      </c>
      <c r="M396" s="4">
        <f>J396*7%</f>
      </c>
      <c r="N396" s="4">
        <f>M396*20%</f>
      </c>
      <c r="O396" s="4">
        <v>0</v>
      </c>
      <c r="P396" s="4">
        <f>O396*20%</f>
      </c>
      <c r="Q396" s="4">
        <v>0</v>
      </c>
      <c r="R396" s="4">
        <f>N396+P396</f>
      </c>
      <c r="S396" s="4">
        <f>K396-L396-M396-N396-O396-P396-Q396</f>
      </c>
      <c r="T396" s="4">
        <f>(S396-V396)/I396*100</f>
      </c>
      <c r="U396" s="4">
        <f>L396-R396</f>
      </c>
      <c r="W396" s="4">
        <f>S396-V396</f>
      </c>
      <c r="AB396" t="s">
        <v>1</v>
      </c>
    </row>
    <row r="397" spans="1:28" x14ac:dyDescent="0.25">
      <c r="A397" s="8">
        <v>46157.5</v>
      </c>
      <c r="B397" t="s">
        <v>3013</v>
      </c>
      <c r="C397" t="s">
        <v>1</v>
      </c>
      <c r="D397" s="9" t="s">
        <v>3014</v>
      </c>
      <c r="E397" t="s">
        <v>91</v>
      </c>
      <c r="F397" t="s">
        <v>88</v>
      </c>
      <c r="G397" t="s">
        <v>95</v>
      </c>
      <c r="H397" t="s">
        <v>78</v>
      </c>
      <c r="I397" s="4">
        <v>110</v>
      </c>
      <c r="J397" s="4">
        <v>152.9</v>
      </c>
      <c r="K397" s="4">
        <f>J397-I397</f>
      </c>
      <c r="L397" s="4">
        <f>K397*16.67%</f>
      </c>
      <c r="M397" s="4">
        <f>J397*7%</f>
      </c>
      <c r="N397" s="4">
        <f>M397*20%</f>
      </c>
      <c r="O397" s="4">
        <v>0</v>
      </c>
      <c r="P397" s="4">
        <f>O397*20%</f>
      </c>
      <c r="Q397" s="4">
        <v>1</v>
      </c>
      <c r="R397" s="4">
        <f>N397+P397</f>
      </c>
      <c r="S397" s="4">
        <f>K397-L397-M397-N397-O397-P397-Q397</f>
      </c>
      <c r="T397" s="4">
        <f>(S397-V397)/I397*100</f>
      </c>
      <c r="U397" s="4">
        <f>L397-R397</f>
      </c>
      <c r="W397" s="4">
        <f>S397-V397</f>
      </c>
      <c r="AB397" t="s">
        <v>1</v>
      </c>
    </row>
    <row r="398" spans="1:28" x14ac:dyDescent="0.25">
      <c r="A398" s="8">
        <v>46157.5</v>
      </c>
      <c r="B398" t="s">
        <v>3015</v>
      </c>
      <c r="C398" t="s">
        <v>1</v>
      </c>
      <c r="D398" s="9" t="s">
        <v>3016</v>
      </c>
      <c r="E398" t="s">
        <v>131</v>
      </c>
      <c r="F398" t="s">
        <v>74</v>
      </c>
      <c r="G398" t="s">
        <v>65</v>
      </c>
      <c r="H398" t="s">
        <v>66</v>
      </c>
      <c r="I398" s="4">
        <v>275</v>
      </c>
      <c r="J398" s="4">
        <v>319</v>
      </c>
      <c r="K398" s="4">
        <f>J398-I398</f>
      </c>
      <c r="L398" s="4">
        <f>K398*16.67%</f>
      </c>
      <c r="M398" s="4">
        <f>J398*7%</f>
      </c>
      <c r="N398" s="4">
        <f>M398*20%</f>
      </c>
      <c r="O398" s="4">
        <v>0</v>
      </c>
      <c r="P398" s="4">
        <f>O398*20%</f>
      </c>
      <c r="Q398" s="4">
        <v>1</v>
      </c>
      <c r="R398" s="4">
        <f>N398+P398</f>
      </c>
      <c r="S398" s="4">
        <f>K398-L398-M398-N398-O398-P398-Q398</f>
      </c>
      <c r="T398" s="4">
        <f>(S398-V398)/I398*100</f>
      </c>
      <c r="U398" s="4">
        <f>L398-R398</f>
      </c>
      <c r="W398" s="4">
        <f>S398-V398</f>
      </c>
      <c r="AB398" t="s">
        <v>1</v>
      </c>
    </row>
    <row r="399" spans="1:28" x14ac:dyDescent="0.25">
      <c r="A399" s="8">
        <v>46157.5</v>
      </c>
      <c r="B399" t="s">
        <v>3017</v>
      </c>
      <c r="C399" t="s">
        <v>177</v>
      </c>
      <c r="D399" s="9" t="s">
        <v>1</v>
      </c>
      <c r="E399" t="s">
        <v>177</v>
      </c>
      <c r="F399" t="s">
        <v>1</v>
      </c>
      <c r="G399" t="s">
        <v>1</v>
      </c>
      <c r="H399" t="s">
        <v>78</v>
      </c>
      <c r="I399" s="4">
        <v>0.15</v>
      </c>
      <c r="J399" s="4">
        <v>0.21</v>
      </c>
      <c r="K399" s="4">
        <f>J399-I399</f>
      </c>
      <c r="L399" s="4">
        <f>K399*16.67%</f>
      </c>
      <c r="M399" s="4">
        <f>J399*7%</f>
      </c>
      <c r="N399" s="4">
        <f>M399*20%</f>
      </c>
      <c r="O399" s="4">
        <v>0</v>
      </c>
      <c r="P399" s="4">
        <f>O399*20%</f>
      </c>
      <c r="Q399" s="4">
        <v>0</v>
      </c>
      <c r="R399" s="4">
        <f>N399+P399</f>
      </c>
      <c r="S399" s="4">
        <f>K399-L399-M399-N399-O399-P399-Q399</f>
      </c>
      <c r="T399" s="4">
        <f>(S399-V399)/I399*100</f>
      </c>
      <c r="U399" s="4">
        <f>L399-R399</f>
      </c>
      <c r="W399" s="4">
        <f>S399-V399</f>
      </c>
      <c r="AB399" t="s">
        <v>1</v>
      </c>
    </row>
    <row r="400" spans="1:28" x14ac:dyDescent="0.25">
      <c r="A400" s="8">
        <v>46157.5</v>
      </c>
      <c r="B400" t="s">
        <v>3018</v>
      </c>
      <c r="C400" t="s">
        <v>182</v>
      </c>
      <c r="D400" s="9" t="s">
        <v>1</v>
      </c>
      <c r="E400" t="s">
        <v>182</v>
      </c>
      <c r="F400" t="s">
        <v>1</v>
      </c>
      <c r="G400" t="s">
        <v>1</v>
      </c>
      <c r="H400" t="s">
        <v>75</v>
      </c>
      <c r="I400" s="4">
        <v>1.9</v>
      </c>
      <c r="J400" s="4">
        <v>2.58</v>
      </c>
      <c r="K400" s="4">
        <f>J400-I400</f>
      </c>
      <c r="L400" s="4">
        <f>K400*16.67%</f>
      </c>
      <c r="M400" s="4">
        <f>J400*7%</f>
      </c>
      <c r="N400" s="4">
        <f>M400*20%</f>
      </c>
      <c r="O400" s="4">
        <v>0</v>
      </c>
      <c r="P400" s="4">
        <f>O400*20%</f>
      </c>
      <c r="Q400" s="4">
        <v>0</v>
      </c>
      <c r="R400" s="4">
        <f>N400+P400</f>
      </c>
      <c r="S400" s="4">
        <f>K400-L400-M400-N400-O400-P400-Q400</f>
      </c>
      <c r="T400" s="4">
        <f>(S400-V400)/I400*100</f>
      </c>
      <c r="U400" s="4">
        <f>L400-R400</f>
      </c>
      <c r="W400" s="4">
        <f>S400-V400</f>
      </c>
      <c r="AB400" t="s">
        <v>1</v>
      </c>
    </row>
    <row r="401" spans="1:28" x14ac:dyDescent="0.25">
      <c r="A401" s="8">
        <v>46155.5</v>
      </c>
      <c r="B401" t="s">
        <v>3019</v>
      </c>
      <c r="C401" t="s">
        <v>1</v>
      </c>
      <c r="D401" s="9" t="s">
        <v>3020</v>
      </c>
      <c r="E401" t="s">
        <v>292</v>
      </c>
      <c r="F401" t="s">
        <v>59</v>
      </c>
      <c r="G401" t="s">
        <v>126</v>
      </c>
      <c r="H401" t="s">
        <v>66</v>
      </c>
      <c r="I401" s="4">
        <v>152</v>
      </c>
      <c r="J401" s="4">
        <v>176.32</v>
      </c>
      <c r="K401" s="4">
        <f>J401-I401</f>
      </c>
      <c r="L401" s="4">
        <f>K401*16.67%</f>
      </c>
      <c r="M401" s="4">
        <f>J401*7%</f>
      </c>
      <c r="N401" s="4">
        <f>M401*20%</f>
      </c>
      <c r="O401" s="4">
        <v>0</v>
      </c>
      <c r="P401" s="4">
        <f>O401*20%</f>
      </c>
      <c r="Q401" s="4">
        <v>1</v>
      </c>
      <c r="R401" s="4">
        <f>N401+P401</f>
      </c>
      <c r="S401" s="4">
        <f>K401-L401-M401-N401-O401-P401-Q401</f>
      </c>
      <c r="T401" s="4">
        <f>(S401-V401)/I401*100</f>
      </c>
      <c r="U401" s="4">
        <f>L401-R401</f>
      </c>
      <c r="W401" s="4">
        <f>S401-V401</f>
      </c>
      <c r="AB401" t="s">
        <v>1</v>
      </c>
    </row>
    <row r="402" spans="1:28" x14ac:dyDescent="0.25">
      <c r="A402" s="8">
        <v>46155.5</v>
      </c>
      <c r="B402" t="s">
        <v>3021</v>
      </c>
      <c r="C402" t="s">
        <v>182</v>
      </c>
      <c r="D402" s="9" t="s">
        <v>1</v>
      </c>
      <c r="E402" t="s">
        <v>182</v>
      </c>
      <c r="F402" t="s">
        <v>1</v>
      </c>
      <c r="G402" t="s">
        <v>1</v>
      </c>
      <c r="H402" t="s">
        <v>75</v>
      </c>
      <c r="I402" s="4">
        <v>1.9</v>
      </c>
      <c r="J402" s="4">
        <v>2.38</v>
      </c>
      <c r="K402" s="4">
        <f>J402-I402</f>
      </c>
      <c r="L402" s="4">
        <f>K402*16.67%</f>
      </c>
      <c r="M402" s="4">
        <f>J402*7%</f>
      </c>
      <c r="N402" s="4">
        <f>M402*20%</f>
      </c>
      <c r="O402" s="4">
        <v>0</v>
      </c>
      <c r="P402" s="4">
        <f>O402*20%</f>
      </c>
      <c r="Q402" s="4">
        <v>0</v>
      </c>
      <c r="R402" s="4">
        <f>N402+P402</f>
      </c>
      <c r="S402" s="4">
        <f>K402-L402-M402-N402-O402-P402-Q402</f>
      </c>
      <c r="T402" s="4">
        <f>(S402-V402)/I402*100</f>
      </c>
      <c r="U402" s="4">
        <f>L402-R402</f>
      </c>
      <c r="W402" s="4">
        <f>S402-V402</f>
      </c>
      <c r="AB402" t="s">
        <v>1</v>
      </c>
    </row>
    <row r="403" spans="1:28" x14ac:dyDescent="0.25">
      <c r="A403" s="8">
        <v>46154.5</v>
      </c>
      <c r="B403" t="s">
        <v>3022</v>
      </c>
      <c r="C403" t="s">
        <v>1</v>
      </c>
      <c r="D403" s="9" t="s">
        <v>3023</v>
      </c>
      <c r="E403" t="s">
        <v>91</v>
      </c>
      <c r="F403" t="s">
        <v>88</v>
      </c>
      <c r="G403" t="s">
        <v>65</v>
      </c>
      <c r="H403" t="s">
        <v>102</v>
      </c>
      <c r="I403" s="4">
        <v>112</v>
      </c>
      <c r="J403" s="4">
        <v>160.16</v>
      </c>
      <c r="K403" s="4">
        <f>J403-I403</f>
      </c>
      <c r="L403" s="4">
        <f>K403*16.67%</f>
      </c>
      <c r="M403" s="4">
        <f>J403*7%</f>
      </c>
      <c r="N403" s="4">
        <f>M403*20%</f>
      </c>
      <c r="O403" s="4">
        <v>0</v>
      </c>
      <c r="P403" s="4">
        <f>O403*20%</f>
      </c>
      <c r="Q403" s="4">
        <v>1</v>
      </c>
      <c r="R403" s="4">
        <f>N403+P403</f>
      </c>
      <c r="S403" s="4">
        <f>K403-L403-M403-N403-O403-P403-Q403</f>
      </c>
      <c r="T403" s="4">
        <f>(S403-V403)/I403*100</f>
      </c>
      <c r="U403" s="4">
        <f>L403-R403</f>
      </c>
      <c r="W403" s="4">
        <f>S403-V403</f>
      </c>
      <c r="AB403" t="s">
        <v>1</v>
      </c>
    </row>
    <row r="404" spans="1:28" x14ac:dyDescent="0.25">
      <c r="A404" s="8">
        <v>46154.5</v>
      </c>
      <c r="B404" t="s">
        <v>3024</v>
      </c>
      <c r="C404" t="s">
        <v>1</v>
      </c>
      <c r="D404" s="9" t="s">
        <v>3025</v>
      </c>
      <c r="E404" t="s">
        <v>292</v>
      </c>
      <c r="F404" t="s">
        <v>59</v>
      </c>
      <c r="G404" t="s">
        <v>126</v>
      </c>
      <c r="H404" t="s">
        <v>61</v>
      </c>
      <c r="I404" s="4">
        <v>152</v>
      </c>
      <c r="J404" s="4">
        <v>193.04</v>
      </c>
      <c r="K404" s="4">
        <f>J404-I404</f>
      </c>
      <c r="L404" s="4">
        <f>K404*16.67%</f>
      </c>
      <c r="M404" s="4">
        <f>J404*7%</f>
      </c>
      <c r="N404" s="4">
        <f>M404*20%</f>
      </c>
      <c r="O404" s="4">
        <v>0</v>
      </c>
      <c r="P404" s="4">
        <f>O404*20%</f>
      </c>
      <c r="Q404" s="4">
        <v>1</v>
      </c>
      <c r="R404" s="4">
        <f>N404+P404</f>
      </c>
      <c r="S404" s="4">
        <f>K404-L404-M404-N404-O404-P404-Q404</f>
      </c>
      <c r="T404" s="4">
        <f>(S404-V404)/I404*100</f>
      </c>
      <c r="U404" s="4">
        <f>L404-R404</f>
      </c>
      <c r="W404" s="4">
        <f>S404-V404</f>
      </c>
      <c r="AB404" t="s">
        <v>1</v>
      </c>
    </row>
    <row r="405" spans="1:28" x14ac:dyDescent="0.25">
      <c r="A405" s="8">
        <v>46152.5</v>
      </c>
      <c r="B405" t="s">
        <v>3026</v>
      </c>
      <c r="C405" t="s">
        <v>1</v>
      </c>
      <c r="D405" s="9" t="s">
        <v>3027</v>
      </c>
      <c r="E405" t="s">
        <v>69</v>
      </c>
      <c r="F405" t="s">
        <v>105</v>
      </c>
      <c r="G405" t="s">
        <v>60</v>
      </c>
      <c r="H405" t="s">
        <v>78</v>
      </c>
      <c r="I405" s="4">
        <v>492</v>
      </c>
      <c r="J405" s="4">
        <v>664.2</v>
      </c>
      <c r="K405" s="4">
        <f>J405-I405</f>
      </c>
      <c r="L405" s="4">
        <f>K405*16.67%</f>
      </c>
      <c r="M405" s="4">
        <f>J405*7%</f>
      </c>
      <c r="N405" s="4">
        <f>M405*20%</f>
      </c>
      <c r="O405" s="4">
        <v>0</v>
      </c>
      <c r="P405" s="4">
        <f>O405*20%</f>
      </c>
      <c r="Q405" s="4">
        <v>1</v>
      </c>
      <c r="R405" s="4">
        <f>N405+P405</f>
      </c>
      <c r="S405" s="4">
        <f>K405-L405-M405-N405-O405-P405-Q405</f>
      </c>
      <c r="T405" s="4">
        <f>(S405-V405)/I405*100</f>
      </c>
      <c r="U405" s="4">
        <f>L405-R405</f>
      </c>
      <c r="W405" s="4">
        <f>S405-V405</f>
      </c>
      <c r="AB405" t="s">
        <v>1</v>
      </c>
    </row>
    <row r="406" spans="1:28" x14ac:dyDescent="0.25">
      <c r="A406" s="8">
        <v>46151.5</v>
      </c>
      <c r="B406" t="s">
        <v>3028</v>
      </c>
      <c r="C406" t="s">
        <v>1</v>
      </c>
      <c r="D406" s="9" t="s">
        <v>3029</v>
      </c>
      <c r="E406" t="s">
        <v>134</v>
      </c>
      <c r="F406" t="s">
        <v>70</v>
      </c>
      <c r="G406" t="s">
        <v>95</v>
      </c>
      <c r="H406" t="s">
        <v>78</v>
      </c>
      <c r="I406" s="4">
        <v>109</v>
      </c>
      <c r="J406" s="4">
        <v>135.16</v>
      </c>
      <c r="K406" s="4">
        <f>J406-I406</f>
      </c>
      <c r="L406" s="4">
        <f>K406*16.67%</f>
      </c>
      <c r="M406" s="4">
        <f>J406*7%</f>
      </c>
      <c r="N406" s="4">
        <f>M406*20%</f>
      </c>
      <c r="O406" s="4">
        <v>0</v>
      </c>
      <c r="P406" s="4">
        <f>O406*20%</f>
      </c>
      <c r="Q406" s="4">
        <v>1</v>
      </c>
      <c r="R406" s="4">
        <f>N406+P406</f>
      </c>
      <c r="S406" s="4">
        <f>K406-L406-M406-N406-O406-P406-Q406</f>
      </c>
      <c r="T406" s="4">
        <f>(S406-V406)/I406*100</f>
      </c>
      <c r="U406" s="4">
        <f>L406-R406</f>
      </c>
      <c r="W406" s="4">
        <f>S406-V406</f>
      </c>
      <c r="AB406" t="s">
        <v>1</v>
      </c>
    </row>
    <row r="407" spans="1:28" x14ac:dyDescent="0.25">
      <c r="A407" s="8">
        <v>46151.5</v>
      </c>
      <c r="B407" t="s">
        <v>3030</v>
      </c>
      <c r="C407" t="s">
        <v>1</v>
      </c>
      <c r="D407" s="9" t="s">
        <v>3031</v>
      </c>
      <c r="E407" t="s">
        <v>139</v>
      </c>
      <c r="F407" t="s">
        <v>85</v>
      </c>
      <c r="G407" t="s">
        <v>60</v>
      </c>
      <c r="H407" t="s">
        <v>75</v>
      </c>
      <c r="I407" s="4">
        <v>365</v>
      </c>
      <c r="J407" s="4">
        <v>419.75</v>
      </c>
      <c r="K407" s="4">
        <f>J407-I407</f>
      </c>
      <c r="L407" s="4">
        <f>K407*16.67%</f>
      </c>
      <c r="M407" s="4">
        <f>J407*7%</f>
      </c>
      <c r="N407" s="4">
        <f>M407*20%</f>
      </c>
      <c r="O407" s="4">
        <v>0</v>
      </c>
      <c r="P407" s="4">
        <f>O407*20%</f>
      </c>
      <c r="Q407" s="4">
        <v>1</v>
      </c>
      <c r="R407" s="4">
        <f>N407+P407</f>
      </c>
      <c r="S407" s="4">
        <f>K407-L407-M407-N407-O407-P407-Q407</f>
      </c>
      <c r="T407" s="4">
        <f>(S407-V407)/I407*100</f>
      </c>
      <c r="U407" s="4">
        <f>L407-R407</f>
      </c>
      <c r="W407" s="4">
        <f>S407-V407</f>
      </c>
      <c r="AB407" t="s">
        <v>1</v>
      </c>
    </row>
    <row r="408" spans="1:28" x14ac:dyDescent="0.25">
      <c r="A408" s="8">
        <v>46151.5</v>
      </c>
      <c r="B408" t="s">
        <v>3032</v>
      </c>
      <c r="C408" t="s">
        <v>254</v>
      </c>
      <c r="D408" s="9" t="s">
        <v>1</v>
      </c>
      <c r="E408" t="s">
        <v>254</v>
      </c>
      <c r="F408" t="s">
        <v>1</v>
      </c>
      <c r="G408" t="s">
        <v>1</v>
      </c>
      <c r="H408" t="s">
        <v>61</v>
      </c>
      <c r="I408" s="4">
        <v>0.8</v>
      </c>
      <c r="J408" s="4">
        <v>1.09</v>
      </c>
      <c r="K408" s="4">
        <f>J408-I408</f>
      </c>
      <c r="L408" s="4">
        <f>K408*16.67%</f>
      </c>
      <c r="M408" s="4">
        <f>J408*7%</f>
      </c>
      <c r="N408" s="4">
        <f>M408*20%</f>
      </c>
      <c r="O408" s="4">
        <v>0</v>
      </c>
      <c r="P408" s="4">
        <f>O408*20%</f>
      </c>
      <c r="Q408" s="4">
        <v>0</v>
      </c>
      <c r="R408" s="4">
        <f>N408+P408</f>
      </c>
      <c r="S408" s="4">
        <f>K408-L408-M408-N408-O408-P408-Q408</f>
      </c>
      <c r="T408" s="4">
        <f>(S408-V408)/I408*100</f>
      </c>
      <c r="U408" s="4">
        <f>L408-R408</f>
      </c>
      <c r="W408" s="4">
        <f>S408-V408</f>
      </c>
      <c r="AB408" t="s">
        <v>1</v>
      </c>
    </row>
    <row r="409" spans="1:28" x14ac:dyDescent="0.25">
      <c r="A409" s="8">
        <v>46150.5</v>
      </c>
      <c r="B409" t="s">
        <v>3033</v>
      </c>
      <c r="C409" t="s">
        <v>1</v>
      </c>
      <c r="D409" s="9" t="s">
        <v>3034</v>
      </c>
      <c r="E409" t="s">
        <v>134</v>
      </c>
      <c r="F409" t="s">
        <v>59</v>
      </c>
      <c r="G409" t="s">
        <v>65</v>
      </c>
      <c r="H409" t="s">
        <v>78</v>
      </c>
      <c r="I409" s="4">
        <v>133</v>
      </c>
      <c r="J409" s="4">
        <v>154.28</v>
      </c>
      <c r="K409" s="4">
        <f>J409-I409</f>
      </c>
      <c r="L409" s="4">
        <f>K409*16.67%</f>
      </c>
      <c r="M409" s="4">
        <f>J409*7%</f>
      </c>
      <c r="N409" s="4">
        <f>M409*20%</f>
      </c>
      <c r="O409" s="4">
        <v>0</v>
      </c>
      <c r="P409" s="4">
        <f>O409*20%</f>
      </c>
      <c r="Q409" s="4">
        <v>1</v>
      </c>
      <c r="R409" s="4">
        <f>N409+P409</f>
      </c>
      <c r="S409" s="4">
        <f>K409-L409-M409-N409-O409-P409-Q409</f>
      </c>
      <c r="T409" s="4">
        <f>(S409-V409)/I409*100</f>
      </c>
      <c r="U409" s="4">
        <f>L409-R409</f>
      </c>
      <c r="W409" s="4">
        <f>S409-V409</f>
      </c>
      <c r="AB409" t="s">
        <v>1</v>
      </c>
    </row>
    <row r="410" spans="1:28" x14ac:dyDescent="0.25">
      <c r="A410" s="8">
        <v>46150.5</v>
      </c>
      <c r="B410" t="s">
        <v>3035</v>
      </c>
      <c r="C410" t="s">
        <v>1</v>
      </c>
      <c r="D410" s="9" t="s">
        <v>3036</v>
      </c>
      <c r="E410" t="s">
        <v>73</v>
      </c>
      <c r="F410" t="s">
        <v>70</v>
      </c>
      <c r="G410" t="s">
        <v>60</v>
      </c>
      <c r="H410" t="s">
        <v>102</v>
      </c>
      <c r="I410" s="4">
        <v>379</v>
      </c>
      <c r="J410" s="4">
        <v>447.22</v>
      </c>
      <c r="K410" s="4">
        <f>J410-I410</f>
      </c>
      <c r="L410" s="4">
        <f>K410*16.67%</f>
      </c>
      <c r="M410" s="4">
        <f>J410*7%</f>
      </c>
      <c r="N410" s="4">
        <f>M410*20%</f>
      </c>
      <c r="O410" s="4">
        <v>0</v>
      </c>
      <c r="P410" s="4">
        <f>O410*20%</f>
      </c>
      <c r="Q410" s="4">
        <v>1</v>
      </c>
      <c r="R410" s="4">
        <f>N410+P410</f>
      </c>
      <c r="S410" s="4">
        <f>K410-L410-M410-N410-O410-P410-Q410</f>
      </c>
      <c r="T410" s="4">
        <f>(S410-V410)/I410*100</f>
      </c>
      <c r="U410" s="4">
        <f>L410-R410</f>
      </c>
      <c r="W410" s="4">
        <f>S410-V410</f>
      </c>
      <c r="AB410" t="s">
        <v>1</v>
      </c>
    </row>
    <row r="411" spans="1:28" x14ac:dyDescent="0.25">
      <c r="A411" s="8">
        <v>46150.5</v>
      </c>
      <c r="B411" t="s">
        <v>3037</v>
      </c>
      <c r="C411" t="s">
        <v>189</v>
      </c>
      <c r="D411" s="9" t="s">
        <v>1</v>
      </c>
      <c r="E411" t="s">
        <v>189</v>
      </c>
      <c r="F411" t="s">
        <v>1</v>
      </c>
      <c r="G411" t="s">
        <v>1</v>
      </c>
      <c r="H411" t="s">
        <v>66</v>
      </c>
      <c r="I411" s="4">
        <v>3.5</v>
      </c>
      <c r="J411" s="4">
        <v>4.52</v>
      </c>
      <c r="K411" s="4">
        <f>J411-I411</f>
      </c>
      <c r="L411" s="4">
        <f>K411*16.67%</f>
      </c>
      <c r="M411" s="4">
        <f>J411*7%</f>
      </c>
      <c r="N411" s="4">
        <f>M411*20%</f>
      </c>
      <c r="O411" s="4">
        <v>0</v>
      </c>
      <c r="P411" s="4">
        <f>O411*20%</f>
      </c>
      <c r="Q411" s="4">
        <v>0</v>
      </c>
      <c r="R411" s="4">
        <f>N411+P411</f>
      </c>
      <c r="S411" s="4">
        <f>K411-L411-M411-N411-O411-P411-Q411</f>
      </c>
      <c r="T411" s="4">
        <f>(S411-V411)/I411*100</f>
      </c>
      <c r="U411" s="4">
        <f>L411-R411</f>
      </c>
      <c r="W411" s="4">
        <f>S411-V411</f>
      </c>
      <c r="AB411" t="s">
        <v>1</v>
      </c>
    </row>
    <row r="412" spans="1:28" x14ac:dyDescent="0.25">
      <c r="A412" s="8">
        <v>46150.5</v>
      </c>
      <c r="B412" t="s">
        <v>3038</v>
      </c>
      <c r="C412" t="s">
        <v>177</v>
      </c>
      <c r="D412" s="9" t="s">
        <v>1</v>
      </c>
      <c r="E412" t="s">
        <v>177</v>
      </c>
      <c r="F412" t="s">
        <v>1</v>
      </c>
      <c r="G412" t="s">
        <v>1</v>
      </c>
      <c r="H412" t="s">
        <v>78</v>
      </c>
      <c r="I412" s="4">
        <v>0.15</v>
      </c>
      <c r="J412" s="4">
        <v>0.21</v>
      </c>
      <c r="K412" s="4">
        <f>J412-I412</f>
      </c>
      <c r="L412" s="4">
        <f>K412*16.67%</f>
      </c>
      <c r="M412" s="4">
        <f>J412*7%</f>
      </c>
      <c r="N412" s="4">
        <f>M412*20%</f>
      </c>
      <c r="O412" s="4">
        <v>0</v>
      </c>
      <c r="P412" s="4">
        <f>O412*20%</f>
      </c>
      <c r="Q412" s="4">
        <v>0</v>
      </c>
      <c r="R412" s="4">
        <f>N412+P412</f>
      </c>
      <c r="S412" s="4">
        <f>K412-L412-M412-N412-O412-P412-Q412</f>
      </c>
      <c r="T412" s="4">
        <f>(S412-V412)/I412*100</f>
      </c>
      <c r="U412" s="4">
        <f>L412-R412</f>
      </c>
      <c r="W412" s="4">
        <f>S412-V412</f>
      </c>
      <c r="AB412" t="s">
        <v>1</v>
      </c>
    </row>
    <row r="413" spans="1:28" x14ac:dyDescent="0.25">
      <c r="A413" s="8">
        <v>46149.5</v>
      </c>
      <c r="B413" t="s">
        <v>3039</v>
      </c>
      <c r="C413" t="s">
        <v>1</v>
      </c>
      <c r="D413" s="9" t="s">
        <v>3040</v>
      </c>
      <c r="E413" t="s">
        <v>94</v>
      </c>
      <c r="F413" t="s">
        <v>99</v>
      </c>
      <c r="G413" t="s">
        <v>95</v>
      </c>
      <c r="H413" t="s">
        <v>75</v>
      </c>
      <c r="I413" s="4">
        <v>73</v>
      </c>
      <c r="J413" s="4">
        <v>105.85</v>
      </c>
      <c r="K413" s="4">
        <f>J413-I413</f>
      </c>
      <c r="L413" s="4">
        <f>K413*16.67%</f>
      </c>
      <c r="M413" s="4">
        <f>J413*7%</f>
      </c>
      <c r="N413" s="4">
        <f>M413*20%</f>
      </c>
      <c r="O413" s="4">
        <v>0</v>
      </c>
      <c r="P413" s="4">
        <f>O413*20%</f>
      </c>
      <c r="Q413" s="4">
        <v>1</v>
      </c>
      <c r="R413" s="4">
        <f>N413+P413</f>
      </c>
      <c r="S413" s="4">
        <f>K413-L413-M413-N413-O413-P413-Q413</f>
      </c>
      <c r="T413" s="4">
        <f>(S413-V413)/I413*100</f>
      </c>
      <c r="U413" s="4">
        <f>L413-R413</f>
      </c>
      <c r="W413" s="4">
        <f>S413-V413</f>
      </c>
      <c r="AB413" t="s">
        <v>1</v>
      </c>
    </row>
    <row r="414" spans="1:28" x14ac:dyDescent="0.25">
      <c r="A414" s="8">
        <v>46149.5</v>
      </c>
      <c r="B414" t="s">
        <v>3041</v>
      </c>
      <c r="C414" t="s">
        <v>1</v>
      </c>
      <c r="D414" s="9" t="s">
        <v>3042</v>
      </c>
      <c r="E414" t="s">
        <v>84</v>
      </c>
      <c r="F414" t="s">
        <v>59</v>
      </c>
      <c r="G414" t="s">
        <v>60</v>
      </c>
      <c r="H414" t="s">
        <v>75</v>
      </c>
      <c r="I414" s="4">
        <v>749</v>
      </c>
      <c r="J414" s="4">
        <v>1026.13</v>
      </c>
      <c r="K414" s="4">
        <f>J414-I414</f>
      </c>
      <c r="L414" s="4">
        <f>K414*16.67%</f>
      </c>
      <c r="M414" s="4">
        <f>J414*7%</f>
      </c>
      <c r="N414" s="4">
        <f>M414*20%</f>
      </c>
      <c r="O414" s="4">
        <v>0</v>
      </c>
      <c r="P414" s="4">
        <f>O414*20%</f>
      </c>
      <c r="Q414" s="4">
        <v>1</v>
      </c>
      <c r="R414" s="4">
        <f>N414+P414</f>
      </c>
      <c r="S414" s="4">
        <f>K414-L414-M414-N414-O414-P414-Q414</f>
      </c>
      <c r="T414" s="4">
        <f>(S414-V414)/I414*100</f>
      </c>
      <c r="U414" s="4">
        <f>L414-R414</f>
      </c>
      <c r="W414" s="4">
        <f>S414-V414</f>
      </c>
      <c r="AB414" t="s">
        <v>1</v>
      </c>
    </row>
    <row r="415" spans="1:28" x14ac:dyDescent="0.25">
      <c r="A415" s="8">
        <v>46149.5</v>
      </c>
      <c r="B415" t="s">
        <v>3043</v>
      </c>
      <c r="C415" t="s">
        <v>254</v>
      </c>
      <c r="D415" s="9" t="s">
        <v>1</v>
      </c>
      <c r="E415" t="s">
        <v>254</v>
      </c>
      <c r="F415" t="s">
        <v>1</v>
      </c>
      <c r="G415" t="s">
        <v>1</v>
      </c>
      <c r="H415" t="s">
        <v>61</v>
      </c>
      <c r="I415" s="4">
        <v>0.8</v>
      </c>
      <c r="J415" s="4">
        <v>0.92</v>
      </c>
      <c r="K415" s="4">
        <f>J415-I415</f>
      </c>
      <c r="L415" s="4">
        <f>K415*16.67%</f>
      </c>
      <c r="M415" s="4">
        <f>J415*7%</f>
      </c>
      <c r="N415" s="4">
        <f>M415*20%</f>
      </c>
      <c r="O415" s="4">
        <v>0</v>
      </c>
      <c r="P415" s="4">
        <f>O415*20%</f>
      </c>
      <c r="Q415" s="4">
        <v>0</v>
      </c>
      <c r="R415" s="4">
        <f>N415+P415</f>
      </c>
      <c r="S415" s="4">
        <f>K415-L415-M415-N415-O415-P415-Q415</f>
      </c>
      <c r="T415" s="4">
        <f>(S415-V415)/I415*100</f>
      </c>
      <c r="U415" s="4">
        <f>L415-R415</f>
      </c>
      <c r="W415" s="4">
        <f>S415-V415</f>
      </c>
      <c r="AB415" t="s">
        <v>1</v>
      </c>
    </row>
    <row r="416" spans="1:28" x14ac:dyDescent="0.25">
      <c r="A416" s="8">
        <v>46148.5</v>
      </c>
      <c r="B416" t="s">
        <v>3044</v>
      </c>
      <c r="C416" t="s">
        <v>1</v>
      </c>
      <c r="D416" s="9" t="s">
        <v>3045</v>
      </c>
      <c r="E416" t="s">
        <v>64</v>
      </c>
      <c r="F416" t="s">
        <v>85</v>
      </c>
      <c r="G416" t="s">
        <v>65</v>
      </c>
      <c r="H416" t="s">
        <v>61</v>
      </c>
      <c r="I416" s="4">
        <v>224</v>
      </c>
      <c r="J416" s="4">
        <v>259.84</v>
      </c>
      <c r="K416" s="4">
        <f>J416-I416</f>
      </c>
      <c r="L416" s="4">
        <f>K416*16.67%</f>
      </c>
      <c r="M416" s="4">
        <f>J416*7%</f>
      </c>
      <c r="N416" s="4">
        <f>M416*20%</f>
      </c>
      <c r="O416" s="4">
        <v>0</v>
      </c>
      <c r="P416" s="4">
        <f>O416*20%</f>
      </c>
      <c r="Q416" s="4">
        <v>1</v>
      </c>
      <c r="R416" s="4">
        <f>N416+P416</f>
      </c>
      <c r="S416" s="4">
        <f>K416-L416-M416-N416-O416-P416-Q416</f>
      </c>
      <c r="T416" s="4">
        <f>(S416-V416)/I416*100</f>
      </c>
      <c r="U416" s="4">
        <f>L416-R416</f>
      </c>
      <c r="W416" s="4">
        <f>S416-V416</f>
      </c>
      <c r="AB416" t="s">
        <v>1</v>
      </c>
    </row>
    <row r="417" spans="1:28" x14ac:dyDescent="0.25">
      <c r="A417" s="8">
        <v>46148.5</v>
      </c>
      <c r="B417" t="s">
        <v>3046</v>
      </c>
      <c r="C417" t="s">
        <v>1</v>
      </c>
      <c r="D417" s="9" t="s">
        <v>3047</v>
      </c>
      <c r="E417" t="s">
        <v>69</v>
      </c>
      <c r="F417" t="s">
        <v>59</v>
      </c>
      <c r="G417" t="s">
        <v>60</v>
      </c>
      <c r="H417" t="s">
        <v>61</v>
      </c>
      <c r="I417" s="4">
        <v>480</v>
      </c>
      <c r="J417" s="4">
        <v>552</v>
      </c>
      <c r="K417" s="4">
        <f>J417-I417</f>
      </c>
      <c r="L417" s="4">
        <f>K417*16.67%</f>
      </c>
      <c r="M417" s="4">
        <f>J417*7%</f>
      </c>
      <c r="N417" s="4">
        <f>M417*20%</f>
      </c>
      <c r="O417" s="4">
        <v>0</v>
      </c>
      <c r="P417" s="4">
        <f>O417*20%</f>
      </c>
      <c r="Q417" s="4">
        <v>1</v>
      </c>
      <c r="R417" s="4">
        <f>N417+P417</f>
      </c>
      <c r="S417" s="4">
        <f>K417-L417-M417-N417-O417-P417-Q417</f>
      </c>
      <c r="T417" s="4">
        <f>(S417-V417)/I417*100</f>
      </c>
      <c r="U417" s="4">
        <f>L417-R417</f>
      </c>
      <c r="W417" s="4">
        <f>S417-V417</f>
      </c>
      <c r="AB417" t="s">
        <v>1</v>
      </c>
    </row>
    <row r="418" spans="1:28" x14ac:dyDescent="0.25">
      <c r="A418" s="8">
        <v>46148.5</v>
      </c>
      <c r="B418" t="s">
        <v>3048</v>
      </c>
      <c r="C418" t="s">
        <v>177</v>
      </c>
      <c r="D418" s="9" t="s">
        <v>1</v>
      </c>
      <c r="E418" t="s">
        <v>177</v>
      </c>
      <c r="F418" t="s">
        <v>1</v>
      </c>
      <c r="G418" t="s">
        <v>1</v>
      </c>
      <c r="H418" t="s">
        <v>78</v>
      </c>
      <c r="I418" s="4">
        <v>0.15</v>
      </c>
      <c r="J418" s="4">
        <v>0.21</v>
      </c>
      <c r="K418" s="4">
        <f>J418-I418</f>
      </c>
      <c r="L418" s="4">
        <f>K418*16.67%</f>
      </c>
      <c r="M418" s="4">
        <f>J418*7%</f>
      </c>
      <c r="N418" s="4">
        <f>M418*20%</f>
      </c>
      <c r="O418" s="4">
        <v>0</v>
      </c>
      <c r="P418" s="4">
        <f>O418*20%</f>
      </c>
      <c r="Q418" s="4">
        <v>0</v>
      </c>
      <c r="R418" s="4">
        <f>N418+P418</f>
      </c>
      <c r="S418" s="4">
        <f>K418-L418-M418-N418-O418-P418-Q418</f>
      </c>
      <c r="T418" s="4">
        <f>(S418-V418)/I418*100</f>
      </c>
      <c r="U418" s="4">
        <f>L418-R418</f>
      </c>
      <c r="W418" s="4">
        <f>S418-V418</f>
      </c>
      <c r="AB418" t="s">
        <v>1</v>
      </c>
    </row>
    <row r="419" spans="1:28" x14ac:dyDescent="0.25">
      <c r="A419" s="8">
        <v>46148.5</v>
      </c>
      <c r="B419" t="s">
        <v>3049</v>
      </c>
      <c r="C419" t="s">
        <v>182</v>
      </c>
      <c r="D419" s="9" t="s">
        <v>1</v>
      </c>
      <c r="E419" t="s">
        <v>182</v>
      </c>
      <c r="F419" t="s">
        <v>1</v>
      </c>
      <c r="G419" t="s">
        <v>1</v>
      </c>
      <c r="H419" t="s">
        <v>75</v>
      </c>
      <c r="I419" s="4">
        <v>1.9</v>
      </c>
      <c r="J419" s="4">
        <v>2.39</v>
      </c>
      <c r="K419" s="4">
        <f>J419-I419</f>
      </c>
      <c r="L419" s="4">
        <f>K419*16.67%</f>
      </c>
      <c r="M419" s="4">
        <f>J419*7%</f>
      </c>
      <c r="N419" s="4">
        <f>M419*20%</f>
      </c>
      <c r="O419" s="4">
        <v>0</v>
      </c>
      <c r="P419" s="4">
        <f>O419*20%</f>
      </c>
      <c r="Q419" s="4">
        <v>0</v>
      </c>
      <c r="R419" s="4">
        <f>N419+P419</f>
      </c>
      <c r="S419" s="4">
        <f>K419-L419-M419-N419-O419-P419-Q419</f>
      </c>
      <c r="T419" s="4">
        <f>(S419-V419)/I419*100</f>
      </c>
      <c r="U419" s="4">
        <f>L419-R419</f>
      </c>
      <c r="W419" s="4">
        <f>S419-V419</f>
      </c>
      <c r="AB419" t="s">
        <v>1</v>
      </c>
    </row>
    <row r="420" spans="1:28" x14ac:dyDescent="0.25">
      <c r="A420" s="8">
        <v>46147.5</v>
      </c>
      <c r="B420" t="s">
        <v>3050</v>
      </c>
      <c r="C420" t="s">
        <v>1</v>
      </c>
      <c r="D420" s="9" t="s">
        <v>3051</v>
      </c>
      <c r="E420" t="s">
        <v>139</v>
      </c>
      <c r="F420" t="s">
        <v>74</v>
      </c>
      <c r="G420" t="s">
        <v>60</v>
      </c>
      <c r="H420" t="s">
        <v>78</v>
      </c>
      <c r="I420" s="4">
        <v>375</v>
      </c>
      <c r="J420" s="4">
        <v>435</v>
      </c>
      <c r="K420" s="4">
        <f>J420-I420</f>
      </c>
      <c r="L420" s="4">
        <f>K420*16.67%</f>
      </c>
      <c r="M420" s="4">
        <f>J420*7%</f>
      </c>
      <c r="N420" s="4">
        <f>M420*20%</f>
      </c>
      <c r="O420" s="4">
        <v>0</v>
      </c>
      <c r="P420" s="4">
        <f>O420*20%</f>
      </c>
      <c r="Q420" s="4">
        <v>1</v>
      </c>
      <c r="R420" s="4">
        <f>N420+P420</f>
      </c>
      <c r="S420" s="4">
        <f>K420-L420-M420-N420-O420-P420-Q420</f>
      </c>
      <c r="T420" s="4">
        <f>(S420-V420)/I420*100</f>
      </c>
      <c r="U420" s="4">
        <f>L420-R420</f>
      </c>
      <c r="W420" s="4">
        <f>S420-V420</f>
      </c>
      <c r="AB420" t="s">
        <v>1</v>
      </c>
    </row>
    <row r="421" spans="1:28" x14ac:dyDescent="0.25">
      <c r="A421" s="8">
        <v>46147.5</v>
      </c>
      <c r="B421" t="s">
        <v>3052</v>
      </c>
      <c r="C421" t="s">
        <v>189</v>
      </c>
      <c r="D421" s="9" t="s">
        <v>1</v>
      </c>
      <c r="E421" t="s">
        <v>189</v>
      </c>
      <c r="F421" t="s">
        <v>1</v>
      </c>
      <c r="G421" t="s">
        <v>1</v>
      </c>
      <c r="H421" t="s">
        <v>66</v>
      </c>
      <c r="I421" s="4">
        <v>3.5</v>
      </c>
      <c r="J421" s="4">
        <v>4.06</v>
      </c>
      <c r="K421" s="4">
        <f>J421-I421</f>
      </c>
      <c r="L421" s="4">
        <f>K421*16.67%</f>
      </c>
      <c r="M421" s="4">
        <f>J421*7%</f>
      </c>
      <c r="N421" s="4">
        <f>M421*20%</f>
      </c>
      <c r="O421" s="4">
        <v>0</v>
      </c>
      <c r="P421" s="4">
        <f>O421*20%</f>
      </c>
      <c r="Q421" s="4">
        <v>0</v>
      </c>
      <c r="R421" s="4">
        <f>N421+P421</f>
      </c>
      <c r="S421" s="4">
        <f>K421-L421-M421-N421-O421-P421-Q421</f>
      </c>
      <c r="T421" s="4">
        <f>(S421-V421)/I421*100</f>
      </c>
      <c r="U421" s="4">
        <f>L421-R421</f>
      </c>
      <c r="W421" s="4">
        <f>S421-V421</f>
      </c>
      <c r="AB421" t="s">
        <v>1</v>
      </c>
    </row>
    <row r="422" spans="1:28" x14ac:dyDescent="0.25">
      <c r="A422" s="8">
        <v>46146.5</v>
      </c>
      <c r="B422" t="s">
        <v>3053</v>
      </c>
      <c r="C422" t="s">
        <v>1</v>
      </c>
      <c r="D422" s="9" t="s">
        <v>1</v>
      </c>
      <c r="E422" t="s">
        <v>1</v>
      </c>
      <c r="F422" t="s">
        <v>1</v>
      </c>
      <c r="G422" t="s">
        <v>1</v>
      </c>
      <c r="H422" t="s">
        <v>75</v>
      </c>
      <c r="I422" s="4">
        <v>168</v>
      </c>
      <c r="J422" s="4">
        <v>211.68</v>
      </c>
      <c r="K422" s="4">
        <f>J422-I422</f>
      </c>
      <c r="L422" s="4">
        <f>K422*16.67%</f>
      </c>
      <c r="M422" s="4">
        <f>J422*7%</f>
      </c>
      <c r="N422" s="4">
        <f>M422*20%</f>
      </c>
      <c r="O422" s="4">
        <v>0</v>
      </c>
      <c r="P422" s="4">
        <f>O422*20%</f>
      </c>
      <c r="Q422" s="4">
        <v>1</v>
      </c>
      <c r="R422" s="4">
        <f>N422+P422</f>
      </c>
      <c r="S422" s="4">
        <f>K422-L422-M422-N422-O422-P422-Q422</f>
      </c>
      <c r="T422" s="4">
        <f>(S422-V422)/I422*100</f>
      </c>
      <c r="U422" s="4">
        <f>L422-R422</f>
      </c>
      <c r="W422" s="4">
        <f>S422-V422</f>
      </c>
      <c r="AB422" t="s">
        <v>1</v>
      </c>
    </row>
    <row r="423" spans="1:28" x14ac:dyDescent="0.25">
      <c r="A423" s="8">
        <v>46146.5</v>
      </c>
      <c r="B423" t="s">
        <v>3054</v>
      </c>
      <c r="C423" t="s">
        <v>182</v>
      </c>
      <c r="D423" s="9" t="s">
        <v>1</v>
      </c>
      <c r="E423" t="s">
        <v>182</v>
      </c>
      <c r="F423" t="s">
        <v>1</v>
      </c>
      <c r="G423" t="s">
        <v>1</v>
      </c>
      <c r="H423" t="s">
        <v>75</v>
      </c>
      <c r="I423" s="4">
        <v>1.9</v>
      </c>
      <c r="J423" s="4">
        <v>2.32</v>
      </c>
      <c r="K423" s="4">
        <f>J423-I423</f>
      </c>
      <c r="L423" s="4">
        <f>K423*16.67%</f>
      </c>
      <c r="M423" s="4">
        <f>J423*7%</f>
      </c>
      <c r="N423" s="4">
        <f>M423*20%</f>
      </c>
      <c r="O423" s="4">
        <v>0</v>
      </c>
      <c r="P423" s="4">
        <f>O423*20%</f>
      </c>
      <c r="Q423" s="4">
        <v>0</v>
      </c>
      <c r="R423" s="4">
        <f>N423+P423</f>
      </c>
      <c r="S423" s="4">
        <f>K423-L423-M423-N423-O423-P423-Q423</f>
      </c>
      <c r="T423" s="4">
        <f>(S423-V423)/I423*100</f>
      </c>
      <c r="U423" s="4">
        <f>L423-R423</f>
      </c>
      <c r="W423" s="4">
        <f>S423-V423</f>
      </c>
      <c r="AB423" t="s">
        <v>1</v>
      </c>
    </row>
    <row r="424" spans="1:28" x14ac:dyDescent="0.25">
      <c r="A424" s="8">
        <v>46144.5</v>
      </c>
      <c r="B424" t="s">
        <v>3055</v>
      </c>
      <c r="C424" t="s">
        <v>177</v>
      </c>
      <c r="D424" s="9" t="s">
        <v>1</v>
      </c>
      <c r="E424" t="s">
        <v>177</v>
      </c>
      <c r="F424" t="s">
        <v>1</v>
      </c>
      <c r="G424" t="s">
        <v>1</v>
      </c>
      <c r="H424" t="s">
        <v>78</v>
      </c>
      <c r="I424" s="4">
        <v>0.15</v>
      </c>
      <c r="J424" s="4">
        <v>0.2</v>
      </c>
      <c r="K424" s="4">
        <f>J424-I424</f>
      </c>
      <c r="L424" s="4">
        <f>K424*16.67%</f>
      </c>
      <c r="M424" s="4">
        <f>J424*7%</f>
      </c>
      <c r="N424" s="4">
        <f>M424*20%</f>
      </c>
      <c r="O424" s="4">
        <v>0</v>
      </c>
      <c r="P424" s="4">
        <f>O424*20%</f>
      </c>
      <c r="Q424" s="4">
        <v>0</v>
      </c>
      <c r="R424" s="4">
        <f>N424+P424</f>
      </c>
      <c r="S424" s="4">
        <f>K424-L424-M424-N424-O424-P424-Q424</f>
      </c>
      <c r="T424" s="4">
        <f>(S424-V424)/I424*100</f>
      </c>
      <c r="U424" s="4">
        <f>L424-R424</f>
      </c>
      <c r="W424" s="4">
        <f>S424-V424</f>
      </c>
      <c r="AB424" t="s">
        <v>1</v>
      </c>
    </row>
    <row r="425" spans="1:28" x14ac:dyDescent="0.25">
      <c r="A425" s="8">
        <v>46143.5</v>
      </c>
      <c r="B425" t="s">
        <v>3056</v>
      </c>
      <c r="C425" t="s">
        <v>189</v>
      </c>
      <c r="D425" s="9" t="s">
        <v>1</v>
      </c>
      <c r="E425" t="s">
        <v>189</v>
      </c>
      <c r="F425" t="s">
        <v>1</v>
      </c>
      <c r="G425" t="s">
        <v>1</v>
      </c>
      <c r="H425" t="s">
        <v>66</v>
      </c>
      <c r="I425" s="4">
        <v>3.5</v>
      </c>
      <c r="J425" s="4">
        <v>4.17</v>
      </c>
      <c r="K425" s="4">
        <f>J425-I425</f>
      </c>
      <c r="L425" s="4">
        <f>K425*16.67%</f>
      </c>
      <c r="M425" s="4">
        <f>J425*7%</f>
      </c>
      <c r="N425" s="4">
        <f>M425*20%</f>
      </c>
      <c r="O425" s="4">
        <v>0</v>
      </c>
      <c r="P425" s="4">
        <f>O425*20%</f>
      </c>
      <c r="Q425" s="4">
        <v>0</v>
      </c>
      <c r="R425" s="4">
        <f>N425+P425</f>
      </c>
      <c r="S425" s="4">
        <f>K425-L425-M425-N425-O425-P425-Q425</f>
      </c>
      <c r="T425" s="4">
        <f>(S425-V425)/I425*100</f>
      </c>
      <c r="U425" s="4">
        <f>L425-R425</f>
      </c>
      <c r="W425" s="4">
        <f>S425-V425</f>
      </c>
      <c r="AB425" t="s">
        <v>1</v>
      </c>
    </row>
    <row r="426" spans="1:28" x14ac:dyDescent="0.25">
      <c r="A426" s="8">
        <v>46142.5</v>
      </c>
      <c r="B426" t="s">
        <v>3057</v>
      </c>
      <c r="C426" t="s">
        <v>189</v>
      </c>
      <c r="D426" s="9" t="s">
        <v>1</v>
      </c>
      <c r="E426" t="s">
        <v>189</v>
      </c>
      <c r="F426" t="s">
        <v>1</v>
      </c>
      <c r="G426" t="s">
        <v>1</v>
      </c>
      <c r="H426" t="s">
        <v>66</v>
      </c>
      <c r="I426" s="4">
        <v>3.5</v>
      </c>
      <c r="J426" s="4">
        <v>4.17</v>
      </c>
      <c r="K426" s="4">
        <f>J426-I426</f>
      </c>
      <c r="L426" s="4">
        <f>K426*16.67%</f>
      </c>
      <c r="M426" s="4">
        <f>J426*7%</f>
      </c>
      <c r="N426" s="4">
        <f>M426*20%</f>
      </c>
      <c r="O426" s="4">
        <v>0</v>
      </c>
      <c r="P426" s="4">
        <f>O426*20%</f>
      </c>
      <c r="Q426" s="4">
        <v>0</v>
      </c>
      <c r="R426" s="4">
        <f>N426+P426</f>
      </c>
      <c r="S426" s="4">
        <f>K426-L426-M426-N426-O426-P426-Q426</f>
      </c>
      <c r="T426" s="4">
        <f>(S426-V426)/I426*100</f>
      </c>
      <c r="U426" s="4">
        <f>L426-R426</f>
      </c>
      <c r="W426" s="4">
        <f>S426-V426</f>
      </c>
      <c r="AB426" t="s">
        <v>1</v>
      </c>
    </row>
    <row r="427" spans="1:28" x14ac:dyDescent="0.25">
      <c r="A427" s="8">
        <v>46142.5</v>
      </c>
      <c r="B427" t="s">
        <v>3058</v>
      </c>
      <c r="C427" t="s">
        <v>189</v>
      </c>
      <c r="D427" s="9" t="s">
        <v>1</v>
      </c>
      <c r="E427" t="s">
        <v>189</v>
      </c>
      <c r="F427" t="s">
        <v>1</v>
      </c>
      <c r="G427" t="s">
        <v>1</v>
      </c>
      <c r="H427" t="s">
        <v>66</v>
      </c>
      <c r="I427" s="4">
        <v>3.5</v>
      </c>
      <c r="J427" s="4">
        <v>4.9</v>
      </c>
      <c r="K427" s="4">
        <f>J427-I427</f>
      </c>
      <c r="L427" s="4">
        <f>K427*16.67%</f>
      </c>
      <c r="M427" s="4">
        <f>J427*7%</f>
      </c>
      <c r="N427" s="4">
        <f>M427*20%</f>
      </c>
      <c r="O427" s="4">
        <v>0</v>
      </c>
      <c r="P427" s="4">
        <f>O427*20%</f>
      </c>
      <c r="Q427" s="4">
        <v>0</v>
      </c>
      <c r="R427" s="4">
        <f>N427+P427</f>
      </c>
      <c r="S427" s="4">
        <f>K427-L427-M427-N427-O427-P427-Q427</f>
      </c>
      <c r="T427" s="4">
        <f>(S427-V427)/I427*100</f>
      </c>
      <c r="U427" s="4">
        <f>L427-R427</f>
      </c>
      <c r="W427" s="4">
        <f>S427-V427</f>
      </c>
      <c r="AB427" t="s">
        <v>1</v>
      </c>
    </row>
    <row r="428" spans="1:28" x14ac:dyDescent="0.25">
      <c r="A428" s="8">
        <v>46142.5</v>
      </c>
      <c r="B428" t="s">
        <v>3059</v>
      </c>
      <c r="C428" t="s">
        <v>174</v>
      </c>
      <c r="D428" s="9" t="s">
        <v>1</v>
      </c>
      <c r="E428" t="s">
        <v>174</v>
      </c>
      <c r="F428" t="s">
        <v>1</v>
      </c>
      <c r="G428" t="s">
        <v>1</v>
      </c>
      <c r="H428" t="s">
        <v>66</v>
      </c>
      <c r="I428" s="4">
        <v>4.25</v>
      </c>
      <c r="J428" s="4">
        <v>5.99</v>
      </c>
      <c r="K428" s="4">
        <f>J428-I428</f>
      </c>
      <c r="L428" s="4">
        <f>K428*16.67%</f>
      </c>
      <c r="M428" s="4">
        <f>J428*7%</f>
      </c>
      <c r="N428" s="4">
        <f>M428*20%</f>
      </c>
      <c r="O428" s="4">
        <v>0</v>
      </c>
      <c r="P428" s="4">
        <f>O428*20%</f>
      </c>
      <c r="Q428" s="4">
        <v>0</v>
      </c>
      <c r="R428" s="4">
        <f>N428+P428</f>
      </c>
      <c r="S428" s="4">
        <f>K428-L428-M428-N428-O428-P428-Q428</f>
      </c>
      <c r="T428" s="4">
        <f>(S428-V428)/I428*100</f>
      </c>
      <c r="U428" s="4">
        <f>L428-R428</f>
      </c>
      <c r="W428" s="4">
        <f>S428-V428</f>
      </c>
      <c r="AB428" t="s">
        <v>1</v>
      </c>
    </row>
    <row r="429" spans="1:28" x14ac:dyDescent="0.25">
      <c r="A429" s="8"/>
      <c r="D429" s="9"/>
      <c r="I429" s="4"/>
      <c r="J429" s="4"/>
      <c r="K429" s="4">
        <f>IF($J429="","",J429-I429)</f>
      </c>
      <c r="L429" s="4">
        <f>IF($J429="","",K429*16.67%)</f>
      </c>
      <c r="M429" s="4">
        <f>IF($J429="","",J429*7%)</f>
      </c>
      <c r="N429" s="4">
        <f>IF($J429="","",M429*20%)</f>
      </c>
      <c r="O429" s="4"/>
      <c r="P429" s="4">
        <f>IF($J429="","",O429*20%)</f>
      </c>
      <c r="Q429" s="4">
        <v>1</v>
      </c>
      <c r="R429" s="4">
        <f>IF($J429="","",N429+P429)</f>
      </c>
      <c r="S429" s="4">
        <f>IF($J429="","",K429-L429-M429-N429-O429-P429-Q429)</f>
      </c>
      <c r="T429" s="4">
        <f>IF($J429="","",(S429-V429)/I429*100)</f>
      </c>
      <c r="U429" s="4">
        <f>IF($J429="","",L429-R429)</f>
      </c>
      <c r="W429" s="4">
        <f>IF($J429="","",S429-V429)</f>
      </c>
    </row>
    <row r="430" spans="1:28" x14ac:dyDescent="0.25">
      <c r="A430" s="8"/>
      <c r="D430" s="9"/>
      <c r="I430" s="4"/>
      <c r="J430" s="4"/>
      <c r="K430" s="4">
        <f>IF($J430="","",J430-I430)</f>
      </c>
      <c r="L430" s="4">
        <f>IF($J430="","",K430*16.67%)</f>
      </c>
      <c r="M430" s="4">
        <f>IF($J430="","",J430*7%)</f>
      </c>
      <c r="N430" s="4">
        <f>IF($J430="","",M430*20%)</f>
      </c>
      <c r="O430" s="4"/>
      <c r="P430" s="4">
        <f>IF($J430="","",O430*20%)</f>
      </c>
      <c r="Q430" s="4">
        <v>1</v>
      </c>
      <c r="R430" s="4">
        <f>IF($J430="","",N430+P430)</f>
      </c>
      <c r="S430" s="4">
        <f>IF($J430="","",K430-L430-M430-N430-O430-P430-Q430)</f>
      </c>
      <c r="T430" s="4">
        <f>IF($J430="","",(S430-V430)/I430*100)</f>
      </c>
      <c r="U430" s="4">
        <f>IF($J430="","",L430-R430)</f>
      </c>
      <c r="W430" s="4">
        <f>IF($J430="","",S430-V430)</f>
      </c>
    </row>
    <row r="431" spans="1:28" x14ac:dyDescent="0.25">
      <c r="A431" s="8"/>
      <c r="D431" s="9"/>
      <c r="I431" s="4"/>
      <c r="J431" s="4"/>
      <c r="K431" s="4">
        <f>IF($J431="","",J431-I431)</f>
      </c>
      <c r="L431" s="4">
        <f>IF($J431="","",K431*16.67%)</f>
      </c>
      <c r="M431" s="4">
        <f>IF($J431="","",J431*7%)</f>
      </c>
      <c r="N431" s="4">
        <f>IF($J431="","",M431*20%)</f>
      </c>
      <c r="O431" s="4"/>
      <c r="P431" s="4">
        <f>IF($J431="","",O431*20%)</f>
      </c>
      <c r="Q431" s="4">
        <v>1</v>
      </c>
      <c r="R431" s="4">
        <f>IF($J431="","",N431+P431)</f>
      </c>
      <c r="S431" s="4">
        <f>IF($J431="","",K431-L431-M431-N431-O431-P431-Q431)</f>
      </c>
      <c r="T431" s="4">
        <f>IF($J431="","",(S431-V431)/I431*100)</f>
      </c>
      <c r="U431" s="4">
        <f>IF($J431="","",L431-R431)</f>
      </c>
      <c r="W431" s="4">
        <f>IF($J431="","",S431-V431)</f>
      </c>
    </row>
    <row r="432" spans="1:28" x14ac:dyDescent="0.25">
      <c r="A432" s="8"/>
      <c r="D432" s="9"/>
      <c r="I432" s="4"/>
      <c r="J432" s="4"/>
      <c r="K432" s="4">
        <f>IF($J432="","",J432-I432)</f>
      </c>
      <c r="L432" s="4">
        <f>IF($J432="","",K432*16.67%)</f>
      </c>
      <c r="M432" s="4">
        <f>IF($J432="","",J432*7%)</f>
      </c>
      <c r="N432" s="4">
        <f>IF($J432="","",M432*20%)</f>
      </c>
      <c r="O432" s="4"/>
      <c r="P432" s="4">
        <f>IF($J432="","",O432*20%)</f>
      </c>
      <c r="Q432" s="4">
        <v>1</v>
      </c>
      <c r="R432" s="4">
        <f>IF($J432="","",N432+P432)</f>
      </c>
      <c r="S432" s="4">
        <f>IF($J432="","",K432-L432-M432-N432-O432-P432-Q432)</f>
      </c>
      <c r="T432" s="4">
        <f>IF($J432="","",(S432-V432)/I432*100)</f>
      </c>
      <c r="U432" s="4">
        <f>IF($J432="","",L432-R432)</f>
      </c>
      <c r="W432" s="4">
        <f>IF($J432="","",S432-V432)</f>
      </c>
    </row>
    <row r="433" spans="1:28" x14ac:dyDescent="0.25">
      <c r="A433" s="8"/>
      <c r="D433" s="9"/>
      <c r="I433" s="4"/>
      <c r="J433" s="4"/>
      <c r="K433" s="4">
        <f>IF($J433="","",J433-I433)</f>
      </c>
      <c r="L433" s="4">
        <f>IF($J433="","",K433*16.67%)</f>
      </c>
      <c r="M433" s="4">
        <f>IF($J433="","",J433*7%)</f>
      </c>
      <c r="N433" s="4">
        <f>IF($J433="","",M433*20%)</f>
      </c>
      <c r="O433" s="4"/>
      <c r="P433" s="4">
        <f>IF($J433="","",O433*20%)</f>
      </c>
      <c r="Q433" s="4">
        <v>1</v>
      </c>
      <c r="R433" s="4">
        <f>IF($J433="","",N433+P433)</f>
      </c>
      <c r="S433" s="4">
        <f>IF($J433="","",K433-L433-M433-N433-O433-P433-Q433)</f>
      </c>
      <c r="T433" s="4">
        <f>IF($J433="","",(S433-V433)/I433*100)</f>
      </c>
      <c r="U433" s="4">
        <f>IF($J433="","",L433-R433)</f>
      </c>
      <c r="W433" s="4">
        <f>IF($J433="","",S433-V433)</f>
      </c>
    </row>
    <row r="434" spans="1:28" x14ac:dyDescent="0.25">
      <c r="A434" s="8"/>
      <c r="D434" s="9"/>
      <c r="I434" s="4"/>
      <c r="J434" s="4"/>
      <c r="K434" s="4">
        <f>IF($J434="","",J434-I434)</f>
      </c>
      <c r="L434" s="4">
        <f>IF($J434="","",K434*16.67%)</f>
      </c>
      <c r="M434" s="4">
        <f>IF($J434="","",J434*7%)</f>
      </c>
      <c r="N434" s="4">
        <f>IF($J434="","",M434*20%)</f>
      </c>
      <c r="O434" s="4"/>
      <c r="P434" s="4">
        <f>IF($J434="","",O434*20%)</f>
      </c>
      <c r="Q434" s="4">
        <v>1</v>
      </c>
      <c r="R434" s="4">
        <f>IF($J434="","",N434+P434)</f>
      </c>
      <c r="S434" s="4">
        <f>IF($J434="","",K434-L434-M434-N434-O434-P434-Q434)</f>
      </c>
      <c r="T434" s="4">
        <f>IF($J434="","",(S434-V434)/I434*100)</f>
      </c>
      <c r="U434" s="4">
        <f>IF($J434="","",L434-R434)</f>
      </c>
      <c r="W434" s="4">
        <f>IF($J434="","",S434-V434)</f>
      </c>
    </row>
    <row r="435" spans="1:28" x14ac:dyDescent="0.25">
      <c r="A435" s="8"/>
      <c r="D435" s="9"/>
      <c r="I435" s="4"/>
      <c r="J435" s="4"/>
      <c r="K435" s="4">
        <f>IF($J435="","",J435-I435)</f>
      </c>
      <c r="L435" s="4">
        <f>IF($J435="","",K435*16.67%)</f>
      </c>
      <c r="M435" s="4">
        <f>IF($J435="","",J435*7%)</f>
      </c>
      <c r="N435" s="4">
        <f>IF($J435="","",M435*20%)</f>
      </c>
      <c r="O435" s="4"/>
      <c r="P435" s="4">
        <f>IF($J435="","",O435*20%)</f>
      </c>
      <c r="Q435" s="4">
        <v>1</v>
      </c>
      <c r="R435" s="4">
        <f>IF($J435="","",N435+P435)</f>
      </c>
      <c r="S435" s="4">
        <f>IF($J435="","",K435-L435-M435-N435-O435-P435-Q435)</f>
      </c>
      <c r="T435" s="4">
        <f>IF($J435="","",(S435-V435)/I435*100)</f>
      </c>
      <c r="U435" s="4">
        <f>IF($J435="","",L435-R435)</f>
      </c>
      <c r="W435" s="4">
        <f>IF($J435="","",S435-V435)</f>
      </c>
    </row>
    <row r="436" spans="1:28" x14ac:dyDescent="0.25">
      <c r="A436" s="8"/>
      <c r="D436" s="9"/>
      <c r="I436" s="4"/>
      <c r="J436" s="4"/>
      <c r="K436" s="4">
        <f>IF($J436="","",J436-I436)</f>
      </c>
      <c r="L436" s="4">
        <f>IF($J436="","",K436*16.67%)</f>
      </c>
      <c r="M436" s="4">
        <f>IF($J436="","",J436*7%)</f>
      </c>
      <c r="N436" s="4">
        <f>IF($J436="","",M436*20%)</f>
      </c>
      <c r="O436" s="4"/>
      <c r="P436" s="4">
        <f>IF($J436="","",O436*20%)</f>
      </c>
      <c r="Q436" s="4">
        <v>1</v>
      </c>
      <c r="R436" s="4">
        <f>IF($J436="","",N436+P436)</f>
      </c>
      <c r="S436" s="4">
        <f>IF($J436="","",K436-L436-M436-N436-O436-P436-Q436)</f>
      </c>
      <c r="T436" s="4">
        <f>IF($J436="","",(S436-V436)/I436*100)</f>
      </c>
      <c r="U436" s="4">
        <f>IF($J436="","",L436-R436)</f>
      </c>
      <c r="W436" s="4">
        <f>IF($J436="","",S436-V436)</f>
      </c>
    </row>
    <row r="437" spans="1:28" x14ac:dyDescent="0.25">
      <c r="A437" s="8"/>
      <c r="D437" s="9"/>
      <c r="I437" s="4"/>
      <c r="J437" s="4"/>
      <c r="K437" s="4">
        <f>IF($J437="","",J437-I437)</f>
      </c>
      <c r="L437" s="4">
        <f>IF($J437="","",K437*16.67%)</f>
      </c>
      <c r="M437" s="4">
        <f>IF($J437="","",J437*7%)</f>
      </c>
      <c r="N437" s="4">
        <f>IF($J437="","",M437*20%)</f>
      </c>
      <c r="O437" s="4"/>
      <c r="P437" s="4">
        <f>IF($J437="","",O437*20%)</f>
      </c>
      <c r="Q437" s="4">
        <v>1</v>
      </c>
      <c r="R437" s="4">
        <f>IF($J437="","",N437+P437)</f>
      </c>
      <c r="S437" s="4">
        <f>IF($J437="","",K437-L437-M437-N437-O437-P437-Q437)</f>
      </c>
      <c r="T437" s="4">
        <f>IF($J437="","",(S437-V437)/I437*100)</f>
      </c>
      <c r="U437" s="4">
        <f>IF($J437="","",L437-R437)</f>
      </c>
      <c r="W437" s="4">
        <f>IF($J437="","",S437-V437)</f>
      </c>
    </row>
    <row r="438" spans="1:28" x14ac:dyDescent="0.25">
      <c r="A438" s="8"/>
      <c r="D438" s="9"/>
      <c r="I438" s="4"/>
      <c r="J438" s="4"/>
      <c r="K438" s="4">
        <f>IF($J438="","",J438-I438)</f>
      </c>
      <c r="L438" s="4">
        <f>IF($J438="","",K438*16.67%)</f>
      </c>
      <c r="M438" s="4">
        <f>IF($J438="","",J438*7%)</f>
      </c>
      <c r="N438" s="4">
        <f>IF($J438="","",M438*20%)</f>
      </c>
      <c r="O438" s="4"/>
      <c r="P438" s="4">
        <f>IF($J438="","",O438*20%)</f>
      </c>
      <c r="Q438" s="4">
        <v>1</v>
      </c>
      <c r="R438" s="4">
        <f>IF($J438="","",N438+P438)</f>
      </c>
      <c r="S438" s="4">
        <f>IF($J438="","",K438-L438-M438-N438-O438-P438-Q438)</f>
      </c>
      <c r="T438" s="4">
        <f>IF($J438="","",(S438-V438)/I438*100)</f>
      </c>
      <c r="U438" s="4">
        <f>IF($J438="","",L438-R438)</f>
      </c>
      <c r="W438" s="4">
        <f>IF($J438="","",S438-V438)</f>
      </c>
    </row>
    <row r="439" spans="1:28" x14ac:dyDescent="0.25">
      <c r="A439" s="8"/>
      <c r="D439" s="9"/>
      <c r="I439" s="4"/>
      <c r="J439" s="4"/>
      <c r="K439" s="4">
        <f>IF($J439="","",J439-I439)</f>
      </c>
      <c r="L439" s="4">
        <f>IF($J439="","",K439*16.67%)</f>
      </c>
      <c r="M439" s="4">
        <f>IF($J439="","",J439*7%)</f>
      </c>
      <c r="N439" s="4">
        <f>IF($J439="","",M439*20%)</f>
      </c>
      <c r="O439" s="4"/>
      <c r="P439" s="4">
        <f>IF($J439="","",O439*20%)</f>
      </c>
      <c r="Q439" s="4">
        <v>1</v>
      </c>
      <c r="R439" s="4">
        <f>IF($J439="","",N439+P439)</f>
      </c>
      <c r="S439" s="4">
        <f>IF($J439="","",K439-L439-M439-N439-O439-P439-Q439)</f>
      </c>
      <c r="T439" s="4">
        <f>IF($J439="","",(S439-V439)/I439*100)</f>
      </c>
      <c r="U439" s="4">
        <f>IF($J439="","",L439-R439)</f>
      </c>
      <c r="W439" s="4">
        <f>IF($J439="","",S439-V439)</f>
      </c>
    </row>
    <row r="440" spans="1:28" x14ac:dyDescent="0.25">
      <c r="A440" s="8"/>
      <c r="D440" s="9"/>
      <c r="I440" s="4"/>
      <c r="J440" s="4"/>
      <c r="K440" s="4">
        <f>IF($J440="","",J440-I440)</f>
      </c>
      <c r="L440" s="4">
        <f>IF($J440="","",K440*16.67%)</f>
      </c>
      <c r="M440" s="4">
        <f>IF($J440="","",J440*7%)</f>
      </c>
      <c r="N440" s="4">
        <f>IF($J440="","",M440*20%)</f>
      </c>
      <c r="O440" s="4"/>
      <c r="P440" s="4">
        <f>IF($J440="","",O440*20%)</f>
      </c>
      <c r="Q440" s="4">
        <v>1</v>
      </c>
      <c r="R440" s="4">
        <f>IF($J440="","",N440+P440)</f>
      </c>
      <c r="S440" s="4">
        <f>IF($J440="","",K440-L440-M440-N440-O440-P440-Q440)</f>
      </c>
      <c r="T440" s="4">
        <f>IF($J440="","",(S440-V440)/I440*100)</f>
      </c>
      <c r="U440" s="4">
        <f>IF($J440="","",L440-R440)</f>
      </c>
      <c r="W440" s="4">
        <f>IF($J440="","",S440-V440)</f>
      </c>
    </row>
    <row r="441" spans="1:28" x14ac:dyDescent="0.25">
      <c r="A441" s="8"/>
      <c r="D441" s="9"/>
      <c r="I441" s="4"/>
      <c r="J441" s="4"/>
      <c r="K441" s="4">
        <f>IF($J441="","",J441-I441)</f>
      </c>
      <c r="L441" s="4">
        <f>IF($J441="","",K441*16.67%)</f>
      </c>
      <c r="M441" s="4">
        <f>IF($J441="","",J441*7%)</f>
      </c>
      <c r="N441" s="4">
        <f>IF($J441="","",M441*20%)</f>
      </c>
      <c r="O441" s="4"/>
      <c r="P441" s="4">
        <f>IF($J441="","",O441*20%)</f>
      </c>
      <c r="Q441" s="4">
        <v>1</v>
      </c>
      <c r="R441" s="4">
        <f>IF($J441="","",N441+P441)</f>
      </c>
      <c r="S441" s="4">
        <f>IF($J441="","",K441-L441-M441-N441-O441-P441-Q441)</f>
      </c>
      <c r="T441" s="4">
        <f>IF($J441="","",(S441-V441)/I441*100)</f>
      </c>
      <c r="U441" s="4">
        <f>IF($J441="","",L441-R441)</f>
      </c>
      <c r="W441" s="4">
        <f>IF($J441="","",S441-V441)</f>
      </c>
    </row>
    <row r="442" spans="1:28" x14ac:dyDescent="0.25">
      <c r="A442" s="8"/>
      <c r="D442" s="9"/>
      <c r="I442" s="4"/>
      <c r="J442" s="4"/>
      <c r="K442" s="4">
        <f>IF($J442="","",J442-I442)</f>
      </c>
      <c r="L442" s="4">
        <f>IF($J442="","",K442*16.67%)</f>
      </c>
      <c r="M442" s="4">
        <f>IF($J442="","",J442*7%)</f>
      </c>
      <c r="N442" s="4">
        <f>IF($J442="","",M442*20%)</f>
      </c>
      <c r="O442" s="4"/>
      <c r="P442" s="4">
        <f>IF($J442="","",O442*20%)</f>
      </c>
      <c r="Q442" s="4">
        <v>1</v>
      </c>
      <c r="R442" s="4">
        <f>IF($J442="","",N442+P442)</f>
      </c>
      <c r="S442" s="4">
        <f>IF($J442="","",K442-L442-M442-N442-O442-P442-Q442)</f>
      </c>
      <c r="T442" s="4">
        <f>IF($J442="","",(S442-V442)/I442*100)</f>
      </c>
      <c r="U442" s="4">
        <f>IF($J442="","",L442-R442)</f>
      </c>
      <c r="W442" s="4">
        <f>IF($J442="","",S442-V442)</f>
      </c>
    </row>
    <row r="443" spans="1:28" x14ac:dyDescent="0.25">
      <c r="A443" s="8"/>
      <c r="D443" s="9"/>
      <c r="I443" s="4"/>
      <c r="J443" s="4"/>
      <c r="K443" s="4">
        <f>IF($J443="","",J443-I443)</f>
      </c>
      <c r="L443" s="4">
        <f>IF($J443="","",K443*16.67%)</f>
      </c>
      <c r="M443" s="4">
        <f>IF($J443="","",J443*7%)</f>
      </c>
      <c r="N443" s="4">
        <f>IF($J443="","",M443*20%)</f>
      </c>
      <c r="O443" s="4"/>
      <c r="P443" s="4">
        <f>IF($J443="","",O443*20%)</f>
      </c>
      <c r="Q443" s="4">
        <v>1</v>
      </c>
      <c r="R443" s="4">
        <f>IF($J443="","",N443+P443)</f>
      </c>
      <c r="S443" s="4">
        <f>IF($J443="","",K443-L443-M443-N443-O443-P443-Q443)</f>
      </c>
      <c r="T443" s="4">
        <f>IF($J443="","",(S443-V443)/I443*100)</f>
      </c>
      <c r="U443" s="4">
        <f>IF($J443="","",L443-R443)</f>
      </c>
      <c r="W443" s="4">
        <f>IF($J443="","",S443-V443)</f>
      </c>
    </row>
    <row r="444" spans="1:28" x14ac:dyDescent="0.25">
      <c r="A444" s="8"/>
      <c r="D444" s="9"/>
      <c r="I444" s="4"/>
      <c r="J444" s="4"/>
      <c r="K444" s="4">
        <f>IF($J444="","",J444-I444)</f>
      </c>
      <c r="L444" s="4">
        <f>IF($J444="","",K444*16.67%)</f>
      </c>
      <c r="M444" s="4">
        <f>IF($J444="","",J444*7%)</f>
      </c>
      <c r="N444" s="4">
        <f>IF($J444="","",M444*20%)</f>
      </c>
      <c r="O444" s="4"/>
      <c r="P444" s="4">
        <f>IF($J444="","",O444*20%)</f>
      </c>
      <c r="Q444" s="4">
        <v>1</v>
      </c>
      <c r="R444" s="4">
        <f>IF($J444="","",N444+P444)</f>
      </c>
      <c r="S444" s="4">
        <f>IF($J444="","",K444-L444-M444-N444-O444-P444-Q444)</f>
      </c>
      <c r="T444" s="4">
        <f>IF($J444="","",(S444-V444)/I444*100)</f>
      </c>
      <c r="U444" s="4">
        <f>IF($J444="","",L444-R444)</f>
      </c>
      <c r="W444" s="4">
        <f>IF($J444="","",S444-V444)</f>
      </c>
    </row>
    <row r="445" spans="1:28" x14ac:dyDescent="0.25">
      <c r="A445" s="8"/>
      <c r="D445" s="9"/>
      <c r="I445" s="4"/>
      <c r="J445" s="4"/>
      <c r="K445" s="4">
        <f>IF($J445="","",J445-I445)</f>
      </c>
      <c r="L445" s="4">
        <f>IF($J445="","",K445*16.67%)</f>
      </c>
      <c r="M445" s="4">
        <f>IF($J445="","",J445*7%)</f>
      </c>
      <c r="N445" s="4">
        <f>IF($J445="","",M445*20%)</f>
      </c>
      <c r="O445" s="4"/>
      <c r="P445" s="4">
        <f>IF($J445="","",O445*20%)</f>
      </c>
      <c r="Q445" s="4">
        <v>1</v>
      </c>
      <c r="R445" s="4">
        <f>IF($J445="","",N445+P445)</f>
      </c>
      <c r="S445" s="4">
        <f>IF($J445="","",K445-L445-M445-N445-O445-P445-Q445)</f>
      </c>
      <c r="T445" s="4">
        <f>IF($J445="","",(S445-V445)/I445*100)</f>
      </c>
      <c r="U445" s="4">
        <f>IF($J445="","",L445-R445)</f>
      </c>
      <c r="W445" s="4">
        <f>IF($J445="","",S445-V445)</f>
      </c>
    </row>
    <row r="446" spans="1:28" x14ac:dyDescent="0.25">
      <c r="A446" s="8"/>
      <c r="D446" s="9"/>
      <c r="I446" s="4"/>
      <c r="J446" s="4"/>
      <c r="K446" s="4">
        <f>IF($J446="","",J446-I446)</f>
      </c>
      <c r="L446" s="4">
        <f>IF($J446="","",K446*16.67%)</f>
      </c>
      <c r="M446" s="4">
        <f>IF($J446="","",J446*7%)</f>
      </c>
      <c r="N446" s="4">
        <f>IF($J446="","",M446*20%)</f>
      </c>
      <c r="O446" s="4"/>
      <c r="P446" s="4">
        <f>IF($J446="","",O446*20%)</f>
      </c>
      <c r="Q446" s="4">
        <v>1</v>
      </c>
      <c r="R446" s="4">
        <f>IF($J446="","",N446+P446)</f>
      </c>
      <c r="S446" s="4">
        <f>IF($J446="","",K446-L446-M446-N446-O446-P446-Q446)</f>
      </c>
      <c r="T446" s="4">
        <f>IF($J446="","",(S446-V446)/I446*100)</f>
      </c>
      <c r="U446" s="4">
        <f>IF($J446="","",L446-R446)</f>
      </c>
      <c r="W446" s="4">
        <f>IF($J446="","",S446-V446)</f>
      </c>
    </row>
    <row r="447" spans="1:28" x14ac:dyDescent="0.25">
      <c r="A447" s="8"/>
      <c r="D447" s="9"/>
      <c r="I447" s="4"/>
      <c r="J447" s="4"/>
      <c r="K447" s="4">
        <f>IF($J447="","",J447-I447)</f>
      </c>
      <c r="L447" s="4">
        <f>IF($J447="","",K447*16.67%)</f>
      </c>
      <c r="M447" s="4">
        <f>IF($J447="","",J447*7%)</f>
      </c>
      <c r="N447" s="4">
        <f>IF($J447="","",M447*20%)</f>
      </c>
      <c r="O447" s="4"/>
      <c r="P447" s="4">
        <f>IF($J447="","",O447*20%)</f>
      </c>
      <c r="Q447" s="4">
        <v>1</v>
      </c>
      <c r="R447" s="4">
        <f>IF($J447="","",N447+P447)</f>
      </c>
      <c r="S447" s="4">
        <f>IF($J447="","",K447-L447-M447-N447-O447-P447-Q447)</f>
      </c>
      <c r="T447" s="4">
        <f>IF($J447="","",(S447-V447)/I447*100)</f>
      </c>
      <c r="U447" s="4">
        <f>IF($J447="","",L447-R447)</f>
      </c>
      <c r="W447" s="4">
        <f>IF($J447="","",S447-V447)</f>
      </c>
    </row>
    <row r="448" spans="1:28" x14ac:dyDescent="0.25">
      <c r="A448" s="8"/>
      <c r="D448" s="9"/>
      <c r="I448" s="4"/>
      <c r="J448" s="4"/>
      <c r="K448" s="4">
        <f>IF($J448="","",J448-I448)</f>
      </c>
      <c r="L448" s="4">
        <f>IF($J448="","",K448*16.67%)</f>
      </c>
      <c r="M448" s="4">
        <f>IF($J448="","",J448*7%)</f>
      </c>
      <c r="N448" s="4">
        <f>IF($J448="","",M448*20%)</f>
      </c>
      <c r="O448" s="4"/>
      <c r="P448" s="4">
        <f>IF($J448="","",O448*20%)</f>
      </c>
      <c r="Q448" s="4">
        <v>1</v>
      </c>
      <c r="R448" s="4">
        <f>IF($J448="","",N448+P448)</f>
      </c>
      <c r="S448" s="4">
        <f>IF($J448="","",K448-L448-M448-N448-O448-P448-Q448)</f>
      </c>
      <c r="T448" s="4">
        <f>IF($J448="","",(S448-V448)/I448*100)</f>
      </c>
      <c r="U448" s="4">
        <f>IF($J448="","",L448-R448)</f>
      </c>
      <c r="W448" s="4">
        <f>IF($J448="","",S448-V448)</f>
      </c>
    </row>
    <row r="449" spans="1:28" x14ac:dyDescent="0.25">
      <c r="A449" s="8"/>
      <c r="D449" s="9"/>
      <c r="I449" s="4"/>
      <c r="J449" s="4"/>
      <c r="K449" s="4">
        <f>IF($J449="","",J449-I449)</f>
      </c>
      <c r="L449" s="4">
        <f>IF($J449="","",K449*16.67%)</f>
      </c>
      <c r="M449" s="4">
        <f>IF($J449="","",J449*7%)</f>
      </c>
      <c r="N449" s="4">
        <f>IF($J449="","",M449*20%)</f>
      </c>
      <c r="O449" s="4"/>
      <c r="P449" s="4">
        <f>IF($J449="","",O449*20%)</f>
      </c>
      <c r="Q449" s="4">
        <v>1</v>
      </c>
      <c r="R449" s="4">
        <f>IF($J449="","",N449+P449)</f>
      </c>
      <c r="S449" s="4">
        <f>IF($J449="","",K449-L449-M449-N449-O449-P449-Q449)</f>
      </c>
      <c r="T449" s="4">
        <f>IF($J449="","",(S449-V449)/I449*100)</f>
      </c>
      <c r="U449" s="4">
        <f>IF($J449="","",L449-R449)</f>
      </c>
      <c r="W449" s="4">
        <f>IF($J449="","",S449-V449)</f>
      </c>
    </row>
    <row r="450" spans="1:28" x14ac:dyDescent="0.25">
      <c r="A450" s="8"/>
      <c r="D450" s="9"/>
      <c r="I450" s="4"/>
      <c r="J450" s="4"/>
      <c r="K450" s="4">
        <f>IF($J450="","",J450-I450)</f>
      </c>
      <c r="L450" s="4">
        <f>IF($J450="","",K450*16.67%)</f>
      </c>
      <c r="M450" s="4">
        <f>IF($J450="","",J450*7%)</f>
      </c>
      <c r="N450" s="4">
        <f>IF($J450="","",M450*20%)</f>
      </c>
      <c r="O450" s="4"/>
      <c r="P450" s="4">
        <f>IF($J450="","",O450*20%)</f>
      </c>
      <c r="Q450" s="4">
        <v>1</v>
      </c>
      <c r="R450" s="4">
        <f>IF($J450="","",N450+P450)</f>
      </c>
      <c r="S450" s="4">
        <f>IF($J450="","",K450-L450-M450-N450-O450-P450-Q450)</f>
      </c>
      <c r="T450" s="4">
        <f>IF($J450="","",(S450-V450)/I450*100)</f>
      </c>
      <c r="U450" s="4">
        <f>IF($J450="","",L450-R450)</f>
      </c>
      <c r="W450" s="4">
        <f>IF($J450="","",S450-V450)</f>
      </c>
    </row>
    <row r="451" spans="1:28" x14ac:dyDescent="0.25">
      <c r="A451" s="8"/>
      <c r="D451" s="9"/>
      <c r="I451" s="4"/>
      <c r="J451" s="4"/>
      <c r="K451" s="4">
        <f>IF($J451="","",J451-I451)</f>
      </c>
      <c r="L451" s="4">
        <f>IF($J451="","",K451*16.67%)</f>
      </c>
      <c r="M451" s="4">
        <f>IF($J451="","",J451*7%)</f>
      </c>
      <c r="N451" s="4">
        <f>IF($J451="","",M451*20%)</f>
      </c>
      <c r="O451" s="4"/>
      <c r="P451" s="4">
        <f>IF($J451="","",O451*20%)</f>
      </c>
      <c r="Q451" s="4">
        <v>1</v>
      </c>
      <c r="R451" s="4">
        <f>IF($J451="","",N451+P451)</f>
      </c>
      <c r="S451" s="4">
        <f>IF($J451="","",K451-L451-M451-N451-O451-P451-Q451)</f>
      </c>
      <c r="T451" s="4">
        <f>IF($J451="","",(S451-V451)/I451*100)</f>
      </c>
      <c r="U451" s="4">
        <f>IF($J451="","",L451-R451)</f>
      </c>
      <c r="W451" s="4">
        <f>IF($J451="","",S451-V451)</f>
      </c>
    </row>
    <row r="452" spans="1:28" x14ac:dyDescent="0.25">
      <c r="A452" s="8"/>
      <c r="D452" s="9"/>
      <c r="I452" s="4"/>
      <c r="J452" s="4"/>
      <c r="K452" s="4">
        <f>IF($J452="","",J452-I452)</f>
      </c>
      <c r="L452" s="4">
        <f>IF($J452="","",K452*16.67%)</f>
      </c>
      <c r="M452" s="4">
        <f>IF($J452="","",J452*7%)</f>
      </c>
      <c r="N452" s="4">
        <f>IF($J452="","",M452*20%)</f>
      </c>
      <c r="O452" s="4"/>
      <c r="P452" s="4">
        <f>IF($J452="","",O452*20%)</f>
      </c>
      <c r="Q452" s="4">
        <v>1</v>
      </c>
      <c r="R452" s="4">
        <f>IF($J452="","",N452+P452)</f>
      </c>
      <c r="S452" s="4">
        <f>IF($J452="","",K452-L452-M452-N452-O452-P452-Q452)</f>
      </c>
      <c r="T452" s="4">
        <f>IF($J452="","",(S452-V452)/I452*100)</f>
      </c>
      <c r="U452" s="4">
        <f>IF($J452="","",L452-R452)</f>
      </c>
      <c r="W452" s="4">
        <f>IF($J452="","",S452-V452)</f>
      </c>
    </row>
    <row r="453" spans="1:28" x14ac:dyDescent="0.25">
      <c r="A453" s="8"/>
      <c r="D453" s="9"/>
      <c r="I453" s="4"/>
      <c r="J453" s="4"/>
      <c r="K453" s="4">
        <f>IF($J453="","",J453-I453)</f>
      </c>
      <c r="L453" s="4">
        <f>IF($J453="","",K453*16.67%)</f>
      </c>
      <c r="M453" s="4">
        <f>IF($J453="","",J453*7%)</f>
      </c>
      <c r="N453" s="4">
        <f>IF($J453="","",M453*20%)</f>
      </c>
      <c r="O453" s="4"/>
      <c r="P453" s="4">
        <f>IF($J453="","",O453*20%)</f>
      </c>
      <c r="Q453" s="4">
        <v>1</v>
      </c>
      <c r="R453" s="4">
        <f>IF($J453="","",N453+P453)</f>
      </c>
      <c r="S453" s="4">
        <f>IF($J453="","",K453-L453-M453-N453-O453-P453-Q453)</f>
      </c>
      <c r="T453" s="4">
        <f>IF($J453="","",(S453-V453)/I453*100)</f>
      </c>
      <c r="U453" s="4">
        <f>IF($J453="","",L453-R453)</f>
      </c>
      <c r="W453" s="4">
        <f>IF($J453="","",S453-V453)</f>
      </c>
    </row>
    <row r="454" spans="1:28" x14ac:dyDescent="0.25">
      <c r="A454" s="8"/>
      <c r="D454" s="9"/>
      <c r="I454" s="4"/>
      <c r="J454" s="4"/>
      <c r="K454" s="4">
        <f>IF($J454="","",J454-I454)</f>
      </c>
      <c r="L454" s="4">
        <f>IF($J454="","",K454*16.67%)</f>
      </c>
      <c r="M454" s="4">
        <f>IF($J454="","",J454*7%)</f>
      </c>
      <c r="N454" s="4">
        <f>IF($J454="","",M454*20%)</f>
      </c>
      <c r="O454" s="4"/>
      <c r="P454" s="4">
        <f>IF($J454="","",O454*20%)</f>
      </c>
      <c r="Q454" s="4">
        <v>1</v>
      </c>
      <c r="R454" s="4">
        <f>IF($J454="","",N454+P454)</f>
      </c>
      <c r="S454" s="4">
        <f>IF($J454="","",K454-L454-M454-N454-O454-P454-Q454)</f>
      </c>
      <c r="T454" s="4">
        <f>IF($J454="","",(S454-V454)/I454*100)</f>
      </c>
      <c r="U454" s="4">
        <f>IF($J454="","",L454-R454)</f>
      </c>
      <c r="W454" s="4">
        <f>IF($J454="","",S454-V454)</f>
      </c>
    </row>
    <row r="455" spans="1:28" x14ac:dyDescent="0.25">
      <c r="A455" s="8"/>
      <c r="D455" s="9"/>
      <c r="I455" s="4"/>
      <c r="J455" s="4"/>
      <c r="K455" s="4">
        <f>IF($J455="","",J455-I455)</f>
      </c>
      <c r="L455" s="4">
        <f>IF($J455="","",K455*16.67%)</f>
      </c>
      <c r="M455" s="4">
        <f>IF($J455="","",J455*7%)</f>
      </c>
      <c r="N455" s="4">
        <f>IF($J455="","",M455*20%)</f>
      </c>
      <c r="O455" s="4"/>
      <c r="P455" s="4">
        <f>IF($J455="","",O455*20%)</f>
      </c>
      <c r="Q455" s="4">
        <v>1</v>
      </c>
      <c r="R455" s="4">
        <f>IF($J455="","",N455+P455)</f>
      </c>
      <c r="S455" s="4">
        <f>IF($J455="","",K455-L455-M455-N455-O455-P455-Q455)</f>
      </c>
      <c r="T455" s="4">
        <f>IF($J455="","",(S455-V455)/I455*100)</f>
      </c>
      <c r="U455" s="4">
        <f>IF($J455="","",L455-R455)</f>
      </c>
      <c r="W455" s="4">
        <f>IF($J455="","",S455-V455)</f>
      </c>
    </row>
    <row r="456" spans="1:28" x14ac:dyDescent="0.25">
      <c r="A456" s="8"/>
      <c r="D456" s="9"/>
      <c r="I456" s="4"/>
      <c r="J456" s="4"/>
      <c r="K456" s="4">
        <f>IF($J456="","",J456-I456)</f>
      </c>
      <c r="L456" s="4">
        <f>IF($J456="","",K456*16.67%)</f>
      </c>
      <c r="M456" s="4">
        <f>IF($J456="","",J456*7%)</f>
      </c>
      <c r="N456" s="4">
        <f>IF($J456="","",M456*20%)</f>
      </c>
      <c r="O456" s="4"/>
      <c r="P456" s="4">
        <f>IF($J456="","",O456*20%)</f>
      </c>
      <c r="Q456" s="4">
        <v>1</v>
      </c>
      <c r="R456" s="4">
        <f>IF($J456="","",N456+P456)</f>
      </c>
      <c r="S456" s="4">
        <f>IF($J456="","",K456-L456-M456-N456-O456-P456-Q456)</f>
      </c>
      <c r="T456" s="4">
        <f>IF($J456="","",(S456-V456)/I456*100)</f>
      </c>
      <c r="U456" s="4">
        <f>IF($J456="","",L456-R456)</f>
      </c>
      <c r="W456" s="4">
        <f>IF($J456="","",S456-V456)</f>
      </c>
    </row>
    <row r="457" spans="1:28" x14ac:dyDescent="0.25">
      <c r="A457" s="8"/>
      <c r="D457" s="9"/>
      <c r="I457" s="4"/>
      <c r="J457" s="4"/>
      <c r="K457" s="4">
        <f>IF($J457="","",J457-I457)</f>
      </c>
      <c r="L457" s="4">
        <f>IF($J457="","",K457*16.67%)</f>
      </c>
      <c r="M457" s="4">
        <f>IF($J457="","",J457*7%)</f>
      </c>
      <c r="N457" s="4">
        <f>IF($J457="","",M457*20%)</f>
      </c>
      <c r="O457" s="4"/>
      <c r="P457" s="4">
        <f>IF($J457="","",O457*20%)</f>
      </c>
      <c r="Q457" s="4">
        <v>1</v>
      </c>
      <c r="R457" s="4">
        <f>IF($J457="","",N457+P457)</f>
      </c>
      <c r="S457" s="4">
        <f>IF($J457="","",K457-L457-M457-N457-O457-P457-Q457)</f>
      </c>
      <c r="T457" s="4">
        <f>IF($J457="","",(S457-V457)/I457*100)</f>
      </c>
      <c r="U457" s="4">
        <f>IF($J457="","",L457-R457)</f>
      </c>
      <c r="W457" s="4">
        <f>IF($J457="","",S457-V457)</f>
      </c>
    </row>
    <row r="458" spans="1:28" x14ac:dyDescent="0.25">
      <c r="A458" s="8"/>
      <c r="D458" s="9"/>
      <c r="I458" s="4"/>
      <c r="J458" s="4"/>
      <c r="K458" s="4">
        <f>IF($J458="","",J458-I458)</f>
      </c>
      <c r="L458" s="4">
        <f>IF($J458="","",K458*16.67%)</f>
      </c>
      <c r="M458" s="4">
        <f>IF($J458="","",J458*7%)</f>
      </c>
      <c r="N458" s="4">
        <f>IF($J458="","",M458*20%)</f>
      </c>
      <c r="O458" s="4"/>
      <c r="P458" s="4">
        <f>IF($J458="","",O458*20%)</f>
      </c>
      <c r="Q458" s="4">
        <v>1</v>
      </c>
      <c r="R458" s="4">
        <f>IF($J458="","",N458+P458)</f>
      </c>
      <c r="S458" s="4">
        <f>IF($J458="","",K458-L458-M458-N458-O458-P458-Q458)</f>
      </c>
      <c r="T458" s="4">
        <f>IF($J458="","",(S458-V458)/I458*100)</f>
      </c>
      <c r="U458" s="4">
        <f>IF($J458="","",L458-R458)</f>
      </c>
      <c r="W458" s="4">
        <f>IF($J458="","",S458-V458)</f>
      </c>
    </row>
    <row r="459" spans="1:28" x14ac:dyDescent="0.25">
      <c r="A459" s="8"/>
      <c r="D459" s="9"/>
      <c r="I459" s="4"/>
      <c r="J459" s="4"/>
      <c r="K459" s="4">
        <f>IF($J459="","",J459-I459)</f>
      </c>
      <c r="L459" s="4">
        <f>IF($J459="","",K459*16.67%)</f>
      </c>
      <c r="M459" s="4">
        <f>IF($J459="","",J459*7%)</f>
      </c>
      <c r="N459" s="4">
        <f>IF($J459="","",M459*20%)</f>
      </c>
      <c r="O459" s="4"/>
      <c r="P459" s="4">
        <f>IF($J459="","",O459*20%)</f>
      </c>
      <c r="Q459" s="4">
        <v>1</v>
      </c>
      <c r="R459" s="4">
        <f>IF($J459="","",N459+P459)</f>
      </c>
      <c r="S459" s="4">
        <f>IF($J459="","",K459-L459-M459-N459-O459-P459-Q459)</f>
      </c>
      <c r="T459" s="4">
        <f>IF($J459="","",(S459-V459)/I459*100)</f>
      </c>
      <c r="U459" s="4">
        <f>IF($J459="","",L459-R459)</f>
      </c>
      <c r="W459" s="4">
        <f>IF($J459="","",S459-V459)</f>
      </c>
    </row>
    <row r="460" spans="1:28" x14ac:dyDescent="0.25">
      <c r="A460" s="8"/>
      <c r="D460" s="9"/>
      <c r="I460" s="4"/>
      <c r="J460" s="4"/>
      <c r="K460" s="4">
        <f>IF($J460="","",J460-I460)</f>
      </c>
      <c r="L460" s="4">
        <f>IF($J460="","",K460*16.67%)</f>
      </c>
      <c r="M460" s="4">
        <f>IF($J460="","",J460*7%)</f>
      </c>
      <c r="N460" s="4">
        <f>IF($J460="","",M460*20%)</f>
      </c>
      <c r="O460" s="4"/>
      <c r="P460" s="4">
        <f>IF($J460="","",O460*20%)</f>
      </c>
      <c r="Q460" s="4">
        <v>1</v>
      </c>
      <c r="R460" s="4">
        <f>IF($J460="","",N460+P460)</f>
      </c>
      <c r="S460" s="4">
        <f>IF($J460="","",K460-L460-M460-N460-O460-P460-Q460)</f>
      </c>
      <c r="T460" s="4">
        <f>IF($J460="","",(S460-V460)/I460*100)</f>
      </c>
      <c r="U460" s="4">
        <f>IF($J460="","",L460-R460)</f>
      </c>
      <c r="W460" s="4">
        <f>IF($J460="","",S460-V460)</f>
      </c>
    </row>
    <row r="461" spans="1:28" x14ac:dyDescent="0.25">
      <c r="A461" s="8"/>
      <c r="D461" s="9"/>
      <c r="I461" s="4"/>
      <c r="J461" s="4"/>
      <c r="K461" s="4">
        <f>IF($J461="","",J461-I461)</f>
      </c>
      <c r="L461" s="4">
        <f>IF($J461="","",K461*16.67%)</f>
      </c>
      <c r="M461" s="4">
        <f>IF($J461="","",J461*7%)</f>
      </c>
      <c r="N461" s="4">
        <f>IF($J461="","",M461*20%)</f>
      </c>
      <c r="O461" s="4"/>
      <c r="P461" s="4">
        <f>IF($J461="","",O461*20%)</f>
      </c>
      <c r="Q461" s="4">
        <v>1</v>
      </c>
      <c r="R461" s="4">
        <f>IF($J461="","",N461+P461)</f>
      </c>
      <c r="S461" s="4">
        <f>IF($J461="","",K461-L461-M461-N461-O461-P461-Q461)</f>
      </c>
      <c r="T461" s="4">
        <f>IF($J461="","",(S461-V461)/I461*100)</f>
      </c>
      <c r="U461" s="4">
        <f>IF($J461="","",L461-R461)</f>
      </c>
      <c r="W461" s="4">
        <f>IF($J461="","",S461-V461)</f>
      </c>
    </row>
    <row r="462" spans="1:28" x14ac:dyDescent="0.25">
      <c r="A462" s="8"/>
      <c r="D462" s="9"/>
      <c r="I462" s="4"/>
      <c r="J462" s="4"/>
      <c r="K462" s="4">
        <f>IF($J462="","",J462-I462)</f>
      </c>
      <c r="L462" s="4">
        <f>IF($J462="","",K462*16.67%)</f>
      </c>
      <c r="M462" s="4">
        <f>IF($J462="","",J462*7%)</f>
      </c>
      <c r="N462" s="4">
        <f>IF($J462="","",M462*20%)</f>
      </c>
      <c r="O462" s="4"/>
      <c r="P462" s="4">
        <f>IF($J462="","",O462*20%)</f>
      </c>
      <c r="Q462" s="4">
        <v>1</v>
      </c>
      <c r="R462" s="4">
        <f>IF($J462="","",N462+P462)</f>
      </c>
      <c r="S462" s="4">
        <f>IF($J462="","",K462-L462-M462-N462-O462-P462-Q462)</f>
      </c>
      <c r="T462" s="4">
        <f>IF($J462="","",(S462-V462)/I462*100)</f>
      </c>
      <c r="U462" s="4">
        <f>IF($J462="","",L462-R462)</f>
      </c>
      <c r="W462" s="4">
        <f>IF($J462="","",S462-V462)</f>
      </c>
    </row>
    <row r="463" spans="1:28" x14ac:dyDescent="0.25">
      <c r="A463" s="8"/>
      <c r="D463" s="9"/>
      <c r="I463" s="4"/>
      <c r="J463" s="4"/>
      <c r="K463" s="4">
        <f>IF($J463="","",J463-I463)</f>
      </c>
      <c r="L463" s="4">
        <f>IF($J463="","",K463*16.67%)</f>
      </c>
      <c r="M463" s="4">
        <f>IF($J463="","",J463*7%)</f>
      </c>
      <c r="N463" s="4">
        <f>IF($J463="","",M463*20%)</f>
      </c>
      <c r="O463" s="4"/>
      <c r="P463" s="4">
        <f>IF($J463="","",O463*20%)</f>
      </c>
      <c r="Q463" s="4">
        <v>1</v>
      </c>
      <c r="R463" s="4">
        <f>IF($J463="","",N463+P463)</f>
      </c>
      <c r="S463" s="4">
        <f>IF($J463="","",K463-L463-M463-N463-O463-P463-Q463)</f>
      </c>
      <c r="T463" s="4">
        <f>IF($J463="","",(S463-V463)/I463*100)</f>
      </c>
      <c r="U463" s="4">
        <f>IF($J463="","",L463-R463)</f>
      </c>
      <c r="W463" s="4">
        <f>IF($J463="","",S463-V463)</f>
      </c>
    </row>
    <row r="464" spans="1:28" x14ac:dyDescent="0.25">
      <c r="A464" s="8"/>
      <c r="D464" s="9"/>
      <c r="I464" s="4"/>
      <c r="J464" s="4"/>
      <c r="K464" s="4">
        <f>IF($J464="","",J464-I464)</f>
      </c>
      <c r="L464" s="4">
        <f>IF($J464="","",K464*16.67%)</f>
      </c>
      <c r="M464" s="4">
        <f>IF($J464="","",J464*7%)</f>
      </c>
      <c r="N464" s="4">
        <f>IF($J464="","",M464*20%)</f>
      </c>
      <c r="O464" s="4"/>
      <c r="P464" s="4">
        <f>IF($J464="","",O464*20%)</f>
      </c>
      <c r="Q464" s="4">
        <v>1</v>
      </c>
      <c r="R464" s="4">
        <f>IF($J464="","",N464+P464)</f>
      </c>
      <c r="S464" s="4">
        <f>IF($J464="","",K464-L464-M464-N464-O464-P464-Q464)</f>
      </c>
      <c r="T464" s="4">
        <f>IF($J464="","",(S464-V464)/I464*100)</f>
      </c>
      <c r="U464" s="4">
        <f>IF($J464="","",L464-R464)</f>
      </c>
      <c r="W464" s="4">
        <f>IF($J464="","",S464-V464)</f>
      </c>
    </row>
    <row r="465" spans="1:28" x14ac:dyDescent="0.25">
      <c r="A465" s="8"/>
      <c r="D465" s="9"/>
      <c r="I465" s="4"/>
      <c r="J465" s="4"/>
      <c r="K465" s="4">
        <f>IF($J465="","",J465-I465)</f>
      </c>
      <c r="L465" s="4">
        <f>IF($J465="","",K465*16.67%)</f>
      </c>
      <c r="M465" s="4">
        <f>IF($J465="","",J465*7%)</f>
      </c>
      <c r="N465" s="4">
        <f>IF($J465="","",M465*20%)</f>
      </c>
      <c r="O465" s="4"/>
      <c r="P465" s="4">
        <f>IF($J465="","",O465*20%)</f>
      </c>
      <c r="Q465" s="4">
        <v>1</v>
      </c>
      <c r="R465" s="4">
        <f>IF($J465="","",N465+P465)</f>
      </c>
      <c r="S465" s="4">
        <f>IF($J465="","",K465-L465-M465-N465-O465-P465-Q465)</f>
      </c>
      <c r="T465" s="4">
        <f>IF($J465="","",(S465-V465)/I465*100)</f>
      </c>
      <c r="U465" s="4">
        <f>IF($J465="","",L465-R465)</f>
      </c>
      <c r="W465" s="4">
        <f>IF($J465="","",S465-V465)</f>
      </c>
    </row>
    <row r="466" spans="1:28" x14ac:dyDescent="0.25">
      <c r="A466" s="8"/>
      <c r="D466" s="9"/>
      <c r="I466" s="4"/>
      <c r="J466" s="4"/>
      <c r="K466" s="4">
        <f>IF($J466="","",J466-I466)</f>
      </c>
      <c r="L466" s="4">
        <f>IF($J466="","",K466*16.67%)</f>
      </c>
      <c r="M466" s="4">
        <f>IF($J466="","",J466*7%)</f>
      </c>
      <c r="N466" s="4">
        <f>IF($J466="","",M466*20%)</f>
      </c>
      <c r="O466" s="4"/>
      <c r="P466" s="4">
        <f>IF($J466="","",O466*20%)</f>
      </c>
      <c r="Q466" s="4">
        <v>1</v>
      </c>
      <c r="R466" s="4">
        <f>IF($J466="","",N466+P466)</f>
      </c>
      <c r="S466" s="4">
        <f>IF($J466="","",K466-L466-M466-N466-O466-P466-Q466)</f>
      </c>
      <c r="T466" s="4">
        <f>IF($J466="","",(S466-V466)/I466*100)</f>
      </c>
      <c r="U466" s="4">
        <f>IF($J466="","",L466-R466)</f>
      </c>
      <c r="W466" s="4">
        <f>IF($J466="","",S466-V466)</f>
      </c>
    </row>
    <row r="467" spans="1:28" x14ac:dyDescent="0.25">
      <c r="A467" s="8"/>
      <c r="D467" s="9"/>
      <c r="I467" s="4"/>
      <c r="J467" s="4"/>
      <c r="K467" s="4">
        <f>IF($J467="","",J467-I467)</f>
      </c>
      <c r="L467" s="4">
        <f>IF($J467="","",K467*16.67%)</f>
      </c>
      <c r="M467" s="4">
        <f>IF($J467="","",J467*7%)</f>
      </c>
      <c r="N467" s="4">
        <f>IF($J467="","",M467*20%)</f>
      </c>
      <c r="O467" s="4"/>
      <c r="P467" s="4">
        <f>IF($J467="","",O467*20%)</f>
      </c>
      <c r="Q467" s="4">
        <v>1</v>
      </c>
      <c r="R467" s="4">
        <f>IF($J467="","",N467+P467)</f>
      </c>
      <c r="S467" s="4">
        <f>IF($J467="","",K467-L467-M467-N467-O467-P467-Q467)</f>
      </c>
      <c r="T467" s="4">
        <f>IF($J467="","",(S467-V467)/I467*100)</f>
      </c>
      <c r="U467" s="4">
        <f>IF($J467="","",L467-R467)</f>
      </c>
      <c r="W467" s="4">
        <f>IF($J467="","",S467-V467)</f>
      </c>
    </row>
    <row r="468" spans="1:28" x14ac:dyDescent="0.25">
      <c r="A468" s="8"/>
      <c r="D468" s="9"/>
      <c r="I468" s="4"/>
      <c r="J468" s="4"/>
      <c r="K468" s="4">
        <f>IF($J468="","",J468-I468)</f>
      </c>
      <c r="L468" s="4">
        <f>IF($J468="","",K468*16.67%)</f>
      </c>
      <c r="M468" s="4">
        <f>IF($J468="","",J468*7%)</f>
      </c>
      <c r="N468" s="4">
        <f>IF($J468="","",M468*20%)</f>
      </c>
      <c r="O468" s="4"/>
      <c r="P468" s="4">
        <f>IF($J468="","",O468*20%)</f>
      </c>
      <c r="Q468" s="4">
        <v>1</v>
      </c>
      <c r="R468" s="4">
        <f>IF($J468="","",N468+P468)</f>
      </c>
      <c r="S468" s="4">
        <f>IF($J468="","",K468-L468-M468-N468-O468-P468-Q468)</f>
      </c>
      <c r="T468" s="4">
        <f>IF($J468="","",(S468-V468)/I468*100)</f>
      </c>
      <c r="U468" s="4">
        <f>IF($J468="","",L468-R468)</f>
      </c>
      <c r="W468" s="4">
        <f>IF($J468="","",S468-V468)</f>
      </c>
    </row>
    <row r="469" spans="1:28" x14ac:dyDescent="0.25">
      <c r="A469" s="8"/>
      <c r="D469" s="9"/>
      <c r="I469" s="4"/>
      <c r="J469" s="4"/>
      <c r="K469" s="4">
        <f>IF($J469="","",J469-I469)</f>
      </c>
      <c r="L469" s="4">
        <f>IF($J469="","",K469*16.67%)</f>
      </c>
      <c r="M469" s="4">
        <f>IF($J469="","",J469*7%)</f>
      </c>
      <c r="N469" s="4">
        <f>IF($J469="","",M469*20%)</f>
      </c>
      <c r="O469" s="4"/>
      <c r="P469" s="4">
        <f>IF($J469="","",O469*20%)</f>
      </c>
      <c r="Q469" s="4">
        <v>1</v>
      </c>
      <c r="R469" s="4">
        <f>IF($J469="","",N469+P469)</f>
      </c>
      <c r="S469" s="4">
        <f>IF($J469="","",K469-L469-M469-N469-O469-P469-Q469)</f>
      </c>
      <c r="T469" s="4">
        <f>IF($J469="","",(S469-V469)/I469*100)</f>
      </c>
      <c r="U469" s="4">
        <f>IF($J469="","",L469-R469)</f>
      </c>
      <c r="W469" s="4">
        <f>IF($J469="","",S469-V469)</f>
      </c>
    </row>
    <row r="470" spans="1:28" x14ac:dyDescent="0.25">
      <c r="A470" s="8"/>
      <c r="D470" s="9"/>
      <c r="I470" s="4"/>
      <c r="J470" s="4"/>
      <c r="K470" s="4">
        <f>IF($J470="","",J470-I470)</f>
      </c>
      <c r="L470" s="4">
        <f>IF($J470="","",K470*16.67%)</f>
      </c>
      <c r="M470" s="4">
        <f>IF($J470="","",J470*7%)</f>
      </c>
      <c r="N470" s="4">
        <f>IF($J470="","",M470*20%)</f>
      </c>
      <c r="O470" s="4"/>
      <c r="P470" s="4">
        <f>IF($J470="","",O470*20%)</f>
      </c>
      <c r="Q470" s="4">
        <v>1</v>
      </c>
      <c r="R470" s="4">
        <f>IF($J470="","",N470+P470)</f>
      </c>
      <c r="S470" s="4">
        <f>IF($J470="","",K470-L470-M470-N470-O470-P470-Q470)</f>
      </c>
      <c r="T470" s="4">
        <f>IF($J470="","",(S470-V470)/I470*100)</f>
      </c>
      <c r="U470" s="4">
        <f>IF($J470="","",L470-R470)</f>
      </c>
      <c r="W470" s="4">
        <f>IF($J470="","",S470-V470)</f>
      </c>
    </row>
    <row r="471" spans="1:28" x14ac:dyDescent="0.25">
      <c r="A471" s="8"/>
      <c r="D471" s="9"/>
      <c r="I471" s="4"/>
      <c r="J471" s="4"/>
      <c r="K471" s="4">
        <f>IF($J471="","",J471-I471)</f>
      </c>
      <c r="L471" s="4">
        <f>IF($J471="","",K471*16.67%)</f>
      </c>
      <c r="M471" s="4">
        <f>IF($J471="","",J471*7%)</f>
      </c>
      <c r="N471" s="4">
        <f>IF($J471="","",M471*20%)</f>
      </c>
      <c r="O471" s="4"/>
      <c r="P471" s="4">
        <f>IF($J471="","",O471*20%)</f>
      </c>
      <c r="Q471" s="4">
        <v>1</v>
      </c>
      <c r="R471" s="4">
        <f>IF($J471="","",N471+P471)</f>
      </c>
      <c r="S471" s="4">
        <f>IF($J471="","",K471-L471-M471-N471-O471-P471-Q471)</f>
      </c>
      <c r="T471" s="4">
        <f>IF($J471="","",(S471-V471)/I471*100)</f>
      </c>
      <c r="U471" s="4">
        <f>IF($J471="","",L471-R471)</f>
      </c>
      <c r="W471" s="4">
        <f>IF($J471="","",S471-V471)</f>
      </c>
    </row>
    <row r="472" spans="1:28" x14ac:dyDescent="0.25">
      <c r="A472" s="8"/>
      <c r="D472" s="9"/>
      <c r="I472" s="4"/>
      <c r="J472" s="4"/>
      <c r="K472" s="4">
        <f>IF($J472="","",J472-I472)</f>
      </c>
      <c r="L472" s="4">
        <f>IF($J472="","",K472*16.67%)</f>
      </c>
      <c r="M472" s="4">
        <f>IF($J472="","",J472*7%)</f>
      </c>
      <c r="N472" s="4">
        <f>IF($J472="","",M472*20%)</f>
      </c>
      <c r="O472" s="4"/>
      <c r="P472" s="4">
        <f>IF($J472="","",O472*20%)</f>
      </c>
      <c r="Q472" s="4">
        <v>1</v>
      </c>
      <c r="R472" s="4">
        <f>IF($J472="","",N472+P472)</f>
      </c>
      <c r="S472" s="4">
        <f>IF($J472="","",K472-L472-M472-N472-O472-P472-Q472)</f>
      </c>
      <c r="T472" s="4">
        <f>IF($J472="","",(S472-V472)/I472*100)</f>
      </c>
      <c r="U472" s="4">
        <f>IF($J472="","",L472-R472)</f>
      </c>
      <c r="W472" s="4">
        <f>IF($J472="","",S472-V472)</f>
      </c>
    </row>
    <row r="473" spans="1:28" x14ac:dyDescent="0.25">
      <c r="A473" s="8"/>
      <c r="D473" s="9"/>
      <c r="I473" s="4"/>
      <c r="J473" s="4"/>
      <c r="K473" s="4">
        <f>IF($J473="","",J473-I473)</f>
      </c>
      <c r="L473" s="4">
        <f>IF($J473="","",K473*16.67%)</f>
      </c>
      <c r="M473" s="4">
        <f>IF($J473="","",J473*7%)</f>
      </c>
      <c r="N473" s="4">
        <f>IF($J473="","",M473*20%)</f>
      </c>
      <c r="O473" s="4"/>
      <c r="P473" s="4">
        <f>IF($J473="","",O473*20%)</f>
      </c>
      <c r="Q473" s="4">
        <v>1</v>
      </c>
      <c r="R473" s="4">
        <f>IF($J473="","",N473+P473)</f>
      </c>
      <c r="S473" s="4">
        <f>IF($J473="","",K473-L473-M473-N473-O473-P473-Q473)</f>
      </c>
      <c r="T473" s="4">
        <f>IF($J473="","",(S473-V473)/I473*100)</f>
      </c>
      <c r="U473" s="4">
        <f>IF($J473="","",L473-R473)</f>
      </c>
      <c r="W473" s="4">
        <f>IF($J473="","",S473-V473)</f>
      </c>
    </row>
    <row r="474" spans="1:28" x14ac:dyDescent="0.25">
      <c r="A474" s="8"/>
      <c r="D474" s="9"/>
      <c r="I474" s="4"/>
      <c r="J474" s="4"/>
      <c r="K474" s="4">
        <f>IF($J474="","",J474-I474)</f>
      </c>
      <c r="L474" s="4">
        <f>IF($J474="","",K474*16.67%)</f>
      </c>
      <c r="M474" s="4">
        <f>IF($J474="","",J474*7%)</f>
      </c>
      <c r="N474" s="4">
        <f>IF($J474="","",M474*20%)</f>
      </c>
      <c r="O474" s="4"/>
      <c r="P474" s="4">
        <f>IF($J474="","",O474*20%)</f>
      </c>
      <c r="Q474" s="4">
        <v>1</v>
      </c>
      <c r="R474" s="4">
        <f>IF($J474="","",N474+P474)</f>
      </c>
      <c r="S474" s="4">
        <f>IF($J474="","",K474-L474-M474-N474-O474-P474-Q474)</f>
      </c>
      <c r="T474" s="4">
        <f>IF($J474="","",(S474-V474)/I474*100)</f>
      </c>
      <c r="U474" s="4">
        <f>IF($J474="","",L474-R474)</f>
      </c>
      <c r="W474" s="4">
        <f>IF($J474="","",S474-V474)</f>
      </c>
    </row>
    <row r="475" spans="1:28" x14ac:dyDescent="0.25">
      <c r="A475" s="8"/>
      <c r="D475" s="9"/>
      <c r="I475" s="4"/>
      <c r="J475" s="4"/>
      <c r="K475" s="4">
        <f>IF($J475="","",J475-I475)</f>
      </c>
      <c r="L475" s="4">
        <f>IF($J475="","",K475*16.67%)</f>
      </c>
      <c r="M475" s="4">
        <f>IF($J475="","",J475*7%)</f>
      </c>
      <c r="N475" s="4">
        <f>IF($J475="","",M475*20%)</f>
      </c>
      <c r="O475" s="4"/>
      <c r="P475" s="4">
        <f>IF($J475="","",O475*20%)</f>
      </c>
      <c r="Q475" s="4">
        <v>1</v>
      </c>
      <c r="R475" s="4">
        <f>IF($J475="","",N475+P475)</f>
      </c>
      <c r="S475" s="4">
        <f>IF($J475="","",K475-L475-M475-N475-O475-P475-Q475)</f>
      </c>
      <c r="T475" s="4">
        <f>IF($J475="","",(S475-V475)/I475*100)</f>
      </c>
      <c r="U475" s="4">
        <f>IF($J475="","",L475-R475)</f>
      </c>
      <c r="W475" s="4">
        <f>IF($J475="","",S475-V475)</f>
      </c>
    </row>
    <row r="476" spans="1:28" x14ac:dyDescent="0.25">
      <c r="A476" s="8"/>
      <c r="D476" s="9"/>
      <c r="I476" s="4"/>
      <c r="J476" s="4"/>
      <c r="K476" s="4">
        <f>IF($J476="","",J476-I476)</f>
      </c>
      <c r="L476" s="4">
        <f>IF($J476="","",K476*16.67%)</f>
      </c>
      <c r="M476" s="4">
        <f>IF($J476="","",J476*7%)</f>
      </c>
      <c r="N476" s="4">
        <f>IF($J476="","",M476*20%)</f>
      </c>
      <c r="O476" s="4"/>
      <c r="P476" s="4">
        <f>IF($J476="","",O476*20%)</f>
      </c>
      <c r="Q476" s="4">
        <v>1</v>
      </c>
      <c r="R476" s="4">
        <f>IF($J476="","",N476+P476)</f>
      </c>
      <c r="S476" s="4">
        <f>IF($J476="","",K476-L476-M476-N476-O476-P476-Q476)</f>
      </c>
      <c r="T476" s="4">
        <f>IF($J476="","",(S476-V476)/I476*100)</f>
      </c>
      <c r="U476" s="4">
        <f>IF($J476="","",L476-R476)</f>
      </c>
      <c r="W476" s="4">
        <f>IF($J476="","",S476-V476)</f>
      </c>
    </row>
    <row r="477" spans="1:28" x14ac:dyDescent="0.25">
      <c r="A477" s="8"/>
      <c r="D477" s="9"/>
      <c r="I477" s="4"/>
      <c r="J477" s="4"/>
      <c r="K477" s="4">
        <f>IF($J477="","",J477-I477)</f>
      </c>
      <c r="L477" s="4">
        <f>IF($J477="","",K477*16.67%)</f>
      </c>
      <c r="M477" s="4">
        <f>IF($J477="","",J477*7%)</f>
      </c>
      <c r="N477" s="4">
        <f>IF($J477="","",M477*20%)</f>
      </c>
      <c r="O477" s="4"/>
      <c r="P477" s="4">
        <f>IF($J477="","",O477*20%)</f>
      </c>
      <c r="Q477" s="4">
        <v>1</v>
      </c>
      <c r="R477" s="4">
        <f>IF($J477="","",N477+P477)</f>
      </c>
      <c r="S477" s="4">
        <f>IF($J477="","",K477-L477-M477-N477-O477-P477-Q477)</f>
      </c>
      <c r="T477" s="4">
        <f>IF($J477="","",(S477-V477)/I477*100)</f>
      </c>
      <c r="U477" s="4">
        <f>IF($J477="","",L477-R477)</f>
      </c>
      <c r="W477" s="4">
        <f>IF($J477="","",S477-V477)</f>
      </c>
    </row>
    <row r="478" spans="1:28" x14ac:dyDescent="0.25">
      <c r="A478" s="8"/>
      <c r="D478" s="9"/>
      <c r="I478" s="4"/>
      <c r="J478" s="4"/>
      <c r="K478" s="4">
        <f>IF($J478="","",J478-I478)</f>
      </c>
      <c r="L478" s="4">
        <f>IF($J478="","",K478*16.67%)</f>
      </c>
      <c r="M478" s="4">
        <f>IF($J478="","",J478*7%)</f>
      </c>
      <c r="N478" s="4">
        <f>IF($J478="","",M478*20%)</f>
      </c>
      <c r="O478" s="4"/>
      <c r="P478" s="4">
        <f>IF($J478="","",O478*20%)</f>
      </c>
      <c r="Q478" s="4">
        <v>1</v>
      </c>
      <c r="R478" s="4">
        <f>IF($J478="","",N478+P478)</f>
      </c>
      <c r="S478" s="4">
        <f>IF($J478="","",K478-L478-M478-N478-O478-P478-Q478)</f>
      </c>
      <c r="T478" s="4">
        <f>IF($J478="","",(S478-V478)/I478*100)</f>
      </c>
      <c r="U478" s="4">
        <f>IF($J478="","",L478-R478)</f>
      </c>
      <c r="W478" s="4">
        <f>IF($J478="","",S478-V478)</f>
      </c>
    </row>
    <row r="479" spans="1:28" x14ac:dyDescent="0.25">
      <c r="A479" s="8"/>
      <c r="D479" s="9"/>
      <c r="I479" s="4"/>
      <c r="J479" s="4"/>
      <c r="K479" s="4">
        <f>IF($J479="","",J479-I479)</f>
      </c>
      <c r="L479" s="4">
        <f>IF($J479="","",K479*16.67%)</f>
      </c>
      <c r="M479" s="4">
        <f>IF($J479="","",J479*7%)</f>
      </c>
      <c r="N479" s="4">
        <f>IF($J479="","",M479*20%)</f>
      </c>
      <c r="O479" s="4"/>
      <c r="P479" s="4">
        <f>IF($J479="","",O479*20%)</f>
      </c>
      <c r="Q479" s="4">
        <v>1</v>
      </c>
      <c r="R479" s="4">
        <f>IF($J479="","",N479+P479)</f>
      </c>
      <c r="S479" s="4">
        <f>IF($J479="","",K479-L479-M479-N479-O479-P479-Q479)</f>
      </c>
      <c r="T479" s="4">
        <f>IF($J479="","",(S479-V479)/I479*100)</f>
      </c>
      <c r="U479" s="4">
        <f>IF($J479="","",L479-R479)</f>
      </c>
      <c r="W479" s="4">
        <f>IF($J479="","",S479-V479)</f>
      </c>
    </row>
    <row r="480" spans="1:28" x14ac:dyDescent="0.25">
      <c r="A480" s="8"/>
      <c r="D480" s="9"/>
      <c r="I480" s="4"/>
      <c r="J480" s="4"/>
      <c r="K480" s="4">
        <f>IF($J480="","",J480-I480)</f>
      </c>
      <c r="L480" s="4">
        <f>IF($J480="","",K480*16.67%)</f>
      </c>
      <c r="M480" s="4">
        <f>IF($J480="","",J480*7%)</f>
      </c>
      <c r="N480" s="4">
        <f>IF($J480="","",M480*20%)</f>
      </c>
      <c r="O480" s="4"/>
      <c r="P480" s="4">
        <f>IF($J480="","",O480*20%)</f>
      </c>
      <c r="Q480" s="4">
        <v>1</v>
      </c>
      <c r="R480" s="4">
        <f>IF($J480="","",N480+P480)</f>
      </c>
      <c r="S480" s="4">
        <f>IF($J480="","",K480-L480-M480-N480-O480-P480-Q480)</f>
      </c>
      <c r="T480" s="4">
        <f>IF($J480="","",(S480-V480)/I480*100)</f>
      </c>
      <c r="U480" s="4">
        <f>IF($J480="","",L480-R480)</f>
      </c>
      <c r="W480" s="4">
        <f>IF($J480="","",S480-V480)</f>
      </c>
    </row>
    <row r="481" spans="1:28" x14ac:dyDescent="0.25">
      <c r="A481" s="8"/>
      <c r="D481" s="9"/>
      <c r="I481" s="4"/>
      <c r="J481" s="4"/>
      <c r="K481" s="4">
        <f>IF($J481="","",J481-I481)</f>
      </c>
      <c r="L481" s="4">
        <f>IF($J481="","",K481*16.67%)</f>
      </c>
      <c r="M481" s="4">
        <f>IF($J481="","",J481*7%)</f>
      </c>
      <c r="N481" s="4">
        <f>IF($J481="","",M481*20%)</f>
      </c>
      <c r="O481" s="4"/>
      <c r="P481" s="4">
        <f>IF($J481="","",O481*20%)</f>
      </c>
      <c r="Q481" s="4">
        <v>1</v>
      </c>
      <c r="R481" s="4">
        <f>IF($J481="","",N481+P481)</f>
      </c>
      <c r="S481" s="4">
        <f>IF($J481="","",K481-L481-M481-N481-O481-P481-Q481)</f>
      </c>
      <c r="T481" s="4">
        <f>IF($J481="","",(S481-V481)/I481*100)</f>
      </c>
      <c r="U481" s="4">
        <f>IF($J481="","",L481-R481)</f>
      </c>
      <c r="W481" s="4">
        <f>IF($J481="","",S481-V481)</f>
      </c>
    </row>
    <row r="482" spans="1:28" x14ac:dyDescent="0.25">
      <c r="A482" s="8"/>
      <c r="D482" s="9"/>
      <c r="I482" s="4"/>
      <c r="J482" s="4"/>
      <c r="K482" s="4">
        <f>IF($J482="","",J482-I482)</f>
      </c>
      <c r="L482" s="4">
        <f>IF($J482="","",K482*16.67%)</f>
      </c>
      <c r="M482" s="4">
        <f>IF($J482="","",J482*7%)</f>
      </c>
      <c r="N482" s="4">
        <f>IF($J482="","",M482*20%)</f>
      </c>
      <c r="O482" s="4"/>
      <c r="P482" s="4">
        <f>IF($J482="","",O482*20%)</f>
      </c>
      <c r="Q482" s="4">
        <v>1</v>
      </c>
      <c r="R482" s="4">
        <f>IF($J482="","",N482+P482)</f>
      </c>
      <c r="S482" s="4">
        <f>IF($J482="","",K482-L482-M482-N482-O482-P482-Q482)</f>
      </c>
      <c r="T482" s="4">
        <f>IF($J482="","",(S482-V482)/I482*100)</f>
      </c>
      <c r="U482" s="4">
        <f>IF($J482="","",L482-R482)</f>
      </c>
      <c r="W482" s="4">
        <f>IF($J482="","",S482-V482)</f>
      </c>
    </row>
    <row r="483" spans="1:28" x14ac:dyDescent="0.25">
      <c r="A483" s="8"/>
      <c r="D483" s="9"/>
      <c r="I483" s="4"/>
      <c r="J483" s="4"/>
      <c r="K483" s="4">
        <f>IF($J483="","",J483-I483)</f>
      </c>
      <c r="L483" s="4">
        <f>IF($J483="","",K483*16.67%)</f>
      </c>
      <c r="M483" s="4">
        <f>IF($J483="","",J483*7%)</f>
      </c>
      <c r="N483" s="4">
        <f>IF($J483="","",M483*20%)</f>
      </c>
      <c r="O483" s="4"/>
      <c r="P483" s="4">
        <f>IF($J483="","",O483*20%)</f>
      </c>
      <c r="Q483" s="4">
        <v>1</v>
      </c>
      <c r="R483" s="4">
        <f>IF($J483="","",N483+P483)</f>
      </c>
      <c r="S483" s="4">
        <f>IF($J483="","",K483-L483-M483-N483-O483-P483-Q483)</f>
      </c>
      <c r="T483" s="4">
        <f>IF($J483="","",(S483-V483)/I483*100)</f>
      </c>
      <c r="U483" s="4">
        <f>IF($J483="","",L483-R483)</f>
      </c>
      <c r="W483" s="4">
        <f>IF($J483="","",S483-V483)</f>
      </c>
    </row>
    <row r="484" spans="1:28" x14ac:dyDescent="0.25">
      <c r="A484" s="8"/>
      <c r="D484" s="9"/>
      <c r="I484" s="4"/>
      <c r="J484" s="4"/>
      <c r="K484" s="4">
        <f>IF($J484="","",J484-I484)</f>
      </c>
      <c r="L484" s="4">
        <f>IF($J484="","",K484*16.67%)</f>
      </c>
      <c r="M484" s="4">
        <f>IF($J484="","",J484*7%)</f>
      </c>
      <c r="N484" s="4">
        <f>IF($J484="","",M484*20%)</f>
      </c>
      <c r="O484" s="4"/>
      <c r="P484" s="4">
        <f>IF($J484="","",O484*20%)</f>
      </c>
      <c r="Q484" s="4">
        <v>1</v>
      </c>
      <c r="R484" s="4">
        <f>IF($J484="","",N484+P484)</f>
      </c>
      <c r="S484" s="4">
        <f>IF($J484="","",K484-L484-M484-N484-O484-P484-Q484)</f>
      </c>
      <c r="T484" s="4">
        <f>IF($J484="","",(S484-V484)/I484*100)</f>
      </c>
      <c r="U484" s="4">
        <f>IF($J484="","",L484-R484)</f>
      </c>
      <c r="W484" s="4">
        <f>IF($J484="","",S484-V484)</f>
      </c>
    </row>
    <row r="485" spans="1:28" x14ac:dyDescent="0.25">
      <c r="A485" s="8"/>
      <c r="D485" s="9"/>
      <c r="I485" s="4"/>
      <c r="J485" s="4"/>
      <c r="K485" s="4">
        <f>IF($J485="","",J485-I485)</f>
      </c>
      <c r="L485" s="4">
        <f>IF($J485="","",K485*16.67%)</f>
      </c>
      <c r="M485" s="4">
        <f>IF($J485="","",J485*7%)</f>
      </c>
      <c r="N485" s="4">
        <f>IF($J485="","",M485*20%)</f>
      </c>
      <c r="O485" s="4"/>
      <c r="P485" s="4">
        <f>IF($J485="","",O485*20%)</f>
      </c>
      <c r="Q485" s="4">
        <v>1</v>
      </c>
      <c r="R485" s="4">
        <f>IF($J485="","",N485+P485)</f>
      </c>
      <c r="S485" s="4">
        <f>IF($J485="","",K485-L485-M485-N485-O485-P485-Q485)</f>
      </c>
      <c r="T485" s="4">
        <f>IF($J485="","",(S485-V485)/I485*100)</f>
      </c>
      <c r="U485" s="4">
        <f>IF($J485="","",L485-R485)</f>
      </c>
      <c r="W485" s="4">
        <f>IF($J485="","",S485-V485)</f>
      </c>
    </row>
    <row r="486" spans="1:28" x14ac:dyDescent="0.25">
      <c r="A486" s="8"/>
      <c r="D486" s="9"/>
      <c r="I486" s="4"/>
      <c r="J486" s="4"/>
      <c r="K486" s="4">
        <f>IF($J486="","",J486-I486)</f>
      </c>
      <c r="L486" s="4">
        <f>IF($J486="","",K486*16.67%)</f>
      </c>
      <c r="M486" s="4">
        <f>IF($J486="","",J486*7%)</f>
      </c>
      <c r="N486" s="4">
        <f>IF($J486="","",M486*20%)</f>
      </c>
      <c r="O486" s="4"/>
      <c r="P486" s="4">
        <f>IF($J486="","",O486*20%)</f>
      </c>
      <c r="Q486" s="4">
        <v>1</v>
      </c>
      <c r="R486" s="4">
        <f>IF($J486="","",N486+P486)</f>
      </c>
      <c r="S486" s="4">
        <f>IF($J486="","",K486-L486-M486-N486-O486-P486-Q486)</f>
      </c>
      <c r="T486" s="4">
        <f>IF($J486="","",(S486-V486)/I486*100)</f>
      </c>
      <c r="U486" s="4">
        <f>IF($J486="","",L486-R486)</f>
      </c>
      <c r="W486" s="4">
        <f>IF($J486="","",S486-V486)</f>
      </c>
    </row>
    <row r="487" spans="1:28" x14ac:dyDescent="0.25">
      <c r="A487" s="8"/>
      <c r="D487" s="9"/>
      <c r="I487" s="4"/>
      <c r="J487" s="4"/>
      <c r="K487" s="4">
        <f>IF($J487="","",J487-I487)</f>
      </c>
      <c r="L487" s="4">
        <f>IF($J487="","",K487*16.67%)</f>
      </c>
      <c r="M487" s="4">
        <f>IF($J487="","",J487*7%)</f>
      </c>
      <c r="N487" s="4">
        <f>IF($J487="","",M487*20%)</f>
      </c>
      <c r="O487" s="4"/>
      <c r="P487" s="4">
        <f>IF($J487="","",O487*20%)</f>
      </c>
      <c r="Q487" s="4">
        <v>1</v>
      </c>
      <c r="R487" s="4">
        <f>IF($J487="","",N487+P487)</f>
      </c>
      <c r="S487" s="4">
        <f>IF($J487="","",K487-L487-M487-N487-O487-P487-Q487)</f>
      </c>
      <c r="T487" s="4">
        <f>IF($J487="","",(S487-V487)/I487*100)</f>
      </c>
      <c r="U487" s="4">
        <f>IF($J487="","",L487-R487)</f>
      </c>
      <c r="W487" s="4">
        <f>IF($J487="","",S487-V487)</f>
      </c>
    </row>
    <row r="488" spans="1:28" x14ac:dyDescent="0.25">
      <c r="A488" s="8"/>
      <c r="D488" s="9"/>
      <c r="I488" s="4"/>
      <c r="J488" s="4"/>
      <c r="K488" s="4">
        <f>IF($J488="","",J488-I488)</f>
      </c>
      <c r="L488" s="4">
        <f>IF($J488="","",K488*16.67%)</f>
      </c>
      <c r="M488" s="4">
        <f>IF($J488="","",J488*7%)</f>
      </c>
      <c r="N488" s="4">
        <f>IF($J488="","",M488*20%)</f>
      </c>
      <c r="O488" s="4"/>
      <c r="P488" s="4">
        <f>IF($J488="","",O488*20%)</f>
      </c>
      <c r="Q488" s="4">
        <v>1</v>
      </c>
      <c r="R488" s="4">
        <f>IF($J488="","",N488+P488)</f>
      </c>
      <c r="S488" s="4">
        <f>IF($J488="","",K488-L488-M488-N488-O488-P488-Q488)</f>
      </c>
      <c r="T488" s="4">
        <f>IF($J488="","",(S488-V488)/I488*100)</f>
      </c>
      <c r="U488" s="4">
        <f>IF($J488="","",L488-R488)</f>
      </c>
      <c r="W488" s="4">
        <f>IF($J488="","",S488-V488)</f>
      </c>
    </row>
    <row r="489" spans="1:28" x14ac:dyDescent="0.25">
      <c r="A489" s="8"/>
      <c r="D489" s="9"/>
      <c r="I489" s="4"/>
      <c r="J489" s="4"/>
      <c r="K489" s="4">
        <f>IF($J489="","",J489-I489)</f>
      </c>
      <c r="L489" s="4">
        <f>IF($J489="","",K489*16.67%)</f>
      </c>
      <c r="M489" s="4">
        <f>IF($J489="","",J489*7%)</f>
      </c>
      <c r="N489" s="4">
        <f>IF($J489="","",M489*20%)</f>
      </c>
      <c r="O489" s="4"/>
      <c r="P489" s="4">
        <f>IF($J489="","",O489*20%)</f>
      </c>
      <c r="Q489" s="4">
        <v>1</v>
      </c>
      <c r="R489" s="4">
        <f>IF($J489="","",N489+P489)</f>
      </c>
      <c r="S489" s="4">
        <f>IF($J489="","",K489-L489-M489-N489-O489-P489-Q489)</f>
      </c>
      <c r="T489" s="4">
        <f>IF($J489="","",(S489-V489)/I489*100)</f>
      </c>
      <c r="U489" s="4">
        <f>IF($J489="","",L489-R489)</f>
      </c>
      <c r="W489" s="4">
        <f>IF($J489="","",S489-V489)</f>
      </c>
    </row>
    <row r="490" spans="1:28" x14ac:dyDescent="0.25">
      <c r="A490" s="8"/>
      <c r="D490" s="9"/>
      <c r="I490" s="4"/>
      <c r="J490" s="4"/>
      <c r="K490" s="4">
        <f>IF($J490="","",J490-I490)</f>
      </c>
      <c r="L490" s="4">
        <f>IF($J490="","",K490*16.67%)</f>
      </c>
      <c r="M490" s="4">
        <f>IF($J490="","",J490*7%)</f>
      </c>
      <c r="N490" s="4">
        <f>IF($J490="","",M490*20%)</f>
      </c>
      <c r="O490" s="4"/>
      <c r="P490" s="4">
        <f>IF($J490="","",O490*20%)</f>
      </c>
      <c r="Q490" s="4">
        <v>1</v>
      </c>
      <c r="R490" s="4">
        <f>IF($J490="","",N490+P490)</f>
      </c>
      <c r="S490" s="4">
        <f>IF($J490="","",K490-L490-M490-N490-O490-P490-Q490)</f>
      </c>
      <c r="T490" s="4">
        <f>IF($J490="","",(S490-V490)/I490*100)</f>
      </c>
      <c r="U490" s="4">
        <f>IF($J490="","",L490-R490)</f>
      </c>
      <c r="W490" s="4">
        <f>IF($J490="","",S490-V490)</f>
      </c>
    </row>
    <row r="491" spans="1:28" x14ac:dyDescent="0.25">
      <c r="A491" s="8"/>
      <c r="D491" s="9"/>
      <c r="I491" s="4"/>
      <c r="J491" s="4"/>
      <c r="K491" s="4">
        <f>IF($J491="","",J491-I491)</f>
      </c>
      <c r="L491" s="4">
        <f>IF($J491="","",K491*16.67%)</f>
      </c>
      <c r="M491" s="4">
        <f>IF($J491="","",J491*7%)</f>
      </c>
      <c r="N491" s="4">
        <f>IF($J491="","",M491*20%)</f>
      </c>
      <c r="O491" s="4"/>
      <c r="P491" s="4">
        <f>IF($J491="","",O491*20%)</f>
      </c>
      <c r="Q491" s="4">
        <v>1</v>
      </c>
      <c r="R491" s="4">
        <f>IF($J491="","",N491+P491)</f>
      </c>
      <c r="S491" s="4">
        <f>IF($J491="","",K491-L491-M491-N491-O491-P491-Q491)</f>
      </c>
      <c r="T491" s="4">
        <f>IF($J491="","",(S491-V491)/I491*100)</f>
      </c>
      <c r="U491" s="4">
        <f>IF($J491="","",L491-R491)</f>
      </c>
      <c r="W491" s="4">
        <f>IF($J491="","",S491-V491)</f>
      </c>
    </row>
    <row r="492" spans="1:28" x14ac:dyDescent="0.25">
      <c r="A492" s="8"/>
      <c r="D492" s="9"/>
      <c r="I492" s="4"/>
      <c r="J492" s="4"/>
      <c r="K492" s="4">
        <f>IF($J492="","",J492-I492)</f>
      </c>
      <c r="L492" s="4">
        <f>IF($J492="","",K492*16.67%)</f>
      </c>
      <c r="M492" s="4">
        <f>IF($J492="","",J492*7%)</f>
      </c>
      <c r="N492" s="4">
        <f>IF($J492="","",M492*20%)</f>
      </c>
      <c r="O492" s="4"/>
      <c r="P492" s="4">
        <f>IF($J492="","",O492*20%)</f>
      </c>
      <c r="Q492" s="4">
        <v>1</v>
      </c>
      <c r="R492" s="4">
        <f>IF($J492="","",N492+P492)</f>
      </c>
      <c r="S492" s="4">
        <f>IF($J492="","",K492-L492-M492-N492-O492-P492-Q492)</f>
      </c>
      <c r="T492" s="4">
        <f>IF($J492="","",(S492-V492)/I492*100)</f>
      </c>
      <c r="U492" s="4">
        <f>IF($J492="","",L492-R492)</f>
      </c>
      <c r="W492" s="4">
        <f>IF($J492="","",S492-V492)</f>
      </c>
    </row>
    <row r="493" spans="1:28" x14ac:dyDescent="0.25">
      <c r="A493" s="8"/>
      <c r="D493" s="9"/>
      <c r="I493" s="4"/>
      <c r="J493" s="4"/>
      <c r="K493" s="4">
        <f>IF($J493="","",J493-I493)</f>
      </c>
      <c r="L493" s="4">
        <f>IF($J493="","",K493*16.67%)</f>
      </c>
      <c r="M493" s="4">
        <f>IF($J493="","",J493*7%)</f>
      </c>
      <c r="N493" s="4">
        <f>IF($J493="","",M493*20%)</f>
      </c>
      <c r="O493" s="4"/>
      <c r="P493" s="4">
        <f>IF($J493="","",O493*20%)</f>
      </c>
      <c r="Q493" s="4">
        <v>1</v>
      </c>
      <c r="R493" s="4">
        <f>IF($J493="","",N493+P493)</f>
      </c>
      <c r="S493" s="4">
        <f>IF($J493="","",K493-L493-M493-N493-O493-P493-Q493)</f>
      </c>
      <c r="T493" s="4">
        <f>IF($J493="","",(S493-V493)/I493*100)</f>
      </c>
      <c r="U493" s="4">
        <f>IF($J493="","",L493-R493)</f>
      </c>
      <c r="W493" s="4">
        <f>IF($J493="","",S493-V493)</f>
      </c>
    </row>
    <row r="494" spans="1:28" x14ac:dyDescent="0.25">
      <c r="A494" s="8"/>
      <c r="D494" s="9"/>
      <c r="I494" s="4"/>
      <c r="J494" s="4"/>
      <c r="K494" s="4">
        <f>IF($J494="","",J494-I494)</f>
      </c>
      <c r="L494" s="4">
        <f>IF($J494="","",K494*16.67%)</f>
      </c>
      <c r="M494" s="4">
        <f>IF($J494="","",J494*7%)</f>
      </c>
      <c r="N494" s="4">
        <f>IF($J494="","",M494*20%)</f>
      </c>
      <c r="O494" s="4"/>
      <c r="P494" s="4">
        <f>IF($J494="","",O494*20%)</f>
      </c>
      <c r="Q494" s="4">
        <v>1</v>
      </c>
      <c r="R494" s="4">
        <f>IF($J494="","",N494+P494)</f>
      </c>
      <c r="S494" s="4">
        <f>IF($J494="","",K494-L494-M494-N494-O494-P494-Q494)</f>
      </c>
      <c r="T494" s="4">
        <f>IF($J494="","",(S494-V494)/I494*100)</f>
      </c>
      <c r="U494" s="4">
        <f>IF($J494="","",L494-R494)</f>
      </c>
      <c r="W494" s="4">
        <f>IF($J494="","",S494-V494)</f>
      </c>
    </row>
    <row r="495" spans="1:28" x14ac:dyDescent="0.25">
      <c r="A495" s="8"/>
      <c r="D495" s="9"/>
      <c r="I495" s="4"/>
      <c r="J495" s="4"/>
      <c r="K495" s="4">
        <f>IF($J495="","",J495-I495)</f>
      </c>
      <c r="L495" s="4">
        <f>IF($J495="","",K495*16.67%)</f>
      </c>
      <c r="M495" s="4">
        <f>IF($J495="","",J495*7%)</f>
      </c>
      <c r="N495" s="4">
        <f>IF($J495="","",M495*20%)</f>
      </c>
      <c r="O495" s="4"/>
      <c r="P495" s="4">
        <f>IF($J495="","",O495*20%)</f>
      </c>
      <c r="Q495" s="4">
        <v>1</v>
      </c>
      <c r="R495" s="4">
        <f>IF($J495="","",N495+P495)</f>
      </c>
      <c r="S495" s="4">
        <f>IF($J495="","",K495-L495-M495-N495-O495-P495-Q495)</f>
      </c>
      <c r="T495" s="4">
        <f>IF($J495="","",(S495-V495)/I495*100)</f>
      </c>
      <c r="U495" s="4">
        <f>IF($J495="","",L495-R495)</f>
      </c>
      <c r="W495" s="4">
        <f>IF($J495="","",S495-V495)</f>
      </c>
    </row>
    <row r="496" spans="1:28" x14ac:dyDescent="0.25">
      <c r="A496" s="8"/>
      <c r="D496" s="9"/>
      <c r="I496" s="4"/>
      <c r="J496" s="4"/>
      <c r="K496" s="4">
        <f>IF($J496="","",J496-I496)</f>
      </c>
      <c r="L496" s="4">
        <f>IF($J496="","",K496*16.67%)</f>
      </c>
      <c r="M496" s="4">
        <f>IF($J496="","",J496*7%)</f>
      </c>
      <c r="N496" s="4">
        <f>IF($J496="","",M496*20%)</f>
      </c>
      <c r="O496" s="4"/>
      <c r="P496" s="4">
        <f>IF($J496="","",O496*20%)</f>
      </c>
      <c r="Q496" s="4">
        <v>1</v>
      </c>
      <c r="R496" s="4">
        <f>IF($J496="","",N496+P496)</f>
      </c>
      <c r="S496" s="4">
        <f>IF($J496="","",K496-L496-M496-N496-O496-P496-Q496)</f>
      </c>
      <c r="T496" s="4">
        <f>IF($J496="","",(S496-V496)/I496*100)</f>
      </c>
      <c r="U496" s="4">
        <f>IF($J496="","",L496-R496)</f>
      </c>
      <c r="W496" s="4">
        <f>IF($J496="","",S496-V496)</f>
      </c>
    </row>
    <row r="497" spans="1:28" x14ac:dyDescent="0.25">
      <c r="A497" s="8"/>
      <c r="D497" s="9"/>
      <c r="I497" s="4"/>
      <c r="J497" s="4"/>
      <c r="K497" s="4">
        <f>IF($J497="","",J497-I497)</f>
      </c>
      <c r="L497" s="4">
        <f>IF($J497="","",K497*16.67%)</f>
      </c>
      <c r="M497" s="4">
        <f>IF($J497="","",J497*7%)</f>
      </c>
      <c r="N497" s="4">
        <f>IF($J497="","",M497*20%)</f>
      </c>
      <c r="O497" s="4"/>
      <c r="P497" s="4">
        <f>IF($J497="","",O497*20%)</f>
      </c>
      <c r="Q497" s="4">
        <v>1</v>
      </c>
      <c r="R497" s="4">
        <f>IF($J497="","",N497+P497)</f>
      </c>
      <c r="S497" s="4">
        <f>IF($J497="","",K497-L497-M497-N497-O497-P497-Q497)</f>
      </c>
      <c r="T497" s="4">
        <f>IF($J497="","",(S497-V497)/I497*100)</f>
      </c>
      <c r="U497" s="4">
        <f>IF($J497="","",L497-R497)</f>
      </c>
      <c r="W497" s="4">
        <f>IF($J497="","",S497-V497)</f>
      </c>
    </row>
    <row r="498" spans="1:28" x14ac:dyDescent="0.25">
      <c r="A498" s="8"/>
      <c r="D498" s="9"/>
      <c r="I498" s="4"/>
      <c r="J498" s="4"/>
      <c r="K498" s="4">
        <f>IF($J498="","",J498-I498)</f>
      </c>
      <c r="L498" s="4">
        <f>IF($J498="","",K498*16.67%)</f>
      </c>
      <c r="M498" s="4">
        <f>IF($J498="","",J498*7%)</f>
      </c>
      <c r="N498" s="4">
        <f>IF($J498="","",M498*20%)</f>
      </c>
      <c r="O498" s="4"/>
      <c r="P498" s="4">
        <f>IF($J498="","",O498*20%)</f>
      </c>
      <c r="Q498" s="4">
        <v>1</v>
      </c>
      <c r="R498" s="4">
        <f>IF($J498="","",N498+P498)</f>
      </c>
      <c r="S498" s="4">
        <f>IF($J498="","",K498-L498-M498-N498-O498-P498-Q498)</f>
      </c>
      <c r="T498" s="4">
        <f>IF($J498="","",(S498-V498)/I498*100)</f>
      </c>
      <c r="U498" s="4">
        <f>IF($J498="","",L498-R498)</f>
      </c>
      <c r="W498" s="4">
        <f>IF($J498="","",S498-V498)</f>
      </c>
    </row>
    <row r="499" spans="1:28" x14ac:dyDescent="0.25">
      <c r="A499" s="8"/>
      <c r="D499" s="9"/>
      <c r="I499" s="4"/>
      <c r="J499" s="4"/>
      <c r="K499" s="4">
        <f>IF($J499="","",J499-I499)</f>
      </c>
      <c r="L499" s="4">
        <f>IF($J499="","",K499*16.67%)</f>
      </c>
      <c r="M499" s="4">
        <f>IF($J499="","",J499*7%)</f>
      </c>
      <c r="N499" s="4">
        <f>IF($J499="","",M499*20%)</f>
      </c>
      <c r="O499" s="4"/>
      <c r="P499" s="4">
        <f>IF($J499="","",O499*20%)</f>
      </c>
      <c r="Q499" s="4">
        <v>1</v>
      </c>
      <c r="R499" s="4">
        <f>IF($J499="","",N499+P499)</f>
      </c>
      <c r="S499" s="4">
        <f>IF($J499="","",K499-L499-M499-N499-O499-P499-Q499)</f>
      </c>
      <c r="T499" s="4">
        <f>IF($J499="","",(S499-V499)/I499*100)</f>
      </c>
      <c r="U499" s="4">
        <f>IF($J499="","",L499-R499)</f>
      </c>
      <c r="W499" s="4">
        <f>IF($J499="","",S499-V499)</f>
      </c>
    </row>
    <row r="500" spans="1:28" x14ac:dyDescent="0.25">
      <c r="A500" s="8"/>
      <c r="D500" s="9"/>
      <c r="I500" s="4"/>
      <c r="J500" s="4"/>
      <c r="K500" s="4">
        <f>IF($J500="","",J500-I500)</f>
      </c>
      <c r="L500" s="4">
        <f>IF($J500="","",K500*16.67%)</f>
      </c>
      <c r="M500" s="4">
        <f>IF($J500="","",J500*7%)</f>
      </c>
      <c r="N500" s="4">
        <f>IF($J500="","",M500*20%)</f>
      </c>
      <c r="O500" s="4"/>
      <c r="P500" s="4">
        <f>IF($J500="","",O500*20%)</f>
      </c>
      <c r="Q500" s="4">
        <v>1</v>
      </c>
      <c r="R500" s="4">
        <f>IF($J500="","",N500+P500)</f>
      </c>
      <c r="S500" s="4">
        <f>IF($J500="","",K500-L500-M500-N500-O500-P500-Q500)</f>
      </c>
      <c r="T500" s="4">
        <f>IF($J500="","",(S500-V500)/I500*100)</f>
      </c>
      <c r="U500" s="4">
        <f>IF($J500="","",L500-R500)</f>
      </c>
      <c r="W500" s="4">
        <f>IF($J500="","",S500-V500)</f>
      </c>
    </row>
    <row r="501" spans="1:28" x14ac:dyDescent="0.25">
      <c r="A501" s="8"/>
      <c r="D501" s="9"/>
      <c r="I501" s="4"/>
      <c r="J501" s="4"/>
      <c r="K501" s="4">
        <f>IF($J501="","",J501-I501)</f>
      </c>
      <c r="L501" s="4">
        <f>IF($J501="","",K501*16.67%)</f>
      </c>
      <c r="M501" s="4">
        <f>IF($J501="","",J501*7%)</f>
      </c>
      <c r="N501" s="4">
        <f>IF($J501="","",M501*20%)</f>
      </c>
      <c r="O501" s="4"/>
      <c r="P501" s="4">
        <f>IF($J501="","",O501*20%)</f>
      </c>
      <c r="Q501" s="4">
        <v>1</v>
      </c>
      <c r="R501" s="4">
        <f>IF($J501="","",N501+P501)</f>
      </c>
      <c r="S501" s="4">
        <f>IF($J501="","",K501-L501-M501-N501-O501-P501-Q501)</f>
      </c>
      <c r="T501" s="4">
        <f>IF($J501="","",(S501-V501)/I501*100)</f>
      </c>
      <c r="U501" s="4">
        <f>IF($J501="","",L501-R501)</f>
      </c>
      <c r="W501" s="4">
        <f>IF($J501="","",S501-V501)</f>
      </c>
    </row>
    <row r="502" spans="1:28" x14ac:dyDescent="0.25">
      <c r="A502" s="8"/>
      <c r="D502" s="9"/>
      <c r="I502" s="4"/>
      <c r="J502" s="4"/>
      <c r="K502" s="4">
        <f>IF($J502="","",J502-I502)</f>
      </c>
      <c r="L502" s="4">
        <f>IF($J502="","",K502*16.67%)</f>
      </c>
      <c r="M502" s="4">
        <f>IF($J502="","",J502*7%)</f>
      </c>
      <c r="N502" s="4">
        <f>IF($J502="","",M502*20%)</f>
      </c>
      <c r="O502" s="4"/>
      <c r="P502" s="4">
        <f>IF($J502="","",O502*20%)</f>
      </c>
      <c r="Q502" s="4">
        <v>1</v>
      </c>
      <c r="R502" s="4">
        <f>IF($J502="","",N502+P502)</f>
      </c>
      <c r="S502" s="4">
        <f>IF($J502="","",K502-L502-M502-N502-O502-P502-Q502)</f>
      </c>
      <c r="T502" s="4">
        <f>IF($J502="","",(S502-V502)/I502*100)</f>
      </c>
      <c r="U502" s="4">
        <f>IF($J502="","",L502-R502)</f>
      </c>
      <c r="W502" s="4">
        <f>IF($J502="","",S502-V502)</f>
      </c>
    </row>
    <row r="503" spans="1:28" x14ac:dyDescent="0.25">
      <c r="A503" s="8"/>
      <c r="D503" s="9"/>
      <c r="I503" s="4"/>
      <c r="J503" s="4"/>
      <c r="K503" s="4">
        <f>IF($J503="","",J503-I503)</f>
      </c>
      <c r="L503" s="4">
        <f>IF($J503="","",K503*16.67%)</f>
      </c>
      <c r="M503" s="4">
        <f>IF($J503="","",J503*7%)</f>
      </c>
      <c r="N503" s="4">
        <f>IF($J503="","",M503*20%)</f>
      </c>
      <c r="O503" s="4"/>
      <c r="P503" s="4">
        <f>IF($J503="","",O503*20%)</f>
      </c>
      <c r="Q503" s="4">
        <v>1</v>
      </c>
      <c r="R503" s="4">
        <f>IF($J503="","",N503+P503)</f>
      </c>
      <c r="S503" s="4">
        <f>IF($J503="","",K503-L503-M503-N503-O503-P503-Q503)</f>
      </c>
      <c r="T503" s="4">
        <f>IF($J503="","",(S503-V503)/I503*100)</f>
      </c>
      <c r="U503" s="4">
        <f>IF($J503="","",L503-R503)</f>
      </c>
      <c r="W503" s="4">
        <f>IF($J503="","",S503-V503)</f>
      </c>
    </row>
    <row r="504" spans="1:28" x14ac:dyDescent="0.25">
      <c r="A504" s="8"/>
      <c r="D504" s="9"/>
      <c r="I504" s="4"/>
      <c r="J504" s="4"/>
      <c r="K504" s="4">
        <f>IF($J504="","",J504-I504)</f>
      </c>
      <c r="L504" s="4">
        <f>IF($J504="","",K504*16.67%)</f>
      </c>
      <c r="M504" s="4">
        <f>IF($J504="","",J504*7%)</f>
      </c>
      <c r="N504" s="4">
        <f>IF($J504="","",M504*20%)</f>
      </c>
      <c r="O504" s="4"/>
      <c r="P504" s="4">
        <f>IF($J504="","",O504*20%)</f>
      </c>
      <c r="Q504" s="4">
        <v>1</v>
      </c>
      <c r="R504" s="4">
        <f>IF($J504="","",N504+P504)</f>
      </c>
      <c r="S504" s="4">
        <f>IF($J504="","",K504-L504-M504-N504-O504-P504-Q504)</f>
      </c>
      <c r="T504" s="4">
        <f>IF($J504="","",(S504-V504)/I504*100)</f>
      </c>
      <c r="U504" s="4">
        <f>IF($J504="","",L504-R504)</f>
      </c>
      <c r="W504" s="4">
        <f>IF($J504="","",S504-V504)</f>
      </c>
    </row>
    <row r="505" spans="1:28" x14ac:dyDescent="0.25">
      <c r="A505" s="8"/>
      <c r="D505" s="9"/>
      <c r="I505" s="4"/>
      <c r="J505" s="4"/>
      <c r="K505" s="4">
        <f>IF($J505="","",J505-I505)</f>
      </c>
      <c r="L505" s="4">
        <f>IF($J505="","",K505*16.67%)</f>
      </c>
      <c r="M505" s="4">
        <f>IF($J505="","",J505*7%)</f>
      </c>
      <c r="N505" s="4">
        <f>IF($J505="","",M505*20%)</f>
      </c>
      <c r="O505" s="4"/>
      <c r="P505" s="4">
        <f>IF($J505="","",O505*20%)</f>
      </c>
      <c r="Q505" s="4">
        <v>1</v>
      </c>
      <c r="R505" s="4">
        <f>IF($J505="","",N505+P505)</f>
      </c>
      <c r="S505" s="4">
        <f>IF($J505="","",K505-L505-M505-N505-O505-P505-Q505)</f>
      </c>
      <c r="T505" s="4">
        <f>IF($J505="","",(S505-V505)/I505*100)</f>
      </c>
      <c r="U505" s="4">
        <f>IF($J505="","",L505-R505)</f>
      </c>
      <c r="W505" s="4">
        <f>IF($J505="","",S505-V505)</f>
      </c>
    </row>
    <row r="506" spans="1:28" x14ac:dyDescent="0.25">
      <c r="A506" s="8"/>
      <c r="D506" s="9"/>
      <c r="I506" s="4"/>
      <c r="J506" s="4"/>
      <c r="K506" s="4">
        <f>IF($J506="","",J506-I506)</f>
      </c>
      <c r="L506" s="4">
        <f>IF($J506="","",K506*16.67%)</f>
      </c>
      <c r="M506" s="4">
        <f>IF($J506="","",J506*7%)</f>
      </c>
      <c r="N506" s="4">
        <f>IF($J506="","",M506*20%)</f>
      </c>
      <c r="O506" s="4"/>
      <c r="P506" s="4">
        <f>IF($J506="","",O506*20%)</f>
      </c>
      <c r="Q506" s="4">
        <v>1</v>
      </c>
      <c r="R506" s="4">
        <f>IF($J506="","",N506+P506)</f>
      </c>
      <c r="S506" s="4">
        <f>IF($J506="","",K506-L506-M506-N506-O506-P506-Q506)</f>
      </c>
      <c r="T506" s="4">
        <f>IF($J506="","",(S506-V506)/I506*100)</f>
      </c>
      <c r="U506" s="4">
        <f>IF($J506="","",L506-R506)</f>
      </c>
      <c r="W506" s="4">
        <f>IF($J506="","",S506-V506)</f>
      </c>
    </row>
    <row r="507" spans="1:28" x14ac:dyDescent="0.25">
      <c r="A507" s="8"/>
      <c r="D507" s="9"/>
      <c r="I507" s="4"/>
      <c r="J507" s="4"/>
      <c r="K507" s="4">
        <f>IF($J507="","",J507-I507)</f>
      </c>
      <c r="L507" s="4">
        <f>IF($J507="","",K507*16.67%)</f>
      </c>
      <c r="M507" s="4">
        <f>IF($J507="","",J507*7%)</f>
      </c>
      <c r="N507" s="4">
        <f>IF($J507="","",M507*20%)</f>
      </c>
      <c r="O507" s="4"/>
      <c r="P507" s="4">
        <f>IF($J507="","",O507*20%)</f>
      </c>
      <c r="Q507" s="4">
        <v>1</v>
      </c>
      <c r="R507" s="4">
        <f>IF($J507="","",N507+P507)</f>
      </c>
      <c r="S507" s="4">
        <f>IF($J507="","",K507-L507-M507-N507-O507-P507-Q507)</f>
      </c>
      <c r="T507" s="4">
        <f>IF($J507="","",(S507-V507)/I507*100)</f>
      </c>
      <c r="U507" s="4">
        <f>IF($J507="","",L507-R507)</f>
      </c>
      <c r="W507" s="4">
        <f>IF($J507="","",S507-V507)</f>
      </c>
    </row>
    <row r="508" spans="1:28" x14ac:dyDescent="0.25">
      <c r="A508" s="8"/>
      <c r="D508" s="9"/>
      <c r="I508" s="4"/>
      <c r="J508" s="4"/>
      <c r="K508" s="4">
        <f>IF($J508="","",J508-I508)</f>
      </c>
      <c r="L508" s="4">
        <f>IF($J508="","",K508*16.67%)</f>
      </c>
      <c r="M508" s="4">
        <f>IF($J508="","",J508*7%)</f>
      </c>
      <c r="N508" s="4">
        <f>IF($J508="","",M508*20%)</f>
      </c>
      <c r="O508" s="4"/>
      <c r="P508" s="4">
        <f>IF($J508="","",O508*20%)</f>
      </c>
      <c r="Q508" s="4">
        <v>1</v>
      </c>
      <c r="R508" s="4">
        <f>IF($J508="","",N508+P508)</f>
      </c>
      <c r="S508" s="4">
        <f>IF($J508="","",K508-L508-M508-N508-O508-P508-Q508)</f>
      </c>
      <c r="T508" s="4">
        <f>IF($J508="","",(S508-V508)/I508*100)</f>
      </c>
      <c r="U508" s="4">
        <f>IF($J508="","",L508-R508)</f>
      </c>
      <c r="W508" s="4">
        <f>IF($J508="","",S508-V508)</f>
      </c>
    </row>
    <row r="509" spans="1:28" x14ac:dyDescent="0.25">
      <c r="A509" s="8"/>
      <c r="D509" s="9"/>
      <c r="I509" s="4"/>
      <c r="J509" s="4"/>
      <c r="K509" s="4">
        <f>IF($J509="","",J509-I509)</f>
      </c>
      <c r="L509" s="4">
        <f>IF($J509="","",K509*16.67%)</f>
      </c>
      <c r="M509" s="4">
        <f>IF($J509="","",J509*7%)</f>
      </c>
      <c r="N509" s="4">
        <f>IF($J509="","",M509*20%)</f>
      </c>
      <c r="O509" s="4"/>
      <c r="P509" s="4">
        <f>IF($J509="","",O509*20%)</f>
      </c>
      <c r="Q509" s="4">
        <v>1</v>
      </c>
      <c r="R509" s="4">
        <f>IF($J509="","",N509+P509)</f>
      </c>
      <c r="S509" s="4">
        <f>IF($J509="","",K509-L509-M509-N509-O509-P509-Q509)</f>
      </c>
      <c r="T509" s="4">
        <f>IF($J509="","",(S509-V509)/I509*100)</f>
      </c>
      <c r="U509" s="4">
        <f>IF($J509="","",L509-R509)</f>
      </c>
      <c r="W509" s="4">
        <f>IF($J509="","",S509-V509)</f>
      </c>
    </row>
    <row r="510" spans="1:28" x14ac:dyDescent="0.25">
      <c r="A510" s="8"/>
      <c r="D510" s="9"/>
      <c r="I510" s="4"/>
      <c r="J510" s="4"/>
      <c r="K510" s="4">
        <f>IF($J510="","",J510-I510)</f>
      </c>
      <c r="L510" s="4">
        <f>IF($J510="","",K510*16.67%)</f>
      </c>
      <c r="M510" s="4">
        <f>IF($J510="","",J510*7%)</f>
      </c>
      <c r="N510" s="4">
        <f>IF($J510="","",M510*20%)</f>
      </c>
      <c r="O510" s="4"/>
      <c r="P510" s="4">
        <f>IF($J510="","",O510*20%)</f>
      </c>
      <c r="Q510" s="4">
        <v>1</v>
      </c>
      <c r="R510" s="4">
        <f>IF($J510="","",N510+P510)</f>
      </c>
      <c r="S510" s="4">
        <f>IF($J510="","",K510-L510-M510-N510-O510-P510-Q510)</f>
      </c>
      <c r="T510" s="4">
        <f>IF($J510="","",(S510-V510)/I510*100)</f>
      </c>
      <c r="U510" s="4">
        <f>IF($J510="","",L510-R510)</f>
      </c>
      <c r="W510" s="4">
        <f>IF($J510="","",S510-V510)</f>
      </c>
    </row>
    <row r="511" spans="1:28" x14ac:dyDescent="0.25">
      <c r="A511" s="8"/>
      <c r="D511" s="9"/>
      <c r="I511" s="4"/>
      <c r="J511" s="4"/>
      <c r="K511" s="4">
        <f>IF($J511="","",J511-I511)</f>
      </c>
      <c r="L511" s="4">
        <f>IF($J511="","",K511*16.67%)</f>
      </c>
      <c r="M511" s="4">
        <f>IF($J511="","",J511*7%)</f>
      </c>
      <c r="N511" s="4">
        <f>IF($J511="","",M511*20%)</f>
      </c>
      <c r="O511" s="4"/>
      <c r="P511" s="4">
        <f>IF($J511="","",O511*20%)</f>
      </c>
      <c r="Q511" s="4">
        <v>1</v>
      </c>
      <c r="R511" s="4">
        <f>IF($J511="","",N511+P511)</f>
      </c>
      <c r="S511" s="4">
        <f>IF($J511="","",K511-L511-M511-N511-O511-P511-Q511)</f>
      </c>
      <c r="T511" s="4">
        <f>IF($J511="","",(S511-V511)/I511*100)</f>
      </c>
      <c r="U511" s="4">
        <f>IF($J511="","",L511-R511)</f>
      </c>
      <c r="W511" s="4">
        <f>IF($J511="","",S511-V511)</f>
      </c>
    </row>
    <row r="512" spans="1:28" x14ac:dyDescent="0.25">
      <c r="A512" s="8"/>
      <c r="D512" s="9"/>
      <c r="I512" s="4"/>
      <c r="J512" s="4"/>
      <c r="K512" s="4">
        <f>IF($J512="","",J512-I512)</f>
      </c>
      <c r="L512" s="4">
        <f>IF($J512="","",K512*16.67%)</f>
      </c>
      <c r="M512" s="4">
        <f>IF($J512="","",J512*7%)</f>
      </c>
      <c r="N512" s="4">
        <f>IF($J512="","",M512*20%)</f>
      </c>
      <c r="O512" s="4"/>
      <c r="P512" s="4">
        <f>IF($J512="","",O512*20%)</f>
      </c>
      <c r="Q512" s="4">
        <v>1</v>
      </c>
      <c r="R512" s="4">
        <f>IF($J512="","",N512+P512)</f>
      </c>
      <c r="S512" s="4">
        <f>IF($J512="","",K512-L512-M512-N512-O512-P512-Q512)</f>
      </c>
      <c r="T512" s="4">
        <f>IF($J512="","",(S512-V512)/I512*100)</f>
      </c>
      <c r="U512" s="4">
        <f>IF($J512="","",L512-R512)</f>
      </c>
      <c r="W512" s="4">
        <f>IF($J512="","",S512-V512)</f>
      </c>
    </row>
    <row r="513" spans="1:28" x14ac:dyDescent="0.25">
      <c r="A513" s="8"/>
      <c r="D513" s="9"/>
      <c r="I513" s="4"/>
      <c r="J513" s="4"/>
      <c r="K513" s="4">
        <f>IF($J513="","",J513-I513)</f>
      </c>
      <c r="L513" s="4">
        <f>IF($J513="","",K513*16.67%)</f>
      </c>
      <c r="M513" s="4">
        <f>IF($J513="","",J513*7%)</f>
      </c>
      <c r="N513" s="4">
        <f>IF($J513="","",M513*20%)</f>
      </c>
      <c r="O513" s="4"/>
      <c r="P513" s="4">
        <f>IF($J513="","",O513*20%)</f>
      </c>
      <c r="Q513" s="4">
        <v>1</v>
      </c>
      <c r="R513" s="4">
        <f>IF($J513="","",N513+P513)</f>
      </c>
      <c r="S513" s="4">
        <f>IF($J513="","",K513-L513-M513-N513-O513-P513-Q513)</f>
      </c>
      <c r="T513" s="4">
        <f>IF($J513="","",(S513-V513)/I513*100)</f>
      </c>
      <c r="U513" s="4">
        <f>IF($J513="","",L513-R513)</f>
      </c>
      <c r="W513" s="4">
        <f>IF($J513="","",S513-V513)</f>
      </c>
    </row>
    <row r="514" spans="1:28" x14ac:dyDescent="0.25">
      <c r="A514" s="8"/>
      <c r="D514" s="9"/>
      <c r="I514" s="4"/>
      <c r="J514" s="4"/>
      <c r="K514" s="4">
        <f>IF($J514="","",J514-I514)</f>
      </c>
      <c r="L514" s="4">
        <f>IF($J514="","",K514*16.67%)</f>
      </c>
      <c r="M514" s="4">
        <f>IF($J514="","",J514*7%)</f>
      </c>
      <c r="N514" s="4">
        <f>IF($J514="","",M514*20%)</f>
      </c>
      <c r="O514" s="4"/>
      <c r="P514" s="4">
        <f>IF($J514="","",O514*20%)</f>
      </c>
      <c r="Q514" s="4">
        <v>1</v>
      </c>
      <c r="R514" s="4">
        <f>IF($J514="","",N514+P514)</f>
      </c>
      <c r="S514" s="4">
        <f>IF($J514="","",K514-L514-M514-N514-O514-P514-Q514)</f>
      </c>
      <c r="T514" s="4">
        <f>IF($J514="","",(S514-V514)/I514*100)</f>
      </c>
      <c r="U514" s="4">
        <f>IF($J514="","",L514-R514)</f>
      </c>
      <c r="W514" s="4">
        <f>IF($J514="","",S514-V514)</f>
      </c>
    </row>
    <row r="515" spans="1:28" x14ac:dyDescent="0.25">
      <c r="A515" s="8"/>
      <c r="D515" s="9"/>
      <c r="I515" s="4"/>
      <c r="J515" s="4"/>
      <c r="K515" s="4">
        <f>IF($J515="","",J515-I515)</f>
      </c>
      <c r="L515" s="4">
        <f>IF($J515="","",K515*16.67%)</f>
      </c>
      <c r="M515" s="4">
        <f>IF($J515="","",J515*7%)</f>
      </c>
      <c r="N515" s="4">
        <f>IF($J515="","",M515*20%)</f>
      </c>
      <c r="O515" s="4"/>
      <c r="P515" s="4">
        <f>IF($J515="","",O515*20%)</f>
      </c>
      <c r="Q515" s="4">
        <v>1</v>
      </c>
      <c r="R515" s="4">
        <f>IF($J515="","",N515+P515)</f>
      </c>
      <c r="S515" s="4">
        <f>IF($J515="","",K515-L515-M515-N515-O515-P515-Q515)</f>
      </c>
      <c r="T515" s="4">
        <f>IF($J515="","",(S515-V515)/I515*100)</f>
      </c>
      <c r="U515" s="4">
        <f>IF($J515="","",L515-R515)</f>
      </c>
      <c r="W515" s="4">
        <f>IF($J515="","",S515-V515)</f>
      </c>
    </row>
    <row r="516" spans="1:28" x14ac:dyDescent="0.25">
      <c r="A516" s="8"/>
      <c r="D516" s="9"/>
      <c r="I516" s="4"/>
      <c r="J516" s="4"/>
      <c r="K516" s="4">
        <f>IF($J516="","",J516-I516)</f>
      </c>
      <c r="L516" s="4">
        <f>IF($J516="","",K516*16.67%)</f>
      </c>
      <c r="M516" s="4">
        <f>IF($J516="","",J516*7%)</f>
      </c>
      <c r="N516" s="4">
        <f>IF($J516="","",M516*20%)</f>
      </c>
      <c r="O516" s="4"/>
      <c r="P516" s="4">
        <f>IF($J516="","",O516*20%)</f>
      </c>
      <c r="Q516" s="4">
        <v>1</v>
      </c>
      <c r="R516" s="4">
        <f>IF($J516="","",N516+P516)</f>
      </c>
      <c r="S516" s="4">
        <f>IF($J516="","",K516-L516-M516-N516-O516-P516-Q516)</f>
      </c>
      <c r="T516" s="4">
        <f>IF($J516="","",(S516-V516)/I516*100)</f>
      </c>
      <c r="U516" s="4">
        <f>IF($J516="","",L516-R516)</f>
      </c>
      <c r="W516" s="4">
        <f>IF($J516="","",S516-V516)</f>
      </c>
    </row>
    <row r="517" spans="1:28" x14ac:dyDescent="0.25">
      <c r="A517" s="8"/>
      <c r="D517" s="9"/>
      <c r="I517" s="4"/>
      <c r="J517" s="4"/>
      <c r="K517" s="4">
        <f>IF($J517="","",J517-I517)</f>
      </c>
      <c r="L517" s="4">
        <f>IF($J517="","",K517*16.67%)</f>
      </c>
      <c r="M517" s="4">
        <f>IF($J517="","",J517*7%)</f>
      </c>
      <c r="N517" s="4">
        <f>IF($J517="","",M517*20%)</f>
      </c>
      <c r="O517" s="4"/>
      <c r="P517" s="4">
        <f>IF($J517="","",O517*20%)</f>
      </c>
      <c r="Q517" s="4">
        <v>1</v>
      </c>
      <c r="R517" s="4">
        <f>IF($J517="","",N517+P517)</f>
      </c>
      <c r="S517" s="4">
        <f>IF($J517="","",K517-L517-M517-N517-O517-P517-Q517)</f>
      </c>
      <c r="T517" s="4">
        <f>IF($J517="","",(S517-V517)/I517*100)</f>
      </c>
      <c r="U517" s="4">
        <f>IF($J517="","",L517-R517)</f>
      </c>
      <c r="W517" s="4">
        <f>IF($J517="","",S517-V517)</f>
      </c>
    </row>
    <row r="518" spans="1:28" x14ac:dyDescent="0.25">
      <c r="A518" s="8"/>
      <c r="D518" s="9"/>
      <c r="I518" s="4"/>
      <c r="J518" s="4"/>
      <c r="K518" s="4">
        <f>IF($J518="","",J518-I518)</f>
      </c>
      <c r="L518" s="4">
        <f>IF($J518="","",K518*16.67%)</f>
      </c>
      <c r="M518" s="4">
        <f>IF($J518="","",J518*7%)</f>
      </c>
      <c r="N518" s="4">
        <f>IF($J518="","",M518*20%)</f>
      </c>
      <c r="O518" s="4"/>
      <c r="P518" s="4">
        <f>IF($J518="","",O518*20%)</f>
      </c>
      <c r="Q518" s="4">
        <v>1</v>
      </c>
      <c r="R518" s="4">
        <f>IF($J518="","",N518+P518)</f>
      </c>
      <c r="S518" s="4">
        <f>IF($J518="","",K518-L518-M518-N518-O518-P518-Q518)</f>
      </c>
      <c r="T518" s="4">
        <f>IF($J518="","",(S518-V518)/I518*100)</f>
      </c>
      <c r="U518" s="4">
        <f>IF($J518="","",L518-R518)</f>
      </c>
      <c r="W518" s="4">
        <f>IF($J518="","",S518-V518)</f>
      </c>
    </row>
    <row r="519" spans="1:28" x14ac:dyDescent="0.25">
      <c r="A519" s="8"/>
      <c r="D519" s="9"/>
      <c r="I519" s="4"/>
      <c r="J519" s="4"/>
      <c r="K519" s="4">
        <f>IF($J519="","",J519-I519)</f>
      </c>
      <c r="L519" s="4">
        <f>IF($J519="","",K519*16.67%)</f>
      </c>
      <c r="M519" s="4">
        <f>IF($J519="","",J519*7%)</f>
      </c>
      <c r="N519" s="4">
        <f>IF($J519="","",M519*20%)</f>
      </c>
      <c r="O519" s="4"/>
      <c r="P519" s="4">
        <f>IF($J519="","",O519*20%)</f>
      </c>
      <c r="Q519" s="4">
        <v>1</v>
      </c>
      <c r="R519" s="4">
        <f>IF($J519="","",N519+P519)</f>
      </c>
      <c r="S519" s="4">
        <f>IF($J519="","",K519-L519-M519-N519-O519-P519-Q519)</f>
      </c>
      <c r="T519" s="4">
        <f>IF($J519="","",(S519-V519)/I519*100)</f>
      </c>
      <c r="U519" s="4">
        <f>IF($J519="","",L519-R519)</f>
      </c>
      <c r="W519" s="4">
        <f>IF($J519="","",S519-V519)</f>
      </c>
    </row>
    <row r="520" spans="1:28" x14ac:dyDescent="0.25">
      <c r="A520" s="8"/>
      <c r="D520" s="9"/>
      <c r="I520" s="4"/>
      <c r="J520" s="4"/>
      <c r="K520" s="4">
        <f>IF($J520="","",J520-I520)</f>
      </c>
      <c r="L520" s="4">
        <f>IF($J520="","",K520*16.67%)</f>
      </c>
      <c r="M520" s="4">
        <f>IF($J520="","",J520*7%)</f>
      </c>
      <c r="N520" s="4">
        <f>IF($J520="","",M520*20%)</f>
      </c>
      <c r="O520" s="4"/>
      <c r="P520" s="4">
        <f>IF($J520="","",O520*20%)</f>
      </c>
      <c r="Q520" s="4">
        <v>1</v>
      </c>
      <c r="R520" s="4">
        <f>IF($J520="","",N520+P520)</f>
      </c>
      <c r="S520" s="4">
        <f>IF($J520="","",K520-L520-M520-N520-O520-P520-Q520)</f>
      </c>
      <c r="T520" s="4">
        <f>IF($J520="","",(S520-V520)/I520*100)</f>
      </c>
      <c r="U520" s="4">
        <f>IF($J520="","",L520-R520)</f>
      </c>
      <c r="W520" s="4">
        <f>IF($J520="","",S520-V520)</f>
      </c>
    </row>
    <row r="521" spans="1:28" x14ac:dyDescent="0.25">
      <c r="A521" s="8"/>
      <c r="D521" s="9"/>
      <c r="I521" s="4"/>
      <c r="J521" s="4"/>
      <c r="K521" s="4">
        <f>IF($J521="","",J521-I521)</f>
      </c>
      <c r="L521" s="4">
        <f>IF($J521="","",K521*16.67%)</f>
      </c>
      <c r="M521" s="4">
        <f>IF($J521="","",J521*7%)</f>
      </c>
      <c r="N521" s="4">
        <f>IF($J521="","",M521*20%)</f>
      </c>
      <c r="O521" s="4"/>
      <c r="P521" s="4">
        <f>IF($J521="","",O521*20%)</f>
      </c>
      <c r="Q521" s="4">
        <v>1</v>
      </c>
      <c r="R521" s="4">
        <f>IF($J521="","",N521+P521)</f>
      </c>
      <c r="S521" s="4">
        <f>IF($J521="","",K521-L521-M521-N521-O521-P521-Q521)</f>
      </c>
      <c r="T521" s="4">
        <f>IF($J521="","",(S521-V521)/I521*100)</f>
      </c>
      <c r="U521" s="4">
        <f>IF($J521="","",L521-R521)</f>
      </c>
      <c r="W521" s="4">
        <f>IF($J521="","",S521-V521)</f>
      </c>
    </row>
    <row r="522" spans="1:28" x14ac:dyDescent="0.25">
      <c r="A522" s="8"/>
      <c r="D522" s="9"/>
      <c r="I522" s="4"/>
      <c r="J522" s="4"/>
      <c r="K522" s="4">
        <f>IF($J522="","",J522-I522)</f>
      </c>
      <c r="L522" s="4">
        <f>IF($J522="","",K522*16.67%)</f>
      </c>
      <c r="M522" s="4">
        <f>IF($J522="","",J522*7%)</f>
      </c>
      <c r="N522" s="4">
        <f>IF($J522="","",M522*20%)</f>
      </c>
      <c r="O522" s="4"/>
      <c r="P522" s="4">
        <f>IF($J522="","",O522*20%)</f>
      </c>
      <c r="Q522" s="4">
        <v>1</v>
      </c>
      <c r="R522" s="4">
        <f>IF($J522="","",N522+P522)</f>
      </c>
      <c r="S522" s="4">
        <f>IF($J522="","",K522-L522-M522-N522-O522-P522-Q522)</f>
      </c>
      <c r="T522" s="4">
        <f>IF($J522="","",(S522-V522)/I522*100)</f>
      </c>
      <c r="U522" s="4">
        <f>IF($J522="","",L522-R522)</f>
      </c>
      <c r="W522" s="4">
        <f>IF($J522="","",S522-V522)</f>
      </c>
    </row>
    <row r="523" spans="1:28" x14ac:dyDescent="0.25">
      <c r="A523" s="8"/>
      <c r="D523" s="9"/>
      <c r="I523" s="4"/>
      <c r="J523" s="4"/>
      <c r="K523" s="4">
        <f>IF($J523="","",J523-I523)</f>
      </c>
      <c r="L523" s="4">
        <f>IF($J523="","",K523*16.67%)</f>
      </c>
      <c r="M523" s="4">
        <f>IF($J523="","",J523*7%)</f>
      </c>
      <c r="N523" s="4">
        <f>IF($J523="","",M523*20%)</f>
      </c>
      <c r="O523" s="4"/>
      <c r="P523" s="4">
        <f>IF($J523="","",O523*20%)</f>
      </c>
      <c r="Q523" s="4">
        <v>1</v>
      </c>
      <c r="R523" s="4">
        <f>IF($J523="","",N523+P523)</f>
      </c>
      <c r="S523" s="4">
        <f>IF($J523="","",K523-L523-M523-N523-O523-P523-Q523)</f>
      </c>
      <c r="T523" s="4">
        <f>IF($J523="","",(S523-V523)/I523*100)</f>
      </c>
      <c r="U523" s="4">
        <f>IF($J523="","",L523-R523)</f>
      </c>
      <c r="W523" s="4">
        <f>IF($J523="","",S523-V523)</f>
      </c>
    </row>
    <row r="524" spans="1:28" x14ac:dyDescent="0.25">
      <c r="A524" s="8"/>
      <c r="D524" s="9"/>
      <c r="I524" s="4"/>
      <c r="J524" s="4"/>
      <c r="K524" s="4">
        <f>IF($J524="","",J524-I524)</f>
      </c>
      <c r="L524" s="4">
        <f>IF($J524="","",K524*16.67%)</f>
      </c>
      <c r="M524" s="4">
        <f>IF($J524="","",J524*7%)</f>
      </c>
      <c r="N524" s="4">
        <f>IF($J524="","",M524*20%)</f>
      </c>
      <c r="O524" s="4"/>
      <c r="P524" s="4">
        <f>IF($J524="","",O524*20%)</f>
      </c>
      <c r="Q524" s="4">
        <v>1</v>
      </c>
      <c r="R524" s="4">
        <f>IF($J524="","",N524+P524)</f>
      </c>
      <c r="S524" s="4">
        <f>IF($J524="","",K524-L524-M524-N524-O524-P524-Q524)</f>
      </c>
      <c r="T524" s="4">
        <f>IF($J524="","",(S524-V524)/I524*100)</f>
      </c>
      <c r="U524" s="4">
        <f>IF($J524="","",L524-R524)</f>
      </c>
      <c r="W524" s="4">
        <f>IF($J524="","",S524-V524)</f>
      </c>
    </row>
    <row r="525" spans="1:28" x14ac:dyDescent="0.25">
      <c r="A525" s="8"/>
      <c r="D525" s="9"/>
      <c r="I525" s="4"/>
      <c r="J525" s="4"/>
      <c r="K525" s="4">
        <f>IF($J525="","",J525-I525)</f>
      </c>
      <c r="L525" s="4">
        <f>IF($J525="","",K525*16.67%)</f>
      </c>
      <c r="M525" s="4">
        <f>IF($J525="","",J525*7%)</f>
      </c>
      <c r="N525" s="4">
        <f>IF($J525="","",M525*20%)</f>
      </c>
      <c r="O525" s="4"/>
      <c r="P525" s="4">
        <f>IF($J525="","",O525*20%)</f>
      </c>
      <c r="Q525" s="4">
        <v>1</v>
      </c>
      <c r="R525" s="4">
        <f>IF($J525="","",N525+P525)</f>
      </c>
      <c r="S525" s="4">
        <f>IF($J525="","",K525-L525-M525-N525-O525-P525-Q525)</f>
      </c>
      <c r="T525" s="4">
        <f>IF($J525="","",(S525-V525)/I525*100)</f>
      </c>
      <c r="U525" s="4">
        <f>IF($J525="","",L525-R525)</f>
      </c>
      <c r="W525" s="4">
        <f>IF($J525="","",S525-V525)</f>
      </c>
    </row>
    <row r="526" spans="1:28" x14ac:dyDescent="0.25">
      <c r="A526" s="8"/>
      <c r="D526" s="9"/>
      <c r="I526" s="4"/>
      <c r="J526" s="4"/>
      <c r="K526" s="4">
        <f>IF($J526="","",J526-I526)</f>
      </c>
      <c r="L526" s="4">
        <f>IF($J526="","",K526*16.67%)</f>
      </c>
      <c r="M526" s="4">
        <f>IF($J526="","",J526*7%)</f>
      </c>
      <c r="N526" s="4">
        <f>IF($J526="","",M526*20%)</f>
      </c>
      <c r="O526" s="4"/>
      <c r="P526" s="4">
        <f>IF($J526="","",O526*20%)</f>
      </c>
      <c r="Q526" s="4">
        <v>1</v>
      </c>
      <c r="R526" s="4">
        <f>IF($J526="","",N526+P526)</f>
      </c>
      <c r="S526" s="4">
        <f>IF($J526="","",K526-L526-M526-N526-O526-P526-Q526)</f>
      </c>
      <c r="T526" s="4">
        <f>IF($J526="","",(S526-V526)/I526*100)</f>
      </c>
      <c r="U526" s="4">
        <f>IF($J526="","",L526-R526)</f>
      </c>
      <c r="W526" s="4">
        <f>IF($J526="","",S526-V526)</f>
      </c>
    </row>
    <row r="527" spans="1:28" x14ac:dyDescent="0.25">
      <c r="A527" s="8"/>
      <c r="D527" s="9"/>
      <c r="I527" s="4"/>
      <c r="J527" s="4"/>
      <c r="K527" s="4">
        <f>IF($J527="","",J527-I527)</f>
      </c>
      <c r="L527" s="4">
        <f>IF($J527="","",K527*16.67%)</f>
      </c>
      <c r="M527" s="4">
        <f>IF($J527="","",J527*7%)</f>
      </c>
      <c r="N527" s="4">
        <f>IF($J527="","",M527*20%)</f>
      </c>
      <c r="O527" s="4"/>
      <c r="P527" s="4">
        <f>IF($J527="","",O527*20%)</f>
      </c>
      <c r="Q527" s="4">
        <v>1</v>
      </c>
      <c r="R527" s="4">
        <f>IF($J527="","",N527+P527)</f>
      </c>
      <c r="S527" s="4">
        <f>IF($J527="","",K527-L527-M527-N527-O527-P527-Q527)</f>
      </c>
      <c r="T527" s="4">
        <f>IF($J527="","",(S527-V527)/I527*100)</f>
      </c>
      <c r="U527" s="4">
        <f>IF($J527="","",L527-R527)</f>
      </c>
      <c r="W527" s="4">
        <f>IF($J527="","",S527-V527)</f>
      </c>
    </row>
    <row r="528" spans="1:28" x14ac:dyDescent="0.25">
      <c r="A528" s="8"/>
      <c r="D528" s="9"/>
      <c r="I528" s="4"/>
      <c r="J528" s="4"/>
      <c r="K528" s="4">
        <f>IF($J528="","",J528-I528)</f>
      </c>
      <c r="L528" s="4">
        <f>IF($J528="","",K528*16.67%)</f>
      </c>
      <c r="M528" s="4">
        <f>IF($J528="","",J528*7%)</f>
      </c>
      <c r="N528" s="4">
        <f>IF($J528="","",M528*20%)</f>
      </c>
      <c r="O528" s="4"/>
      <c r="P528" s="4">
        <f>IF($J528="","",O528*20%)</f>
      </c>
      <c r="Q528" s="4">
        <v>1</v>
      </c>
      <c r="R528" s="4">
        <f>IF($J528="","",N528+P528)</f>
      </c>
      <c r="S528" s="4">
        <f>IF($J528="","",K528-L528-M528-N528-O528-P528-Q528)</f>
      </c>
      <c r="T528" s="4">
        <f>IF($J528="","",(S528-V528)/I528*100)</f>
      </c>
      <c r="U528" s="4">
        <f>IF($J528="","",L528-R528)</f>
      </c>
      <c r="W528" s="4">
        <f>IF($J528="","",S528-V528)</f>
      </c>
    </row>
    <row r="529" spans="1:28" x14ac:dyDescent="0.25">
      <c r="A529" s="8"/>
      <c r="D529" s="9"/>
      <c r="I529" s="4"/>
      <c r="J529" s="4"/>
      <c r="K529" s="4">
        <f>IF($J529="","",J529-I529)</f>
      </c>
      <c r="L529" s="4">
        <f>IF($J529="","",K529*16.67%)</f>
      </c>
      <c r="M529" s="4">
        <f>IF($J529="","",J529*7%)</f>
      </c>
      <c r="N529" s="4">
        <f>IF($J529="","",M529*20%)</f>
      </c>
      <c r="O529" s="4"/>
      <c r="P529" s="4">
        <f>IF($J529="","",O529*20%)</f>
      </c>
      <c r="Q529" s="4">
        <v>1</v>
      </c>
      <c r="R529" s="4">
        <f>IF($J529="","",N529+P529)</f>
      </c>
      <c r="S529" s="4">
        <f>IF($J529="","",K529-L529-M529-N529-O529-P529-Q529)</f>
      </c>
      <c r="T529" s="4">
        <f>IF($J529="","",(S529-V529)/I529*100)</f>
      </c>
      <c r="U529" s="4">
        <f>IF($J529="","",L529-R529)</f>
      </c>
      <c r="W529" s="4">
        <f>IF($J529="","",S529-V529)</f>
      </c>
    </row>
    <row r="530" spans="1:28" x14ac:dyDescent="0.25">
      <c r="A530" s="8"/>
      <c r="D530" s="9"/>
      <c r="I530" s="4"/>
      <c r="J530" s="4"/>
      <c r="K530" s="4">
        <f>IF($J530="","",J530-I530)</f>
      </c>
      <c r="L530" s="4">
        <f>IF($J530="","",K530*16.67%)</f>
      </c>
      <c r="M530" s="4">
        <f>IF($J530="","",J530*7%)</f>
      </c>
      <c r="N530" s="4">
        <f>IF($J530="","",M530*20%)</f>
      </c>
      <c r="O530" s="4"/>
      <c r="P530" s="4">
        <f>IF($J530="","",O530*20%)</f>
      </c>
      <c r="Q530" s="4">
        <v>1</v>
      </c>
      <c r="R530" s="4">
        <f>IF($J530="","",N530+P530)</f>
      </c>
      <c r="S530" s="4">
        <f>IF($J530="","",K530-L530-M530-N530-O530-P530-Q530)</f>
      </c>
      <c r="T530" s="4">
        <f>IF($J530="","",(S530-V530)/I530*100)</f>
      </c>
      <c r="U530" s="4">
        <f>IF($J530="","",L530-R530)</f>
      </c>
      <c r="W530" s="4">
        <f>IF($J530="","",S530-V530)</f>
      </c>
    </row>
    <row r="531" spans="1:28" x14ac:dyDescent="0.25">
      <c r="A531" s="8"/>
      <c r="D531" s="9"/>
      <c r="I531" s="4"/>
      <c r="J531" s="4"/>
      <c r="K531" s="4">
        <f>IF($J531="","",J531-I531)</f>
      </c>
      <c r="L531" s="4">
        <f>IF($J531="","",K531*16.67%)</f>
      </c>
      <c r="M531" s="4">
        <f>IF($J531="","",J531*7%)</f>
      </c>
      <c r="N531" s="4">
        <f>IF($J531="","",M531*20%)</f>
      </c>
      <c r="O531" s="4"/>
      <c r="P531" s="4">
        <f>IF($J531="","",O531*20%)</f>
      </c>
      <c r="Q531" s="4">
        <v>1</v>
      </c>
      <c r="R531" s="4">
        <f>IF($J531="","",N531+P531)</f>
      </c>
      <c r="S531" s="4">
        <f>IF($J531="","",K531-L531-M531-N531-O531-P531-Q531)</f>
      </c>
      <c r="T531" s="4">
        <f>IF($J531="","",(S531-V531)/I531*100)</f>
      </c>
      <c r="U531" s="4">
        <f>IF($J531="","",L531-R531)</f>
      </c>
      <c r="W531" s="4">
        <f>IF($J531="","",S531-V531)</f>
      </c>
    </row>
    <row r="532" spans="1:28" x14ac:dyDescent="0.25">
      <c r="A532" s="8"/>
      <c r="D532" s="9"/>
      <c r="I532" s="4"/>
      <c r="J532" s="4"/>
      <c r="K532" s="4">
        <f>IF($J532="","",J532-I532)</f>
      </c>
      <c r="L532" s="4">
        <f>IF($J532="","",K532*16.67%)</f>
      </c>
      <c r="M532" s="4">
        <f>IF($J532="","",J532*7%)</f>
      </c>
      <c r="N532" s="4">
        <f>IF($J532="","",M532*20%)</f>
      </c>
      <c r="O532" s="4"/>
      <c r="P532" s="4">
        <f>IF($J532="","",O532*20%)</f>
      </c>
      <c r="Q532" s="4">
        <v>1</v>
      </c>
      <c r="R532" s="4">
        <f>IF($J532="","",N532+P532)</f>
      </c>
      <c r="S532" s="4">
        <f>IF($J532="","",K532-L532-M532-N532-O532-P532-Q532)</f>
      </c>
      <c r="T532" s="4">
        <f>IF($J532="","",(S532-V532)/I532*100)</f>
      </c>
      <c r="U532" s="4">
        <f>IF($J532="","",L532-R532)</f>
      </c>
      <c r="W532" s="4">
        <f>IF($J532="","",S532-V532)</f>
      </c>
    </row>
    <row r="533" spans="1:28" x14ac:dyDescent="0.25">
      <c r="A533" s="8"/>
      <c r="D533" s="9"/>
      <c r="I533" s="4"/>
      <c r="J533" s="4"/>
      <c r="K533" s="4">
        <f>IF($J533="","",J533-I533)</f>
      </c>
      <c r="L533" s="4">
        <f>IF($J533="","",K533*16.67%)</f>
      </c>
      <c r="M533" s="4">
        <f>IF($J533="","",J533*7%)</f>
      </c>
      <c r="N533" s="4">
        <f>IF($J533="","",M533*20%)</f>
      </c>
      <c r="O533" s="4"/>
      <c r="P533" s="4">
        <f>IF($J533="","",O533*20%)</f>
      </c>
      <c r="Q533" s="4">
        <v>1</v>
      </c>
      <c r="R533" s="4">
        <f>IF($J533="","",N533+P533)</f>
      </c>
      <c r="S533" s="4">
        <f>IF($J533="","",K533-L533-M533-N533-O533-P533-Q533)</f>
      </c>
      <c r="T533" s="4">
        <f>IF($J533="","",(S533-V533)/I533*100)</f>
      </c>
      <c r="U533" s="4">
        <f>IF($J533="","",L533-R533)</f>
      </c>
      <c r="W533" s="4">
        <f>IF($J533="","",S533-V533)</f>
      </c>
    </row>
    <row r="534" spans="1:28" x14ac:dyDescent="0.25">
      <c r="A534" s="8"/>
      <c r="D534" s="9"/>
      <c r="I534" s="4"/>
      <c r="J534" s="4"/>
      <c r="K534" s="4">
        <f>IF($J534="","",J534-I534)</f>
      </c>
      <c r="L534" s="4">
        <f>IF($J534="","",K534*16.67%)</f>
      </c>
      <c r="M534" s="4">
        <f>IF($J534="","",J534*7%)</f>
      </c>
      <c r="N534" s="4">
        <f>IF($J534="","",M534*20%)</f>
      </c>
      <c r="O534" s="4"/>
      <c r="P534" s="4">
        <f>IF($J534="","",O534*20%)</f>
      </c>
      <c r="Q534" s="4">
        <v>1</v>
      </c>
      <c r="R534" s="4">
        <f>IF($J534="","",N534+P534)</f>
      </c>
      <c r="S534" s="4">
        <f>IF($J534="","",K534-L534-M534-N534-O534-P534-Q534)</f>
      </c>
      <c r="T534" s="4">
        <f>IF($J534="","",(S534-V534)/I534*100)</f>
      </c>
      <c r="U534" s="4">
        <f>IF($J534="","",L534-R534)</f>
      </c>
      <c r="W534" s="4">
        <f>IF($J534="","",S534-V534)</f>
      </c>
    </row>
    <row r="535" spans="1:28" x14ac:dyDescent="0.25">
      <c r="A535" s="8"/>
      <c r="D535" s="9"/>
      <c r="I535" s="4"/>
      <c r="J535" s="4"/>
      <c r="K535" s="4">
        <f>IF($J535="","",J535-I535)</f>
      </c>
      <c r="L535" s="4">
        <f>IF($J535="","",K535*16.67%)</f>
      </c>
      <c r="M535" s="4">
        <f>IF($J535="","",J535*7%)</f>
      </c>
      <c r="N535" s="4">
        <f>IF($J535="","",M535*20%)</f>
      </c>
      <c r="O535" s="4"/>
      <c r="P535" s="4">
        <f>IF($J535="","",O535*20%)</f>
      </c>
      <c r="Q535" s="4">
        <v>1</v>
      </c>
      <c r="R535" s="4">
        <f>IF($J535="","",N535+P535)</f>
      </c>
      <c r="S535" s="4">
        <f>IF($J535="","",K535-L535-M535-N535-O535-P535-Q535)</f>
      </c>
      <c r="T535" s="4">
        <f>IF($J535="","",(S535-V535)/I535*100)</f>
      </c>
      <c r="U535" s="4">
        <f>IF($J535="","",L535-R535)</f>
      </c>
      <c r="W535" s="4">
        <f>IF($J535="","",S535-V535)</f>
      </c>
    </row>
    <row r="536" spans="1:28" x14ac:dyDescent="0.25">
      <c r="A536" s="8"/>
      <c r="D536" s="9"/>
      <c r="I536" s="4"/>
      <c r="J536" s="4"/>
      <c r="K536" s="4">
        <f>IF($J536="","",J536-I536)</f>
      </c>
      <c r="L536" s="4">
        <f>IF($J536="","",K536*16.67%)</f>
      </c>
      <c r="M536" s="4">
        <f>IF($J536="","",J536*7%)</f>
      </c>
      <c r="N536" s="4">
        <f>IF($J536="","",M536*20%)</f>
      </c>
      <c r="O536" s="4"/>
      <c r="P536" s="4">
        <f>IF($J536="","",O536*20%)</f>
      </c>
      <c r="Q536" s="4">
        <v>1</v>
      </c>
      <c r="R536" s="4">
        <f>IF($J536="","",N536+P536)</f>
      </c>
      <c r="S536" s="4">
        <f>IF($J536="","",K536-L536-M536-N536-O536-P536-Q536)</f>
      </c>
      <c r="T536" s="4">
        <f>IF($J536="","",(S536-V536)/I536*100)</f>
      </c>
      <c r="U536" s="4">
        <f>IF($J536="","",L536-R536)</f>
      </c>
      <c r="W536" s="4">
        <f>IF($J536="","",S536-V536)</f>
      </c>
    </row>
    <row r="537" spans="1:28" x14ac:dyDescent="0.25">
      <c r="A537" s="8"/>
      <c r="D537" s="9"/>
      <c r="I537" s="4"/>
      <c r="J537" s="4"/>
      <c r="K537" s="4">
        <f>IF($J537="","",J537-I537)</f>
      </c>
      <c r="L537" s="4">
        <f>IF($J537="","",K537*16.67%)</f>
      </c>
      <c r="M537" s="4">
        <f>IF($J537="","",J537*7%)</f>
      </c>
      <c r="N537" s="4">
        <f>IF($J537="","",M537*20%)</f>
      </c>
      <c r="O537" s="4"/>
      <c r="P537" s="4">
        <f>IF($J537="","",O537*20%)</f>
      </c>
      <c r="Q537" s="4">
        <v>1</v>
      </c>
      <c r="R537" s="4">
        <f>IF($J537="","",N537+P537)</f>
      </c>
      <c r="S537" s="4">
        <f>IF($J537="","",K537-L537-M537-N537-O537-P537-Q537)</f>
      </c>
      <c r="T537" s="4">
        <f>IF($J537="","",(S537-V537)/I537*100)</f>
      </c>
      <c r="U537" s="4">
        <f>IF($J537="","",L537-R537)</f>
      </c>
      <c r="W537" s="4">
        <f>IF($J537="","",S537-V537)</f>
      </c>
    </row>
    <row r="538" spans="1:28" x14ac:dyDescent="0.25">
      <c r="A538" s="8"/>
      <c r="D538" s="9"/>
      <c r="I538" s="4"/>
      <c r="J538" s="4"/>
      <c r="K538" s="4">
        <f>IF($J538="","",J538-I538)</f>
      </c>
      <c r="L538" s="4">
        <f>IF($J538="","",K538*16.67%)</f>
      </c>
      <c r="M538" s="4">
        <f>IF($J538="","",J538*7%)</f>
      </c>
      <c r="N538" s="4">
        <f>IF($J538="","",M538*20%)</f>
      </c>
      <c r="O538" s="4"/>
      <c r="P538" s="4">
        <f>IF($J538="","",O538*20%)</f>
      </c>
      <c r="Q538" s="4">
        <v>1</v>
      </c>
      <c r="R538" s="4">
        <f>IF($J538="","",N538+P538)</f>
      </c>
      <c r="S538" s="4">
        <f>IF($J538="","",K538-L538-M538-N538-O538-P538-Q538)</f>
      </c>
      <c r="T538" s="4">
        <f>IF($J538="","",(S538-V538)/I538*100)</f>
      </c>
      <c r="U538" s="4">
        <f>IF($J538="","",L538-R538)</f>
      </c>
      <c r="W538" s="4">
        <f>IF($J538="","",S538-V538)</f>
      </c>
    </row>
    <row r="539" spans="1:28" x14ac:dyDescent="0.25">
      <c r="A539" s="8"/>
      <c r="D539" s="9"/>
      <c r="I539" s="4"/>
      <c r="J539" s="4"/>
      <c r="K539" s="4">
        <f>IF($J539="","",J539-I539)</f>
      </c>
      <c r="L539" s="4">
        <f>IF($J539="","",K539*16.67%)</f>
      </c>
      <c r="M539" s="4">
        <f>IF($J539="","",J539*7%)</f>
      </c>
      <c r="N539" s="4">
        <f>IF($J539="","",M539*20%)</f>
      </c>
      <c r="O539" s="4"/>
      <c r="P539" s="4">
        <f>IF($J539="","",O539*20%)</f>
      </c>
      <c r="Q539" s="4">
        <v>1</v>
      </c>
      <c r="R539" s="4">
        <f>IF($J539="","",N539+P539)</f>
      </c>
      <c r="S539" s="4">
        <f>IF($J539="","",K539-L539-M539-N539-O539-P539-Q539)</f>
      </c>
      <c r="T539" s="4">
        <f>IF($J539="","",(S539-V539)/I539*100)</f>
      </c>
      <c r="U539" s="4">
        <f>IF($J539="","",L539-R539)</f>
      </c>
      <c r="W539" s="4">
        <f>IF($J539="","",S539-V539)</f>
      </c>
    </row>
    <row r="540" spans="1:28" x14ac:dyDescent="0.25">
      <c r="A540" s="8"/>
      <c r="D540" s="9"/>
      <c r="I540" s="4"/>
      <c r="J540" s="4"/>
      <c r="K540" s="4">
        <f>IF($J540="","",J540-I540)</f>
      </c>
      <c r="L540" s="4">
        <f>IF($J540="","",K540*16.67%)</f>
      </c>
      <c r="M540" s="4">
        <f>IF($J540="","",J540*7%)</f>
      </c>
      <c r="N540" s="4">
        <f>IF($J540="","",M540*20%)</f>
      </c>
      <c r="O540" s="4"/>
      <c r="P540" s="4">
        <f>IF($J540="","",O540*20%)</f>
      </c>
      <c r="Q540" s="4">
        <v>1</v>
      </c>
      <c r="R540" s="4">
        <f>IF($J540="","",N540+P540)</f>
      </c>
      <c r="S540" s="4">
        <f>IF($J540="","",K540-L540-M540-N540-O540-P540-Q540)</f>
      </c>
      <c r="T540" s="4">
        <f>IF($J540="","",(S540-V540)/I540*100)</f>
      </c>
      <c r="U540" s="4">
        <f>IF($J540="","",L540-R540)</f>
      </c>
      <c r="W540" s="4">
        <f>IF($J540="","",S540-V540)</f>
      </c>
    </row>
    <row r="541" spans="1:28" x14ac:dyDescent="0.25">
      <c r="A541" s="8"/>
      <c r="D541" s="9"/>
      <c r="I541" s="4"/>
      <c r="J541" s="4"/>
      <c r="K541" s="4">
        <f>IF($J541="","",J541-I541)</f>
      </c>
      <c r="L541" s="4">
        <f>IF($J541="","",K541*16.67%)</f>
      </c>
      <c r="M541" s="4">
        <f>IF($J541="","",J541*7%)</f>
      </c>
      <c r="N541" s="4">
        <f>IF($J541="","",M541*20%)</f>
      </c>
      <c r="O541" s="4"/>
      <c r="P541" s="4">
        <f>IF($J541="","",O541*20%)</f>
      </c>
      <c r="Q541" s="4">
        <v>1</v>
      </c>
      <c r="R541" s="4">
        <f>IF($J541="","",N541+P541)</f>
      </c>
      <c r="S541" s="4">
        <f>IF($J541="","",K541-L541-M541-N541-O541-P541-Q541)</f>
      </c>
      <c r="T541" s="4">
        <f>IF($J541="","",(S541-V541)/I541*100)</f>
      </c>
      <c r="U541" s="4">
        <f>IF($J541="","",L541-R541)</f>
      </c>
      <c r="W541" s="4">
        <f>IF($J541="","",S541-V541)</f>
      </c>
    </row>
    <row r="542" spans="1:28" x14ac:dyDescent="0.25">
      <c r="A542" s="8"/>
      <c r="D542" s="9"/>
      <c r="I542" s="4"/>
      <c r="J542" s="4"/>
      <c r="K542" s="4">
        <f>IF($J542="","",J542-I542)</f>
      </c>
      <c r="L542" s="4">
        <f>IF($J542="","",K542*16.67%)</f>
      </c>
      <c r="M542" s="4">
        <f>IF($J542="","",J542*7%)</f>
      </c>
      <c r="N542" s="4">
        <f>IF($J542="","",M542*20%)</f>
      </c>
      <c r="O542" s="4"/>
      <c r="P542" s="4">
        <f>IF($J542="","",O542*20%)</f>
      </c>
      <c r="Q542" s="4">
        <v>1</v>
      </c>
      <c r="R542" s="4">
        <f>IF($J542="","",N542+P542)</f>
      </c>
      <c r="S542" s="4">
        <f>IF($J542="","",K542-L542-M542-N542-O542-P542-Q542)</f>
      </c>
      <c r="T542" s="4">
        <f>IF($J542="","",(S542-V542)/I542*100)</f>
      </c>
      <c r="U542" s="4">
        <f>IF($J542="","",L542-R542)</f>
      </c>
      <c r="W542" s="4">
        <f>IF($J542="","",S542-V542)</f>
      </c>
    </row>
    <row r="543" spans="1:28" x14ac:dyDescent="0.25">
      <c r="A543" s="8"/>
      <c r="D543" s="9"/>
      <c r="I543" s="4"/>
      <c r="J543" s="4"/>
      <c r="K543" s="4">
        <f>IF($J543="","",J543-I543)</f>
      </c>
      <c r="L543" s="4">
        <f>IF($J543="","",K543*16.67%)</f>
      </c>
      <c r="M543" s="4">
        <f>IF($J543="","",J543*7%)</f>
      </c>
      <c r="N543" s="4">
        <f>IF($J543="","",M543*20%)</f>
      </c>
      <c r="O543" s="4"/>
      <c r="P543" s="4">
        <f>IF($J543="","",O543*20%)</f>
      </c>
      <c r="Q543" s="4">
        <v>1</v>
      </c>
      <c r="R543" s="4">
        <f>IF($J543="","",N543+P543)</f>
      </c>
      <c r="S543" s="4">
        <f>IF($J543="","",K543-L543-M543-N543-O543-P543-Q543)</f>
      </c>
      <c r="T543" s="4">
        <f>IF($J543="","",(S543-V543)/I543*100)</f>
      </c>
      <c r="U543" s="4">
        <f>IF($J543="","",L543-R543)</f>
      </c>
      <c r="W543" s="4">
        <f>IF($J543="","",S543-V543)</f>
      </c>
    </row>
    <row r="544" spans="1:28" x14ac:dyDescent="0.25">
      <c r="A544" s="8"/>
      <c r="D544" s="9"/>
      <c r="I544" s="4"/>
      <c r="J544" s="4"/>
      <c r="K544" s="4">
        <f>IF($J544="","",J544-I544)</f>
      </c>
      <c r="L544" s="4">
        <f>IF($J544="","",K544*16.67%)</f>
      </c>
      <c r="M544" s="4">
        <f>IF($J544="","",J544*7%)</f>
      </c>
      <c r="N544" s="4">
        <f>IF($J544="","",M544*20%)</f>
      </c>
      <c r="O544" s="4"/>
      <c r="P544" s="4">
        <f>IF($J544="","",O544*20%)</f>
      </c>
      <c r="Q544" s="4">
        <v>1</v>
      </c>
      <c r="R544" s="4">
        <f>IF($J544="","",N544+P544)</f>
      </c>
      <c r="S544" s="4">
        <f>IF($J544="","",K544-L544-M544-N544-O544-P544-Q544)</f>
      </c>
      <c r="T544" s="4">
        <f>IF($J544="","",(S544-V544)/I544*100)</f>
      </c>
      <c r="U544" s="4">
        <f>IF($J544="","",L544-R544)</f>
      </c>
      <c r="W544" s="4">
        <f>IF($J544="","",S544-V544)</f>
      </c>
    </row>
    <row r="545" spans="1:28" x14ac:dyDescent="0.25">
      <c r="A545" s="8"/>
      <c r="D545" s="9"/>
      <c r="I545" s="4"/>
      <c r="J545" s="4"/>
      <c r="K545" s="4">
        <f>IF($J545="","",J545-I545)</f>
      </c>
      <c r="L545" s="4">
        <f>IF($J545="","",K545*16.67%)</f>
      </c>
      <c r="M545" s="4">
        <f>IF($J545="","",J545*7%)</f>
      </c>
      <c r="N545" s="4">
        <f>IF($J545="","",M545*20%)</f>
      </c>
      <c r="O545" s="4"/>
      <c r="P545" s="4">
        <f>IF($J545="","",O545*20%)</f>
      </c>
      <c r="Q545" s="4">
        <v>1</v>
      </c>
      <c r="R545" s="4">
        <f>IF($J545="","",N545+P545)</f>
      </c>
      <c r="S545" s="4">
        <f>IF($J545="","",K545-L545-M545-N545-O545-P545-Q545)</f>
      </c>
      <c r="T545" s="4">
        <f>IF($J545="","",(S545-V545)/I545*100)</f>
      </c>
      <c r="U545" s="4">
        <f>IF($J545="","",L545-R545)</f>
      </c>
      <c r="W545" s="4">
        <f>IF($J545="","",S545-V545)</f>
      </c>
    </row>
    <row r="546" spans="1:28" x14ac:dyDescent="0.25">
      <c r="A546" s="8"/>
      <c r="D546" s="9"/>
      <c r="I546" s="4"/>
      <c r="J546" s="4"/>
      <c r="K546" s="4">
        <f>IF($J546="","",J546-I546)</f>
      </c>
      <c r="L546" s="4">
        <f>IF($J546="","",K546*16.67%)</f>
      </c>
      <c r="M546" s="4">
        <f>IF($J546="","",J546*7%)</f>
      </c>
      <c r="N546" s="4">
        <f>IF($J546="","",M546*20%)</f>
      </c>
      <c r="O546" s="4"/>
      <c r="P546" s="4">
        <f>IF($J546="","",O546*20%)</f>
      </c>
      <c r="Q546" s="4">
        <v>1</v>
      </c>
      <c r="R546" s="4">
        <f>IF($J546="","",N546+P546)</f>
      </c>
      <c r="S546" s="4">
        <f>IF($J546="","",K546-L546-M546-N546-O546-P546-Q546)</f>
      </c>
      <c r="T546" s="4">
        <f>IF($J546="","",(S546-V546)/I546*100)</f>
      </c>
      <c r="U546" s="4">
        <f>IF($J546="","",L546-R546)</f>
      </c>
      <c r="W546" s="4">
        <f>IF($J546="","",S546-V546)</f>
      </c>
    </row>
    <row r="547" spans="1:28" x14ac:dyDescent="0.25">
      <c r="A547" s="8"/>
      <c r="D547" s="9"/>
      <c r="I547" s="4"/>
      <c r="J547" s="4"/>
      <c r="K547" s="4">
        <f>IF($J547="","",J547-I547)</f>
      </c>
      <c r="L547" s="4">
        <f>IF($J547="","",K547*16.67%)</f>
      </c>
      <c r="M547" s="4">
        <f>IF($J547="","",J547*7%)</f>
      </c>
      <c r="N547" s="4">
        <f>IF($J547="","",M547*20%)</f>
      </c>
      <c r="O547" s="4"/>
      <c r="P547" s="4">
        <f>IF($J547="","",O547*20%)</f>
      </c>
      <c r="Q547" s="4">
        <v>1</v>
      </c>
      <c r="R547" s="4">
        <f>IF($J547="","",N547+P547)</f>
      </c>
      <c r="S547" s="4">
        <f>IF($J547="","",K547-L547-M547-N547-O547-P547-Q547)</f>
      </c>
      <c r="T547" s="4">
        <f>IF($J547="","",(S547-V547)/I547*100)</f>
      </c>
      <c r="U547" s="4">
        <f>IF($J547="","",L547-R547)</f>
      </c>
      <c r="W547" s="4">
        <f>IF($J547="","",S547-V547)</f>
      </c>
    </row>
    <row r="548" spans="1:28" x14ac:dyDescent="0.25">
      <c r="A548" s="8"/>
      <c r="D548" s="9"/>
      <c r="I548" s="4"/>
      <c r="J548" s="4"/>
      <c r="K548" s="4">
        <f>IF($J548="","",J548-I548)</f>
      </c>
      <c r="L548" s="4">
        <f>IF($J548="","",K548*16.67%)</f>
      </c>
      <c r="M548" s="4">
        <f>IF($J548="","",J548*7%)</f>
      </c>
      <c r="N548" s="4">
        <f>IF($J548="","",M548*20%)</f>
      </c>
      <c r="O548" s="4"/>
      <c r="P548" s="4">
        <f>IF($J548="","",O548*20%)</f>
      </c>
      <c r="Q548" s="4">
        <v>1</v>
      </c>
      <c r="R548" s="4">
        <f>IF($J548="","",N548+P548)</f>
      </c>
      <c r="S548" s="4">
        <f>IF($J548="","",K548-L548-M548-N548-O548-P548-Q548)</f>
      </c>
      <c r="T548" s="4">
        <f>IF($J548="","",(S548-V548)/I548*100)</f>
      </c>
      <c r="U548" s="4">
        <f>IF($J548="","",L548-R548)</f>
      </c>
      <c r="W548" s="4">
        <f>IF($J548="","",S548-V548)</f>
      </c>
    </row>
    <row r="549" spans="1:28" x14ac:dyDescent="0.25">
      <c r="A549" s="8"/>
      <c r="D549" s="9"/>
      <c r="I549" s="4"/>
      <c r="J549" s="4"/>
      <c r="K549" s="4">
        <f>IF($J549="","",J549-I549)</f>
      </c>
      <c r="L549" s="4">
        <f>IF($J549="","",K549*16.67%)</f>
      </c>
      <c r="M549" s="4">
        <f>IF($J549="","",J549*7%)</f>
      </c>
      <c r="N549" s="4">
        <f>IF($J549="","",M549*20%)</f>
      </c>
      <c r="O549" s="4"/>
      <c r="P549" s="4">
        <f>IF($J549="","",O549*20%)</f>
      </c>
      <c r="Q549" s="4">
        <v>1</v>
      </c>
      <c r="R549" s="4">
        <f>IF($J549="","",N549+P549)</f>
      </c>
      <c r="S549" s="4">
        <f>IF($J549="","",K549-L549-M549-N549-O549-P549-Q549)</f>
      </c>
      <c r="T549" s="4">
        <f>IF($J549="","",(S549-V549)/I549*100)</f>
      </c>
      <c r="U549" s="4">
        <f>IF($J549="","",L549-R549)</f>
      </c>
      <c r="W549" s="4">
        <f>IF($J549="","",S549-V549)</f>
      </c>
    </row>
    <row r="550" spans="1:28" x14ac:dyDescent="0.25">
      <c r="A550" s="8"/>
      <c r="D550" s="9"/>
      <c r="I550" s="4"/>
      <c r="J550" s="4"/>
      <c r="K550" s="4">
        <f>IF($J550="","",J550-I550)</f>
      </c>
      <c r="L550" s="4">
        <f>IF($J550="","",K550*16.67%)</f>
      </c>
      <c r="M550" s="4">
        <f>IF($J550="","",J550*7%)</f>
      </c>
      <c r="N550" s="4">
        <f>IF($J550="","",M550*20%)</f>
      </c>
      <c r="O550" s="4"/>
      <c r="P550" s="4">
        <f>IF($J550="","",O550*20%)</f>
      </c>
      <c r="Q550" s="4">
        <v>1</v>
      </c>
      <c r="R550" s="4">
        <f>IF($J550="","",N550+P550)</f>
      </c>
      <c r="S550" s="4">
        <f>IF($J550="","",K550-L550-M550-N550-O550-P550-Q550)</f>
      </c>
      <c r="T550" s="4">
        <f>IF($J550="","",(S550-V550)/I550*100)</f>
      </c>
      <c r="U550" s="4">
        <f>IF($J550="","",L550-R550)</f>
      </c>
      <c r="W550" s="4">
        <f>IF($J550="","",S550-V550)</f>
      </c>
    </row>
    <row r="551" spans="1:28" x14ac:dyDescent="0.25">
      <c r="A551" s="8"/>
      <c r="D551" s="9"/>
      <c r="I551" s="4"/>
      <c r="J551" s="4"/>
      <c r="K551" s="4">
        <f>IF($J551="","",J551-I551)</f>
      </c>
      <c r="L551" s="4">
        <f>IF($J551="","",K551*16.67%)</f>
      </c>
      <c r="M551" s="4">
        <f>IF($J551="","",J551*7%)</f>
      </c>
      <c r="N551" s="4">
        <f>IF($J551="","",M551*20%)</f>
      </c>
      <c r="O551" s="4"/>
      <c r="P551" s="4">
        <f>IF($J551="","",O551*20%)</f>
      </c>
      <c r="Q551" s="4">
        <v>1</v>
      </c>
      <c r="R551" s="4">
        <f>IF($J551="","",N551+P551)</f>
      </c>
      <c r="S551" s="4">
        <f>IF($J551="","",K551-L551-M551-N551-O551-P551-Q551)</f>
      </c>
      <c r="T551" s="4">
        <f>IF($J551="","",(S551-V551)/I551*100)</f>
      </c>
      <c r="U551" s="4">
        <f>IF($J551="","",L551-R551)</f>
      </c>
      <c r="W551" s="4">
        <f>IF($J551="","",S551-V551)</f>
      </c>
    </row>
    <row r="552" spans="1:28" x14ac:dyDescent="0.25">
      <c r="A552" s="8"/>
      <c r="D552" s="9"/>
      <c r="I552" s="4"/>
      <c r="J552" s="4"/>
      <c r="K552" s="4">
        <f>IF($J552="","",J552-I552)</f>
      </c>
      <c r="L552" s="4">
        <f>IF($J552="","",K552*16.67%)</f>
      </c>
      <c r="M552" s="4">
        <f>IF($J552="","",J552*7%)</f>
      </c>
      <c r="N552" s="4">
        <f>IF($J552="","",M552*20%)</f>
      </c>
      <c r="O552" s="4"/>
      <c r="P552" s="4">
        <f>IF($J552="","",O552*20%)</f>
      </c>
      <c r="Q552" s="4">
        <v>1</v>
      </c>
      <c r="R552" s="4">
        <f>IF($J552="","",N552+P552)</f>
      </c>
      <c r="S552" s="4">
        <f>IF($J552="","",K552-L552-M552-N552-O552-P552-Q552)</f>
      </c>
      <c r="T552" s="4">
        <f>IF($J552="","",(S552-V552)/I552*100)</f>
      </c>
      <c r="U552" s="4">
        <f>IF($J552="","",L552-R552)</f>
      </c>
      <c r="W552" s="4">
        <f>IF($J552="","",S552-V552)</f>
      </c>
    </row>
    <row r="553" spans="1:28" x14ac:dyDescent="0.25">
      <c r="A553" s="8"/>
      <c r="D553" s="9"/>
      <c r="I553" s="4"/>
      <c r="J553" s="4"/>
      <c r="K553" s="4">
        <f>IF($J553="","",J553-I553)</f>
      </c>
      <c r="L553" s="4">
        <f>IF($J553="","",K553*16.67%)</f>
      </c>
      <c r="M553" s="4">
        <f>IF($J553="","",J553*7%)</f>
      </c>
      <c r="N553" s="4">
        <f>IF($J553="","",M553*20%)</f>
      </c>
      <c r="O553" s="4"/>
      <c r="P553" s="4">
        <f>IF($J553="","",O553*20%)</f>
      </c>
      <c r="Q553" s="4">
        <v>1</v>
      </c>
      <c r="R553" s="4">
        <f>IF($J553="","",N553+P553)</f>
      </c>
      <c r="S553" s="4">
        <f>IF($J553="","",K553-L553-M553-N553-O553-P553-Q553)</f>
      </c>
      <c r="T553" s="4">
        <f>IF($J553="","",(S553-V553)/I553*100)</f>
      </c>
      <c r="U553" s="4">
        <f>IF($J553="","",L553-R553)</f>
      </c>
      <c r="W553" s="4">
        <f>IF($J553="","",S553-V553)</f>
      </c>
    </row>
    <row r="554" spans="1:28" x14ac:dyDescent="0.25">
      <c r="A554" s="8"/>
      <c r="D554" s="9"/>
      <c r="I554" s="4"/>
      <c r="J554" s="4"/>
      <c r="K554" s="4">
        <f>IF($J554="","",J554-I554)</f>
      </c>
      <c r="L554" s="4">
        <f>IF($J554="","",K554*16.67%)</f>
      </c>
      <c r="M554" s="4">
        <f>IF($J554="","",J554*7%)</f>
      </c>
      <c r="N554" s="4">
        <f>IF($J554="","",M554*20%)</f>
      </c>
      <c r="O554" s="4"/>
      <c r="P554" s="4">
        <f>IF($J554="","",O554*20%)</f>
      </c>
      <c r="Q554" s="4">
        <v>1</v>
      </c>
      <c r="R554" s="4">
        <f>IF($J554="","",N554+P554)</f>
      </c>
      <c r="S554" s="4">
        <f>IF($J554="","",K554-L554-M554-N554-O554-P554-Q554)</f>
      </c>
      <c r="T554" s="4">
        <f>IF($J554="","",(S554-V554)/I554*100)</f>
      </c>
      <c r="U554" s="4">
        <f>IF($J554="","",L554-R554)</f>
      </c>
      <c r="W554" s="4">
        <f>IF($J554="","",S554-V554)</f>
      </c>
    </row>
    <row r="555" spans="1:28" x14ac:dyDescent="0.25">
      <c r="A555" s="8"/>
      <c r="D555" s="9"/>
      <c r="I555" s="4"/>
      <c r="J555" s="4"/>
      <c r="K555" s="4">
        <f>IF($J555="","",J555-I555)</f>
      </c>
      <c r="L555" s="4">
        <f>IF($J555="","",K555*16.67%)</f>
      </c>
      <c r="M555" s="4">
        <f>IF($J555="","",J555*7%)</f>
      </c>
      <c r="N555" s="4">
        <f>IF($J555="","",M555*20%)</f>
      </c>
      <c r="O555" s="4"/>
      <c r="P555" s="4">
        <f>IF($J555="","",O555*20%)</f>
      </c>
      <c r="Q555" s="4">
        <v>1</v>
      </c>
      <c r="R555" s="4">
        <f>IF($J555="","",N555+P555)</f>
      </c>
      <c r="S555" s="4">
        <f>IF($J555="","",K555-L555-M555-N555-O555-P555-Q555)</f>
      </c>
      <c r="T555" s="4">
        <f>IF($J555="","",(S555-V555)/I555*100)</f>
      </c>
      <c r="U555" s="4">
        <f>IF($J555="","",L555-R555)</f>
      </c>
      <c r="W555" s="4">
        <f>IF($J555="","",S555-V555)</f>
      </c>
    </row>
    <row r="556" spans="1:28" x14ac:dyDescent="0.25">
      <c r="A556" s="8"/>
      <c r="D556" s="9"/>
      <c r="I556" s="4"/>
      <c r="J556" s="4"/>
      <c r="K556" s="4">
        <f>IF($J556="","",J556-I556)</f>
      </c>
      <c r="L556" s="4">
        <f>IF($J556="","",K556*16.67%)</f>
      </c>
      <c r="M556" s="4">
        <f>IF($J556="","",J556*7%)</f>
      </c>
      <c r="N556" s="4">
        <f>IF($J556="","",M556*20%)</f>
      </c>
      <c r="O556" s="4"/>
      <c r="P556" s="4">
        <f>IF($J556="","",O556*20%)</f>
      </c>
      <c r="Q556" s="4">
        <v>1</v>
      </c>
      <c r="R556" s="4">
        <f>IF($J556="","",N556+P556)</f>
      </c>
      <c r="S556" s="4">
        <f>IF($J556="","",K556-L556-M556-N556-O556-P556-Q556)</f>
      </c>
      <c r="T556" s="4">
        <f>IF($J556="","",(S556-V556)/I556*100)</f>
      </c>
      <c r="U556" s="4">
        <f>IF($J556="","",L556-R556)</f>
      </c>
      <c r="W556" s="4">
        <f>IF($J556="","",S556-V556)</f>
      </c>
    </row>
    <row r="557" spans="1:28" x14ac:dyDescent="0.25">
      <c r="A557" s="8"/>
      <c r="D557" s="9"/>
      <c r="I557" s="4"/>
      <c r="J557" s="4"/>
      <c r="K557" s="4">
        <f>IF($J557="","",J557-I557)</f>
      </c>
      <c r="L557" s="4">
        <f>IF($J557="","",K557*16.67%)</f>
      </c>
      <c r="M557" s="4">
        <f>IF($J557="","",J557*7%)</f>
      </c>
      <c r="N557" s="4">
        <f>IF($J557="","",M557*20%)</f>
      </c>
      <c r="O557" s="4"/>
      <c r="P557" s="4">
        <f>IF($J557="","",O557*20%)</f>
      </c>
      <c r="Q557" s="4">
        <v>1</v>
      </c>
      <c r="R557" s="4">
        <f>IF($J557="","",N557+P557)</f>
      </c>
      <c r="S557" s="4">
        <f>IF($J557="","",K557-L557-M557-N557-O557-P557-Q557)</f>
      </c>
      <c r="T557" s="4">
        <f>IF($J557="","",(S557-V557)/I557*100)</f>
      </c>
      <c r="U557" s="4">
        <f>IF($J557="","",L557-R557)</f>
      </c>
      <c r="W557" s="4">
        <f>IF($J557="","",S557-V557)</f>
      </c>
    </row>
    <row r="558" spans="1:28" x14ac:dyDescent="0.25">
      <c r="A558" s="8"/>
      <c r="D558" s="9"/>
      <c r="I558" s="4"/>
      <c r="J558" s="4"/>
      <c r="K558" s="4">
        <f>IF($J558="","",J558-I558)</f>
      </c>
      <c r="L558" s="4">
        <f>IF($J558="","",K558*16.67%)</f>
      </c>
      <c r="M558" s="4">
        <f>IF($J558="","",J558*7%)</f>
      </c>
      <c r="N558" s="4">
        <f>IF($J558="","",M558*20%)</f>
      </c>
      <c r="O558" s="4"/>
      <c r="P558" s="4">
        <f>IF($J558="","",O558*20%)</f>
      </c>
      <c r="Q558" s="4">
        <v>1</v>
      </c>
      <c r="R558" s="4">
        <f>IF($J558="","",N558+P558)</f>
      </c>
      <c r="S558" s="4">
        <f>IF($J558="","",K558-L558-M558-N558-O558-P558-Q558)</f>
      </c>
      <c r="T558" s="4">
        <f>IF($J558="","",(S558-V558)/I558*100)</f>
      </c>
      <c r="U558" s="4">
        <f>IF($J558="","",L558-R558)</f>
      </c>
      <c r="W558" s="4">
        <f>IF($J558="","",S558-V558)</f>
      </c>
    </row>
    <row r="559" spans="1:28" x14ac:dyDescent="0.25">
      <c r="A559" s="8"/>
      <c r="D559" s="9"/>
      <c r="I559" s="4"/>
      <c r="J559" s="4"/>
      <c r="K559" s="4">
        <f>IF($J559="","",J559-I559)</f>
      </c>
      <c r="L559" s="4">
        <f>IF($J559="","",K559*16.67%)</f>
      </c>
      <c r="M559" s="4">
        <f>IF($J559="","",J559*7%)</f>
      </c>
      <c r="N559" s="4">
        <f>IF($J559="","",M559*20%)</f>
      </c>
      <c r="O559" s="4"/>
      <c r="P559" s="4">
        <f>IF($J559="","",O559*20%)</f>
      </c>
      <c r="Q559" s="4">
        <v>1</v>
      </c>
      <c r="R559" s="4">
        <f>IF($J559="","",N559+P559)</f>
      </c>
      <c r="S559" s="4">
        <f>IF($J559="","",K559-L559-M559-N559-O559-P559-Q559)</f>
      </c>
      <c r="T559" s="4">
        <f>IF($J559="","",(S559-V559)/I559*100)</f>
      </c>
      <c r="U559" s="4">
        <f>IF($J559="","",L559-R559)</f>
      </c>
      <c r="W559" s="4">
        <f>IF($J559="","",S559-V559)</f>
      </c>
    </row>
    <row r="560" spans="1:28" x14ac:dyDescent="0.25">
      <c r="A560" s="8"/>
      <c r="D560" s="9"/>
      <c r="I560" s="4"/>
      <c r="J560" s="4"/>
      <c r="K560" s="4">
        <f>IF($J560="","",J560-I560)</f>
      </c>
      <c r="L560" s="4">
        <f>IF($J560="","",K560*16.67%)</f>
      </c>
      <c r="M560" s="4">
        <f>IF($J560="","",J560*7%)</f>
      </c>
      <c r="N560" s="4">
        <f>IF($J560="","",M560*20%)</f>
      </c>
      <c r="O560" s="4"/>
      <c r="P560" s="4">
        <f>IF($J560="","",O560*20%)</f>
      </c>
      <c r="Q560" s="4">
        <v>1</v>
      </c>
      <c r="R560" s="4">
        <f>IF($J560="","",N560+P560)</f>
      </c>
      <c r="S560" s="4">
        <f>IF($J560="","",K560-L560-M560-N560-O560-P560-Q560)</f>
      </c>
      <c r="T560" s="4">
        <f>IF($J560="","",(S560-V560)/I560*100)</f>
      </c>
      <c r="U560" s="4">
        <f>IF($J560="","",L560-R560)</f>
      </c>
      <c r="W560" s="4">
        <f>IF($J560="","",S560-V560)</f>
      </c>
    </row>
    <row r="561" spans="1:28" x14ac:dyDescent="0.25">
      <c r="A561" s="8"/>
      <c r="D561" s="9"/>
      <c r="I561" s="4"/>
      <c r="J561" s="4"/>
      <c r="K561" s="4">
        <f>IF($J561="","",J561-I561)</f>
      </c>
      <c r="L561" s="4">
        <f>IF($J561="","",K561*16.67%)</f>
      </c>
      <c r="M561" s="4">
        <f>IF($J561="","",J561*7%)</f>
      </c>
      <c r="N561" s="4">
        <f>IF($J561="","",M561*20%)</f>
      </c>
      <c r="O561" s="4"/>
      <c r="P561" s="4">
        <f>IF($J561="","",O561*20%)</f>
      </c>
      <c r="Q561" s="4">
        <v>1</v>
      </c>
      <c r="R561" s="4">
        <f>IF($J561="","",N561+P561)</f>
      </c>
      <c r="S561" s="4">
        <f>IF($J561="","",K561-L561-M561-N561-O561-P561-Q561)</f>
      </c>
      <c r="T561" s="4">
        <f>IF($J561="","",(S561-V561)/I561*100)</f>
      </c>
      <c r="U561" s="4">
        <f>IF($J561="","",L561-R561)</f>
      </c>
      <c r="W561" s="4">
        <f>IF($J561="","",S561-V561)</f>
      </c>
    </row>
    <row r="562" spans="1:28" x14ac:dyDescent="0.25">
      <c r="A562" s="8"/>
      <c r="D562" s="9"/>
      <c r="I562" s="4"/>
      <c r="J562" s="4"/>
      <c r="K562" s="4">
        <f>IF($J562="","",J562-I562)</f>
      </c>
      <c r="L562" s="4">
        <f>IF($J562="","",K562*16.67%)</f>
      </c>
      <c r="M562" s="4">
        <f>IF($J562="","",J562*7%)</f>
      </c>
      <c r="N562" s="4">
        <f>IF($J562="","",M562*20%)</f>
      </c>
      <c r="O562" s="4"/>
      <c r="P562" s="4">
        <f>IF($J562="","",O562*20%)</f>
      </c>
      <c r="Q562" s="4">
        <v>1</v>
      </c>
      <c r="R562" s="4">
        <f>IF($J562="","",N562+P562)</f>
      </c>
      <c r="S562" s="4">
        <f>IF($J562="","",K562-L562-M562-N562-O562-P562-Q562)</f>
      </c>
      <c r="T562" s="4">
        <f>IF($J562="","",(S562-V562)/I562*100)</f>
      </c>
      <c r="U562" s="4">
        <f>IF($J562="","",L562-R562)</f>
      </c>
      <c r="W562" s="4">
        <f>IF($J562="","",S562-V562)</f>
      </c>
    </row>
    <row r="563" spans="1:28" x14ac:dyDescent="0.25">
      <c r="A563" s="8"/>
      <c r="D563" s="9"/>
      <c r="I563" s="4"/>
      <c r="J563" s="4"/>
      <c r="K563" s="4">
        <f>IF($J563="","",J563-I563)</f>
      </c>
      <c r="L563" s="4">
        <f>IF($J563="","",K563*16.67%)</f>
      </c>
      <c r="M563" s="4">
        <f>IF($J563="","",J563*7%)</f>
      </c>
      <c r="N563" s="4">
        <f>IF($J563="","",M563*20%)</f>
      </c>
      <c r="O563" s="4"/>
      <c r="P563" s="4">
        <f>IF($J563="","",O563*20%)</f>
      </c>
      <c r="Q563" s="4">
        <v>1</v>
      </c>
      <c r="R563" s="4">
        <f>IF($J563="","",N563+P563)</f>
      </c>
      <c r="S563" s="4">
        <f>IF($J563="","",K563-L563-M563-N563-O563-P563-Q563)</f>
      </c>
      <c r="T563" s="4">
        <f>IF($J563="","",(S563-V563)/I563*100)</f>
      </c>
      <c r="U563" s="4">
        <f>IF($J563="","",L563-R563)</f>
      </c>
      <c r="W563" s="4">
        <f>IF($J563="","",S563-V563)</f>
      </c>
    </row>
    <row r="564" spans="1:28" x14ac:dyDescent="0.25">
      <c r="A564" s="8"/>
      <c r="D564" s="9"/>
      <c r="I564" s="4"/>
      <c r="J564" s="4"/>
      <c r="K564" s="4">
        <f>IF($J564="","",J564-I564)</f>
      </c>
      <c r="L564" s="4">
        <f>IF($J564="","",K564*16.67%)</f>
      </c>
      <c r="M564" s="4">
        <f>IF($J564="","",J564*7%)</f>
      </c>
      <c r="N564" s="4">
        <f>IF($J564="","",M564*20%)</f>
      </c>
      <c r="O564" s="4"/>
      <c r="P564" s="4">
        <f>IF($J564="","",O564*20%)</f>
      </c>
      <c r="Q564" s="4">
        <v>1</v>
      </c>
      <c r="R564" s="4">
        <f>IF($J564="","",N564+P564)</f>
      </c>
      <c r="S564" s="4">
        <f>IF($J564="","",K564-L564-M564-N564-O564-P564-Q564)</f>
      </c>
      <c r="T564" s="4">
        <f>IF($J564="","",(S564-V564)/I564*100)</f>
      </c>
      <c r="U564" s="4">
        <f>IF($J564="","",L564-R564)</f>
      </c>
      <c r="W564" s="4">
        <f>IF($J564="","",S564-V564)</f>
      </c>
    </row>
    <row r="565" spans="1:28" x14ac:dyDescent="0.25">
      <c r="A565" s="8"/>
      <c r="D565" s="9"/>
      <c r="I565" s="4"/>
      <c r="J565" s="4"/>
      <c r="K565" s="4">
        <f>IF($J565="","",J565-I565)</f>
      </c>
      <c r="L565" s="4">
        <f>IF($J565="","",K565*16.67%)</f>
      </c>
      <c r="M565" s="4">
        <f>IF($J565="","",J565*7%)</f>
      </c>
      <c r="N565" s="4">
        <f>IF($J565="","",M565*20%)</f>
      </c>
      <c r="O565" s="4"/>
      <c r="P565" s="4">
        <f>IF($J565="","",O565*20%)</f>
      </c>
      <c r="Q565" s="4">
        <v>1</v>
      </c>
      <c r="R565" s="4">
        <f>IF($J565="","",N565+P565)</f>
      </c>
      <c r="S565" s="4">
        <f>IF($J565="","",K565-L565-M565-N565-O565-P565-Q565)</f>
      </c>
      <c r="T565" s="4">
        <f>IF($J565="","",(S565-V565)/I565*100)</f>
      </c>
      <c r="U565" s="4">
        <f>IF($J565="","",L565-R565)</f>
      </c>
      <c r="W565" s="4">
        <f>IF($J565="","",S565-V565)</f>
      </c>
    </row>
    <row r="566" spans="1:28" x14ac:dyDescent="0.25">
      <c r="A566" s="8"/>
      <c r="D566" s="9"/>
      <c r="I566" s="4"/>
      <c r="J566" s="4"/>
      <c r="K566" s="4">
        <f>IF($J566="","",J566-I566)</f>
      </c>
      <c r="L566" s="4">
        <f>IF($J566="","",K566*16.67%)</f>
      </c>
      <c r="M566" s="4">
        <f>IF($J566="","",J566*7%)</f>
      </c>
      <c r="N566" s="4">
        <f>IF($J566="","",M566*20%)</f>
      </c>
      <c r="O566" s="4"/>
      <c r="P566" s="4">
        <f>IF($J566="","",O566*20%)</f>
      </c>
      <c r="Q566" s="4">
        <v>1</v>
      </c>
      <c r="R566" s="4">
        <f>IF($J566="","",N566+P566)</f>
      </c>
      <c r="S566" s="4">
        <f>IF($J566="","",K566-L566-M566-N566-O566-P566-Q566)</f>
      </c>
      <c r="T566" s="4">
        <f>IF($J566="","",(S566-V566)/I566*100)</f>
      </c>
      <c r="U566" s="4">
        <f>IF($J566="","",L566-R566)</f>
      </c>
      <c r="W566" s="4">
        <f>IF($J566="","",S566-V566)</f>
      </c>
    </row>
    <row r="567" spans="1:28" x14ac:dyDescent="0.25">
      <c r="A567" s="8"/>
      <c r="D567" s="9"/>
      <c r="I567" s="4"/>
      <c r="J567" s="4"/>
      <c r="K567" s="4">
        <f>IF($J567="","",J567-I567)</f>
      </c>
      <c r="L567" s="4">
        <f>IF($J567="","",K567*16.67%)</f>
      </c>
      <c r="M567" s="4">
        <f>IF($J567="","",J567*7%)</f>
      </c>
      <c r="N567" s="4">
        <f>IF($J567="","",M567*20%)</f>
      </c>
      <c r="O567" s="4"/>
      <c r="P567" s="4">
        <f>IF($J567="","",O567*20%)</f>
      </c>
      <c r="Q567" s="4">
        <v>1</v>
      </c>
      <c r="R567" s="4">
        <f>IF($J567="","",N567+P567)</f>
      </c>
      <c r="S567" s="4">
        <f>IF($J567="","",K567-L567-M567-N567-O567-P567-Q567)</f>
      </c>
      <c r="T567" s="4">
        <f>IF($J567="","",(S567-V567)/I567*100)</f>
      </c>
      <c r="U567" s="4">
        <f>IF($J567="","",L567-R567)</f>
      </c>
      <c r="W567" s="4">
        <f>IF($J567="","",S567-V567)</f>
      </c>
    </row>
    <row r="568" spans="1:28" x14ac:dyDescent="0.25">
      <c r="A568" s="8"/>
      <c r="D568" s="9"/>
      <c r="I568" s="4"/>
      <c r="J568" s="4"/>
      <c r="K568" s="4">
        <f>IF($J568="","",J568-I568)</f>
      </c>
      <c r="L568" s="4">
        <f>IF($J568="","",K568*16.67%)</f>
      </c>
      <c r="M568" s="4">
        <f>IF($J568="","",J568*7%)</f>
      </c>
      <c r="N568" s="4">
        <f>IF($J568="","",M568*20%)</f>
      </c>
      <c r="O568" s="4"/>
      <c r="P568" s="4">
        <f>IF($J568="","",O568*20%)</f>
      </c>
      <c r="Q568" s="4">
        <v>1</v>
      </c>
      <c r="R568" s="4">
        <f>IF($J568="","",N568+P568)</f>
      </c>
      <c r="S568" s="4">
        <f>IF($J568="","",K568-L568-M568-N568-O568-P568-Q568)</f>
      </c>
      <c r="T568" s="4">
        <f>IF($J568="","",(S568-V568)/I568*100)</f>
      </c>
      <c r="U568" s="4">
        <f>IF($J568="","",L568-R568)</f>
      </c>
      <c r="W568" s="4">
        <f>IF($J568="","",S568-V568)</f>
      </c>
    </row>
    <row r="569" spans="1:28" x14ac:dyDescent="0.25">
      <c r="A569" s="8"/>
      <c r="D569" s="9"/>
      <c r="I569" s="4"/>
      <c r="J569" s="4"/>
      <c r="K569" s="4">
        <f>IF($J569="","",J569-I569)</f>
      </c>
      <c r="L569" s="4">
        <f>IF($J569="","",K569*16.67%)</f>
      </c>
      <c r="M569" s="4">
        <f>IF($J569="","",J569*7%)</f>
      </c>
      <c r="N569" s="4">
        <f>IF($J569="","",M569*20%)</f>
      </c>
      <c r="O569" s="4"/>
      <c r="P569" s="4">
        <f>IF($J569="","",O569*20%)</f>
      </c>
      <c r="Q569" s="4">
        <v>1</v>
      </c>
      <c r="R569" s="4">
        <f>IF($J569="","",N569+P569)</f>
      </c>
      <c r="S569" s="4">
        <f>IF($J569="","",K569-L569-M569-N569-O569-P569-Q569)</f>
      </c>
      <c r="T569" s="4">
        <f>IF($J569="","",(S569-V569)/I569*100)</f>
      </c>
      <c r="U569" s="4">
        <f>IF($J569="","",L569-R569)</f>
      </c>
      <c r="W569" s="4">
        <f>IF($J569="","",S569-V569)</f>
      </c>
    </row>
    <row r="570" spans="1:28" x14ac:dyDescent="0.25">
      <c r="A570" s="8"/>
      <c r="D570" s="9"/>
      <c r="I570" s="4"/>
      <c r="J570" s="4"/>
      <c r="K570" s="4">
        <f>IF($J570="","",J570-I570)</f>
      </c>
      <c r="L570" s="4">
        <f>IF($J570="","",K570*16.67%)</f>
      </c>
      <c r="M570" s="4">
        <f>IF($J570="","",J570*7%)</f>
      </c>
      <c r="N570" s="4">
        <f>IF($J570="","",M570*20%)</f>
      </c>
      <c r="O570" s="4"/>
      <c r="P570" s="4">
        <f>IF($J570="","",O570*20%)</f>
      </c>
      <c r="Q570" s="4">
        <v>1</v>
      </c>
      <c r="R570" s="4">
        <f>IF($J570="","",N570+P570)</f>
      </c>
      <c r="S570" s="4">
        <f>IF($J570="","",K570-L570-M570-N570-O570-P570-Q570)</f>
      </c>
      <c r="T570" s="4">
        <f>IF($J570="","",(S570-V570)/I570*100)</f>
      </c>
      <c r="U570" s="4">
        <f>IF($J570="","",L570-R570)</f>
      </c>
      <c r="W570" s="4">
        <f>IF($J570="","",S570-V570)</f>
      </c>
    </row>
    <row r="571" spans="1:28" x14ac:dyDescent="0.25">
      <c r="A571" s="8"/>
      <c r="D571" s="9"/>
      <c r="I571" s="4"/>
      <c r="J571" s="4"/>
      <c r="K571" s="4">
        <f>IF($J571="","",J571-I571)</f>
      </c>
      <c r="L571" s="4">
        <f>IF($J571="","",K571*16.67%)</f>
      </c>
      <c r="M571" s="4">
        <f>IF($J571="","",J571*7%)</f>
      </c>
      <c r="N571" s="4">
        <f>IF($J571="","",M571*20%)</f>
      </c>
      <c r="O571" s="4"/>
      <c r="P571" s="4">
        <f>IF($J571="","",O571*20%)</f>
      </c>
      <c r="Q571" s="4">
        <v>1</v>
      </c>
      <c r="R571" s="4">
        <f>IF($J571="","",N571+P571)</f>
      </c>
      <c r="S571" s="4">
        <f>IF($J571="","",K571-L571-M571-N571-O571-P571-Q571)</f>
      </c>
      <c r="T571" s="4">
        <f>IF($J571="","",(S571-V571)/I571*100)</f>
      </c>
      <c r="U571" s="4">
        <f>IF($J571="","",L571-R571)</f>
      </c>
      <c r="W571" s="4">
        <f>IF($J571="","",S571-V571)</f>
      </c>
    </row>
    <row r="572" spans="1:28" x14ac:dyDescent="0.25">
      <c r="A572" s="8"/>
      <c r="D572" s="9"/>
      <c r="I572" s="4"/>
      <c r="J572" s="4"/>
      <c r="K572" s="4">
        <f>IF($J572="","",J572-I572)</f>
      </c>
      <c r="L572" s="4">
        <f>IF($J572="","",K572*16.67%)</f>
      </c>
      <c r="M572" s="4">
        <f>IF($J572="","",J572*7%)</f>
      </c>
      <c r="N572" s="4">
        <f>IF($J572="","",M572*20%)</f>
      </c>
      <c r="O572" s="4"/>
      <c r="P572" s="4">
        <f>IF($J572="","",O572*20%)</f>
      </c>
      <c r="Q572" s="4">
        <v>1</v>
      </c>
      <c r="R572" s="4">
        <f>IF($J572="","",N572+P572)</f>
      </c>
      <c r="S572" s="4">
        <f>IF($J572="","",K572-L572-M572-N572-O572-P572-Q572)</f>
      </c>
      <c r="T572" s="4">
        <f>IF($J572="","",(S572-V572)/I572*100)</f>
      </c>
      <c r="U572" s="4">
        <f>IF($J572="","",L572-R572)</f>
      </c>
      <c r="W572" s="4">
        <f>IF($J572="","",S572-V572)</f>
      </c>
    </row>
    <row r="573" spans="1:28" x14ac:dyDescent="0.25">
      <c r="A573" s="8"/>
      <c r="D573" s="9"/>
      <c r="I573" s="4"/>
      <c r="J573" s="4"/>
      <c r="K573" s="4">
        <f>IF($J573="","",J573-I573)</f>
      </c>
      <c r="L573" s="4">
        <f>IF($J573="","",K573*16.67%)</f>
      </c>
      <c r="M573" s="4">
        <f>IF($J573="","",J573*7%)</f>
      </c>
      <c r="N573" s="4">
        <f>IF($J573="","",M573*20%)</f>
      </c>
      <c r="O573" s="4"/>
      <c r="P573" s="4">
        <f>IF($J573="","",O573*20%)</f>
      </c>
      <c r="Q573" s="4">
        <v>1</v>
      </c>
      <c r="R573" s="4">
        <f>IF($J573="","",N573+P573)</f>
      </c>
      <c r="S573" s="4">
        <f>IF($J573="","",K573-L573-M573-N573-O573-P573-Q573)</f>
      </c>
      <c r="T573" s="4">
        <f>IF($J573="","",(S573-V573)/I573*100)</f>
      </c>
      <c r="U573" s="4">
        <f>IF($J573="","",L573-R573)</f>
      </c>
      <c r="W573" s="4">
        <f>IF($J573="","",S573-V573)</f>
      </c>
    </row>
    <row r="574" spans="1:28" x14ac:dyDescent="0.25">
      <c r="A574" s="8"/>
      <c r="D574" s="9"/>
      <c r="I574" s="4"/>
      <c r="J574" s="4"/>
      <c r="K574" s="4">
        <f>IF($J574="","",J574-I574)</f>
      </c>
      <c r="L574" s="4">
        <f>IF($J574="","",K574*16.67%)</f>
      </c>
      <c r="M574" s="4">
        <f>IF($J574="","",J574*7%)</f>
      </c>
      <c r="N574" s="4">
        <f>IF($J574="","",M574*20%)</f>
      </c>
      <c r="O574" s="4"/>
      <c r="P574" s="4">
        <f>IF($J574="","",O574*20%)</f>
      </c>
      <c r="Q574" s="4">
        <v>1</v>
      </c>
      <c r="R574" s="4">
        <f>IF($J574="","",N574+P574)</f>
      </c>
      <c r="S574" s="4">
        <f>IF($J574="","",K574-L574-M574-N574-O574-P574-Q574)</f>
      </c>
      <c r="T574" s="4">
        <f>IF($J574="","",(S574-V574)/I574*100)</f>
      </c>
      <c r="U574" s="4">
        <f>IF($J574="","",L574-R574)</f>
      </c>
      <c r="W574" s="4">
        <f>IF($J574="","",S574-V574)</f>
      </c>
    </row>
    <row r="575" spans="1:28" x14ac:dyDescent="0.25">
      <c r="A575" s="8"/>
      <c r="D575" s="9"/>
      <c r="I575" s="4"/>
      <c r="J575" s="4"/>
      <c r="K575" s="4">
        <f>IF($J575="","",J575-I575)</f>
      </c>
      <c r="L575" s="4">
        <f>IF($J575="","",K575*16.67%)</f>
      </c>
      <c r="M575" s="4">
        <f>IF($J575="","",J575*7%)</f>
      </c>
      <c r="N575" s="4">
        <f>IF($J575="","",M575*20%)</f>
      </c>
      <c r="O575" s="4"/>
      <c r="P575" s="4">
        <f>IF($J575="","",O575*20%)</f>
      </c>
      <c r="Q575" s="4">
        <v>1</v>
      </c>
      <c r="R575" s="4">
        <f>IF($J575="","",N575+P575)</f>
      </c>
      <c r="S575" s="4">
        <f>IF($J575="","",K575-L575-M575-N575-O575-P575-Q575)</f>
      </c>
      <c r="T575" s="4">
        <f>IF($J575="","",(S575-V575)/I575*100)</f>
      </c>
      <c r="U575" s="4">
        <f>IF($J575="","",L575-R575)</f>
      </c>
      <c r="W575" s="4">
        <f>IF($J575="","",S575-V575)</f>
      </c>
    </row>
    <row r="576" spans="1:28" x14ac:dyDescent="0.25">
      <c r="A576" s="8"/>
      <c r="D576" s="9"/>
      <c r="I576" s="4"/>
      <c r="J576" s="4"/>
      <c r="K576" s="4">
        <f>IF($J576="","",J576-I576)</f>
      </c>
      <c r="L576" s="4">
        <f>IF($J576="","",K576*16.67%)</f>
      </c>
      <c r="M576" s="4">
        <f>IF($J576="","",J576*7%)</f>
      </c>
      <c r="N576" s="4">
        <f>IF($J576="","",M576*20%)</f>
      </c>
      <c r="O576" s="4"/>
      <c r="P576" s="4">
        <f>IF($J576="","",O576*20%)</f>
      </c>
      <c r="Q576" s="4">
        <v>1</v>
      </c>
      <c r="R576" s="4">
        <f>IF($J576="","",N576+P576)</f>
      </c>
      <c r="S576" s="4">
        <f>IF($J576="","",K576-L576-M576-N576-O576-P576-Q576)</f>
      </c>
      <c r="T576" s="4">
        <f>IF($J576="","",(S576-V576)/I576*100)</f>
      </c>
      <c r="U576" s="4">
        <f>IF($J576="","",L576-R576)</f>
      </c>
      <c r="W576" s="4">
        <f>IF($J576="","",S576-V576)</f>
      </c>
    </row>
    <row r="577" spans="1:28" x14ac:dyDescent="0.25">
      <c r="A577" s="8"/>
      <c r="D577" s="9"/>
      <c r="I577" s="4"/>
      <c r="J577" s="4"/>
      <c r="K577" s="4">
        <f>IF($J577="","",J577-I577)</f>
      </c>
      <c r="L577" s="4">
        <f>IF($J577="","",K577*16.67%)</f>
      </c>
      <c r="M577" s="4">
        <f>IF($J577="","",J577*7%)</f>
      </c>
      <c r="N577" s="4">
        <f>IF($J577="","",M577*20%)</f>
      </c>
      <c r="O577" s="4"/>
      <c r="P577" s="4">
        <f>IF($J577="","",O577*20%)</f>
      </c>
      <c r="Q577" s="4">
        <v>1</v>
      </c>
      <c r="R577" s="4">
        <f>IF($J577="","",N577+P577)</f>
      </c>
      <c r="S577" s="4">
        <f>IF($J577="","",K577-L577-M577-N577-O577-P577-Q577)</f>
      </c>
      <c r="T577" s="4">
        <f>IF($J577="","",(S577-V577)/I577*100)</f>
      </c>
      <c r="U577" s="4">
        <f>IF($J577="","",L577-R577)</f>
      </c>
      <c r="W577" s="4">
        <f>IF($J577="","",S577-V577)</f>
      </c>
    </row>
    <row r="578" spans="1:28" x14ac:dyDescent="0.25">
      <c r="A578" s="8"/>
      <c r="D578" s="9"/>
      <c r="I578" s="4"/>
      <c r="J578" s="4"/>
      <c r="K578" s="4">
        <f>IF($J578="","",J578-I578)</f>
      </c>
      <c r="L578" s="4">
        <f>IF($J578="","",K578*16.67%)</f>
      </c>
      <c r="M578" s="4">
        <f>IF($J578="","",J578*7%)</f>
      </c>
      <c r="N578" s="4">
        <f>IF($J578="","",M578*20%)</f>
      </c>
      <c r="O578" s="4"/>
      <c r="P578" s="4">
        <f>IF($J578="","",O578*20%)</f>
      </c>
      <c r="Q578" s="4">
        <v>1</v>
      </c>
      <c r="R578" s="4">
        <f>IF($J578="","",N578+P578)</f>
      </c>
      <c r="S578" s="4">
        <f>IF($J578="","",K578-L578-M578-N578-O578-P578-Q578)</f>
      </c>
      <c r="T578" s="4">
        <f>IF($J578="","",(S578-V578)/I578*100)</f>
      </c>
      <c r="U578" s="4">
        <f>IF($J578="","",L578-R578)</f>
      </c>
      <c r="W578" s="4">
        <f>IF($J578="","",S578-V578)</f>
      </c>
    </row>
    <row r="579" spans="1:28" x14ac:dyDescent="0.25">
      <c r="A579" s="8"/>
      <c r="D579" s="9"/>
      <c r="I579" s="4"/>
      <c r="J579" s="4"/>
      <c r="K579" s="4">
        <f>IF($J579="","",J579-I579)</f>
      </c>
      <c r="L579" s="4">
        <f>IF($J579="","",K579*16.67%)</f>
      </c>
      <c r="M579" s="4">
        <f>IF($J579="","",J579*7%)</f>
      </c>
      <c r="N579" s="4">
        <f>IF($J579="","",M579*20%)</f>
      </c>
      <c r="O579" s="4"/>
      <c r="P579" s="4">
        <f>IF($J579="","",O579*20%)</f>
      </c>
      <c r="Q579" s="4">
        <v>1</v>
      </c>
      <c r="R579" s="4">
        <f>IF($J579="","",N579+P579)</f>
      </c>
      <c r="S579" s="4">
        <f>IF($J579="","",K579-L579-M579-N579-O579-P579-Q579)</f>
      </c>
      <c r="T579" s="4">
        <f>IF($J579="","",(S579-V579)/I579*100)</f>
      </c>
      <c r="U579" s="4">
        <f>IF($J579="","",L579-R579)</f>
      </c>
      <c r="W579" s="4">
        <f>IF($J579="","",S579-V579)</f>
      </c>
    </row>
    <row r="580" spans="1:28" x14ac:dyDescent="0.25">
      <c r="A580" s="8"/>
      <c r="D580" s="9"/>
      <c r="I580" s="4"/>
      <c r="J580" s="4"/>
      <c r="K580" s="4">
        <f>IF($J580="","",J580-I580)</f>
      </c>
      <c r="L580" s="4">
        <f>IF($J580="","",K580*16.67%)</f>
      </c>
      <c r="M580" s="4">
        <f>IF($J580="","",J580*7%)</f>
      </c>
      <c r="N580" s="4">
        <f>IF($J580="","",M580*20%)</f>
      </c>
      <c r="O580" s="4"/>
      <c r="P580" s="4">
        <f>IF($J580="","",O580*20%)</f>
      </c>
      <c r="Q580" s="4">
        <v>1</v>
      </c>
      <c r="R580" s="4">
        <f>IF($J580="","",N580+P580)</f>
      </c>
      <c r="S580" s="4">
        <f>IF($J580="","",K580-L580-M580-N580-O580-P580-Q580)</f>
      </c>
      <c r="T580" s="4">
        <f>IF($J580="","",(S580-V580)/I580*100)</f>
      </c>
      <c r="U580" s="4">
        <f>IF($J580="","",L580-R580)</f>
      </c>
      <c r="W580" s="4">
        <f>IF($J580="","",S580-V580)</f>
      </c>
    </row>
    <row r="581" spans="1:28" x14ac:dyDescent="0.25">
      <c r="A581" s="8"/>
      <c r="D581" s="9"/>
      <c r="I581" s="4"/>
      <c r="J581" s="4"/>
      <c r="K581" s="4">
        <f>IF($J581="","",J581-I581)</f>
      </c>
      <c r="L581" s="4">
        <f>IF($J581="","",K581*16.67%)</f>
      </c>
      <c r="M581" s="4">
        <f>IF($J581="","",J581*7%)</f>
      </c>
      <c r="N581" s="4">
        <f>IF($J581="","",M581*20%)</f>
      </c>
      <c r="O581" s="4"/>
      <c r="P581" s="4">
        <f>IF($J581="","",O581*20%)</f>
      </c>
      <c r="Q581" s="4">
        <v>1</v>
      </c>
      <c r="R581" s="4">
        <f>IF($J581="","",N581+P581)</f>
      </c>
      <c r="S581" s="4">
        <f>IF($J581="","",K581-L581-M581-N581-O581-P581-Q581)</f>
      </c>
      <c r="T581" s="4">
        <f>IF($J581="","",(S581-V581)/I581*100)</f>
      </c>
      <c r="U581" s="4">
        <f>IF($J581="","",L581-R581)</f>
      </c>
      <c r="W581" s="4">
        <f>IF($J581="","",S581-V581)</f>
      </c>
    </row>
    <row r="582" spans="1:28" x14ac:dyDescent="0.25">
      <c r="A582" s="8"/>
      <c r="D582" s="9"/>
      <c r="I582" s="4"/>
      <c r="J582" s="4"/>
      <c r="K582" s="4">
        <f>IF($J582="","",J582-I582)</f>
      </c>
      <c r="L582" s="4">
        <f>IF($J582="","",K582*16.67%)</f>
      </c>
      <c r="M582" s="4">
        <f>IF($J582="","",J582*7%)</f>
      </c>
      <c r="N582" s="4">
        <f>IF($J582="","",M582*20%)</f>
      </c>
      <c r="O582" s="4"/>
      <c r="P582" s="4">
        <f>IF($J582="","",O582*20%)</f>
      </c>
      <c r="Q582" s="4">
        <v>1</v>
      </c>
      <c r="R582" s="4">
        <f>IF($J582="","",N582+P582)</f>
      </c>
      <c r="S582" s="4">
        <f>IF($J582="","",K582-L582-M582-N582-O582-P582-Q582)</f>
      </c>
      <c r="T582" s="4">
        <f>IF($J582="","",(S582-V582)/I582*100)</f>
      </c>
      <c r="U582" s="4">
        <f>IF($J582="","",L582-R582)</f>
      </c>
      <c r="W582" s="4">
        <f>IF($J582="","",S582-V582)</f>
      </c>
    </row>
    <row r="583" spans="1:28" x14ac:dyDescent="0.25">
      <c r="A583" s="8"/>
      <c r="D583" s="9"/>
      <c r="I583" s="4"/>
      <c r="J583" s="4"/>
      <c r="K583" s="4">
        <f>IF($J583="","",J583-I583)</f>
      </c>
      <c r="L583" s="4">
        <f>IF($J583="","",K583*16.67%)</f>
      </c>
      <c r="M583" s="4">
        <f>IF($J583="","",J583*7%)</f>
      </c>
      <c r="N583" s="4">
        <f>IF($J583="","",M583*20%)</f>
      </c>
      <c r="O583" s="4"/>
      <c r="P583" s="4">
        <f>IF($J583="","",O583*20%)</f>
      </c>
      <c r="Q583" s="4">
        <v>1</v>
      </c>
      <c r="R583" s="4">
        <f>IF($J583="","",N583+P583)</f>
      </c>
      <c r="S583" s="4">
        <f>IF($J583="","",K583-L583-M583-N583-O583-P583-Q583)</f>
      </c>
      <c r="T583" s="4">
        <f>IF($J583="","",(S583-V583)/I583*100)</f>
      </c>
      <c r="U583" s="4">
        <f>IF($J583="","",L583-R583)</f>
      </c>
      <c r="W583" s="4">
        <f>IF($J583="","",S583-V583)</f>
      </c>
    </row>
    <row r="584" spans="1:28" x14ac:dyDescent="0.25">
      <c r="A584" s="8"/>
      <c r="D584" s="9"/>
      <c r="I584" s="4"/>
      <c r="J584" s="4"/>
      <c r="K584" s="4">
        <f>IF($J584="","",J584-I584)</f>
      </c>
      <c r="L584" s="4">
        <f>IF($J584="","",K584*16.67%)</f>
      </c>
      <c r="M584" s="4">
        <f>IF($J584="","",J584*7%)</f>
      </c>
      <c r="N584" s="4">
        <f>IF($J584="","",M584*20%)</f>
      </c>
      <c r="O584" s="4"/>
      <c r="P584" s="4">
        <f>IF($J584="","",O584*20%)</f>
      </c>
      <c r="Q584" s="4">
        <v>1</v>
      </c>
      <c r="R584" s="4">
        <f>IF($J584="","",N584+P584)</f>
      </c>
      <c r="S584" s="4">
        <f>IF($J584="","",K584-L584-M584-N584-O584-P584-Q584)</f>
      </c>
      <c r="T584" s="4">
        <f>IF($J584="","",(S584-V584)/I584*100)</f>
      </c>
      <c r="U584" s="4">
        <f>IF($J584="","",L584-R584)</f>
      </c>
      <c r="W584" s="4">
        <f>IF($J584="","",S584-V584)</f>
      </c>
    </row>
    <row r="585" spans="1:28" x14ac:dyDescent="0.25">
      <c r="A585" s="8"/>
      <c r="D585" s="9"/>
      <c r="I585" s="4"/>
      <c r="J585" s="4"/>
      <c r="K585" s="4">
        <f>IF($J585="","",J585-I585)</f>
      </c>
      <c r="L585" s="4">
        <f>IF($J585="","",K585*16.67%)</f>
      </c>
      <c r="M585" s="4">
        <f>IF($J585="","",J585*7%)</f>
      </c>
      <c r="N585" s="4">
        <f>IF($J585="","",M585*20%)</f>
      </c>
      <c r="O585" s="4"/>
      <c r="P585" s="4">
        <f>IF($J585="","",O585*20%)</f>
      </c>
      <c r="Q585" s="4">
        <v>1</v>
      </c>
      <c r="R585" s="4">
        <f>IF($J585="","",N585+P585)</f>
      </c>
      <c r="S585" s="4">
        <f>IF($J585="","",K585-L585-M585-N585-O585-P585-Q585)</f>
      </c>
      <c r="T585" s="4">
        <f>IF($J585="","",(S585-V585)/I585*100)</f>
      </c>
      <c r="U585" s="4">
        <f>IF($J585="","",L585-R585)</f>
      </c>
      <c r="W585" s="4">
        <f>IF($J585="","",S585-V585)</f>
      </c>
    </row>
    <row r="586" spans="1:28" x14ac:dyDescent="0.25">
      <c r="A586" s="8"/>
      <c r="D586" s="9"/>
      <c r="I586" s="4"/>
      <c r="J586" s="4"/>
      <c r="K586" s="4">
        <f>IF($J586="","",J586-I586)</f>
      </c>
      <c r="L586" s="4">
        <f>IF($J586="","",K586*16.67%)</f>
      </c>
      <c r="M586" s="4">
        <f>IF($J586="","",J586*7%)</f>
      </c>
      <c r="N586" s="4">
        <f>IF($J586="","",M586*20%)</f>
      </c>
      <c r="O586" s="4"/>
      <c r="P586" s="4">
        <f>IF($J586="","",O586*20%)</f>
      </c>
      <c r="Q586" s="4">
        <v>1</v>
      </c>
      <c r="R586" s="4">
        <f>IF($J586="","",N586+P586)</f>
      </c>
      <c r="S586" s="4">
        <f>IF($J586="","",K586-L586-M586-N586-O586-P586-Q586)</f>
      </c>
      <c r="T586" s="4">
        <f>IF($J586="","",(S586-V586)/I586*100)</f>
      </c>
      <c r="U586" s="4">
        <f>IF($J586="","",L586-R586)</f>
      </c>
      <c r="W586" s="4">
        <f>IF($J586="","",S586-V586)</f>
      </c>
    </row>
    <row r="587" spans="1:28" x14ac:dyDescent="0.25">
      <c r="A587" s="8"/>
      <c r="D587" s="9"/>
      <c r="I587" s="4"/>
      <c r="J587" s="4"/>
      <c r="K587" s="4">
        <f>IF($J587="","",J587-I587)</f>
      </c>
      <c r="L587" s="4">
        <f>IF($J587="","",K587*16.67%)</f>
      </c>
      <c r="M587" s="4">
        <f>IF($J587="","",J587*7%)</f>
      </c>
      <c r="N587" s="4">
        <f>IF($J587="","",M587*20%)</f>
      </c>
      <c r="O587" s="4"/>
      <c r="P587" s="4">
        <f>IF($J587="","",O587*20%)</f>
      </c>
      <c r="Q587" s="4">
        <v>1</v>
      </c>
      <c r="R587" s="4">
        <f>IF($J587="","",N587+P587)</f>
      </c>
      <c r="S587" s="4">
        <f>IF($J587="","",K587-L587-M587-N587-O587-P587-Q587)</f>
      </c>
      <c r="T587" s="4">
        <f>IF($J587="","",(S587-V587)/I587*100)</f>
      </c>
      <c r="U587" s="4">
        <f>IF($J587="","",L587-R587)</f>
      </c>
      <c r="W587" s="4">
        <f>IF($J587="","",S587-V587)</f>
      </c>
    </row>
    <row r="588" spans="1:28" x14ac:dyDescent="0.25">
      <c r="A588" s="8"/>
      <c r="D588" s="9"/>
      <c r="I588" s="4"/>
      <c r="J588" s="4"/>
      <c r="K588" s="4">
        <f>IF($J588="","",J588-I588)</f>
      </c>
      <c r="L588" s="4">
        <f>IF($J588="","",K588*16.67%)</f>
      </c>
      <c r="M588" s="4">
        <f>IF($J588="","",J588*7%)</f>
      </c>
      <c r="N588" s="4">
        <f>IF($J588="","",M588*20%)</f>
      </c>
      <c r="O588" s="4"/>
      <c r="P588" s="4">
        <f>IF($J588="","",O588*20%)</f>
      </c>
      <c r="Q588" s="4">
        <v>1</v>
      </c>
      <c r="R588" s="4">
        <f>IF($J588="","",N588+P588)</f>
      </c>
      <c r="S588" s="4">
        <f>IF($J588="","",K588-L588-M588-N588-O588-P588-Q588)</f>
      </c>
      <c r="T588" s="4">
        <f>IF($J588="","",(S588-V588)/I588*100)</f>
      </c>
      <c r="U588" s="4">
        <f>IF($J588="","",L588-R588)</f>
      </c>
      <c r="W588" s="4">
        <f>IF($J588="","",S588-V588)</f>
      </c>
    </row>
    <row r="589" spans="1:28" x14ac:dyDescent="0.25">
      <c r="A589" s="8"/>
      <c r="D589" s="9"/>
      <c r="I589" s="4"/>
      <c r="J589" s="4"/>
      <c r="K589" s="4">
        <f>IF($J589="","",J589-I589)</f>
      </c>
      <c r="L589" s="4">
        <f>IF($J589="","",K589*16.67%)</f>
      </c>
      <c r="M589" s="4">
        <f>IF($J589="","",J589*7%)</f>
      </c>
      <c r="N589" s="4">
        <f>IF($J589="","",M589*20%)</f>
      </c>
      <c r="O589" s="4"/>
      <c r="P589" s="4">
        <f>IF($J589="","",O589*20%)</f>
      </c>
      <c r="Q589" s="4">
        <v>1</v>
      </c>
      <c r="R589" s="4">
        <f>IF($J589="","",N589+P589)</f>
      </c>
      <c r="S589" s="4">
        <f>IF($J589="","",K589-L589-M589-N589-O589-P589-Q589)</f>
      </c>
      <c r="T589" s="4">
        <f>IF($J589="","",(S589-V589)/I589*100)</f>
      </c>
      <c r="U589" s="4">
        <f>IF($J589="","",L589-R589)</f>
      </c>
      <c r="W589" s="4">
        <f>IF($J589="","",S589-V589)</f>
      </c>
    </row>
    <row r="590" spans="1:28" x14ac:dyDescent="0.25">
      <c r="A590" s="8"/>
      <c r="D590" s="9"/>
      <c r="I590" s="4"/>
      <c r="J590" s="4"/>
      <c r="K590" s="4">
        <f>IF($J590="","",J590-I590)</f>
      </c>
      <c r="L590" s="4">
        <f>IF($J590="","",K590*16.67%)</f>
      </c>
      <c r="M590" s="4">
        <f>IF($J590="","",J590*7%)</f>
      </c>
      <c r="N590" s="4">
        <f>IF($J590="","",M590*20%)</f>
      </c>
      <c r="O590" s="4"/>
      <c r="P590" s="4">
        <f>IF($J590="","",O590*20%)</f>
      </c>
      <c r="Q590" s="4">
        <v>1</v>
      </c>
      <c r="R590" s="4">
        <f>IF($J590="","",N590+P590)</f>
      </c>
      <c r="S590" s="4">
        <f>IF($J590="","",K590-L590-M590-N590-O590-P590-Q590)</f>
      </c>
      <c r="T590" s="4">
        <f>IF($J590="","",(S590-V590)/I590*100)</f>
      </c>
      <c r="U590" s="4">
        <f>IF($J590="","",L590-R590)</f>
      </c>
      <c r="W590" s="4">
        <f>IF($J590="","",S590-V590)</f>
      </c>
    </row>
    <row r="591" spans="1:28" x14ac:dyDescent="0.25">
      <c r="A591" s="8"/>
      <c r="D591" s="9"/>
      <c r="I591" s="4"/>
      <c r="J591" s="4"/>
      <c r="K591" s="4">
        <f>IF($J591="","",J591-I591)</f>
      </c>
      <c r="L591" s="4">
        <f>IF($J591="","",K591*16.67%)</f>
      </c>
      <c r="M591" s="4">
        <f>IF($J591="","",J591*7%)</f>
      </c>
      <c r="N591" s="4">
        <f>IF($J591="","",M591*20%)</f>
      </c>
      <c r="O591" s="4"/>
      <c r="P591" s="4">
        <f>IF($J591="","",O591*20%)</f>
      </c>
      <c r="Q591" s="4">
        <v>1</v>
      </c>
      <c r="R591" s="4">
        <f>IF($J591="","",N591+P591)</f>
      </c>
      <c r="S591" s="4">
        <f>IF($J591="","",K591-L591-M591-N591-O591-P591-Q591)</f>
      </c>
      <c r="T591" s="4">
        <f>IF($J591="","",(S591-V591)/I591*100)</f>
      </c>
      <c r="U591" s="4">
        <f>IF($J591="","",L591-R591)</f>
      </c>
      <c r="W591" s="4">
        <f>IF($J591="","",S591-V591)</f>
      </c>
    </row>
    <row r="592" spans="1:28" x14ac:dyDescent="0.25">
      <c r="A592" s="8"/>
      <c r="D592" s="9"/>
      <c r="I592" s="4"/>
      <c r="J592" s="4"/>
      <c r="K592" s="4">
        <f>IF($J592="","",J592-I592)</f>
      </c>
      <c r="L592" s="4">
        <f>IF($J592="","",K592*16.67%)</f>
      </c>
      <c r="M592" s="4">
        <f>IF($J592="","",J592*7%)</f>
      </c>
      <c r="N592" s="4">
        <f>IF($J592="","",M592*20%)</f>
      </c>
      <c r="O592" s="4"/>
      <c r="P592" s="4">
        <f>IF($J592="","",O592*20%)</f>
      </c>
      <c r="Q592" s="4">
        <v>1</v>
      </c>
      <c r="R592" s="4">
        <f>IF($J592="","",N592+P592)</f>
      </c>
      <c r="S592" s="4">
        <f>IF($J592="","",K592-L592-M592-N592-O592-P592-Q592)</f>
      </c>
      <c r="T592" s="4">
        <f>IF($J592="","",(S592-V592)/I592*100)</f>
      </c>
      <c r="U592" s="4">
        <f>IF($J592="","",L592-R592)</f>
      </c>
      <c r="W592" s="4">
        <f>IF($J592="","",S592-V592)</f>
      </c>
    </row>
    <row r="593" spans="1:28" x14ac:dyDescent="0.25">
      <c r="A593" s="8"/>
      <c r="D593" s="9"/>
      <c r="I593" s="4"/>
      <c r="J593" s="4"/>
      <c r="K593" s="4">
        <f>IF($J593="","",J593-I593)</f>
      </c>
      <c r="L593" s="4">
        <f>IF($J593="","",K593*16.67%)</f>
      </c>
      <c r="M593" s="4">
        <f>IF($J593="","",J593*7%)</f>
      </c>
      <c r="N593" s="4">
        <f>IF($J593="","",M593*20%)</f>
      </c>
      <c r="O593" s="4"/>
      <c r="P593" s="4">
        <f>IF($J593="","",O593*20%)</f>
      </c>
      <c r="Q593" s="4">
        <v>1</v>
      </c>
      <c r="R593" s="4">
        <f>IF($J593="","",N593+P593)</f>
      </c>
      <c r="S593" s="4">
        <f>IF($J593="","",K593-L593-M593-N593-O593-P593-Q593)</f>
      </c>
      <c r="T593" s="4">
        <f>IF($J593="","",(S593-V593)/I593*100)</f>
      </c>
      <c r="U593" s="4">
        <f>IF($J593="","",L593-R593)</f>
      </c>
      <c r="W593" s="4">
        <f>IF($J593="","",S593-V593)</f>
      </c>
    </row>
    <row r="594" spans="1:28" x14ac:dyDescent="0.25">
      <c r="A594" s="8"/>
      <c r="D594" s="9"/>
      <c r="I594" s="4"/>
      <c r="J594" s="4"/>
      <c r="K594" s="4">
        <f>IF($J594="","",J594-I594)</f>
      </c>
      <c r="L594" s="4">
        <f>IF($J594="","",K594*16.67%)</f>
      </c>
      <c r="M594" s="4">
        <f>IF($J594="","",J594*7%)</f>
      </c>
      <c r="N594" s="4">
        <f>IF($J594="","",M594*20%)</f>
      </c>
      <c r="O594" s="4"/>
      <c r="P594" s="4">
        <f>IF($J594="","",O594*20%)</f>
      </c>
      <c r="Q594" s="4">
        <v>1</v>
      </c>
      <c r="R594" s="4">
        <f>IF($J594="","",N594+P594)</f>
      </c>
      <c r="S594" s="4">
        <f>IF($J594="","",K594-L594-M594-N594-O594-P594-Q594)</f>
      </c>
      <c r="T594" s="4">
        <f>IF($J594="","",(S594-V594)/I594*100)</f>
      </c>
      <c r="U594" s="4">
        <f>IF($J594="","",L594-R594)</f>
      </c>
      <c r="W594" s="4">
        <f>IF($J594="","",S594-V594)</f>
      </c>
    </row>
    <row r="595" spans="1:28" x14ac:dyDescent="0.25">
      <c r="A595" s="8"/>
      <c r="D595" s="9"/>
      <c r="I595" s="4"/>
      <c r="J595" s="4"/>
      <c r="K595" s="4">
        <f>IF($J595="","",J595-I595)</f>
      </c>
      <c r="L595" s="4">
        <f>IF($J595="","",K595*16.67%)</f>
      </c>
      <c r="M595" s="4">
        <f>IF($J595="","",J595*7%)</f>
      </c>
      <c r="N595" s="4">
        <f>IF($J595="","",M595*20%)</f>
      </c>
      <c r="O595" s="4"/>
      <c r="P595" s="4">
        <f>IF($J595="","",O595*20%)</f>
      </c>
      <c r="Q595" s="4">
        <v>1</v>
      </c>
      <c r="R595" s="4">
        <f>IF($J595="","",N595+P595)</f>
      </c>
      <c r="S595" s="4">
        <f>IF($J595="","",K595-L595-M595-N595-O595-P595-Q595)</f>
      </c>
      <c r="T595" s="4">
        <f>IF($J595="","",(S595-V595)/I595*100)</f>
      </c>
      <c r="U595" s="4">
        <f>IF($J595="","",L595-R595)</f>
      </c>
      <c r="W595" s="4">
        <f>IF($J595="","",S595-V595)</f>
      </c>
    </row>
    <row r="596" spans="1:28" x14ac:dyDescent="0.25">
      <c r="A596" s="8"/>
      <c r="D596" s="9"/>
      <c r="I596" s="4"/>
      <c r="J596" s="4"/>
      <c r="K596" s="4">
        <f>IF($J596="","",J596-I596)</f>
      </c>
      <c r="L596" s="4">
        <f>IF($J596="","",K596*16.67%)</f>
      </c>
      <c r="M596" s="4">
        <f>IF($J596="","",J596*7%)</f>
      </c>
      <c r="N596" s="4">
        <f>IF($J596="","",M596*20%)</f>
      </c>
      <c r="O596" s="4"/>
      <c r="P596" s="4">
        <f>IF($J596="","",O596*20%)</f>
      </c>
      <c r="Q596" s="4">
        <v>1</v>
      </c>
      <c r="R596" s="4">
        <f>IF($J596="","",N596+P596)</f>
      </c>
      <c r="S596" s="4">
        <f>IF($J596="","",K596-L596-M596-N596-O596-P596-Q596)</f>
      </c>
      <c r="T596" s="4">
        <f>IF($J596="","",(S596-V596)/I596*100)</f>
      </c>
      <c r="U596" s="4">
        <f>IF($J596="","",L596-R596)</f>
      </c>
      <c r="W596" s="4">
        <f>IF($J596="","",S596-V596)</f>
      </c>
    </row>
    <row r="597" spans="1:28" x14ac:dyDescent="0.25">
      <c r="A597" s="8"/>
      <c r="D597" s="9"/>
      <c r="I597" s="4"/>
      <c r="J597" s="4"/>
      <c r="K597" s="4">
        <f>IF($J597="","",J597-I597)</f>
      </c>
      <c r="L597" s="4">
        <f>IF($J597="","",K597*16.67%)</f>
      </c>
      <c r="M597" s="4">
        <f>IF($J597="","",J597*7%)</f>
      </c>
      <c r="N597" s="4">
        <f>IF($J597="","",M597*20%)</f>
      </c>
      <c r="O597" s="4"/>
      <c r="P597" s="4">
        <f>IF($J597="","",O597*20%)</f>
      </c>
      <c r="Q597" s="4">
        <v>1</v>
      </c>
      <c r="R597" s="4">
        <f>IF($J597="","",N597+P597)</f>
      </c>
      <c r="S597" s="4">
        <f>IF($J597="","",K597-L597-M597-N597-O597-P597-Q597)</f>
      </c>
      <c r="T597" s="4">
        <f>IF($J597="","",(S597-V597)/I597*100)</f>
      </c>
      <c r="U597" s="4">
        <f>IF($J597="","",L597-R597)</f>
      </c>
      <c r="W597" s="4">
        <f>IF($J597="","",S597-V597)</f>
      </c>
    </row>
    <row r="598" spans="1:28" x14ac:dyDescent="0.25">
      <c r="A598" s="8"/>
      <c r="D598" s="9"/>
      <c r="I598" s="4"/>
      <c r="J598" s="4"/>
      <c r="K598" s="4">
        <f>IF($J598="","",J598-I598)</f>
      </c>
      <c r="L598" s="4">
        <f>IF($J598="","",K598*16.67%)</f>
      </c>
      <c r="M598" s="4">
        <f>IF($J598="","",J598*7%)</f>
      </c>
      <c r="N598" s="4">
        <f>IF($J598="","",M598*20%)</f>
      </c>
      <c r="O598" s="4"/>
      <c r="P598" s="4">
        <f>IF($J598="","",O598*20%)</f>
      </c>
      <c r="Q598" s="4">
        <v>1</v>
      </c>
      <c r="R598" s="4">
        <f>IF($J598="","",N598+P598)</f>
      </c>
      <c r="S598" s="4">
        <f>IF($J598="","",K598-L598-M598-N598-O598-P598-Q598)</f>
      </c>
      <c r="T598" s="4">
        <f>IF($J598="","",(S598-V598)/I598*100)</f>
      </c>
      <c r="U598" s="4">
        <f>IF($J598="","",L598-R598)</f>
      </c>
      <c r="W598" s="4">
        <f>IF($J598="","",S598-V598)</f>
      </c>
    </row>
    <row r="599" spans="1:28" x14ac:dyDescent="0.25">
      <c r="A599" s="8"/>
      <c r="D599" s="9"/>
      <c r="I599" s="4"/>
      <c r="J599" s="4"/>
      <c r="K599" s="4">
        <f>IF($J599="","",J599-I599)</f>
      </c>
      <c r="L599" s="4">
        <f>IF($J599="","",K599*16.67%)</f>
      </c>
      <c r="M599" s="4">
        <f>IF($J599="","",J599*7%)</f>
      </c>
      <c r="N599" s="4">
        <f>IF($J599="","",M599*20%)</f>
      </c>
      <c r="O599" s="4"/>
      <c r="P599" s="4">
        <f>IF($J599="","",O599*20%)</f>
      </c>
      <c r="Q599" s="4">
        <v>1</v>
      </c>
      <c r="R599" s="4">
        <f>IF($J599="","",N599+P599)</f>
      </c>
      <c r="S599" s="4">
        <f>IF($J599="","",K599-L599-M599-N599-O599-P599-Q599)</f>
      </c>
      <c r="T599" s="4">
        <f>IF($J599="","",(S599-V599)/I599*100)</f>
      </c>
      <c r="U599" s="4">
        <f>IF($J599="","",L599-R599)</f>
      </c>
      <c r="W599" s="4">
        <f>IF($J599="","",S599-V599)</f>
      </c>
    </row>
    <row r="600" spans="1:28" x14ac:dyDescent="0.25">
      <c r="A600" s="8"/>
      <c r="D600" s="9"/>
      <c r="I600" s="4"/>
      <c r="J600" s="4"/>
      <c r="K600" s="4">
        <f>IF($J600="","",J600-I600)</f>
      </c>
      <c r="L600" s="4">
        <f>IF($J600="","",K600*16.67%)</f>
      </c>
      <c r="M600" s="4">
        <f>IF($J600="","",J600*7%)</f>
      </c>
      <c r="N600" s="4">
        <f>IF($J600="","",M600*20%)</f>
      </c>
      <c r="O600" s="4"/>
      <c r="P600" s="4">
        <f>IF($J600="","",O600*20%)</f>
      </c>
      <c r="Q600" s="4">
        <v>1</v>
      </c>
      <c r="R600" s="4">
        <f>IF($J600="","",N600+P600)</f>
      </c>
      <c r="S600" s="4">
        <f>IF($J600="","",K600-L600-M600-N600-O600-P600-Q600)</f>
      </c>
      <c r="T600" s="4">
        <f>IF($J600="","",(S600-V600)/I600*100)</f>
      </c>
      <c r="U600" s="4">
        <f>IF($J600="","",L600-R600)</f>
      </c>
      <c r="W600" s="4">
        <f>IF($J600="","",S600-V600)</f>
      </c>
    </row>
    <row r="601" spans="1:28" x14ac:dyDescent="0.25">
      <c r="A601" s="8"/>
      <c r="D601" s="9"/>
      <c r="I601" s="4"/>
      <c r="J601" s="4"/>
      <c r="K601" s="4">
        <f>IF($J601="","",J601-I601)</f>
      </c>
      <c r="L601" s="4">
        <f>IF($J601="","",K601*16.67%)</f>
      </c>
      <c r="M601" s="4">
        <f>IF($J601="","",J601*7%)</f>
      </c>
      <c r="N601" s="4">
        <f>IF($J601="","",M601*20%)</f>
      </c>
      <c r="O601" s="4"/>
      <c r="P601" s="4">
        <f>IF($J601="","",O601*20%)</f>
      </c>
      <c r="Q601" s="4">
        <v>1</v>
      </c>
      <c r="R601" s="4">
        <f>IF($J601="","",N601+P601)</f>
      </c>
      <c r="S601" s="4">
        <f>IF($J601="","",K601-L601-M601-N601-O601-P601-Q601)</f>
      </c>
      <c r="T601" s="4">
        <f>IF($J601="","",(S601-V601)/I601*100)</f>
      </c>
      <c r="U601" s="4">
        <f>IF($J601="","",L601-R601)</f>
      </c>
      <c r="W601" s="4">
        <f>IF($J601="","",S601-V601)</f>
      </c>
    </row>
    <row r="602" spans="1:28" x14ac:dyDescent="0.25">
      <c r="A602" s="8"/>
      <c r="D602" s="9"/>
      <c r="I602" s="4"/>
      <c r="J602" s="4"/>
      <c r="K602" s="4">
        <f>IF($J602="","",J602-I602)</f>
      </c>
      <c r="L602" s="4">
        <f>IF($J602="","",K602*16.67%)</f>
      </c>
      <c r="M602" s="4">
        <f>IF($J602="","",J602*7%)</f>
      </c>
      <c r="N602" s="4">
        <f>IF($J602="","",M602*20%)</f>
      </c>
      <c r="O602" s="4"/>
      <c r="P602" s="4">
        <f>IF($J602="","",O602*20%)</f>
      </c>
      <c r="Q602" s="4">
        <v>1</v>
      </c>
      <c r="R602" s="4">
        <f>IF($J602="","",N602+P602)</f>
      </c>
      <c r="S602" s="4">
        <f>IF($J602="","",K602-L602-M602-N602-O602-P602-Q602)</f>
      </c>
      <c r="T602" s="4">
        <f>IF($J602="","",(S602-V602)/I602*100)</f>
      </c>
      <c r="U602" s="4">
        <f>IF($J602="","",L602-R602)</f>
      </c>
      <c r="W602" s="4">
        <f>IF($J602="","",S602-V602)</f>
      </c>
    </row>
    <row r="603" spans="1:28" x14ac:dyDescent="0.25">
      <c r="A603" s="8"/>
      <c r="D603" s="9"/>
      <c r="I603" s="4"/>
      <c r="J603" s="4"/>
      <c r="K603" s="4">
        <f>IF($J603="","",J603-I603)</f>
      </c>
      <c r="L603" s="4">
        <f>IF($J603="","",K603*16.67%)</f>
      </c>
      <c r="M603" s="4">
        <f>IF($J603="","",J603*7%)</f>
      </c>
      <c r="N603" s="4">
        <f>IF($J603="","",M603*20%)</f>
      </c>
      <c r="O603" s="4"/>
      <c r="P603" s="4">
        <f>IF($J603="","",O603*20%)</f>
      </c>
      <c r="Q603" s="4">
        <v>1</v>
      </c>
      <c r="R603" s="4">
        <f>IF($J603="","",N603+P603)</f>
      </c>
      <c r="S603" s="4">
        <f>IF($J603="","",K603-L603-M603-N603-O603-P603-Q603)</f>
      </c>
      <c r="T603" s="4">
        <f>IF($J603="","",(S603-V603)/I603*100)</f>
      </c>
      <c r="U603" s="4">
        <f>IF($J603="","",L603-R603)</f>
      </c>
      <c r="W603" s="4">
        <f>IF($J603="","",S603-V603)</f>
      </c>
    </row>
    <row r="604" spans="1:28" x14ac:dyDescent="0.25">
      <c r="A604" s="8"/>
      <c r="D604" s="9"/>
      <c r="I604" s="4"/>
      <c r="J604" s="4"/>
      <c r="K604" s="4">
        <f>IF($J604="","",J604-I604)</f>
      </c>
      <c r="L604" s="4">
        <f>IF($J604="","",K604*16.67%)</f>
      </c>
      <c r="M604" s="4">
        <f>IF($J604="","",J604*7%)</f>
      </c>
      <c r="N604" s="4">
        <f>IF($J604="","",M604*20%)</f>
      </c>
      <c r="O604" s="4"/>
      <c r="P604" s="4">
        <f>IF($J604="","",O604*20%)</f>
      </c>
      <c r="Q604" s="4">
        <v>1</v>
      </c>
      <c r="R604" s="4">
        <f>IF($J604="","",N604+P604)</f>
      </c>
      <c r="S604" s="4">
        <f>IF($J604="","",K604-L604-M604-N604-O604-P604-Q604)</f>
      </c>
      <c r="T604" s="4">
        <f>IF($J604="","",(S604-V604)/I604*100)</f>
      </c>
      <c r="U604" s="4">
        <f>IF($J604="","",L604-R604)</f>
      </c>
      <c r="W604" s="4">
        <f>IF($J604="","",S604-V604)</f>
      </c>
    </row>
    <row r="605" spans="1:28" x14ac:dyDescent="0.25">
      <c r="A605" s="8"/>
      <c r="D605" s="9"/>
      <c r="I605" s="4"/>
      <c r="J605" s="4"/>
      <c r="K605" s="4">
        <f>IF($J605="","",J605-I605)</f>
      </c>
      <c r="L605" s="4">
        <f>IF($J605="","",K605*16.67%)</f>
      </c>
      <c r="M605" s="4">
        <f>IF($J605="","",J605*7%)</f>
      </c>
      <c r="N605" s="4">
        <f>IF($J605="","",M605*20%)</f>
      </c>
      <c r="O605" s="4"/>
      <c r="P605" s="4">
        <f>IF($J605="","",O605*20%)</f>
      </c>
      <c r="Q605" s="4">
        <v>1</v>
      </c>
      <c r="R605" s="4">
        <f>IF($J605="","",N605+P605)</f>
      </c>
      <c r="S605" s="4">
        <f>IF($J605="","",K605-L605-M605-N605-O605-P605-Q605)</f>
      </c>
      <c r="T605" s="4">
        <f>IF($J605="","",(S605-V605)/I605*100)</f>
      </c>
      <c r="U605" s="4">
        <f>IF($J605="","",L605-R605)</f>
      </c>
      <c r="W605" s="4">
        <f>IF($J605="","",S605-V605)</f>
      </c>
    </row>
    <row r="606" spans="1:28" x14ac:dyDescent="0.25">
      <c r="A606" s="8"/>
      <c r="D606" s="9"/>
      <c r="I606" s="4"/>
      <c r="J606" s="4"/>
      <c r="K606" s="4">
        <f>IF($J606="","",J606-I606)</f>
      </c>
      <c r="L606" s="4">
        <f>IF($J606="","",K606*16.67%)</f>
      </c>
      <c r="M606" s="4">
        <f>IF($J606="","",J606*7%)</f>
      </c>
      <c r="N606" s="4">
        <f>IF($J606="","",M606*20%)</f>
      </c>
      <c r="O606" s="4"/>
      <c r="P606" s="4">
        <f>IF($J606="","",O606*20%)</f>
      </c>
      <c r="Q606" s="4">
        <v>1</v>
      </c>
      <c r="R606" s="4">
        <f>IF($J606="","",N606+P606)</f>
      </c>
      <c r="S606" s="4">
        <f>IF($J606="","",K606-L606-M606-N606-O606-P606-Q606)</f>
      </c>
      <c r="T606" s="4">
        <f>IF($J606="","",(S606-V606)/I606*100)</f>
      </c>
      <c r="U606" s="4">
        <f>IF($J606="","",L606-R606)</f>
      </c>
      <c r="W606" s="4">
        <f>IF($J606="","",S606-V606)</f>
      </c>
    </row>
    <row r="607" spans="1:28" x14ac:dyDescent="0.25">
      <c r="A607" s="8"/>
      <c r="D607" s="9"/>
      <c r="I607" s="4"/>
      <c r="J607" s="4"/>
      <c r="K607" s="4">
        <f>IF($J607="","",J607-I607)</f>
      </c>
      <c r="L607" s="4">
        <f>IF($J607="","",K607*16.67%)</f>
      </c>
      <c r="M607" s="4">
        <f>IF($J607="","",J607*7%)</f>
      </c>
      <c r="N607" s="4">
        <f>IF($J607="","",M607*20%)</f>
      </c>
      <c r="O607" s="4"/>
      <c r="P607" s="4">
        <f>IF($J607="","",O607*20%)</f>
      </c>
      <c r="Q607" s="4">
        <v>1</v>
      </c>
      <c r="R607" s="4">
        <f>IF($J607="","",N607+P607)</f>
      </c>
      <c r="S607" s="4">
        <f>IF($J607="","",K607-L607-M607-N607-O607-P607-Q607)</f>
      </c>
      <c r="T607" s="4">
        <f>IF($J607="","",(S607-V607)/I607*100)</f>
      </c>
      <c r="U607" s="4">
        <f>IF($J607="","",L607-R607)</f>
      </c>
      <c r="W607" s="4">
        <f>IF($J607="","",S607-V607)</f>
      </c>
    </row>
    <row r="608" spans="1:28" x14ac:dyDescent="0.25">
      <c r="A608" s="8"/>
      <c r="D608" s="9"/>
      <c r="I608" s="4"/>
      <c r="J608" s="4"/>
      <c r="K608" s="4">
        <f>IF($J608="","",J608-I608)</f>
      </c>
      <c r="L608" s="4">
        <f>IF($J608="","",K608*16.67%)</f>
      </c>
      <c r="M608" s="4">
        <f>IF($J608="","",J608*7%)</f>
      </c>
      <c r="N608" s="4">
        <f>IF($J608="","",M608*20%)</f>
      </c>
      <c r="O608" s="4"/>
      <c r="P608" s="4">
        <f>IF($J608="","",O608*20%)</f>
      </c>
      <c r="Q608" s="4">
        <v>1</v>
      </c>
      <c r="R608" s="4">
        <f>IF($J608="","",N608+P608)</f>
      </c>
      <c r="S608" s="4">
        <f>IF($J608="","",K608-L608-M608-N608-O608-P608-Q608)</f>
      </c>
      <c r="T608" s="4">
        <f>IF($J608="","",(S608-V608)/I608*100)</f>
      </c>
      <c r="U608" s="4">
        <f>IF($J608="","",L608-R608)</f>
      </c>
      <c r="W608" s="4">
        <f>IF($J608="","",S608-V608)</f>
      </c>
    </row>
    <row r="609" spans="1:28" x14ac:dyDescent="0.25">
      <c r="A609" s="8"/>
      <c r="D609" s="9"/>
      <c r="I609" s="4"/>
      <c r="J609" s="4"/>
      <c r="K609" s="4">
        <f>IF($J609="","",J609-I609)</f>
      </c>
      <c r="L609" s="4">
        <f>IF($J609="","",K609*16.67%)</f>
      </c>
      <c r="M609" s="4">
        <f>IF($J609="","",J609*7%)</f>
      </c>
      <c r="N609" s="4">
        <f>IF($J609="","",M609*20%)</f>
      </c>
      <c r="O609" s="4"/>
      <c r="P609" s="4">
        <f>IF($J609="","",O609*20%)</f>
      </c>
      <c r="Q609" s="4">
        <v>1</v>
      </c>
      <c r="R609" s="4">
        <f>IF($J609="","",N609+P609)</f>
      </c>
      <c r="S609" s="4">
        <f>IF($J609="","",K609-L609-M609-N609-O609-P609-Q609)</f>
      </c>
      <c r="T609" s="4">
        <f>IF($J609="","",(S609-V609)/I609*100)</f>
      </c>
      <c r="U609" s="4">
        <f>IF($J609="","",L609-R609)</f>
      </c>
      <c r="W609" s="4">
        <f>IF($J609="","",S609-V609)</f>
      </c>
    </row>
    <row r="610" spans="1:28" x14ac:dyDescent="0.25">
      <c r="A610" s="8"/>
      <c r="D610" s="9"/>
      <c r="I610" s="4"/>
      <c r="J610" s="4"/>
      <c r="K610" s="4">
        <f>IF($J610="","",J610-I610)</f>
      </c>
      <c r="L610" s="4">
        <f>IF($J610="","",K610*16.67%)</f>
      </c>
      <c r="M610" s="4">
        <f>IF($J610="","",J610*7%)</f>
      </c>
      <c r="N610" s="4">
        <f>IF($J610="","",M610*20%)</f>
      </c>
      <c r="O610" s="4"/>
      <c r="P610" s="4">
        <f>IF($J610="","",O610*20%)</f>
      </c>
      <c r="Q610" s="4">
        <v>1</v>
      </c>
      <c r="R610" s="4">
        <f>IF($J610="","",N610+P610)</f>
      </c>
      <c r="S610" s="4">
        <f>IF($J610="","",K610-L610-M610-N610-O610-P610-Q610)</f>
      </c>
      <c r="T610" s="4">
        <f>IF($J610="","",(S610-V610)/I610*100)</f>
      </c>
      <c r="U610" s="4">
        <f>IF($J610="","",L610-R610)</f>
      </c>
      <c r="W610" s="4">
        <f>IF($J610="","",S610-V610)</f>
      </c>
    </row>
    <row r="611" spans="1:28" x14ac:dyDescent="0.25">
      <c r="A611" s="8"/>
      <c r="D611" s="9"/>
      <c r="I611" s="4"/>
      <c r="J611" s="4"/>
      <c r="K611" s="4">
        <f>IF($J611="","",J611-I611)</f>
      </c>
      <c r="L611" s="4">
        <f>IF($J611="","",K611*16.67%)</f>
      </c>
      <c r="M611" s="4">
        <f>IF($J611="","",J611*7%)</f>
      </c>
      <c r="N611" s="4">
        <f>IF($J611="","",M611*20%)</f>
      </c>
      <c r="O611" s="4"/>
      <c r="P611" s="4">
        <f>IF($J611="","",O611*20%)</f>
      </c>
      <c r="Q611" s="4">
        <v>1</v>
      </c>
      <c r="R611" s="4">
        <f>IF($J611="","",N611+P611)</f>
      </c>
      <c r="S611" s="4">
        <f>IF($J611="","",K611-L611-M611-N611-O611-P611-Q611)</f>
      </c>
      <c r="T611" s="4">
        <f>IF($J611="","",(S611-V611)/I611*100)</f>
      </c>
      <c r="U611" s="4">
        <f>IF($J611="","",L611-R611)</f>
      </c>
      <c r="W611" s="4">
        <f>IF($J611="","",S611-V611)</f>
      </c>
    </row>
    <row r="612" spans="1:28" x14ac:dyDescent="0.25">
      <c r="A612" s="8"/>
      <c r="D612" s="9"/>
      <c r="I612" s="4"/>
      <c r="J612" s="4"/>
      <c r="K612" s="4">
        <f>IF($J612="","",J612-I612)</f>
      </c>
      <c r="L612" s="4">
        <f>IF($J612="","",K612*16.67%)</f>
      </c>
      <c r="M612" s="4">
        <f>IF($J612="","",J612*7%)</f>
      </c>
      <c r="N612" s="4">
        <f>IF($J612="","",M612*20%)</f>
      </c>
      <c r="O612" s="4"/>
      <c r="P612" s="4">
        <f>IF($J612="","",O612*20%)</f>
      </c>
      <c r="Q612" s="4">
        <v>1</v>
      </c>
      <c r="R612" s="4">
        <f>IF($J612="","",N612+P612)</f>
      </c>
      <c r="S612" s="4">
        <f>IF($J612="","",K612-L612-M612-N612-O612-P612-Q612)</f>
      </c>
      <c r="T612" s="4">
        <f>IF($J612="","",(S612-V612)/I612*100)</f>
      </c>
      <c r="U612" s="4">
        <f>IF($J612="","",L612-R612)</f>
      </c>
      <c r="W612" s="4">
        <f>IF($J612="","",S612-V612)</f>
      </c>
    </row>
    <row r="613" spans="1:28" x14ac:dyDescent="0.25">
      <c r="A613" s="8"/>
      <c r="D613" s="9"/>
      <c r="I613" s="4"/>
      <c r="J613" s="4"/>
      <c r="K613" s="4">
        <f>IF($J613="","",J613-I613)</f>
      </c>
      <c r="L613" s="4">
        <f>IF($J613="","",K613*16.67%)</f>
      </c>
      <c r="M613" s="4">
        <f>IF($J613="","",J613*7%)</f>
      </c>
      <c r="N613" s="4">
        <f>IF($J613="","",M613*20%)</f>
      </c>
      <c r="O613" s="4"/>
      <c r="P613" s="4">
        <f>IF($J613="","",O613*20%)</f>
      </c>
      <c r="Q613" s="4">
        <v>1</v>
      </c>
      <c r="R613" s="4">
        <f>IF($J613="","",N613+P613)</f>
      </c>
      <c r="S613" s="4">
        <f>IF($J613="","",K613-L613-M613-N613-O613-P613-Q613)</f>
      </c>
      <c r="T613" s="4">
        <f>IF($J613="","",(S613-V613)/I613*100)</f>
      </c>
      <c r="U613" s="4">
        <f>IF($J613="","",L613-R613)</f>
      </c>
      <c r="W613" s="4">
        <f>IF($J613="","",S613-V613)</f>
      </c>
    </row>
    <row r="614" spans="1:28" x14ac:dyDescent="0.25">
      <c r="A614" s="8"/>
      <c r="D614" s="9"/>
      <c r="I614" s="4"/>
      <c r="J614" s="4"/>
      <c r="K614" s="4">
        <f>IF($J614="","",J614-I614)</f>
      </c>
      <c r="L614" s="4">
        <f>IF($J614="","",K614*16.67%)</f>
      </c>
      <c r="M614" s="4">
        <f>IF($J614="","",J614*7%)</f>
      </c>
      <c r="N614" s="4">
        <f>IF($J614="","",M614*20%)</f>
      </c>
      <c r="O614" s="4"/>
      <c r="P614" s="4">
        <f>IF($J614="","",O614*20%)</f>
      </c>
      <c r="Q614" s="4">
        <v>1</v>
      </c>
      <c r="R614" s="4">
        <f>IF($J614="","",N614+P614)</f>
      </c>
      <c r="S614" s="4">
        <f>IF($J614="","",K614-L614-M614-N614-O614-P614-Q614)</f>
      </c>
      <c r="T614" s="4">
        <f>IF($J614="","",(S614-V614)/I614*100)</f>
      </c>
      <c r="U614" s="4">
        <f>IF($J614="","",L614-R614)</f>
      </c>
      <c r="W614" s="4">
        <f>IF($J614="","",S614-V614)</f>
      </c>
    </row>
    <row r="615" spans="1:28" x14ac:dyDescent="0.25">
      <c r="A615" s="8"/>
      <c r="D615" s="9"/>
      <c r="I615" s="4"/>
      <c r="J615" s="4"/>
      <c r="K615" s="4">
        <f>IF($J615="","",J615-I615)</f>
      </c>
      <c r="L615" s="4">
        <f>IF($J615="","",K615*16.67%)</f>
      </c>
      <c r="M615" s="4">
        <f>IF($J615="","",J615*7%)</f>
      </c>
      <c r="N615" s="4">
        <f>IF($J615="","",M615*20%)</f>
      </c>
      <c r="O615" s="4"/>
      <c r="P615" s="4">
        <f>IF($J615="","",O615*20%)</f>
      </c>
      <c r="Q615" s="4">
        <v>1</v>
      </c>
      <c r="R615" s="4">
        <f>IF($J615="","",N615+P615)</f>
      </c>
      <c r="S615" s="4">
        <f>IF($J615="","",K615-L615-M615-N615-O615-P615-Q615)</f>
      </c>
      <c r="T615" s="4">
        <f>IF($J615="","",(S615-V615)/I615*100)</f>
      </c>
      <c r="U615" s="4">
        <f>IF($J615="","",L615-R615)</f>
      </c>
      <c r="W615" s="4">
        <f>IF($J615="","",S615-V615)</f>
      </c>
    </row>
    <row r="616" spans="1:28" x14ac:dyDescent="0.25">
      <c r="A616" s="8"/>
      <c r="D616" s="9"/>
      <c r="I616" s="4"/>
      <c r="J616" s="4"/>
      <c r="K616" s="4">
        <f>IF($J616="","",J616-I616)</f>
      </c>
      <c r="L616" s="4">
        <f>IF($J616="","",K616*16.67%)</f>
      </c>
      <c r="M616" s="4">
        <f>IF($J616="","",J616*7%)</f>
      </c>
      <c r="N616" s="4">
        <f>IF($J616="","",M616*20%)</f>
      </c>
      <c r="O616" s="4"/>
      <c r="P616" s="4">
        <f>IF($J616="","",O616*20%)</f>
      </c>
      <c r="Q616" s="4">
        <v>1</v>
      </c>
      <c r="R616" s="4">
        <f>IF($J616="","",N616+P616)</f>
      </c>
      <c r="S616" s="4">
        <f>IF($J616="","",K616-L616-M616-N616-O616-P616-Q616)</f>
      </c>
      <c r="T616" s="4">
        <f>IF($J616="","",(S616-V616)/I616*100)</f>
      </c>
      <c r="U616" s="4">
        <f>IF($J616="","",L616-R616)</f>
      </c>
      <c r="W616" s="4">
        <f>IF($J616="","",S616-V616)</f>
      </c>
    </row>
    <row r="617" spans="1:28" x14ac:dyDescent="0.25">
      <c r="A617" s="8"/>
      <c r="D617" s="9"/>
      <c r="I617" s="4"/>
      <c r="J617" s="4"/>
      <c r="K617" s="4">
        <f>IF($J617="","",J617-I617)</f>
      </c>
      <c r="L617" s="4">
        <f>IF($J617="","",K617*16.67%)</f>
      </c>
      <c r="M617" s="4">
        <f>IF($J617="","",J617*7%)</f>
      </c>
      <c r="N617" s="4">
        <f>IF($J617="","",M617*20%)</f>
      </c>
      <c r="O617" s="4"/>
      <c r="P617" s="4">
        <f>IF($J617="","",O617*20%)</f>
      </c>
      <c r="Q617" s="4">
        <v>1</v>
      </c>
      <c r="R617" s="4">
        <f>IF($J617="","",N617+P617)</f>
      </c>
      <c r="S617" s="4">
        <f>IF($J617="","",K617-L617-M617-N617-O617-P617-Q617)</f>
      </c>
      <c r="T617" s="4">
        <f>IF($J617="","",(S617-V617)/I617*100)</f>
      </c>
      <c r="U617" s="4">
        <f>IF($J617="","",L617-R617)</f>
      </c>
      <c r="W617" s="4">
        <f>IF($J617="","",S617-V617)</f>
      </c>
    </row>
    <row r="618" spans="1:28" x14ac:dyDescent="0.25">
      <c r="A618" s="8"/>
      <c r="D618" s="9"/>
      <c r="I618" s="4"/>
      <c r="J618" s="4"/>
      <c r="K618" s="4">
        <f>IF($J618="","",J618-I618)</f>
      </c>
      <c r="L618" s="4">
        <f>IF($J618="","",K618*16.67%)</f>
      </c>
      <c r="M618" s="4">
        <f>IF($J618="","",J618*7%)</f>
      </c>
      <c r="N618" s="4">
        <f>IF($J618="","",M618*20%)</f>
      </c>
      <c r="O618" s="4"/>
      <c r="P618" s="4">
        <f>IF($J618="","",O618*20%)</f>
      </c>
      <c r="Q618" s="4">
        <v>1</v>
      </c>
      <c r="R618" s="4">
        <f>IF($J618="","",N618+P618)</f>
      </c>
      <c r="S618" s="4">
        <f>IF($J618="","",K618-L618-M618-N618-O618-P618-Q618)</f>
      </c>
      <c r="T618" s="4">
        <f>IF($J618="","",(S618-V618)/I618*100)</f>
      </c>
      <c r="U618" s="4">
        <f>IF($J618="","",L618-R618)</f>
      </c>
      <c r="W618" s="4">
        <f>IF($J618="","",S618-V618)</f>
      </c>
    </row>
    <row r="619" spans="1:28" x14ac:dyDescent="0.25">
      <c r="A619" s="8"/>
      <c r="D619" s="9"/>
      <c r="I619" s="4"/>
      <c r="J619" s="4"/>
      <c r="K619" s="4">
        <f>IF($J619="","",J619-I619)</f>
      </c>
      <c r="L619" s="4">
        <f>IF($J619="","",K619*16.67%)</f>
      </c>
      <c r="M619" s="4">
        <f>IF($J619="","",J619*7%)</f>
      </c>
      <c r="N619" s="4">
        <f>IF($J619="","",M619*20%)</f>
      </c>
      <c r="O619" s="4"/>
      <c r="P619" s="4">
        <f>IF($J619="","",O619*20%)</f>
      </c>
      <c r="Q619" s="4">
        <v>1</v>
      </c>
      <c r="R619" s="4">
        <f>IF($J619="","",N619+P619)</f>
      </c>
      <c r="S619" s="4">
        <f>IF($J619="","",K619-L619-M619-N619-O619-P619-Q619)</f>
      </c>
      <c r="T619" s="4">
        <f>IF($J619="","",(S619-V619)/I619*100)</f>
      </c>
      <c r="U619" s="4">
        <f>IF($J619="","",L619-R619)</f>
      </c>
      <c r="W619" s="4">
        <f>IF($J619="","",S619-V619)</f>
      </c>
    </row>
    <row r="620" spans="1:28" x14ac:dyDescent="0.25">
      <c r="A620" s="8"/>
      <c r="D620" s="9"/>
      <c r="I620" s="4"/>
      <c r="J620" s="4"/>
      <c r="K620" s="4">
        <f>IF($J620="","",J620-I620)</f>
      </c>
      <c r="L620" s="4">
        <f>IF($J620="","",K620*16.67%)</f>
      </c>
      <c r="M620" s="4">
        <f>IF($J620="","",J620*7%)</f>
      </c>
      <c r="N620" s="4">
        <f>IF($J620="","",M620*20%)</f>
      </c>
      <c r="O620" s="4"/>
      <c r="P620" s="4">
        <f>IF($J620="","",O620*20%)</f>
      </c>
      <c r="Q620" s="4">
        <v>1</v>
      </c>
      <c r="R620" s="4">
        <f>IF($J620="","",N620+P620)</f>
      </c>
      <c r="S620" s="4">
        <f>IF($J620="","",K620-L620-M620-N620-O620-P620-Q620)</f>
      </c>
      <c r="T620" s="4">
        <f>IF($J620="","",(S620-V620)/I620*100)</f>
      </c>
      <c r="U620" s="4">
        <f>IF($J620="","",L620-R620)</f>
      </c>
      <c r="W620" s="4">
        <f>IF($J620="","",S620-V620)</f>
      </c>
    </row>
    <row r="621" spans="1:28" x14ac:dyDescent="0.25">
      <c r="A621" s="8"/>
      <c r="D621" s="9"/>
      <c r="I621" s="4"/>
      <c r="J621" s="4"/>
      <c r="K621" s="4">
        <f>IF($J621="","",J621-I621)</f>
      </c>
      <c r="L621" s="4">
        <f>IF($J621="","",K621*16.67%)</f>
      </c>
      <c r="M621" s="4">
        <f>IF($J621="","",J621*7%)</f>
      </c>
      <c r="N621" s="4">
        <f>IF($J621="","",M621*20%)</f>
      </c>
      <c r="O621" s="4"/>
      <c r="P621" s="4">
        <f>IF($J621="","",O621*20%)</f>
      </c>
      <c r="Q621" s="4">
        <v>1</v>
      </c>
      <c r="R621" s="4">
        <f>IF($J621="","",N621+P621)</f>
      </c>
      <c r="S621" s="4">
        <f>IF($J621="","",K621-L621-M621-N621-O621-P621-Q621)</f>
      </c>
      <c r="T621" s="4">
        <f>IF($J621="","",(S621-V621)/I621*100)</f>
      </c>
      <c r="U621" s="4">
        <f>IF($J621="","",L621-R621)</f>
      </c>
      <c r="W621" s="4">
        <f>IF($J621="","",S621-V621)</f>
      </c>
    </row>
    <row r="622" spans="1:28" x14ac:dyDescent="0.25">
      <c r="A622" s="8"/>
      <c r="D622" s="9"/>
      <c r="I622" s="4"/>
      <c r="J622" s="4"/>
      <c r="K622" s="4">
        <f>IF($J622="","",J622-I622)</f>
      </c>
      <c r="L622" s="4">
        <f>IF($J622="","",K622*16.67%)</f>
      </c>
      <c r="M622" s="4">
        <f>IF($J622="","",J622*7%)</f>
      </c>
      <c r="N622" s="4">
        <f>IF($J622="","",M622*20%)</f>
      </c>
      <c r="O622" s="4"/>
      <c r="P622" s="4">
        <f>IF($J622="","",O622*20%)</f>
      </c>
      <c r="Q622" s="4">
        <v>1</v>
      </c>
      <c r="R622" s="4">
        <f>IF($J622="","",N622+P622)</f>
      </c>
      <c r="S622" s="4">
        <f>IF($J622="","",K622-L622-M622-N622-O622-P622-Q622)</f>
      </c>
      <c r="T622" s="4">
        <f>IF($J622="","",(S622-V622)/I622*100)</f>
      </c>
      <c r="U622" s="4">
        <f>IF($J622="","",L622-R622)</f>
      </c>
      <c r="W622" s="4">
        <f>IF($J622="","",S622-V622)</f>
      </c>
    </row>
    <row r="623" spans="1:28" x14ac:dyDescent="0.25">
      <c r="A623" s="8"/>
      <c r="D623" s="9"/>
      <c r="I623" s="4"/>
      <c r="J623" s="4"/>
      <c r="K623" s="4">
        <f>IF($J623="","",J623-I623)</f>
      </c>
      <c r="L623" s="4">
        <f>IF($J623="","",K623*16.67%)</f>
      </c>
      <c r="M623" s="4">
        <f>IF($J623="","",J623*7%)</f>
      </c>
      <c r="N623" s="4">
        <f>IF($J623="","",M623*20%)</f>
      </c>
      <c r="O623" s="4"/>
      <c r="P623" s="4">
        <f>IF($J623="","",O623*20%)</f>
      </c>
      <c r="Q623" s="4">
        <v>1</v>
      </c>
      <c r="R623" s="4">
        <f>IF($J623="","",N623+P623)</f>
      </c>
      <c r="S623" s="4">
        <f>IF($J623="","",K623-L623-M623-N623-O623-P623-Q623)</f>
      </c>
      <c r="T623" s="4">
        <f>IF($J623="","",(S623-V623)/I623*100)</f>
      </c>
      <c r="U623" s="4">
        <f>IF($J623="","",L623-R623)</f>
      </c>
      <c r="W623" s="4">
        <f>IF($J623="","",S623-V623)</f>
      </c>
    </row>
    <row r="624" spans="1:28" x14ac:dyDescent="0.25">
      <c r="A624" s="8"/>
      <c r="D624" s="9"/>
      <c r="I624" s="4"/>
      <c r="J624" s="4"/>
      <c r="K624" s="4">
        <f>IF($J624="","",J624-I624)</f>
      </c>
      <c r="L624" s="4">
        <f>IF($J624="","",K624*16.67%)</f>
      </c>
      <c r="M624" s="4">
        <f>IF($J624="","",J624*7%)</f>
      </c>
      <c r="N624" s="4">
        <f>IF($J624="","",M624*20%)</f>
      </c>
      <c r="O624" s="4"/>
      <c r="P624" s="4">
        <f>IF($J624="","",O624*20%)</f>
      </c>
      <c r="Q624" s="4">
        <v>1</v>
      </c>
      <c r="R624" s="4">
        <f>IF($J624="","",N624+P624)</f>
      </c>
      <c r="S624" s="4">
        <f>IF($J624="","",K624-L624-M624-N624-O624-P624-Q624)</f>
      </c>
      <c r="T624" s="4">
        <f>IF($J624="","",(S624-V624)/I624*100)</f>
      </c>
      <c r="U624" s="4">
        <f>IF($J624="","",L624-R624)</f>
      </c>
      <c r="W624" s="4">
        <f>IF($J624="","",S624-V624)</f>
      </c>
    </row>
    <row r="625" spans="1:28" x14ac:dyDescent="0.25">
      <c r="A625" s="8"/>
      <c r="D625" s="9"/>
      <c r="I625" s="4"/>
      <c r="J625" s="4"/>
      <c r="K625" s="4">
        <f>IF($J625="","",J625-I625)</f>
      </c>
      <c r="L625" s="4">
        <f>IF($J625="","",K625*16.67%)</f>
      </c>
      <c r="M625" s="4">
        <f>IF($J625="","",J625*7%)</f>
      </c>
      <c r="N625" s="4">
        <f>IF($J625="","",M625*20%)</f>
      </c>
      <c r="O625" s="4"/>
      <c r="P625" s="4">
        <f>IF($J625="","",O625*20%)</f>
      </c>
      <c r="Q625" s="4">
        <v>1</v>
      </c>
      <c r="R625" s="4">
        <f>IF($J625="","",N625+P625)</f>
      </c>
      <c r="S625" s="4">
        <f>IF($J625="","",K625-L625-M625-N625-O625-P625-Q625)</f>
      </c>
      <c r="T625" s="4">
        <f>IF($J625="","",(S625-V625)/I625*100)</f>
      </c>
      <c r="U625" s="4">
        <f>IF($J625="","",L625-R625)</f>
      </c>
      <c r="W625" s="4">
        <f>IF($J625="","",S625-V625)</f>
      </c>
    </row>
    <row r="626" spans="1:28" x14ac:dyDescent="0.25">
      <c r="A626" s="8"/>
      <c r="D626" s="9"/>
      <c r="I626" s="4"/>
      <c r="J626" s="4"/>
      <c r="K626" s="4">
        <f>IF($J626="","",J626-I626)</f>
      </c>
      <c r="L626" s="4">
        <f>IF($J626="","",K626*16.67%)</f>
      </c>
      <c r="M626" s="4">
        <f>IF($J626="","",J626*7%)</f>
      </c>
      <c r="N626" s="4">
        <f>IF($J626="","",M626*20%)</f>
      </c>
      <c r="O626" s="4"/>
      <c r="P626" s="4">
        <f>IF($J626="","",O626*20%)</f>
      </c>
      <c r="Q626" s="4">
        <v>1</v>
      </c>
      <c r="R626" s="4">
        <f>IF($J626="","",N626+P626)</f>
      </c>
      <c r="S626" s="4">
        <f>IF($J626="","",K626-L626-M626-N626-O626-P626-Q626)</f>
      </c>
      <c r="T626" s="4">
        <f>IF($J626="","",(S626-V626)/I626*100)</f>
      </c>
      <c r="U626" s="4">
        <f>IF($J626="","",L626-R626)</f>
      </c>
      <c r="W626" s="4">
        <f>IF($J626="","",S626-V626)</f>
      </c>
    </row>
    <row r="627" spans="1:28" x14ac:dyDescent="0.25">
      <c r="A627" s="8"/>
      <c r="D627" s="9"/>
      <c r="I627" s="4"/>
      <c r="J627" s="4"/>
      <c r="K627" s="4">
        <f>IF($J627="","",J627-I627)</f>
      </c>
      <c r="L627" s="4">
        <f>IF($J627="","",K627*16.67%)</f>
      </c>
      <c r="M627" s="4">
        <f>IF($J627="","",J627*7%)</f>
      </c>
      <c r="N627" s="4">
        <f>IF($J627="","",M627*20%)</f>
      </c>
      <c r="O627" s="4"/>
      <c r="P627" s="4">
        <f>IF($J627="","",O627*20%)</f>
      </c>
      <c r="Q627" s="4">
        <v>1</v>
      </c>
      <c r="R627" s="4">
        <f>IF($J627="","",N627+P627)</f>
      </c>
      <c r="S627" s="4">
        <f>IF($J627="","",K627-L627-M627-N627-O627-P627-Q627)</f>
      </c>
      <c r="T627" s="4">
        <f>IF($J627="","",(S627-V627)/I627*100)</f>
      </c>
      <c r="U627" s="4">
        <f>IF($J627="","",L627-R627)</f>
      </c>
      <c r="W627" s="4">
        <f>IF($J627="","",S627-V627)</f>
      </c>
    </row>
    <row r="628" spans="1:28" x14ac:dyDescent="0.25">
      <c r="A628" s="8"/>
      <c r="D628" s="9"/>
      <c r="I628" s="4"/>
      <c r="J628" s="4"/>
      <c r="K628" s="4">
        <f>IF($J628="","",J628-I628)</f>
      </c>
      <c r="L628" s="4">
        <f>IF($J628="","",K628*16.67%)</f>
      </c>
      <c r="M628" s="4">
        <f>IF($J628="","",J628*7%)</f>
      </c>
      <c r="N628" s="4">
        <f>IF($J628="","",M628*20%)</f>
      </c>
      <c r="O628" s="4"/>
      <c r="P628" s="4">
        <f>IF($J628="","",O628*20%)</f>
      </c>
      <c r="Q628" s="4">
        <v>1</v>
      </c>
      <c r="R628" s="4">
        <f>IF($J628="","",N628+P628)</f>
      </c>
      <c r="S628" s="4">
        <f>IF($J628="","",K628-L628-M628-N628-O628-P628-Q628)</f>
      </c>
      <c r="T628" s="4">
        <f>IF($J628="","",(S628-V628)/I628*100)</f>
      </c>
      <c r="U628" s="4">
        <f>IF($J628="","",L628-R628)</f>
      </c>
      <c r="W628" s="4">
        <f>IF($J628="","",S628-V628)</f>
      </c>
    </row>
    <row r="629" spans="1:28" s="7" customFormat="1" x14ac:dyDescent="0.25">
      <c r="A629" s="3" t="s">
        <v>18</v>
      </c>
      <c r="B629" s="7"/>
      <c r="C629" s="7"/>
      <c r="D629" s="7"/>
      <c r="E629" s="7"/>
      <c r="F629" s="7"/>
      <c r="G629" s="7"/>
      <c r="H629" s="7"/>
      <c r="I629" s="14">
        <f>SUM(I2:I628)</f>
      </c>
      <c r="J629" s="14">
        <f>SUM(J2:J628)</f>
      </c>
      <c r="K629" s="14">
        <f>SUM(K2:K628)</f>
      </c>
      <c r="L629" s="14">
        <f>SUM(L2:L628)</f>
      </c>
      <c r="M629" s="14">
        <f>SUM(M2:M628)</f>
      </c>
      <c r="N629" s="14">
        <f>SUM(N2:N628)</f>
      </c>
      <c r="O629" s="14">
        <f>SUM(O2:O628)</f>
      </c>
      <c r="P629" s="14">
        <f>SUM(P2:P628)</f>
      </c>
      <c r="Q629" s="14">
        <f>SUM(Q2:Q628)</f>
      </c>
      <c r="R629" s="14">
        <f>SUM(R2:R628)</f>
      </c>
      <c r="S629" s="14">
        <f>SUM(S2:S628)</f>
      </c>
      <c r="T629" s="14">
        <f>IFERROR((S629-V629)/I629*100,0)</f>
      </c>
      <c r="U629" s="14">
        <f>SUM(U2:U628)</f>
      </c>
      <c r="V629" s="14">
        <f>SUM(V2:V628)</f>
      </c>
      <c r="W629" s="14">
        <f>SUM(W2:W628)</f>
      </c>
      <c r="X629" s="7"/>
      <c r="Y629" s="7"/>
      <c r="Z629" s="7"/>
      <c r="AA629" s="7"/>
      <c r="AB62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47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3060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>
        <v>46231.5</v>
      </c>
      <c r="B2" t="s">
        <v>3061</v>
      </c>
      <c r="C2" t="s">
        <v>1</v>
      </c>
      <c r="D2" s="9" t="s">
        <v>3062</v>
      </c>
      <c r="E2" t="s">
        <v>114</v>
      </c>
      <c r="F2" t="s">
        <v>99</v>
      </c>
      <c r="G2" t="s">
        <v>95</v>
      </c>
      <c r="H2" t="s">
        <v>78</v>
      </c>
      <c r="I2">
        <v>1</v>
      </c>
      <c r="J2" s="4">
        <v>240</v>
      </c>
      <c r="K2" s="4">
        <v>288</v>
      </c>
      <c r="L2" s="4">
        <f>K2-J2</f>
      </c>
      <c r="M2" s="4">
        <f>L2*16.67%</f>
      </c>
      <c r="N2" s="4">
        <v>13.28</v>
      </c>
      <c r="O2" s="4">
        <f>N2*20%</f>
      </c>
      <c r="P2" s="4">
        <v>0</v>
      </c>
      <c r="Q2" s="4">
        <f>P2*20%</f>
      </c>
      <c r="R2" s="4">
        <v>1</v>
      </c>
      <c r="S2" s="4">
        <f>Q2</f>
      </c>
      <c r="T2" s="4">
        <f>L2-M2-N2-P2-Q2-R2</f>
      </c>
      <c r="U2" s="4">
        <f>(T2-W2)/J2*100</f>
      </c>
      <c r="V2" s="4">
        <f>M2-S2</f>
      </c>
      <c r="X2" s="4">
        <f>T2-W2</f>
      </c>
      <c r="AC2" t="s">
        <v>1</v>
      </c>
    </row>
    <row r="3" spans="1:29" x14ac:dyDescent="0.25">
      <c r="A3" s="8">
        <v>46231.5</v>
      </c>
      <c r="B3" t="s">
        <v>3063</v>
      </c>
      <c r="C3" t="s">
        <v>1</v>
      </c>
      <c r="D3" s="9" t="s">
        <v>3064</v>
      </c>
      <c r="E3" t="s">
        <v>292</v>
      </c>
      <c r="F3" t="s">
        <v>59</v>
      </c>
      <c r="G3" t="s">
        <v>126</v>
      </c>
      <c r="H3" t="s">
        <v>102</v>
      </c>
      <c r="I3">
        <v>1</v>
      </c>
      <c r="J3" s="4">
        <v>162</v>
      </c>
      <c r="K3" s="4">
        <v>194.4</v>
      </c>
      <c r="L3" s="4">
        <f>K3-J3</f>
      </c>
      <c r="M3" s="4">
        <f>L3*16.67%</f>
      </c>
      <c r="N3" s="4">
        <v>8.96</v>
      </c>
      <c r="O3" s="4">
        <f>N3*20%</f>
      </c>
      <c r="P3" s="4">
        <v>0</v>
      </c>
      <c r="Q3" s="4">
        <f>P3*20%</f>
      </c>
      <c r="R3" s="4">
        <v>1</v>
      </c>
      <c r="S3" s="4">
        <f>Q3</f>
      </c>
      <c r="T3" s="4">
        <f>L3-M3-N3-P3-Q3-R3</f>
      </c>
      <c r="U3" s="4">
        <f>(T3-W3)/J3*100</f>
      </c>
      <c r="V3" s="4">
        <f>M3-S3</f>
      </c>
      <c r="X3" s="4">
        <f>T3-W3</f>
      </c>
      <c r="AC3" t="s">
        <v>1</v>
      </c>
    </row>
    <row r="4" spans="1:29" x14ac:dyDescent="0.25">
      <c r="A4" s="8">
        <v>46231.5</v>
      </c>
      <c r="B4" t="s">
        <v>3065</v>
      </c>
      <c r="C4" t="s">
        <v>1</v>
      </c>
      <c r="D4" s="9" t="s">
        <v>3066</v>
      </c>
      <c r="E4" t="s">
        <v>94</v>
      </c>
      <c r="F4" t="s">
        <v>70</v>
      </c>
      <c r="G4" t="s">
        <v>95</v>
      </c>
      <c r="H4" t="s">
        <v>66</v>
      </c>
      <c r="I4">
        <v>1</v>
      </c>
      <c r="J4" s="4">
        <v>64</v>
      </c>
      <c r="K4" s="4">
        <v>85.12</v>
      </c>
      <c r="L4" s="4">
        <f>K4-J4</f>
      </c>
      <c r="M4" s="4">
        <f>L4*16.67%</f>
      </c>
      <c r="N4" s="4">
        <v>3.92</v>
      </c>
      <c r="O4" s="4">
        <f>N4*20%</f>
      </c>
      <c r="P4" s="4">
        <v>0</v>
      </c>
      <c r="Q4" s="4">
        <f>P4*20%</f>
      </c>
      <c r="R4" s="4">
        <v>1</v>
      </c>
      <c r="S4" s="4">
        <f>Q4</f>
      </c>
      <c r="T4" s="4">
        <f>L4-M4-N4-P4-Q4-R4</f>
      </c>
      <c r="U4" s="4">
        <f>(T4-W4)/J4*100</f>
      </c>
      <c r="V4" s="4">
        <f>M4-S4</f>
      </c>
      <c r="X4" s="4">
        <f>T4-W4</f>
      </c>
      <c r="AC4" t="s">
        <v>1</v>
      </c>
    </row>
    <row r="5" spans="1:29" x14ac:dyDescent="0.25">
      <c r="A5" s="8">
        <v>46231.5</v>
      </c>
      <c r="B5" t="s">
        <v>3067</v>
      </c>
      <c r="C5" t="s">
        <v>1</v>
      </c>
      <c r="D5" s="9" t="s">
        <v>3068</v>
      </c>
      <c r="E5" t="s">
        <v>234</v>
      </c>
      <c r="F5" t="s">
        <v>105</v>
      </c>
      <c r="G5" t="s">
        <v>65</v>
      </c>
      <c r="H5" t="s">
        <v>61</v>
      </c>
      <c r="I5">
        <v>1</v>
      </c>
      <c r="J5" s="4">
        <v>190</v>
      </c>
      <c r="K5" s="4">
        <v>241.3</v>
      </c>
      <c r="L5" s="4">
        <f>K5-J5</f>
      </c>
      <c r="M5" s="4">
        <f>L5*16.67%</f>
      </c>
      <c r="N5" s="4">
        <v>11.12</v>
      </c>
      <c r="O5" s="4">
        <f>N5*20%</f>
      </c>
      <c r="P5" s="4">
        <v>0</v>
      </c>
      <c r="Q5" s="4">
        <f>P5*20%</f>
      </c>
      <c r="R5" s="4">
        <v>1</v>
      </c>
      <c r="S5" s="4">
        <f>Q5</f>
      </c>
      <c r="T5" s="4">
        <f>L5-M5-N5-P5-Q5-R5</f>
      </c>
      <c r="U5" s="4">
        <f>(T5-W5)/J5*100</f>
      </c>
      <c r="V5" s="4">
        <f>M5-S5</f>
      </c>
      <c r="X5" s="4">
        <f>T5-W5</f>
      </c>
      <c r="AC5" t="s">
        <v>1</v>
      </c>
    </row>
    <row r="6" spans="1:29" x14ac:dyDescent="0.25">
      <c r="A6" s="8">
        <v>46231.5</v>
      </c>
      <c r="B6" t="s">
        <v>3069</v>
      </c>
      <c r="C6" t="s">
        <v>1</v>
      </c>
      <c r="D6" s="9" t="s">
        <v>3070</v>
      </c>
      <c r="E6" t="s">
        <v>94</v>
      </c>
      <c r="F6" t="s">
        <v>59</v>
      </c>
      <c r="G6" t="s">
        <v>95</v>
      </c>
      <c r="H6" t="s">
        <v>61</v>
      </c>
      <c r="I6">
        <v>1</v>
      </c>
      <c r="J6" s="4">
        <v>80</v>
      </c>
      <c r="K6" s="4">
        <v>104.8</v>
      </c>
      <c r="L6" s="4">
        <f>K6-J6</f>
      </c>
      <c r="M6" s="4">
        <f>L6*16.67%</f>
      </c>
      <c r="N6" s="4">
        <v>4.83</v>
      </c>
      <c r="O6" s="4">
        <f>N6*20%</f>
      </c>
      <c r="P6" s="4">
        <v>0</v>
      </c>
      <c r="Q6" s="4">
        <f>P6*20%</f>
      </c>
      <c r="R6" s="4">
        <v>1</v>
      </c>
      <c r="S6" s="4">
        <f>Q6</f>
      </c>
      <c r="T6" s="4">
        <f>L6-M6-N6-P6-Q6-R6</f>
      </c>
      <c r="U6" s="4">
        <f>(T6-W6)/J6*100</f>
      </c>
      <c r="V6" s="4">
        <f>M6-S6</f>
      </c>
      <c r="X6" s="4">
        <f>T6-W6</f>
      </c>
      <c r="AC6" t="s">
        <v>1</v>
      </c>
    </row>
    <row r="7" spans="1:29" x14ac:dyDescent="0.25">
      <c r="A7" s="8">
        <v>46231.5</v>
      </c>
      <c r="B7" t="s">
        <v>3071</v>
      </c>
      <c r="C7" t="s">
        <v>1</v>
      </c>
      <c r="D7" s="9" t="s">
        <v>3072</v>
      </c>
      <c r="E7" t="s">
        <v>64</v>
      </c>
      <c r="F7" t="s">
        <v>99</v>
      </c>
      <c r="G7" t="s">
        <v>65</v>
      </c>
      <c r="H7" t="s">
        <v>75</v>
      </c>
      <c r="I7">
        <v>1</v>
      </c>
      <c r="J7" s="4">
        <v>237</v>
      </c>
      <c r="K7" s="4">
        <v>303.36</v>
      </c>
      <c r="L7" s="4">
        <f>K7-J7</f>
      </c>
      <c r="M7" s="4">
        <f>L7*16.67%</f>
      </c>
      <c r="N7" s="4">
        <v>13.98</v>
      </c>
      <c r="O7" s="4">
        <f>N7*20%</f>
      </c>
      <c r="P7" s="4">
        <v>0</v>
      </c>
      <c r="Q7" s="4">
        <f>P7*20%</f>
      </c>
      <c r="R7" s="4">
        <v>1</v>
      </c>
      <c r="S7" s="4">
        <f>Q7</f>
      </c>
      <c r="T7" s="4">
        <f>L7-M7-N7-P7-Q7-R7</f>
      </c>
      <c r="U7" s="4">
        <f>(T7-W7)/J7*100</f>
      </c>
      <c r="V7" s="4">
        <f>M7-S7</f>
      </c>
      <c r="X7" s="4">
        <f>T7-W7</f>
      </c>
      <c r="AC7" t="s">
        <v>1</v>
      </c>
    </row>
    <row r="8" spans="1:29" x14ac:dyDescent="0.25">
      <c r="A8" s="8">
        <v>46231.5</v>
      </c>
      <c r="B8" t="s">
        <v>3073</v>
      </c>
      <c r="C8" t="s">
        <v>1</v>
      </c>
      <c r="D8" s="9" t="s">
        <v>3074</v>
      </c>
      <c r="E8" t="s">
        <v>139</v>
      </c>
      <c r="F8" t="s">
        <v>70</v>
      </c>
      <c r="G8" t="s">
        <v>60</v>
      </c>
      <c r="H8" t="s">
        <v>61</v>
      </c>
      <c r="I8">
        <v>1</v>
      </c>
      <c r="J8" s="4">
        <v>330</v>
      </c>
      <c r="K8" s="4">
        <v>425.7</v>
      </c>
      <c r="L8" s="4">
        <f>K8-J8</f>
      </c>
      <c r="M8" s="4">
        <f>L8*16.67%</f>
      </c>
      <c r="N8" s="4">
        <v>19.62</v>
      </c>
      <c r="O8" s="4">
        <f>N8*20%</f>
      </c>
      <c r="P8" s="4">
        <v>0</v>
      </c>
      <c r="Q8" s="4">
        <f>P8*20%</f>
      </c>
      <c r="R8" s="4">
        <v>1</v>
      </c>
      <c r="S8" s="4">
        <f>Q8</f>
      </c>
      <c r="T8" s="4">
        <f>L8-M8-N8-P8-Q8-R8</f>
      </c>
      <c r="U8" s="4">
        <f>(T8-W8)/J8*100</f>
      </c>
      <c r="V8" s="4">
        <f>M8-S8</f>
      </c>
      <c r="X8" s="4">
        <f>T8-W8</f>
      </c>
      <c r="AC8" t="s">
        <v>1</v>
      </c>
    </row>
    <row r="9" spans="1:29" x14ac:dyDescent="0.25">
      <c r="A9" s="8">
        <v>46231.5</v>
      </c>
      <c r="B9" t="s">
        <v>3075</v>
      </c>
      <c r="C9" t="s">
        <v>1</v>
      </c>
      <c r="D9" s="9" t="s">
        <v>3076</v>
      </c>
      <c r="E9" t="s">
        <v>125</v>
      </c>
      <c r="F9" t="s">
        <v>105</v>
      </c>
      <c r="G9" t="s">
        <v>126</v>
      </c>
      <c r="H9" t="s">
        <v>66</v>
      </c>
      <c r="I9">
        <v>1</v>
      </c>
      <c r="J9" s="4">
        <v>227</v>
      </c>
      <c r="K9" s="4">
        <v>313.26</v>
      </c>
      <c r="L9" s="4">
        <f>K9-J9</f>
      </c>
      <c r="M9" s="4">
        <f>L9*16.67%</f>
      </c>
      <c r="N9" s="4">
        <v>14.44</v>
      </c>
      <c r="O9" s="4">
        <f>N9*20%</f>
      </c>
      <c r="P9" s="4">
        <v>0</v>
      </c>
      <c r="Q9" s="4">
        <f>P9*20%</f>
      </c>
      <c r="R9" s="4">
        <v>1</v>
      </c>
      <c r="S9" s="4">
        <f>Q9</f>
      </c>
      <c r="T9" s="4">
        <f>L9-M9-N9-P9-Q9-R9</f>
      </c>
      <c r="U9" s="4">
        <f>(T9-W9)/J9*100</f>
      </c>
      <c r="V9" s="4">
        <f>M9-S9</f>
      </c>
      <c r="X9" s="4">
        <f>T9-W9</f>
      </c>
      <c r="AC9" t="s">
        <v>1</v>
      </c>
    </row>
    <row r="10" spans="1:29" x14ac:dyDescent="0.25">
      <c r="A10" s="8">
        <v>46231.5</v>
      </c>
      <c r="B10" t="s">
        <v>3077</v>
      </c>
      <c r="C10" t="s">
        <v>1</v>
      </c>
      <c r="D10" s="9" t="s">
        <v>3078</v>
      </c>
      <c r="E10" t="s">
        <v>292</v>
      </c>
      <c r="F10" t="s">
        <v>99</v>
      </c>
      <c r="G10" t="s">
        <v>126</v>
      </c>
      <c r="H10" t="s">
        <v>75</v>
      </c>
      <c r="I10">
        <v>1</v>
      </c>
      <c r="J10" s="4">
        <v>193</v>
      </c>
      <c r="K10" s="4">
        <v>266.34</v>
      </c>
      <c r="L10" s="4">
        <f>K10-J10</f>
      </c>
      <c r="M10" s="4">
        <f>L10*16.67%</f>
      </c>
      <c r="N10" s="4">
        <v>12.28</v>
      </c>
      <c r="O10" s="4">
        <f>N10*20%</f>
      </c>
      <c r="P10" s="4">
        <v>0</v>
      </c>
      <c r="Q10" s="4">
        <f>P10*20%</f>
      </c>
      <c r="R10" s="4">
        <v>1</v>
      </c>
      <c r="S10" s="4">
        <f>Q10</f>
      </c>
      <c r="T10" s="4">
        <f>L10-M10-N10-P10-Q10-R10</f>
      </c>
      <c r="U10" s="4">
        <f>(T10-W10)/J10*100</f>
      </c>
      <c r="V10" s="4">
        <f>M10-S10</f>
      </c>
      <c r="X10" s="4">
        <f>T10-W10</f>
      </c>
      <c r="AC10" t="s">
        <v>1</v>
      </c>
    </row>
    <row r="11" spans="1:29" x14ac:dyDescent="0.25">
      <c r="A11" s="8">
        <v>46231.5</v>
      </c>
      <c r="B11" t="s">
        <v>3079</v>
      </c>
      <c r="C11" t="s">
        <v>1</v>
      </c>
      <c r="D11" s="9" t="s">
        <v>3080</v>
      </c>
      <c r="E11" t="s">
        <v>292</v>
      </c>
      <c r="F11" t="s">
        <v>59</v>
      </c>
      <c r="G11" t="s">
        <v>126</v>
      </c>
      <c r="H11" t="s">
        <v>102</v>
      </c>
      <c r="I11">
        <v>1</v>
      </c>
      <c r="J11" s="4">
        <v>182</v>
      </c>
      <c r="K11" s="4">
        <v>236.6</v>
      </c>
      <c r="L11" s="4">
        <f>K11-J11</f>
      </c>
      <c r="M11" s="4">
        <f>L11*16.67%</f>
      </c>
      <c r="N11" s="4">
        <v>10.91</v>
      </c>
      <c r="O11" s="4">
        <f>N11*20%</f>
      </c>
      <c r="P11" s="4">
        <v>0</v>
      </c>
      <c r="Q11" s="4">
        <f>P11*20%</f>
      </c>
      <c r="R11" s="4">
        <v>1</v>
      </c>
      <c r="S11" s="4">
        <f>Q11</f>
      </c>
      <c r="T11" s="4">
        <f>L11-M11-N11-P11-Q11-R11</f>
      </c>
      <c r="U11" s="4">
        <f>(T11-W11)/J11*100</f>
      </c>
      <c r="V11" s="4">
        <f>M11-S11</f>
      </c>
      <c r="X11" s="4">
        <f>T11-W11</f>
      </c>
      <c r="AC11" t="s">
        <v>1</v>
      </c>
    </row>
    <row r="12" spans="1:29" x14ac:dyDescent="0.25">
      <c r="A12" s="8">
        <v>46231.5</v>
      </c>
      <c r="B12" t="s">
        <v>3081</v>
      </c>
      <c r="C12" t="s">
        <v>1</v>
      </c>
      <c r="D12" s="9" t="s">
        <v>3082</v>
      </c>
      <c r="E12" t="s">
        <v>292</v>
      </c>
      <c r="F12" t="s">
        <v>74</v>
      </c>
      <c r="G12" t="s">
        <v>126</v>
      </c>
      <c r="H12" t="s">
        <v>66</v>
      </c>
      <c r="I12">
        <v>1</v>
      </c>
      <c r="J12" s="4">
        <v>191</v>
      </c>
      <c r="K12" s="4">
        <v>244.48</v>
      </c>
      <c r="L12" s="4">
        <f>K12-J12</f>
      </c>
      <c r="M12" s="4">
        <f>L12*16.67%</f>
      </c>
      <c r="N12" s="4">
        <v>11.27</v>
      </c>
      <c r="O12" s="4">
        <f>N12*20%</f>
      </c>
      <c r="P12" s="4">
        <v>0</v>
      </c>
      <c r="Q12" s="4">
        <f>P12*20%</f>
      </c>
      <c r="R12" s="4">
        <v>1</v>
      </c>
      <c r="S12" s="4">
        <f>Q12</f>
      </c>
      <c r="T12" s="4">
        <f>L12-M12-N12-P12-Q12-R12</f>
      </c>
      <c r="U12" s="4">
        <f>(T12-W12)/J12*100</f>
      </c>
      <c r="V12" s="4">
        <f>M12-S12</f>
      </c>
      <c r="X12" s="4">
        <f>T12-W12</f>
      </c>
      <c r="AC12" t="s">
        <v>1</v>
      </c>
    </row>
    <row r="13" spans="1:29" x14ac:dyDescent="0.25">
      <c r="A13" s="8">
        <v>46231.5</v>
      </c>
      <c r="B13" t="s">
        <v>3083</v>
      </c>
      <c r="C13" t="s">
        <v>1</v>
      </c>
      <c r="D13" s="9" t="s">
        <v>3084</v>
      </c>
      <c r="E13" t="s">
        <v>134</v>
      </c>
      <c r="F13" t="s">
        <v>99</v>
      </c>
      <c r="G13" t="s">
        <v>95</v>
      </c>
      <c r="H13" t="s">
        <v>78</v>
      </c>
      <c r="I13">
        <v>1</v>
      </c>
      <c r="J13" s="4">
        <v>104</v>
      </c>
      <c r="K13" s="4">
        <v>142.48</v>
      </c>
      <c r="L13" s="4">
        <f>K13-J13</f>
      </c>
      <c r="M13" s="4">
        <f>L13*16.67%</f>
      </c>
      <c r="N13" s="4">
        <v>6.57</v>
      </c>
      <c r="O13" s="4">
        <f>N13*20%</f>
      </c>
      <c r="P13" s="4">
        <v>0</v>
      </c>
      <c r="Q13" s="4">
        <f>P13*20%</f>
      </c>
      <c r="R13" s="4">
        <v>1</v>
      </c>
      <c r="S13" s="4">
        <f>Q13</f>
      </c>
      <c r="T13" s="4">
        <f>L13-M13-N13-P13-Q13-R13</f>
      </c>
      <c r="U13" s="4">
        <f>(T13-W13)/J13*100</f>
      </c>
      <c r="V13" s="4">
        <f>M13-S13</f>
      </c>
      <c r="X13" s="4">
        <f>T13-W13</f>
      </c>
      <c r="AC13" t="s">
        <v>1</v>
      </c>
    </row>
    <row r="14" spans="1:29" x14ac:dyDescent="0.25">
      <c r="A14" s="8">
        <v>46231.5</v>
      </c>
      <c r="B14" t="s">
        <v>3085</v>
      </c>
      <c r="C14" t="s">
        <v>1</v>
      </c>
      <c r="D14" s="9" t="s">
        <v>3086</v>
      </c>
      <c r="E14" t="s">
        <v>69</v>
      </c>
      <c r="F14" t="s">
        <v>85</v>
      </c>
      <c r="G14" t="s">
        <v>60</v>
      </c>
      <c r="H14" t="s">
        <v>78</v>
      </c>
      <c r="I14">
        <v>1</v>
      </c>
      <c r="J14" s="4">
        <v>493</v>
      </c>
      <c r="K14" s="4">
        <v>591.6</v>
      </c>
      <c r="L14" s="4">
        <f>K14-J14</f>
      </c>
      <c r="M14" s="4">
        <f>L14*16.67%</f>
      </c>
      <c r="N14" s="4">
        <v>27.27</v>
      </c>
      <c r="O14" s="4">
        <f>N14*20%</f>
      </c>
      <c r="P14" s="4">
        <v>0</v>
      </c>
      <c r="Q14" s="4">
        <f>P14*20%</f>
      </c>
      <c r="R14" s="4">
        <v>1</v>
      </c>
      <c r="S14" s="4">
        <f>Q14</f>
      </c>
      <c r="T14" s="4">
        <f>L14-M14-N14-P14-Q14-R14</f>
      </c>
      <c r="U14" s="4">
        <f>(T14-W14)/J14*100</f>
      </c>
      <c r="V14" s="4">
        <f>M14-S14</f>
      </c>
      <c r="X14" s="4">
        <f>T14-W14</f>
      </c>
      <c r="AC14" t="s">
        <v>1</v>
      </c>
    </row>
    <row r="15" spans="1:29" x14ac:dyDescent="0.25">
      <c r="A15" s="8">
        <v>46231.5</v>
      </c>
      <c r="B15" t="s">
        <v>3087</v>
      </c>
      <c r="C15" t="s">
        <v>1</v>
      </c>
      <c r="D15" s="9" t="s">
        <v>3088</v>
      </c>
      <c r="E15" t="s">
        <v>81</v>
      </c>
      <c r="F15" t="s">
        <v>85</v>
      </c>
      <c r="G15" t="s">
        <v>60</v>
      </c>
      <c r="H15" t="s">
        <v>75</v>
      </c>
      <c r="I15">
        <v>1</v>
      </c>
      <c r="J15" s="4">
        <v>535</v>
      </c>
      <c r="K15" s="4">
        <v>663.4</v>
      </c>
      <c r="L15" s="4">
        <f>K15-J15</f>
      </c>
      <c r="M15" s="4">
        <f>L15*16.67%</f>
      </c>
      <c r="N15" s="4">
        <v>30.58</v>
      </c>
      <c r="O15" s="4">
        <f>N15*20%</f>
      </c>
      <c r="P15" s="4">
        <v>0</v>
      </c>
      <c r="Q15" s="4">
        <f>P15*20%</f>
      </c>
      <c r="R15" s="4">
        <v>1</v>
      </c>
      <c r="S15" s="4">
        <f>Q15</f>
      </c>
      <c r="T15" s="4">
        <f>L15-M15-N15-P15-Q15-R15</f>
      </c>
      <c r="U15" s="4">
        <f>(T15-W15)/J15*100</f>
      </c>
      <c r="V15" s="4">
        <f>M15-S15</f>
      </c>
      <c r="X15" s="4">
        <f>T15-W15</f>
      </c>
      <c r="AC15" t="s">
        <v>1</v>
      </c>
    </row>
    <row r="16" spans="1:29" x14ac:dyDescent="0.25">
      <c r="A16" s="8">
        <v>46231.5</v>
      </c>
      <c r="B16" t="s">
        <v>3089</v>
      </c>
      <c r="C16" t="s">
        <v>1</v>
      </c>
      <c r="D16" s="9" t="s">
        <v>3090</v>
      </c>
      <c r="E16" t="s">
        <v>134</v>
      </c>
      <c r="F16" t="s">
        <v>88</v>
      </c>
      <c r="G16" t="s">
        <v>95</v>
      </c>
      <c r="H16" t="s">
        <v>75</v>
      </c>
      <c r="I16">
        <v>1</v>
      </c>
      <c r="J16" s="4">
        <v>122</v>
      </c>
      <c r="K16" s="4">
        <v>176.9</v>
      </c>
      <c r="L16" s="4">
        <f>K16-J16</f>
      </c>
      <c r="M16" s="4">
        <f>L16*16.67%</f>
      </c>
      <c r="N16" s="4">
        <v>8.16</v>
      </c>
      <c r="O16" s="4">
        <f>N16*20%</f>
      </c>
      <c r="P16" s="4">
        <v>0</v>
      </c>
      <c r="Q16" s="4">
        <f>P16*20%</f>
      </c>
      <c r="R16" s="4">
        <v>1</v>
      </c>
      <c r="S16" s="4">
        <f>Q16</f>
      </c>
      <c r="T16" s="4">
        <f>L16-M16-N16-P16-Q16-R16</f>
      </c>
      <c r="U16" s="4">
        <f>(T16-W16)/J16*100</f>
      </c>
      <c r="V16" s="4">
        <f>M16-S16</f>
      </c>
      <c r="X16" s="4">
        <f>T16-W16</f>
      </c>
      <c r="AC16" t="s">
        <v>1</v>
      </c>
    </row>
    <row r="17" spans="1:29" x14ac:dyDescent="0.25">
      <c r="A17" s="8">
        <v>46231.5</v>
      </c>
      <c r="B17" t="s">
        <v>3091</v>
      </c>
      <c r="C17" t="s">
        <v>1</v>
      </c>
      <c r="D17" s="9" t="s">
        <v>3092</v>
      </c>
      <c r="E17" t="s">
        <v>234</v>
      </c>
      <c r="F17" t="s">
        <v>99</v>
      </c>
      <c r="G17" t="s">
        <v>65</v>
      </c>
      <c r="H17" t="s">
        <v>66</v>
      </c>
      <c r="I17">
        <v>1</v>
      </c>
      <c r="J17" s="4">
        <v>156</v>
      </c>
      <c r="K17" s="4">
        <v>212.16</v>
      </c>
      <c r="L17" s="4">
        <f>K17-J17</f>
      </c>
      <c r="M17" s="4">
        <f>L17*16.67%</f>
      </c>
      <c r="N17" s="4">
        <v>9.78</v>
      </c>
      <c r="O17" s="4">
        <f>N17*20%</f>
      </c>
      <c r="P17" s="4">
        <v>0</v>
      </c>
      <c r="Q17" s="4">
        <f>P17*20%</f>
      </c>
      <c r="R17" s="4">
        <v>1</v>
      </c>
      <c r="S17" s="4">
        <f>Q17</f>
      </c>
      <c r="T17" s="4">
        <f>L17-M17-N17-P17-Q17-R17</f>
      </c>
      <c r="U17" s="4">
        <f>(T17-W17)/J17*100</f>
      </c>
      <c r="V17" s="4">
        <f>M17-S17</f>
      </c>
      <c r="X17" s="4">
        <f>T17-W17</f>
      </c>
      <c r="AC17" t="s">
        <v>1</v>
      </c>
    </row>
    <row r="18" spans="1:29" x14ac:dyDescent="0.25">
      <c r="A18" s="8">
        <v>46231.5</v>
      </c>
      <c r="B18" t="s">
        <v>3093</v>
      </c>
      <c r="C18" t="s">
        <v>1</v>
      </c>
      <c r="D18" s="9" t="s">
        <v>3094</v>
      </c>
      <c r="E18" t="s">
        <v>134</v>
      </c>
      <c r="F18" t="s">
        <v>74</v>
      </c>
      <c r="G18" t="s">
        <v>65</v>
      </c>
      <c r="H18" t="s">
        <v>66</v>
      </c>
      <c r="I18">
        <v>1</v>
      </c>
      <c r="J18" s="4">
        <v>137</v>
      </c>
      <c r="K18" s="4">
        <v>172.62</v>
      </c>
      <c r="L18" s="4">
        <f>K18-J18</f>
      </c>
      <c r="M18" s="4">
        <f>L18*16.67%</f>
      </c>
      <c r="N18" s="4">
        <v>7.96</v>
      </c>
      <c r="O18" s="4">
        <f>N18*20%</f>
      </c>
      <c r="P18" s="4">
        <v>0</v>
      </c>
      <c r="Q18" s="4">
        <f>P18*20%</f>
      </c>
      <c r="R18" s="4">
        <v>1</v>
      </c>
      <c r="S18" s="4">
        <f>Q18</f>
      </c>
      <c r="T18" s="4">
        <f>L18-M18-N18-P18-Q18-R18</f>
      </c>
      <c r="U18" s="4">
        <f>(T18-W18)/J18*100</f>
      </c>
      <c r="V18" s="4">
        <f>M18-S18</f>
      </c>
      <c r="X18" s="4">
        <f>T18-W18</f>
      </c>
      <c r="AC18" t="s">
        <v>1</v>
      </c>
    </row>
    <row r="19" spans="1:29" x14ac:dyDescent="0.25">
      <c r="A19" s="8">
        <v>46231.5</v>
      </c>
      <c r="B19" t="s">
        <v>3095</v>
      </c>
      <c r="C19" t="s">
        <v>1</v>
      </c>
      <c r="D19" s="9" t="s">
        <v>3096</v>
      </c>
      <c r="E19" t="s">
        <v>58</v>
      </c>
      <c r="F19" t="s">
        <v>74</v>
      </c>
      <c r="G19" t="s">
        <v>60</v>
      </c>
      <c r="H19" t="s">
        <v>102</v>
      </c>
      <c r="I19">
        <v>1</v>
      </c>
      <c r="J19" s="4">
        <v>452</v>
      </c>
      <c r="K19" s="4">
        <v>655.4</v>
      </c>
      <c r="L19" s="4">
        <f>K19-J19</f>
      </c>
      <c r="M19" s="4">
        <f>L19*16.67%</f>
      </c>
      <c r="N19" s="4">
        <v>30.21</v>
      </c>
      <c r="O19" s="4">
        <f>N19*20%</f>
      </c>
      <c r="P19" s="4">
        <v>0</v>
      </c>
      <c r="Q19" s="4">
        <f>P19*20%</f>
      </c>
      <c r="R19" s="4">
        <v>1</v>
      </c>
      <c r="S19" s="4">
        <f>Q19</f>
      </c>
      <c r="T19" s="4">
        <f>L19-M19-N19-P19-Q19-R19</f>
      </c>
      <c r="U19" s="4">
        <f>(T19-W19)/J19*100</f>
      </c>
      <c r="V19" s="4">
        <f>M19-S19</f>
      </c>
      <c r="X19" s="4">
        <f>T19-W19</f>
      </c>
      <c r="AC19" t="s">
        <v>1</v>
      </c>
    </row>
    <row r="20" spans="1:29" x14ac:dyDescent="0.25">
      <c r="A20" s="8">
        <v>46231.5</v>
      </c>
      <c r="B20" t="s">
        <v>3097</v>
      </c>
      <c r="C20" t="s">
        <v>1</v>
      </c>
      <c r="D20" s="9" t="s">
        <v>3098</v>
      </c>
      <c r="E20" t="s">
        <v>139</v>
      </c>
      <c r="F20" t="s">
        <v>85</v>
      </c>
      <c r="G20" t="s">
        <v>65</v>
      </c>
      <c r="H20" t="s">
        <v>75</v>
      </c>
      <c r="I20">
        <v>1</v>
      </c>
      <c r="J20" s="4">
        <v>315</v>
      </c>
      <c r="K20" s="4">
        <v>403.2</v>
      </c>
      <c r="L20" s="4">
        <f>K20-J20</f>
      </c>
      <c r="M20" s="4">
        <f>L20*16.67%</f>
      </c>
      <c r="N20" s="4">
        <v>18.59</v>
      </c>
      <c r="O20" s="4">
        <f>N20*20%</f>
      </c>
      <c r="P20" s="4">
        <v>0</v>
      </c>
      <c r="Q20" s="4">
        <f>P20*20%</f>
      </c>
      <c r="R20" s="4">
        <v>1</v>
      </c>
      <c r="S20" s="4">
        <f>Q20</f>
      </c>
      <c r="T20" s="4">
        <f>L20-M20-N20-P20-Q20-R20</f>
      </c>
      <c r="U20" s="4">
        <f>(T20-W20)/J20*100</f>
      </c>
      <c r="V20" s="4">
        <f>M20-S20</f>
      </c>
      <c r="X20" s="4">
        <f>T20-W20</f>
      </c>
      <c r="AC20" t="s">
        <v>1</v>
      </c>
    </row>
    <row r="21" spans="1:29" x14ac:dyDescent="0.25">
      <c r="A21" s="8">
        <v>46231.5</v>
      </c>
      <c r="B21" t="s">
        <v>3099</v>
      </c>
      <c r="C21" t="s">
        <v>1</v>
      </c>
      <c r="D21" s="9" t="s">
        <v>3100</v>
      </c>
      <c r="E21" t="s">
        <v>84</v>
      </c>
      <c r="F21" t="s">
        <v>70</v>
      </c>
      <c r="G21" t="s">
        <v>60</v>
      </c>
      <c r="H21" t="s">
        <v>102</v>
      </c>
      <c r="I21">
        <v>1</v>
      </c>
      <c r="J21" s="4">
        <v>704</v>
      </c>
      <c r="K21" s="4">
        <v>1006.72</v>
      </c>
      <c r="L21" s="4">
        <f>K21-J21</f>
      </c>
      <c r="M21" s="4">
        <f>L21*16.67%</f>
      </c>
      <c r="N21" s="4">
        <v>46.41</v>
      </c>
      <c r="O21" s="4">
        <f>N21*20%</f>
      </c>
      <c r="P21" s="4">
        <v>0</v>
      </c>
      <c r="Q21" s="4">
        <f>P21*20%</f>
      </c>
      <c r="R21" s="4">
        <v>1</v>
      </c>
      <c r="S21" s="4">
        <f>Q21</f>
      </c>
      <c r="T21" s="4">
        <f>L21-M21-N21-P21-Q21-R21</f>
      </c>
      <c r="U21" s="4">
        <f>(T21-W21)/J21*100</f>
      </c>
      <c r="V21" s="4">
        <f>M21-S21</f>
      </c>
      <c r="X21" s="4">
        <f>T21-W21</f>
      </c>
      <c r="AC21" t="s">
        <v>1</v>
      </c>
    </row>
    <row r="22" spans="1:29" x14ac:dyDescent="0.25">
      <c r="A22" s="8">
        <v>46231.5</v>
      </c>
      <c r="B22" t="s">
        <v>3101</v>
      </c>
      <c r="C22" t="s">
        <v>1</v>
      </c>
      <c r="D22" s="9" t="s">
        <v>3102</v>
      </c>
      <c r="E22" t="s">
        <v>69</v>
      </c>
      <c r="F22" t="s">
        <v>99</v>
      </c>
      <c r="G22" t="s">
        <v>60</v>
      </c>
      <c r="H22" t="s">
        <v>61</v>
      </c>
      <c r="I22">
        <v>1</v>
      </c>
      <c r="J22" s="4">
        <v>544</v>
      </c>
      <c r="K22" s="4">
        <v>761.6</v>
      </c>
      <c r="L22" s="4">
        <f>K22-J22</f>
      </c>
      <c r="M22" s="4">
        <f>L22*16.67%</f>
      </c>
      <c r="N22" s="4">
        <v>35.11</v>
      </c>
      <c r="O22" s="4">
        <f>N22*20%</f>
      </c>
      <c r="P22" s="4">
        <v>0</v>
      </c>
      <c r="Q22" s="4">
        <f>P22*20%</f>
      </c>
      <c r="R22" s="4">
        <v>1</v>
      </c>
      <c r="S22" s="4">
        <f>Q22</f>
      </c>
      <c r="T22" s="4">
        <f>L22-M22-N22-P22-Q22-R22</f>
      </c>
      <c r="U22" s="4">
        <f>(T22-W22)/J22*100</f>
      </c>
      <c r="V22" s="4">
        <f>M22-S22</f>
      </c>
      <c r="X22" s="4">
        <f>T22-W22</f>
      </c>
      <c r="AC22" t="s">
        <v>1</v>
      </c>
    </row>
    <row r="23" spans="1:29" x14ac:dyDescent="0.25">
      <c r="A23" s="8">
        <v>46231.5</v>
      </c>
      <c r="B23" t="s">
        <v>3103</v>
      </c>
      <c r="C23" t="s">
        <v>1</v>
      </c>
      <c r="D23" s="9" t="s">
        <v>3104</v>
      </c>
      <c r="E23" t="s">
        <v>58</v>
      </c>
      <c r="F23" t="s">
        <v>105</v>
      </c>
      <c r="G23" t="s">
        <v>60</v>
      </c>
      <c r="H23" t="s">
        <v>61</v>
      </c>
      <c r="I23">
        <v>1</v>
      </c>
      <c r="J23" s="4">
        <v>428</v>
      </c>
      <c r="K23" s="4">
        <v>582.08</v>
      </c>
      <c r="L23" s="4">
        <f>K23-J23</f>
      </c>
      <c r="M23" s="4">
        <f>L23*16.67%</f>
      </c>
      <c r="N23" s="4">
        <v>26.83</v>
      </c>
      <c r="O23" s="4">
        <f>N23*20%</f>
      </c>
      <c r="P23" s="4">
        <v>0</v>
      </c>
      <c r="Q23" s="4">
        <f>P23*20%</f>
      </c>
      <c r="R23" s="4">
        <v>1</v>
      </c>
      <c r="S23" s="4">
        <f>Q23</f>
      </c>
      <c r="T23" s="4">
        <f>L23-M23-N23-P23-Q23-R23</f>
      </c>
      <c r="U23" s="4">
        <f>(T23-W23)/J23*100</f>
      </c>
      <c r="V23" s="4">
        <f>M23-S23</f>
      </c>
      <c r="X23" s="4">
        <f>T23-W23</f>
      </c>
      <c r="AC23" t="s">
        <v>1</v>
      </c>
    </row>
    <row r="24" spans="1:29" x14ac:dyDescent="0.25">
      <c r="A24" s="8">
        <v>46231.5</v>
      </c>
      <c r="B24" t="s">
        <v>3105</v>
      </c>
      <c r="C24" t="s">
        <v>1</v>
      </c>
      <c r="D24" s="9" t="s">
        <v>3106</v>
      </c>
      <c r="E24" t="s">
        <v>94</v>
      </c>
      <c r="F24" t="s">
        <v>99</v>
      </c>
      <c r="G24" t="s">
        <v>95</v>
      </c>
      <c r="H24" t="s">
        <v>75</v>
      </c>
      <c r="I24">
        <v>1</v>
      </c>
      <c r="J24" s="4">
        <v>83</v>
      </c>
      <c r="K24" s="4">
        <v>115.37</v>
      </c>
      <c r="L24" s="4">
        <f>K24-J24</f>
      </c>
      <c r="M24" s="4">
        <f>L24*16.67%</f>
      </c>
      <c r="N24" s="4">
        <v>5.32</v>
      </c>
      <c r="O24" s="4">
        <f>N24*20%</f>
      </c>
      <c r="P24" s="4">
        <v>0</v>
      </c>
      <c r="Q24" s="4">
        <f>P24*20%</f>
      </c>
      <c r="R24" s="4">
        <v>1</v>
      </c>
      <c r="S24" s="4">
        <f>Q24</f>
      </c>
      <c r="T24" s="4">
        <f>L24-M24-N24-P24-Q24-R24</f>
      </c>
      <c r="U24" s="4">
        <f>(T24-W24)/J24*100</f>
      </c>
      <c r="V24" s="4">
        <f>M24-S24</f>
      </c>
      <c r="X24" s="4">
        <f>T24-W24</f>
      </c>
      <c r="AC24" t="s">
        <v>1</v>
      </c>
    </row>
    <row r="25" spans="1:29" x14ac:dyDescent="0.25">
      <c r="A25" s="8">
        <v>46231.5</v>
      </c>
      <c r="B25" t="s">
        <v>3107</v>
      </c>
      <c r="C25" t="s">
        <v>1</v>
      </c>
      <c r="D25" s="9" t="s">
        <v>3108</v>
      </c>
      <c r="E25" t="s">
        <v>125</v>
      </c>
      <c r="F25" t="s">
        <v>105</v>
      </c>
      <c r="G25" t="s">
        <v>126</v>
      </c>
      <c r="H25" t="s">
        <v>75</v>
      </c>
      <c r="I25">
        <v>1</v>
      </c>
      <c r="J25" s="4">
        <v>262</v>
      </c>
      <c r="K25" s="4">
        <v>330.12</v>
      </c>
      <c r="L25" s="4">
        <f>K25-J25</f>
      </c>
      <c r="M25" s="4">
        <f>L25*16.67%</f>
      </c>
      <c r="N25" s="4">
        <v>15.22</v>
      </c>
      <c r="O25" s="4">
        <f>N25*20%</f>
      </c>
      <c r="P25" s="4">
        <v>0</v>
      </c>
      <c r="Q25" s="4">
        <f>P25*20%</f>
      </c>
      <c r="R25" s="4">
        <v>1</v>
      </c>
      <c r="S25" s="4">
        <f>Q25</f>
      </c>
      <c r="T25" s="4">
        <f>L25-M25-N25-P25-Q25-R25</f>
      </c>
      <c r="U25" s="4">
        <f>(T25-W25)/J25*100</f>
      </c>
      <c r="V25" s="4">
        <f>M25-S25</f>
      </c>
      <c r="X25" s="4">
        <f>T25-W25</f>
      </c>
      <c r="AC25" t="s">
        <v>1</v>
      </c>
    </row>
    <row r="26" spans="1:29" x14ac:dyDescent="0.25">
      <c r="A26" s="8">
        <v>46231.5</v>
      </c>
      <c r="B26" t="s">
        <v>3109</v>
      </c>
      <c r="C26" t="s">
        <v>1</v>
      </c>
      <c r="D26" s="9" t="s">
        <v>3110</v>
      </c>
      <c r="E26" t="s">
        <v>134</v>
      </c>
      <c r="F26" t="s">
        <v>59</v>
      </c>
      <c r="G26" t="s">
        <v>65</v>
      </c>
      <c r="H26" t="s">
        <v>61</v>
      </c>
      <c r="I26">
        <v>1</v>
      </c>
      <c r="J26" s="4">
        <v>104</v>
      </c>
      <c r="K26" s="4">
        <v>140.4</v>
      </c>
      <c r="L26" s="4">
        <f>K26-J26</f>
      </c>
      <c r="M26" s="4">
        <f>L26*16.67%</f>
      </c>
      <c r="N26" s="4">
        <v>6.47</v>
      </c>
      <c r="O26" s="4">
        <f>N26*20%</f>
      </c>
      <c r="P26" s="4">
        <v>0</v>
      </c>
      <c r="Q26" s="4">
        <f>P26*20%</f>
      </c>
      <c r="R26" s="4">
        <v>1</v>
      </c>
      <c r="S26" s="4">
        <f>Q26</f>
      </c>
      <c r="T26" s="4">
        <f>L26-M26-N26-P26-Q26-R26</f>
      </c>
      <c r="U26" s="4">
        <f>(T26-W26)/J26*100</f>
      </c>
      <c r="V26" s="4">
        <f>M26-S26</f>
      </c>
      <c r="X26" s="4">
        <f>T26-W26</f>
      </c>
      <c r="AC26" t="s">
        <v>1</v>
      </c>
    </row>
    <row r="27" spans="1:29" x14ac:dyDescent="0.25">
      <c r="A27" s="8">
        <v>46231.5</v>
      </c>
      <c r="B27" t="s">
        <v>3111</v>
      </c>
      <c r="C27" t="s">
        <v>1</v>
      </c>
      <c r="D27" s="9" t="s">
        <v>3112</v>
      </c>
      <c r="E27" t="s">
        <v>125</v>
      </c>
      <c r="F27" t="s">
        <v>70</v>
      </c>
      <c r="G27" t="s">
        <v>126</v>
      </c>
      <c r="H27" t="s">
        <v>75</v>
      </c>
      <c r="I27">
        <v>1</v>
      </c>
      <c r="J27" s="4">
        <v>247</v>
      </c>
      <c r="K27" s="4">
        <v>335.92</v>
      </c>
      <c r="L27" s="4">
        <f>K27-J27</f>
      </c>
      <c r="M27" s="4">
        <f>L27*16.67%</f>
      </c>
      <c r="N27" s="4">
        <v>15.49</v>
      </c>
      <c r="O27" s="4">
        <f>N27*20%</f>
      </c>
      <c r="P27" s="4">
        <v>0</v>
      </c>
      <c r="Q27" s="4">
        <f>P27*20%</f>
      </c>
      <c r="R27" s="4">
        <v>1</v>
      </c>
      <c r="S27" s="4">
        <f>Q27</f>
      </c>
      <c r="T27" s="4">
        <f>L27-M27-N27-P27-Q27-R27</f>
      </c>
      <c r="U27" s="4">
        <f>(T27-W27)/J27*100</f>
      </c>
      <c r="V27" s="4">
        <f>M27-S27</f>
      </c>
      <c r="X27" s="4">
        <f>T27-W27</f>
      </c>
      <c r="AC27" t="s">
        <v>1</v>
      </c>
    </row>
    <row r="28" spans="1:29" x14ac:dyDescent="0.25">
      <c r="A28" s="8">
        <v>46231.5</v>
      </c>
      <c r="B28" t="s">
        <v>3113</v>
      </c>
      <c r="C28" t="s">
        <v>1</v>
      </c>
      <c r="D28" s="9" t="s">
        <v>3114</v>
      </c>
      <c r="E28" t="s">
        <v>125</v>
      </c>
      <c r="F28" t="s">
        <v>74</v>
      </c>
      <c r="G28" t="s">
        <v>126</v>
      </c>
      <c r="H28" t="s">
        <v>61</v>
      </c>
      <c r="I28">
        <v>1</v>
      </c>
      <c r="J28" s="4">
        <v>264</v>
      </c>
      <c r="K28" s="4">
        <v>345.84</v>
      </c>
      <c r="L28" s="4">
        <f>K28-J28</f>
      </c>
      <c r="M28" s="4">
        <f>L28*16.67%</f>
      </c>
      <c r="N28" s="4">
        <v>15.94</v>
      </c>
      <c r="O28" s="4">
        <f>N28*20%</f>
      </c>
      <c r="P28" s="4">
        <v>0</v>
      </c>
      <c r="Q28" s="4">
        <f>P28*20%</f>
      </c>
      <c r="R28" s="4">
        <v>1</v>
      </c>
      <c r="S28" s="4">
        <f>Q28</f>
      </c>
      <c r="T28" s="4">
        <f>L28-M28-N28-P28-Q28-R28</f>
      </c>
      <c r="U28" s="4">
        <f>(T28-W28)/J28*100</f>
      </c>
      <c r="V28" s="4">
        <f>M28-S28</f>
      </c>
      <c r="X28" s="4">
        <f>T28-W28</f>
      </c>
      <c r="AC28" t="s">
        <v>1</v>
      </c>
    </row>
    <row r="29" spans="1:29" x14ac:dyDescent="0.25">
      <c r="A29" s="8">
        <v>46231.5</v>
      </c>
      <c r="B29" t="s">
        <v>3115</v>
      </c>
      <c r="C29" t="s">
        <v>1</v>
      </c>
      <c r="D29" s="9" t="s">
        <v>3116</v>
      </c>
      <c r="E29" t="s">
        <v>98</v>
      </c>
      <c r="F29" t="s">
        <v>99</v>
      </c>
      <c r="G29" t="s">
        <v>60</v>
      </c>
      <c r="H29" t="s">
        <v>102</v>
      </c>
      <c r="I29">
        <v>1</v>
      </c>
      <c r="J29" s="4">
        <v>295</v>
      </c>
      <c r="K29" s="4">
        <v>351.05</v>
      </c>
      <c r="L29" s="4">
        <f>K29-J29</f>
      </c>
      <c r="M29" s="4">
        <f>L29*16.67%</f>
      </c>
      <c r="N29" s="4">
        <v>16.18</v>
      </c>
      <c r="O29" s="4">
        <f>N29*20%</f>
      </c>
      <c r="P29" s="4">
        <v>0</v>
      </c>
      <c r="Q29" s="4">
        <f>P29*20%</f>
      </c>
      <c r="R29" s="4">
        <v>1</v>
      </c>
      <c r="S29" s="4">
        <f>Q29</f>
      </c>
      <c r="T29" s="4">
        <f>L29-M29-N29-P29-Q29-R29</f>
      </c>
      <c r="U29" s="4">
        <f>(T29-W29)/J29*100</f>
      </c>
      <c r="V29" s="4">
        <f>M29-S29</f>
      </c>
      <c r="X29" s="4">
        <f>T29-W29</f>
      </c>
      <c r="AC29" t="s">
        <v>1</v>
      </c>
    </row>
    <row r="30" spans="1:29" x14ac:dyDescent="0.25">
      <c r="A30" s="8">
        <v>46231.5</v>
      </c>
      <c r="B30" t="s">
        <v>3117</v>
      </c>
      <c r="C30" t="s">
        <v>1</v>
      </c>
      <c r="D30" s="9" t="s">
        <v>3118</v>
      </c>
      <c r="E30" t="s">
        <v>172</v>
      </c>
      <c r="F30" t="s">
        <v>99</v>
      </c>
      <c r="G30" t="s">
        <v>65</v>
      </c>
      <c r="H30" t="s">
        <v>66</v>
      </c>
      <c r="I30">
        <v>1</v>
      </c>
      <c r="J30" s="4">
        <v>141</v>
      </c>
      <c r="K30" s="4">
        <v>179.07</v>
      </c>
      <c r="L30" s="4">
        <f>K30-J30</f>
      </c>
      <c r="M30" s="4">
        <f>L30*16.67%</f>
      </c>
      <c r="N30" s="4">
        <v>8.26</v>
      </c>
      <c r="O30" s="4">
        <f>N30*20%</f>
      </c>
      <c r="P30" s="4">
        <v>0</v>
      </c>
      <c r="Q30" s="4">
        <f>P30*20%</f>
      </c>
      <c r="R30" s="4">
        <v>1</v>
      </c>
      <c r="S30" s="4">
        <f>Q30</f>
      </c>
      <c r="T30" s="4">
        <f>L30-M30-N30-P30-Q30-R30</f>
      </c>
      <c r="U30" s="4">
        <f>(T30-W30)/J30*100</f>
      </c>
      <c r="V30" s="4">
        <f>M30-S30</f>
      </c>
      <c r="X30" s="4">
        <f>T30-W30</f>
      </c>
      <c r="AC30" t="s">
        <v>1</v>
      </c>
    </row>
    <row r="31" spans="1:29" x14ac:dyDescent="0.25">
      <c r="A31" s="8">
        <v>46231.5</v>
      </c>
      <c r="B31" t="s">
        <v>3119</v>
      </c>
      <c r="C31" t="s">
        <v>1</v>
      </c>
      <c r="D31" s="9" t="s">
        <v>3120</v>
      </c>
      <c r="E31" t="s">
        <v>172</v>
      </c>
      <c r="F31" t="s">
        <v>88</v>
      </c>
      <c r="G31" t="s">
        <v>65</v>
      </c>
      <c r="H31" t="s">
        <v>61</v>
      </c>
      <c r="I31">
        <v>1</v>
      </c>
      <c r="J31" s="4">
        <v>169</v>
      </c>
      <c r="K31" s="4">
        <v>243.36</v>
      </c>
      <c r="L31" s="4">
        <f>K31-J31</f>
      </c>
      <c r="M31" s="4">
        <f>L31*16.67%</f>
      </c>
      <c r="N31" s="4">
        <v>11.22</v>
      </c>
      <c r="O31" s="4">
        <f>N31*20%</f>
      </c>
      <c r="P31" s="4">
        <v>0</v>
      </c>
      <c r="Q31" s="4">
        <f>P31*20%</f>
      </c>
      <c r="R31" s="4">
        <v>1</v>
      </c>
      <c r="S31" s="4">
        <f>Q31</f>
      </c>
      <c r="T31" s="4">
        <f>L31-M31-N31-P31-Q31-R31</f>
      </c>
      <c r="U31" s="4">
        <f>(T31-W31)/J31*100</f>
      </c>
      <c r="V31" s="4">
        <f>M31-S31</f>
      </c>
      <c r="X31" s="4">
        <f>T31-W31</f>
      </c>
      <c r="AC31" t="s">
        <v>1</v>
      </c>
    </row>
    <row r="32" spans="1:29" x14ac:dyDescent="0.25">
      <c r="A32" s="8">
        <v>46231.5</v>
      </c>
      <c r="B32" t="s">
        <v>3121</v>
      </c>
      <c r="C32" t="s">
        <v>1</v>
      </c>
      <c r="D32" s="9" t="s">
        <v>3122</v>
      </c>
      <c r="E32" t="s">
        <v>81</v>
      </c>
      <c r="F32" t="s">
        <v>88</v>
      </c>
      <c r="G32" t="s">
        <v>60</v>
      </c>
      <c r="H32" t="s">
        <v>102</v>
      </c>
      <c r="I32">
        <v>1</v>
      </c>
      <c r="J32" s="4">
        <v>551</v>
      </c>
      <c r="K32" s="4">
        <v>705.28</v>
      </c>
      <c r="L32" s="4">
        <f>K32-J32</f>
      </c>
      <c r="M32" s="4">
        <f>L32*16.67%</f>
      </c>
      <c r="N32" s="4">
        <v>32.51</v>
      </c>
      <c r="O32" s="4">
        <f>N32*20%</f>
      </c>
      <c r="P32" s="4">
        <v>0</v>
      </c>
      <c r="Q32" s="4">
        <f>P32*20%</f>
      </c>
      <c r="R32" s="4">
        <v>1</v>
      </c>
      <c r="S32" s="4">
        <f>Q32</f>
      </c>
      <c r="T32" s="4">
        <f>L32-M32-N32-P32-Q32-R32</f>
      </c>
      <c r="U32" s="4">
        <f>(T32-W32)/J32*100</f>
      </c>
      <c r="V32" s="4">
        <f>M32-S32</f>
      </c>
      <c r="X32" s="4">
        <f>T32-W32</f>
      </c>
      <c r="AC32" t="s">
        <v>1</v>
      </c>
    </row>
    <row r="33" spans="1:29" x14ac:dyDescent="0.25">
      <c r="A33" s="8">
        <v>46231.5</v>
      </c>
      <c r="B33" t="s">
        <v>3123</v>
      </c>
      <c r="C33" t="s">
        <v>1</v>
      </c>
      <c r="D33" s="9" t="s">
        <v>3124</v>
      </c>
      <c r="E33" t="s">
        <v>134</v>
      </c>
      <c r="F33" t="s">
        <v>88</v>
      </c>
      <c r="G33" t="s">
        <v>95</v>
      </c>
      <c r="H33" t="s">
        <v>66</v>
      </c>
      <c r="I33">
        <v>1</v>
      </c>
      <c r="J33" s="4">
        <v>139</v>
      </c>
      <c r="K33" s="4">
        <v>176.53</v>
      </c>
      <c r="L33" s="4">
        <f>K33-J33</f>
      </c>
      <c r="M33" s="4">
        <f>L33*16.67%</f>
      </c>
      <c r="N33" s="4">
        <v>8.14</v>
      </c>
      <c r="O33" s="4">
        <f>N33*20%</f>
      </c>
      <c r="P33" s="4">
        <v>0</v>
      </c>
      <c r="Q33" s="4">
        <f>P33*20%</f>
      </c>
      <c r="R33" s="4">
        <v>1</v>
      </c>
      <c r="S33" s="4">
        <f>Q33</f>
      </c>
      <c r="T33" s="4">
        <f>L33-M33-N33-P33-Q33-R33</f>
      </c>
      <c r="U33" s="4">
        <f>(T33-W33)/J33*100</f>
      </c>
      <c r="V33" s="4">
        <f>M33-S33</f>
      </c>
      <c r="X33" s="4">
        <f>T33-W33</f>
      </c>
      <c r="AC33" t="s">
        <v>1</v>
      </c>
    </row>
    <row r="34" spans="1:29" x14ac:dyDescent="0.25">
      <c r="A34" s="8">
        <v>46231.5</v>
      </c>
      <c r="B34" t="s">
        <v>3125</v>
      </c>
      <c r="C34" t="s">
        <v>1</v>
      </c>
      <c r="D34" s="9" t="s">
        <v>3126</v>
      </c>
      <c r="E34" t="s">
        <v>125</v>
      </c>
      <c r="F34" t="s">
        <v>59</v>
      </c>
      <c r="G34" t="s">
        <v>126</v>
      </c>
      <c r="H34" t="s">
        <v>75</v>
      </c>
      <c r="I34">
        <v>1</v>
      </c>
      <c r="J34" s="4">
        <v>280</v>
      </c>
      <c r="K34" s="4">
        <v>347.2</v>
      </c>
      <c r="L34" s="4">
        <f>K34-J34</f>
      </c>
      <c r="M34" s="4">
        <f>L34*16.67%</f>
      </c>
      <c r="N34" s="4">
        <v>16.01</v>
      </c>
      <c r="O34" s="4">
        <f>N34*20%</f>
      </c>
      <c r="P34" s="4">
        <v>0</v>
      </c>
      <c r="Q34" s="4">
        <f>P34*20%</f>
      </c>
      <c r="R34" s="4">
        <v>1</v>
      </c>
      <c r="S34" s="4">
        <f>Q34</f>
      </c>
      <c r="T34" s="4">
        <f>L34-M34-N34-P34-Q34-R34</f>
      </c>
      <c r="U34" s="4">
        <f>(T34-W34)/J34*100</f>
      </c>
      <c r="V34" s="4">
        <f>M34-S34</f>
      </c>
      <c r="X34" s="4">
        <f>T34-W34</f>
      </c>
      <c r="AC34" t="s">
        <v>1</v>
      </c>
    </row>
    <row r="35" spans="1:29" x14ac:dyDescent="0.25">
      <c r="A35" s="8">
        <v>46231.5</v>
      </c>
      <c r="B35" t="s">
        <v>3127</v>
      </c>
      <c r="C35" t="s">
        <v>1</v>
      </c>
      <c r="D35" s="9" t="s">
        <v>3128</v>
      </c>
      <c r="E35" t="s">
        <v>131</v>
      </c>
      <c r="F35" t="s">
        <v>85</v>
      </c>
      <c r="G35" t="s">
        <v>65</v>
      </c>
      <c r="H35" t="s">
        <v>75</v>
      </c>
      <c r="I35">
        <v>1</v>
      </c>
      <c r="J35" s="4">
        <v>285</v>
      </c>
      <c r="K35" s="4">
        <v>384.75</v>
      </c>
      <c r="L35" s="4">
        <f>K35-J35</f>
      </c>
      <c r="M35" s="4">
        <f>L35*16.67%</f>
      </c>
      <c r="N35" s="4">
        <v>17.74</v>
      </c>
      <c r="O35" s="4">
        <f>N35*20%</f>
      </c>
      <c r="P35" s="4">
        <v>0</v>
      </c>
      <c r="Q35" s="4">
        <f>P35*20%</f>
      </c>
      <c r="R35" s="4">
        <v>1</v>
      </c>
      <c r="S35" s="4">
        <f>Q35</f>
      </c>
      <c r="T35" s="4">
        <f>L35-M35-N35-P35-Q35-R35</f>
      </c>
      <c r="U35" s="4">
        <f>(T35-W35)/J35*100</f>
      </c>
      <c r="V35" s="4">
        <f>M35-S35</f>
      </c>
      <c r="X35" s="4">
        <f>T35-W35</f>
      </c>
      <c r="AC35" t="s">
        <v>1</v>
      </c>
    </row>
    <row r="36" spans="1:29" x14ac:dyDescent="0.25">
      <c r="A36" s="8">
        <v>46231.5</v>
      </c>
      <c r="B36" t="s">
        <v>3129</v>
      </c>
      <c r="C36" t="s">
        <v>1</v>
      </c>
      <c r="D36" s="9" t="s">
        <v>3130</v>
      </c>
      <c r="E36" t="s">
        <v>134</v>
      </c>
      <c r="F36" t="s">
        <v>99</v>
      </c>
      <c r="G36" t="s">
        <v>95</v>
      </c>
      <c r="H36" t="s">
        <v>78</v>
      </c>
      <c r="I36">
        <v>1</v>
      </c>
      <c r="J36" s="4">
        <v>112</v>
      </c>
      <c r="K36" s="4">
        <v>137.76</v>
      </c>
      <c r="L36" s="4">
        <f>K36-J36</f>
      </c>
      <c r="M36" s="4">
        <f>L36*16.67%</f>
      </c>
      <c r="N36" s="4">
        <v>6.35</v>
      </c>
      <c r="O36" s="4">
        <f>N36*20%</f>
      </c>
      <c r="P36" s="4">
        <v>0</v>
      </c>
      <c r="Q36" s="4">
        <f>P36*20%</f>
      </c>
      <c r="R36" s="4">
        <v>1</v>
      </c>
      <c r="S36" s="4">
        <f>Q36</f>
      </c>
      <c r="T36" s="4">
        <f>L36-M36-N36-P36-Q36-R36</f>
      </c>
      <c r="U36" s="4">
        <f>(T36-W36)/J36*100</f>
      </c>
      <c r="V36" s="4">
        <f>M36-S36</f>
      </c>
      <c r="X36" s="4">
        <f>T36-W36</f>
      </c>
      <c r="AC36" t="s">
        <v>1</v>
      </c>
    </row>
    <row r="37" spans="1:29" x14ac:dyDescent="0.25">
      <c r="A37" s="8">
        <v>46231.5</v>
      </c>
      <c r="B37" t="s">
        <v>3131</v>
      </c>
      <c r="C37" t="s">
        <v>1</v>
      </c>
      <c r="D37" s="9" t="s">
        <v>3132</v>
      </c>
      <c r="E37" t="s">
        <v>73</v>
      </c>
      <c r="F37" t="s">
        <v>105</v>
      </c>
      <c r="G37" t="s">
        <v>60</v>
      </c>
      <c r="H37" t="s">
        <v>78</v>
      </c>
      <c r="I37">
        <v>1</v>
      </c>
      <c r="J37" s="4">
        <v>349</v>
      </c>
      <c r="K37" s="4">
        <v>401.35</v>
      </c>
      <c r="L37" s="4">
        <f>K37-J37</f>
      </c>
      <c r="M37" s="4">
        <f>L37*16.67%</f>
      </c>
      <c r="N37" s="4">
        <v>18.5</v>
      </c>
      <c r="O37" s="4">
        <f>N37*20%</f>
      </c>
      <c r="P37" s="4">
        <v>0</v>
      </c>
      <c r="Q37" s="4">
        <f>P37*20%</f>
      </c>
      <c r="R37" s="4">
        <v>1</v>
      </c>
      <c r="S37" s="4">
        <f>Q37</f>
      </c>
      <c r="T37" s="4">
        <f>L37-M37-N37-P37-Q37-R37</f>
      </c>
      <c r="U37" s="4">
        <f>(T37-W37)/J37*100</f>
      </c>
      <c r="V37" s="4">
        <f>M37-S37</f>
      </c>
      <c r="X37" s="4">
        <f>T37-W37</f>
      </c>
      <c r="AC37" t="s">
        <v>1</v>
      </c>
    </row>
    <row r="38" spans="1:29" x14ac:dyDescent="0.25">
      <c r="A38" s="8">
        <v>46231.5</v>
      </c>
      <c r="B38" t="s">
        <v>3133</v>
      </c>
      <c r="C38" t="s">
        <v>1</v>
      </c>
      <c r="D38" s="9" t="s">
        <v>3134</v>
      </c>
      <c r="E38" t="s">
        <v>58</v>
      </c>
      <c r="F38" t="s">
        <v>59</v>
      </c>
      <c r="G38" t="s">
        <v>60</v>
      </c>
      <c r="H38" t="s">
        <v>78</v>
      </c>
      <c r="I38">
        <v>1</v>
      </c>
      <c r="J38" s="4">
        <v>478</v>
      </c>
      <c r="K38" s="4">
        <v>678.76</v>
      </c>
      <c r="L38" s="4">
        <f>K38-J38</f>
      </c>
      <c r="M38" s="4">
        <f>L38*16.67%</f>
      </c>
      <c r="N38" s="4">
        <v>31.29</v>
      </c>
      <c r="O38" s="4">
        <f>N38*20%</f>
      </c>
      <c r="P38" s="4">
        <v>0</v>
      </c>
      <c r="Q38" s="4">
        <f>P38*20%</f>
      </c>
      <c r="R38" s="4">
        <v>1</v>
      </c>
      <c r="S38" s="4">
        <f>Q38</f>
      </c>
      <c r="T38" s="4">
        <f>L38-M38-N38-P38-Q38-R38</f>
      </c>
      <c r="U38" s="4">
        <f>(T38-W38)/J38*100</f>
      </c>
      <c r="V38" s="4">
        <f>M38-S38</f>
      </c>
      <c r="X38" s="4">
        <f>T38-W38</f>
      </c>
      <c r="AC38" t="s">
        <v>1</v>
      </c>
    </row>
    <row r="39" spans="1:29" x14ac:dyDescent="0.25">
      <c r="A39" s="8">
        <v>46231.5</v>
      </c>
      <c r="B39" t="s">
        <v>3135</v>
      </c>
      <c r="C39" t="s">
        <v>1</v>
      </c>
      <c r="D39" s="9" t="s">
        <v>3136</v>
      </c>
      <c r="E39" t="s">
        <v>69</v>
      </c>
      <c r="F39" t="s">
        <v>74</v>
      </c>
      <c r="G39" t="s">
        <v>60</v>
      </c>
      <c r="H39" t="s">
        <v>78</v>
      </c>
      <c r="I39">
        <v>1</v>
      </c>
      <c r="J39" s="4">
        <v>536</v>
      </c>
      <c r="K39" s="4">
        <v>745.04</v>
      </c>
      <c r="L39" s="4">
        <f>K39-J39</f>
      </c>
      <c r="M39" s="4">
        <f>L39*16.67%</f>
      </c>
      <c r="N39" s="4">
        <v>34.35</v>
      </c>
      <c r="O39" s="4">
        <f>N39*20%</f>
      </c>
      <c r="P39" s="4">
        <v>0</v>
      </c>
      <c r="Q39" s="4">
        <f>P39*20%</f>
      </c>
      <c r="R39" s="4">
        <v>1</v>
      </c>
      <c r="S39" s="4">
        <f>Q39</f>
      </c>
      <c r="T39" s="4">
        <f>L39-M39-N39-P39-Q39-R39</f>
      </c>
      <c r="U39" s="4">
        <f>(T39-W39)/J39*100</f>
      </c>
      <c r="V39" s="4">
        <f>M39-S39</f>
      </c>
      <c r="X39" s="4">
        <f>T39-W39</f>
      </c>
      <c r="AC39" t="s">
        <v>1</v>
      </c>
    </row>
    <row r="40" spans="1:29" x14ac:dyDescent="0.25">
      <c r="A40" s="8">
        <v>46231.5</v>
      </c>
      <c r="B40" t="s">
        <v>3137</v>
      </c>
      <c r="C40" t="s">
        <v>1</v>
      </c>
      <c r="D40" s="9" t="s">
        <v>3138</v>
      </c>
      <c r="E40" t="s">
        <v>98</v>
      </c>
      <c r="F40" t="s">
        <v>99</v>
      </c>
      <c r="G40" t="s">
        <v>60</v>
      </c>
      <c r="H40" t="s">
        <v>78</v>
      </c>
      <c r="I40">
        <v>1</v>
      </c>
      <c r="J40" s="4">
        <v>332</v>
      </c>
      <c r="K40" s="4">
        <v>481.4</v>
      </c>
      <c r="L40" s="4">
        <f>K40-J40</f>
      </c>
      <c r="M40" s="4">
        <f>L40*16.67%</f>
      </c>
      <c r="N40" s="4">
        <v>22.19</v>
      </c>
      <c r="O40" s="4">
        <f>N40*20%</f>
      </c>
      <c r="P40" s="4">
        <v>0</v>
      </c>
      <c r="Q40" s="4">
        <f>P40*20%</f>
      </c>
      <c r="R40" s="4">
        <v>1</v>
      </c>
      <c r="S40" s="4">
        <f>Q40</f>
      </c>
      <c r="T40" s="4">
        <f>L40-M40-N40-P40-Q40-R40</f>
      </c>
      <c r="U40" s="4">
        <f>(T40-W40)/J40*100</f>
      </c>
      <c r="V40" s="4">
        <f>M40-S40</f>
      </c>
      <c r="X40" s="4">
        <f>T40-W40</f>
      </c>
      <c r="AC40" t="s">
        <v>1</v>
      </c>
    </row>
    <row r="41" spans="1:29" x14ac:dyDescent="0.25">
      <c r="A41" s="8">
        <v>46231.5</v>
      </c>
      <c r="B41" t="s">
        <v>3139</v>
      </c>
      <c r="C41" t="s">
        <v>1</v>
      </c>
      <c r="D41" s="9" t="s">
        <v>3140</v>
      </c>
      <c r="E41" t="s">
        <v>114</v>
      </c>
      <c r="F41" t="s">
        <v>74</v>
      </c>
      <c r="G41" t="s">
        <v>95</v>
      </c>
      <c r="H41" t="s">
        <v>75</v>
      </c>
      <c r="I41">
        <v>1</v>
      </c>
      <c r="J41" s="4">
        <v>226</v>
      </c>
      <c r="K41" s="4">
        <v>259.9</v>
      </c>
      <c r="L41" s="4">
        <f>K41-J41</f>
      </c>
      <c r="M41" s="4">
        <f>L41*16.67%</f>
      </c>
      <c r="N41" s="4">
        <v>11.98</v>
      </c>
      <c r="O41" s="4">
        <f>N41*20%</f>
      </c>
      <c r="P41" s="4">
        <v>0</v>
      </c>
      <c r="Q41" s="4">
        <f>P41*20%</f>
      </c>
      <c r="R41" s="4">
        <v>1</v>
      </c>
      <c r="S41" s="4">
        <f>Q41</f>
      </c>
      <c r="T41" s="4">
        <f>L41-M41-N41-P41-Q41-R41</f>
      </c>
      <c r="U41" s="4">
        <f>(T41-W41)/J41*100</f>
      </c>
      <c r="V41" s="4">
        <f>M41-S41</f>
      </c>
      <c r="X41" s="4">
        <f>T41-W41</f>
      </c>
      <c r="AC41" t="s">
        <v>1</v>
      </c>
    </row>
    <row r="42" spans="1:29" x14ac:dyDescent="0.25">
      <c r="A42" s="8">
        <v>46231.5</v>
      </c>
      <c r="B42" t="s">
        <v>3141</v>
      </c>
      <c r="C42" t="s">
        <v>1</v>
      </c>
      <c r="D42" s="9" t="s">
        <v>3142</v>
      </c>
      <c r="E42" t="s">
        <v>172</v>
      </c>
      <c r="F42" t="s">
        <v>99</v>
      </c>
      <c r="G42" t="s">
        <v>65</v>
      </c>
      <c r="H42" t="s">
        <v>102</v>
      </c>
      <c r="I42">
        <v>1</v>
      </c>
      <c r="J42" s="4">
        <v>176</v>
      </c>
      <c r="K42" s="4">
        <v>205.92</v>
      </c>
      <c r="L42" s="4">
        <f>K42-J42</f>
      </c>
      <c r="M42" s="4">
        <f>L42*16.67%</f>
      </c>
      <c r="N42" s="4">
        <v>9.49</v>
      </c>
      <c r="O42" s="4">
        <f>N42*20%</f>
      </c>
      <c r="P42" s="4">
        <v>0</v>
      </c>
      <c r="Q42" s="4">
        <f>P42*20%</f>
      </c>
      <c r="R42" s="4">
        <v>1</v>
      </c>
      <c r="S42" s="4">
        <f>Q42</f>
      </c>
      <c r="T42" s="4">
        <f>L42-M42-N42-P42-Q42-R42</f>
      </c>
      <c r="U42" s="4">
        <f>(T42-W42)/J42*100</f>
      </c>
      <c r="V42" s="4">
        <f>M42-S42</f>
      </c>
      <c r="X42" s="4">
        <f>T42-W42</f>
      </c>
      <c r="AC42" t="s">
        <v>1</v>
      </c>
    </row>
    <row r="43" spans="1:29" x14ac:dyDescent="0.25">
      <c r="A43" s="8">
        <v>46231.5</v>
      </c>
      <c r="B43" t="s">
        <v>3143</v>
      </c>
      <c r="C43" t="s">
        <v>1</v>
      </c>
      <c r="D43" s="9" t="s">
        <v>3144</v>
      </c>
      <c r="E43" t="s">
        <v>125</v>
      </c>
      <c r="F43" t="s">
        <v>88</v>
      </c>
      <c r="G43" t="s">
        <v>126</v>
      </c>
      <c r="H43" t="s">
        <v>66</v>
      </c>
      <c r="I43">
        <v>1</v>
      </c>
      <c r="J43" s="4">
        <v>261</v>
      </c>
      <c r="K43" s="4">
        <v>328.86</v>
      </c>
      <c r="L43" s="4">
        <f>K43-J43</f>
      </c>
      <c r="M43" s="4">
        <f>L43*16.67%</f>
      </c>
      <c r="N43" s="4">
        <v>15.16</v>
      </c>
      <c r="O43" s="4">
        <f>N43*20%</f>
      </c>
      <c r="P43" s="4">
        <v>0</v>
      </c>
      <c r="Q43" s="4">
        <f>P43*20%</f>
      </c>
      <c r="R43" s="4">
        <v>1</v>
      </c>
      <c r="S43" s="4">
        <f>Q43</f>
      </c>
      <c r="T43" s="4">
        <f>L43-M43-N43-P43-Q43-R43</f>
      </c>
      <c r="U43" s="4">
        <f>(T43-W43)/J43*100</f>
      </c>
      <c r="V43" s="4">
        <f>M43-S43</f>
      </c>
      <c r="X43" s="4">
        <f>T43-W43</f>
      </c>
      <c r="AC43" t="s">
        <v>1</v>
      </c>
    </row>
    <row r="44" spans="1:29" x14ac:dyDescent="0.25">
      <c r="A44" s="8">
        <v>46231.5</v>
      </c>
      <c r="B44" t="s">
        <v>3145</v>
      </c>
      <c r="C44" t="s">
        <v>1</v>
      </c>
      <c r="D44" s="9" t="s">
        <v>3146</v>
      </c>
      <c r="E44" t="s">
        <v>172</v>
      </c>
      <c r="F44" t="s">
        <v>59</v>
      </c>
      <c r="G44" t="s">
        <v>65</v>
      </c>
      <c r="H44" t="s">
        <v>78</v>
      </c>
      <c r="I44">
        <v>1</v>
      </c>
      <c r="J44" s="4">
        <v>152</v>
      </c>
      <c r="K44" s="4">
        <v>218.88</v>
      </c>
      <c r="L44" s="4">
        <f>K44-J44</f>
      </c>
      <c r="M44" s="4">
        <f>L44*16.67%</f>
      </c>
      <c r="N44" s="4">
        <v>10.09</v>
      </c>
      <c r="O44" s="4">
        <f>N44*20%</f>
      </c>
      <c r="P44" s="4">
        <v>0</v>
      </c>
      <c r="Q44" s="4">
        <f>P44*20%</f>
      </c>
      <c r="R44" s="4">
        <v>1</v>
      </c>
      <c r="S44" s="4">
        <f>Q44</f>
      </c>
      <c r="T44" s="4">
        <f>L44-M44-N44-P44-Q44-R44</f>
      </c>
      <c r="U44" s="4">
        <f>(T44-W44)/J44*100</f>
      </c>
      <c r="V44" s="4">
        <f>M44-S44</f>
      </c>
      <c r="X44" s="4">
        <f>T44-W44</f>
      </c>
      <c r="AC44" t="s">
        <v>1</v>
      </c>
    </row>
    <row r="45" spans="1:29" x14ac:dyDescent="0.25">
      <c r="A45" s="8">
        <v>46231.5</v>
      </c>
      <c r="B45" t="s">
        <v>3147</v>
      </c>
      <c r="C45" t="s">
        <v>1</v>
      </c>
      <c r="D45" s="9" t="s">
        <v>3148</v>
      </c>
      <c r="E45" t="s">
        <v>172</v>
      </c>
      <c r="F45" t="s">
        <v>85</v>
      </c>
      <c r="G45" t="s">
        <v>65</v>
      </c>
      <c r="H45" t="s">
        <v>78</v>
      </c>
      <c r="I45">
        <v>1</v>
      </c>
      <c r="J45" s="4">
        <v>147</v>
      </c>
      <c r="K45" s="4">
        <v>207.27</v>
      </c>
      <c r="L45" s="4">
        <f>K45-J45</f>
      </c>
      <c r="M45" s="4">
        <f>L45*16.67%</f>
      </c>
      <c r="N45" s="4">
        <v>9.56</v>
      </c>
      <c r="O45" s="4">
        <f>N45*20%</f>
      </c>
      <c r="P45" s="4">
        <v>0</v>
      </c>
      <c r="Q45" s="4">
        <f>P45*20%</f>
      </c>
      <c r="R45" s="4">
        <v>1</v>
      </c>
      <c r="S45" s="4">
        <f>Q45</f>
      </c>
      <c r="T45" s="4">
        <f>L45-M45-N45-P45-Q45-R45</f>
      </c>
      <c r="U45" s="4">
        <f>(T45-W45)/J45*100</f>
      </c>
      <c r="V45" s="4">
        <f>M45-S45</f>
      </c>
      <c r="X45" s="4">
        <f>T45-W45</f>
      </c>
      <c r="AC45" t="s">
        <v>1</v>
      </c>
    </row>
    <row r="46" spans="1:29" x14ac:dyDescent="0.25">
      <c r="A46" s="8">
        <v>46231.5</v>
      </c>
      <c r="B46" t="s">
        <v>3149</v>
      </c>
      <c r="C46" t="s">
        <v>177</v>
      </c>
      <c r="D46" s="9" t="s">
        <v>1</v>
      </c>
      <c r="E46" t="s">
        <v>177</v>
      </c>
      <c r="F46" t="s">
        <v>1</v>
      </c>
      <c r="G46" t="s">
        <v>1</v>
      </c>
      <c r="H46" t="s">
        <v>78</v>
      </c>
      <c r="I46">
        <v>1</v>
      </c>
      <c r="J46" s="4">
        <v>0.15</v>
      </c>
      <c r="K46" s="4">
        <v>0.22</v>
      </c>
      <c r="L46" s="4">
        <f>K46-J46</f>
      </c>
      <c r="M46" s="4">
        <f>L46*16.67%</f>
      </c>
      <c r="N46" s="4">
        <v>0.01</v>
      </c>
      <c r="O46" s="4">
        <f>N46*20%</f>
      </c>
      <c r="P46" s="4">
        <v>0</v>
      </c>
      <c r="Q46" s="4">
        <f>P46*20%</f>
      </c>
      <c r="R46" s="4">
        <v>0</v>
      </c>
      <c r="S46" s="4">
        <f>Q46</f>
      </c>
      <c r="T46" s="4">
        <f>L46-M46-N46-P46-Q46-R46</f>
      </c>
      <c r="U46" s="4">
        <f>(T46-W46)/J46*100</f>
      </c>
      <c r="V46" s="4">
        <f>M46-S46</f>
      </c>
      <c r="X46" s="4">
        <f>T46-W46</f>
      </c>
      <c r="AC46" t="s">
        <v>1</v>
      </c>
    </row>
    <row r="47" spans="1:29" x14ac:dyDescent="0.25">
      <c r="A47" s="8">
        <v>46231.5</v>
      </c>
      <c r="B47" t="s">
        <v>3150</v>
      </c>
      <c r="C47" t="s">
        <v>254</v>
      </c>
      <c r="D47" s="9" t="s">
        <v>1</v>
      </c>
      <c r="E47" t="s">
        <v>254</v>
      </c>
      <c r="F47" t="s">
        <v>1</v>
      </c>
      <c r="G47" t="s">
        <v>1</v>
      </c>
      <c r="H47" t="s">
        <v>61</v>
      </c>
      <c r="I47">
        <v>2</v>
      </c>
      <c r="J47" s="4">
        <v>1.6</v>
      </c>
      <c r="K47" s="4">
        <v>2.14</v>
      </c>
      <c r="L47" s="4">
        <f>K47-J47</f>
      </c>
      <c r="M47" s="4">
        <f>L47*16.67%</f>
      </c>
      <c r="N47" s="4">
        <v>0.1</v>
      </c>
      <c r="O47" s="4">
        <f>N47*20%</f>
      </c>
      <c r="P47" s="4">
        <v>0</v>
      </c>
      <c r="Q47" s="4">
        <f>P47*20%</f>
      </c>
      <c r="R47" s="4">
        <v>0</v>
      </c>
      <c r="S47" s="4">
        <f>Q47</f>
      </c>
      <c r="T47" s="4">
        <f>L47-M47-N47-P47-Q47-R47</f>
      </c>
      <c r="U47" s="4">
        <f>(T47-W47)/J47*100</f>
      </c>
      <c r="V47" s="4">
        <f>M47-S47</f>
      </c>
      <c r="X47" s="4">
        <f>T47-W47</f>
      </c>
      <c r="AC47" t="s">
        <v>1</v>
      </c>
    </row>
    <row r="48" spans="1:29" x14ac:dyDescent="0.25">
      <c r="A48" s="8">
        <v>46231.5</v>
      </c>
      <c r="B48" t="s">
        <v>3151</v>
      </c>
      <c r="C48" t="s">
        <v>182</v>
      </c>
      <c r="D48" s="9" t="s">
        <v>1</v>
      </c>
      <c r="E48" t="s">
        <v>182</v>
      </c>
      <c r="F48" t="s">
        <v>1</v>
      </c>
      <c r="G48" t="s">
        <v>1</v>
      </c>
      <c r="H48" t="s">
        <v>75</v>
      </c>
      <c r="I48">
        <v>1</v>
      </c>
      <c r="J48" s="4">
        <v>1.9</v>
      </c>
      <c r="K48" s="4">
        <v>2.6</v>
      </c>
      <c r="L48" s="4">
        <f>K48-J48</f>
      </c>
      <c r="M48" s="4">
        <f>L48*16.67%</f>
      </c>
      <c r="N48" s="4">
        <v>0.12</v>
      </c>
      <c r="O48" s="4">
        <f>N48*20%</f>
      </c>
      <c r="P48" s="4">
        <v>0</v>
      </c>
      <c r="Q48" s="4">
        <f>P48*20%</f>
      </c>
      <c r="R48" s="4">
        <v>0</v>
      </c>
      <c r="S48" s="4">
        <f>Q48</f>
      </c>
      <c r="T48" s="4">
        <f>L48-M48-N48-P48-Q48-R48</f>
      </c>
      <c r="U48" s="4">
        <f>(T48-W48)/J48*100</f>
      </c>
      <c r="V48" s="4">
        <f>M48-S48</f>
      </c>
      <c r="X48" s="4">
        <f>T48-W48</f>
      </c>
      <c r="AC48" t="s">
        <v>1</v>
      </c>
    </row>
    <row r="49" spans="1:29" x14ac:dyDescent="0.25">
      <c r="A49" s="8">
        <v>46231.5</v>
      </c>
      <c r="B49" t="s">
        <v>3152</v>
      </c>
      <c r="C49" t="s">
        <v>189</v>
      </c>
      <c r="D49" s="9" t="s">
        <v>1</v>
      </c>
      <c r="E49" t="s">
        <v>189</v>
      </c>
      <c r="F49" t="s">
        <v>1</v>
      </c>
      <c r="G49" t="s">
        <v>1</v>
      </c>
      <c r="H49" t="s">
        <v>66</v>
      </c>
      <c r="I49">
        <v>3</v>
      </c>
      <c r="J49" s="4">
        <v>10.5</v>
      </c>
      <c r="K49" s="4">
        <v>15.22</v>
      </c>
      <c r="L49" s="4">
        <f>K49-J49</f>
      </c>
      <c r="M49" s="4">
        <f>L49*16.67%</f>
      </c>
      <c r="N49" s="4">
        <v>0.7</v>
      </c>
      <c r="O49" s="4">
        <f>N49*20%</f>
      </c>
      <c r="P49" s="4">
        <v>0</v>
      </c>
      <c r="Q49" s="4">
        <f>P49*20%</f>
      </c>
      <c r="R49" s="4">
        <v>0</v>
      </c>
      <c r="S49" s="4">
        <f>Q49</f>
      </c>
      <c r="T49" s="4">
        <f>L49-M49-N49-P49-Q49-R49</f>
      </c>
      <c r="U49" s="4">
        <f>(T49-W49)/J49*100</f>
      </c>
      <c r="V49" s="4">
        <f>M49-S49</f>
      </c>
      <c r="X49" s="4">
        <f>T49-W49</f>
      </c>
      <c r="AC49" t="s">
        <v>1</v>
      </c>
    </row>
    <row r="50" spans="1:29" x14ac:dyDescent="0.25">
      <c r="A50" s="8">
        <v>46231.5</v>
      </c>
      <c r="B50" t="s">
        <v>3153</v>
      </c>
      <c r="C50" t="s">
        <v>174</v>
      </c>
      <c r="D50" s="9" t="s">
        <v>1</v>
      </c>
      <c r="E50" t="s">
        <v>174</v>
      </c>
      <c r="F50" t="s">
        <v>1</v>
      </c>
      <c r="G50" t="s">
        <v>1</v>
      </c>
      <c r="H50" t="s">
        <v>66</v>
      </c>
      <c r="I50">
        <v>4</v>
      </c>
      <c r="J50" s="4">
        <v>17</v>
      </c>
      <c r="K50" s="4">
        <v>23.29</v>
      </c>
      <c r="L50" s="4">
        <f>K50-J50</f>
      </c>
      <c r="M50" s="4">
        <f>L50*16.67%</f>
      </c>
      <c r="N50" s="4">
        <v>1.07</v>
      </c>
      <c r="O50" s="4">
        <f>N50*20%</f>
      </c>
      <c r="P50" s="4">
        <v>0</v>
      </c>
      <c r="Q50" s="4">
        <f>P50*20%</f>
      </c>
      <c r="R50" s="4">
        <v>0</v>
      </c>
      <c r="S50" s="4">
        <f>Q50</f>
      </c>
      <c r="T50" s="4">
        <f>L50-M50-N50-P50-Q50-R50</f>
      </c>
      <c r="U50" s="4">
        <f>(T50-W50)/J50*100</f>
      </c>
      <c r="V50" s="4">
        <f>M50-S50</f>
      </c>
      <c r="X50" s="4">
        <f>T50-W50</f>
      </c>
      <c r="AC50" t="s">
        <v>1</v>
      </c>
    </row>
    <row r="51" spans="1:29" x14ac:dyDescent="0.25">
      <c r="A51" s="8">
        <v>46231.5</v>
      </c>
      <c r="B51" t="s">
        <v>3154</v>
      </c>
      <c r="C51" t="s">
        <v>174</v>
      </c>
      <c r="D51" s="9" t="s">
        <v>1</v>
      </c>
      <c r="E51" t="s">
        <v>174</v>
      </c>
      <c r="F51" t="s">
        <v>1</v>
      </c>
      <c r="G51" t="s">
        <v>1</v>
      </c>
      <c r="H51" t="s">
        <v>66</v>
      </c>
      <c r="I51">
        <v>4</v>
      </c>
      <c r="J51" s="4">
        <v>17</v>
      </c>
      <c r="K51" s="4">
        <v>22.61</v>
      </c>
      <c r="L51" s="4">
        <f>K51-J51</f>
      </c>
      <c r="M51" s="4">
        <f>L51*16.67%</f>
      </c>
      <c r="N51" s="4">
        <v>1.04</v>
      </c>
      <c r="O51" s="4">
        <f>N51*20%</f>
      </c>
      <c r="P51" s="4">
        <v>0</v>
      </c>
      <c r="Q51" s="4">
        <f>P51*20%</f>
      </c>
      <c r="R51" s="4">
        <v>0</v>
      </c>
      <c r="S51" s="4">
        <f>Q51</f>
      </c>
      <c r="T51" s="4">
        <f>L51-M51-N51-P51-Q51-R51</f>
      </c>
      <c r="U51" s="4">
        <f>(T51-W51)/J51*100</f>
      </c>
      <c r="V51" s="4">
        <f>M51-S51</f>
      </c>
      <c r="X51" s="4">
        <f>T51-W51</f>
      </c>
      <c r="AC51" t="s">
        <v>1</v>
      </c>
    </row>
    <row r="52" spans="1:29" x14ac:dyDescent="0.25">
      <c r="A52" s="8">
        <v>46231.5</v>
      </c>
      <c r="B52" t="s">
        <v>3155</v>
      </c>
      <c r="C52" t="s">
        <v>177</v>
      </c>
      <c r="D52" s="9" t="s">
        <v>1</v>
      </c>
      <c r="E52" t="s">
        <v>177</v>
      </c>
      <c r="F52" t="s">
        <v>1</v>
      </c>
      <c r="G52" t="s">
        <v>1</v>
      </c>
      <c r="H52" t="s">
        <v>78</v>
      </c>
      <c r="I52">
        <v>1</v>
      </c>
      <c r="J52" s="4">
        <v>0.15</v>
      </c>
      <c r="K52" s="4">
        <v>0.2</v>
      </c>
      <c r="L52" s="4">
        <f>K52-J52</f>
      </c>
      <c r="M52" s="4">
        <f>L52*16.67%</f>
      </c>
      <c r="N52" s="4">
        <v>0.01</v>
      </c>
      <c r="O52" s="4">
        <f>N52*20%</f>
      </c>
      <c r="P52" s="4">
        <v>0</v>
      </c>
      <c r="Q52" s="4">
        <f>P52*20%</f>
      </c>
      <c r="R52" s="4">
        <v>0</v>
      </c>
      <c r="S52" s="4">
        <f>Q52</f>
      </c>
      <c r="T52" s="4">
        <f>L52-M52-N52-P52-Q52-R52</f>
      </c>
      <c r="U52" s="4">
        <f>(T52-W52)/J52*100</f>
      </c>
      <c r="V52" s="4">
        <f>M52-S52</f>
      </c>
      <c r="X52" s="4">
        <f>T52-W52</f>
      </c>
      <c r="AC52" t="s">
        <v>1</v>
      </c>
    </row>
    <row r="53" spans="1:29" x14ac:dyDescent="0.25">
      <c r="A53" s="8">
        <v>46231.5</v>
      </c>
      <c r="B53" t="s">
        <v>3156</v>
      </c>
      <c r="C53" t="s">
        <v>177</v>
      </c>
      <c r="D53" s="9" t="s">
        <v>1</v>
      </c>
      <c r="E53" t="s">
        <v>177</v>
      </c>
      <c r="F53" t="s">
        <v>1</v>
      </c>
      <c r="G53" t="s">
        <v>1</v>
      </c>
      <c r="H53" t="s">
        <v>78</v>
      </c>
      <c r="I53">
        <v>1</v>
      </c>
      <c r="J53" s="4">
        <v>0.15</v>
      </c>
      <c r="K53" s="4">
        <v>0.21</v>
      </c>
      <c r="L53" s="4">
        <f>K53-J53</f>
      </c>
      <c r="M53" s="4">
        <f>L53*16.67%</f>
      </c>
      <c r="N53" s="4">
        <v>0.01</v>
      </c>
      <c r="O53" s="4">
        <f>N53*20%</f>
      </c>
      <c r="P53" s="4">
        <v>0</v>
      </c>
      <c r="Q53" s="4">
        <f>P53*20%</f>
      </c>
      <c r="R53" s="4">
        <v>0</v>
      </c>
      <c r="S53" s="4">
        <f>Q53</f>
      </c>
      <c r="T53" s="4">
        <f>L53-M53-N53-P53-Q53-R53</f>
      </c>
      <c r="U53" s="4">
        <f>(T53-W53)/J53*100</f>
      </c>
      <c r="V53" s="4">
        <f>M53-S53</f>
      </c>
      <c r="X53" s="4">
        <f>T53-W53</f>
      </c>
      <c r="AC53" t="s">
        <v>1</v>
      </c>
    </row>
    <row r="54" spans="1:29" x14ac:dyDescent="0.25">
      <c r="A54" s="8">
        <v>46231.5</v>
      </c>
      <c r="B54" t="s">
        <v>3157</v>
      </c>
      <c r="C54" t="s">
        <v>177</v>
      </c>
      <c r="D54" s="9" t="s">
        <v>1</v>
      </c>
      <c r="E54" t="s">
        <v>177</v>
      </c>
      <c r="F54" t="s">
        <v>1</v>
      </c>
      <c r="G54" t="s">
        <v>1</v>
      </c>
      <c r="H54" t="s">
        <v>78</v>
      </c>
      <c r="I54">
        <v>4</v>
      </c>
      <c r="J54" s="4">
        <v>0.6</v>
      </c>
      <c r="K54" s="4">
        <v>0.83</v>
      </c>
      <c r="L54" s="4">
        <f>K54-J54</f>
      </c>
      <c r="M54" s="4">
        <f>L54*16.67%</f>
      </c>
      <c r="N54" s="4">
        <v>0.04</v>
      </c>
      <c r="O54" s="4">
        <f>N54*20%</f>
      </c>
      <c r="P54" s="4">
        <v>0</v>
      </c>
      <c r="Q54" s="4">
        <f>P54*20%</f>
      </c>
      <c r="R54" s="4">
        <v>0</v>
      </c>
      <c r="S54" s="4">
        <f>Q54</f>
      </c>
      <c r="T54" s="4">
        <f>L54-M54-N54-P54-Q54-R54</f>
      </c>
      <c r="U54" s="4">
        <f>(T54-W54)/J54*100</f>
      </c>
      <c r="V54" s="4">
        <f>M54-S54</f>
      </c>
      <c r="X54" s="4">
        <f>T54-W54</f>
      </c>
      <c r="AC54" t="s">
        <v>1</v>
      </c>
    </row>
    <row r="55" spans="1:29" x14ac:dyDescent="0.25">
      <c r="A55" s="8">
        <v>46231.5</v>
      </c>
      <c r="B55" t="s">
        <v>3158</v>
      </c>
      <c r="C55" t="s">
        <v>177</v>
      </c>
      <c r="D55" s="9" t="s">
        <v>1</v>
      </c>
      <c r="E55" t="s">
        <v>177</v>
      </c>
      <c r="F55" t="s">
        <v>1</v>
      </c>
      <c r="G55" t="s">
        <v>1</v>
      </c>
      <c r="H55" t="s">
        <v>78</v>
      </c>
      <c r="I55">
        <v>2</v>
      </c>
      <c r="J55" s="4">
        <v>0.3</v>
      </c>
      <c r="K55" s="4">
        <v>0.38</v>
      </c>
      <c r="L55" s="4">
        <f>K55-J55</f>
      </c>
      <c r="M55" s="4">
        <f>L55*16.67%</f>
      </c>
      <c r="N55" s="4">
        <v>0.02</v>
      </c>
      <c r="O55" s="4">
        <f>N55*20%</f>
      </c>
      <c r="P55" s="4">
        <v>0</v>
      </c>
      <c r="Q55" s="4">
        <f>P55*20%</f>
      </c>
      <c r="R55" s="4">
        <v>0</v>
      </c>
      <c r="S55" s="4">
        <f>Q55</f>
      </c>
      <c r="T55" s="4">
        <f>L55-M55-N55-P55-Q55-R55</f>
      </c>
      <c r="U55" s="4">
        <f>(T55-W55)/J55*100</f>
      </c>
      <c r="V55" s="4">
        <f>M55-S55</f>
      </c>
      <c r="X55" s="4">
        <f>T55-W55</f>
      </c>
      <c r="AC55" t="s">
        <v>1</v>
      </c>
    </row>
    <row r="56" spans="1:29" x14ac:dyDescent="0.25">
      <c r="A56" s="8">
        <v>46231.5</v>
      </c>
      <c r="B56" t="s">
        <v>3159</v>
      </c>
      <c r="C56" t="s">
        <v>1</v>
      </c>
      <c r="D56" s="9" t="s">
        <v>1</v>
      </c>
      <c r="E56" t="s">
        <v>1</v>
      </c>
      <c r="F56" t="s">
        <v>1</v>
      </c>
      <c r="G56" t="s">
        <v>1</v>
      </c>
      <c r="H56" t="s">
        <v>78</v>
      </c>
      <c r="I56">
        <v>1</v>
      </c>
      <c r="J56" s="4">
        <v>324</v>
      </c>
      <c r="K56" s="4">
        <v>447.12</v>
      </c>
      <c r="L56" s="4">
        <f>K56-J56</f>
      </c>
      <c r="M56" s="4">
        <f>L56*16.67%</f>
      </c>
      <c r="N56" s="4">
        <v>20.61</v>
      </c>
      <c r="O56" s="4">
        <f>N56*20%</f>
      </c>
      <c r="P56" s="4">
        <v>0</v>
      </c>
      <c r="Q56" s="4">
        <f>P56*20%</f>
      </c>
      <c r="R56" s="4">
        <v>1</v>
      </c>
      <c r="S56" s="4">
        <f>Q56</f>
      </c>
      <c r="T56" s="4">
        <f>L56-M56-N56-P56-Q56-R56</f>
      </c>
      <c r="U56" s="4">
        <f>(T56-W56)/J56*100</f>
      </c>
      <c r="V56" s="4">
        <f>M56-S56</f>
      </c>
      <c r="X56" s="4">
        <f>T56-W56</f>
      </c>
      <c r="AC56" t="s">
        <v>1</v>
      </c>
    </row>
    <row r="57" spans="1:29" x14ac:dyDescent="0.25">
      <c r="A57" s="8">
        <v>46231.5</v>
      </c>
      <c r="B57" t="s">
        <v>3160</v>
      </c>
      <c r="C57" t="s">
        <v>1</v>
      </c>
      <c r="D57" s="9" t="s">
        <v>1</v>
      </c>
      <c r="E57" t="s">
        <v>1</v>
      </c>
      <c r="F57" t="s">
        <v>1</v>
      </c>
      <c r="G57" t="s">
        <v>1</v>
      </c>
      <c r="H57" t="s">
        <v>61</v>
      </c>
      <c r="I57">
        <v>1</v>
      </c>
      <c r="J57" s="4">
        <v>682</v>
      </c>
      <c r="K57" s="4">
        <v>920.7</v>
      </c>
      <c r="L57" s="4">
        <f>K57-J57</f>
      </c>
      <c r="M57" s="4">
        <f>L57*16.67%</f>
      </c>
      <c r="N57" s="4">
        <v>42.44</v>
      </c>
      <c r="O57" s="4">
        <f>N57*20%</f>
      </c>
      <c r="P57" s="4">
        <v>0</v>
      </c>
      <c r="Q57" s="4">
        <f>P57*20%</f>
      </c>
      <c r="R57" s="4">
        <v>1</v>
      </c>
      <c r="S57" s="4">
        <f>Q57</f>
      </c>
      <c r="T57" s="4">
        <f>L57-M57-N57-P57-Q57-R57</f>
      </c>
      <c r="U57" s="4">
        <f>(T57-W57)/J57*100</f>
      </c>
      <c r="V57" s="4">
        <f>M57-S57</f>
      </c>
      <c r="X57" s="4">
        <f>T57-W57</f>
      </c>
      <c r="AC57" t="s">
        <v>1</v>
      </c>
    </row>
    <row r="58" spans="1:29" x14ac:dyDescent="0.25">
      <c r="A58" s="8">
        <v>46230.5</v>
      </c>
      <c r="B58" t="s">
        <v>3161</v>
      </c>
      <c r="C58" t="s">
        <v>254</v>
      </c>
      <c r="D58" s="9" t="s">
        <v>1</v>
      </c>
      <c r="E58" t="s">
        <v>254</v>
      </c>
      <c r="F58" t="s">
        <v>1</v>
      </c>
      <c r="G58" t="s">
        <v>1</v>
      </c>
      <c r="H58" t="s">
        <v>61</v>
      </c>
      <c r="I58">
        <v>3</v>
      </c>
      <c r="J58" s="4">
        <v>2.4</v>
      </c>
      <c r="K58" s="4">
        <v>3.36</v>
      </c>
      <c r="L58" s="4">
        <f>K58-J58</f>
      </c>
      <c r="M58" s="4">
        <f>L58*16.67%</f>
      </c>
      <c r="N58" s="4">
        <v>0.15</v>
      </c>
      <c r="O58" s="4">
        <f>N58*20%</f>
      </c>
      <c r="P58" s="4">
        <v>0</v>
      </c>
      <c r="Q58" s="4">
        <f>P58*20%</f>
      </c>
      <c r="R58" s="4">
        <v>0</v>
      </c>
      <c r="S58" s="4">
        <f>Q58</f>
      </c>
      <c r="T58" s="4">
        <f>L58-M58-N58-P58-Q58-R58</f>
      </c>
      <c r="U58" s="4">
        <f>(T58-W58)/J58*100</f>
      </c>
      <c r="V58" s="4">
        <f>M58-S58</f>
      </c>
      <c r="X58" s="4">
        <f>T58-W58</f>
      </c>
      <c r="AC58" t="s">
        <v>1</v>
      </c>
    </row>
    <row r="59" spans="1:29" x14ac:dyDescent="0.25">
      <c r="A59" s="8">
        <v>46230.5</v>
      </c>
      <c r="B59" t="s">
        <v>3162</v>
      </c>
      <c r="C59" t="s">
        <v>185</v>
      </c>
      <c r="D59" s="9" t="s">
        <v>1</v>
      </c>
      <c r="E59" t="s">
        <v>185</v>
      </c>
      <c r="F59" t="s">
        <v>1</v>
      </c>
      <c r="G59" t="s">
        <v>1</v>
      </c>
      <c r="H59" t="s">
        <v>102</v>
      </c>
      <c r="I59">
        <v>1</v>
      </c>
      <c r="J59" s="4">
        <v>1.2</v>
      </c>
      <c r="K59" s="4">
        <v>1.38</v>
      </c>
      <c r="L59" s="4">
        <f>K59-J59</f>
      </c>
      <c r="M59" s="4">
        <f>L59*16.67%</f>
      </c>
      <c r="N59" s="4">
        <v>0.06</v>
      </c>
      <c r="O59" s="4">
        <f>N59*20%</f>
      </c>
      <c r="P59" s="4">
        <v>0</v>
      </c>
      <c r="Q59" s="4">
        <f>P59*20%</f>
      </c>
      <c r="R59" s="4">
        <v>0</v>
      </c>
      <c r="S59" s="4">
        <f>Q59</f>
      </c>
      <c r="T59" s="4">
        <f>L59-M59-N59-P59-Q59-R59</f>
      </c>
      <c r="U59" s="4">
        <f>(T59-W59)/J59*100</f>
      </c>
      <c r="V59" s="4">
        <f>M59-S59</f>
      </c>
      <c r="X59" s="4">
        <f>T59-W59</f>
      </c>
      <c r="AC59" t="s">
        <v>1</v>
      </c>
    </row>
    <row r="60" spans="1:29" x14ac:dyDescent="0.25">
      <c r="A60" s="8">
        <v>46230.5</v>
      </c>
      <c r="B60" t="s">
        <v>3163</v>
      </c>
      <c r="C60" t="s">
        <v>189</v>
      </c>
      <c r="D60" s="9" t="s">
        <v>1</v>
      </c>
      <c r="E60" t="s">
        <v>189</v>
      </c>
      <c r="F60" t="s">
        <v>1</v>
      </c>
      <c r="G60" t="s">
        <v>1</v>
      </c>
      <c r="H60" t="s">
        <v>66</v>
      </c>
      <c r="I60">
        <v>4</v>
      </c>
      <c r="J60" s="4">
        <v>14</v>
      </c>
      <c r="K60" s="4">
        <v>18.9</v>
      </c>
      <c r="L60" s="4">
        <f>K60-J60</f>
      </c>
      <c r="M60" s="4">
        <f>L60*16.67%</f>
      </c>
      <c r="N60" s="4">
        <v>0.87</v>
      </c>
      <c r="O60" s="4">
        <f>N60*20%</f>
      </c>
      <c r="P60" s="4">
        <v>0</v>
      </c>
      <c r="Q60" s="4">
        <f>P60*20%</f>
      </c>
      <c r="R60" s="4">
        <v>0</v>
      </c>
      <c r="S60" s="4">
        <f>Q60</f>
      </c>
      <c r="T60" s="4">
        <f>L60-M60-N60-P60-Q60-R60</f>
      </c>
      <c r="U60" s="4">
        <f>(T60-W60)/J60*100</f>
      </c>
      <c r="V60" s="4">
        <f>M60-S60</f>
      </c>
      <c r="X60" s="4">
        <f>T60-W60</f>
      </c>
      <c r="AC60" t="s">
        <v>1</v>
      </c>
    </row>
    <row r="61" spans="1:29" x14ac:dyDescent="0.25">
      <c r="A61" s="8">
        <v>46229.5</v>
      </c>
      <c r="B61" t="s">
        <v>3164</v>
      </c>
      <c r="C61" t="s">
        <v>1</v>
      </c>
      <c r="D61" s="9" t="s">
        <v>3165</v>
      </c>
      <c r="E61" t="s">
        <v>125</v>
      </c>
      <c r="F61" t="s">
        <v>88</v>
      </c>
      <c r="G61" t="s">
        <v>126</v>
      </c>
      <c r="H61" t="s">
        <v>78</v>
      </c>
      <c r="I61">
        <v>1</v>
      </c>
      <c r="J61" s="4">
        <v>222</v>
      </c>
      <c r="K61" s="4">
        <v>295.26</v>
      </c>
      <c r="L61" s="4">
        <f>K61-J61</f>
      </c>
      <c r="M61" s="4">
        <f>L61*16.67%</f>
      </c>
      <c r="N61" s="4">
        <v>13.61</v>
      </c>
      <c r="O61" s="4">
        <f>N61*20%</f>
      </c>
      <c r="P61" s="4">
        <v>0</v>
      </c>
      <c r="Q61" s="4">
        <f>P61*20%</f>
      </c>
      <c r="R61" s="4">
        <v>1</v>
      </c>
      <c r="S61" s="4">
        <f>Q61</f>
      </c>
      <c r="T61" s="4">
        <f>L61-M61-N61-P61-Q61-R61</f>
      </c>
      <c r="U61" s="4">
        <f>(T61-W61)/J61*100</f>
      </c>
      <c r="V61" s="4">
        <f>M61-S61</f>
      </c>
      <c r="X61" s="4">
        <f>T61-W61</f>
      </c>
      <c r="AC61" t="s">
        <v>1</v>
      </c>
    </row>
    <row r="62" spans="1:29" x14ac:dyDescent="0.25">
      <c r="A62" s="8">
        <v>46229.5</v>
      </c>
      <c r="B62" t="s">
        <v>3166</v>
      </c>
      <c r="C62" t="s">
        <v>1</v>
      </c>
      <c r="D62" s="9" t="s">
        <v>3167</v>
      </c>
      <c r="E62" t="s">
        <v>91</v>
      </c>
      <c r="F62" t="s">
        <v>99</v>
      </c>
      <c r="G62" t="s">
        <v>65</v>
      </c>
      <c r="H62" t="s">
        <v>102</v>
      </c>
      <c r="I62">
        <v>1</v>
      </c>
      <c r="J62" s="4">
        <v>121</v>
      </c>
      <c r="K62" s="4">
        <v>148.83</v>
      </c>
      <c r="L62" s="4">
        <f>K62-J62</f>
      </c>
      <c r="M62" s="4">
        <f>L62*16.67%</f>
      </c>
      <c r="N62" s="4">
        <v>6.86</v>
      </c>
      <c r="O62" s="4">
        <f>N62*20%</f>
      </c>
      <c r="P62" s="4">
        <v>0</v>
      </c>
      <c r="Q62" s="4">
        <f>P62*20%</f>
      </c>
      <c r="R62" s="4">
        <v>1</v>
      </c>
      <c r="S62" s="4">
        <f>Q62</f>
      </c>
      <c r="T62" s="4">
        <f>L62-M62-N62-P62-Q62-R62</f>
      </c>
      <c r="U62" s="4">
        <f>(T62-W62)/J62*100</f>
      </c>
      <c r="V62" s="4">
        <f>M62-S62</f>
      </c>
      <c r="X62" s="4">
        <f>T62-W62</f>
      </c>
      <c r="AC62" t="s">
        <v>1</v>
      </c>
    </row>
    <row r="63" spans="1:29" x14ac:dyDescent="0.25">
      <c r="A63" s="8">
        <v>46229.5</v>
      </c>
      <c r="B63" t="s">
        <v>3168</v>
      </c>
      <c r="C63" t="s">
        <v>1</v>
      </c>
      <c r="D63" s="9" t="s">
        <v>3169</v>
      </c>
      <c r="E63" t="s">
        <v>81</v>
      </c>
      <c r="F63" t="s">
        <v>88</v>
      </c>
      <c r="G63" t="s">
        <v>60</v>
      </c>
      <c r="H63" t="s">
        <v>75</v>
      </c>
      <c r="I63">
        <v>1</v>
      </c>
      <c r="J63" s="4">
        <v>589</v>
      </c>
      <c r="K63" s="4">
        <v>724.47</v>
      </c>
      <c r="L63" s="4">
        <f>K63-J63</f>
      </c>
      <c r="M63" s="4">
        <f>L63*16.67%</f>
      </c>
      <c r="N63" s="4">
        <v>33.4</v>
      </c>
      <c r="O63" s="4">
        <f>N63*20%</f>
      </c>
      <c r="P63" s="4">
        <v>0</v>
      </c>
      <c r="Q63" s="4">
        <f>P63*20%</f>
      </c>
      <c r="R63" s="4">
        <v>1</v>
      </c>
      <c r="S63" s="4">
        <f>Q63</f>
      </c>
      <c r="T63" s="4">
        <f>L63-M63-N63-P63-Q63-R63</f>
      </c>
      <c r="U63" s="4">
        <f>(T63-W63)/J63*100</f>
      </c>
      <c r="V63" s="4">
        <f>M63-S63</f>
      </c>
      <c r="X63" s="4">
        <f>T63-W63</f>
      </c>
      <c r="AC63" t="s">
        <v>1</v>
      </c>
    </row>
    <row r="64" spans="1:29" x14ac:dyDescent="0.25">
      <c r="A64" s="8">
        <v>46229.5</v>
      </c>
      <c r="B64" t="s">
        <v>3170</v>
      </c>
      <c r="C64" t="s">
        <v>1</v>
      </c>
      <c r="D64" s="9" t="s">
        <v>3171</v>
      </c>
      <c r="E64" t="s">
        <v>73</v>
      </c>
      <c r="F64" t="s">
        <v>85</v>
      </c>
      <c r="G64" t="s">
        <v>60</v>
      </c>
      <c r="H64" t="s">
        <v>78</v>
      </c>
      <c r="I64">
        <v>1</v>
      </c>
      <c r="J64" s="4">
        <v>331</v>
      </c>
      <c r="K64" s="4">
        <v>407.13</v>
      </c>
      <c r="L64" s="4">
        <f>K64-J64</f>
      </c>
      <c r="M64" s="4">
        <f>L64*16.67%</f>
      </c>
      <c r="N64" s="4">
        <v>18.77</v>
      </c>
      <c r="O64" s="4">
        <f>N64*20%</f>
      </c>
      <c r="P64" s="4">
        <v>0</v>
      </c>
      <c r="Q64" s="4">
        <f>P64*20%</f>
      </c>
      <c r="R64" s="4">
        <v>1</v>
      </c>
      <c r="S64" s="4">
        <f>Q64</f>
      </c>
      <c r="T64" s="4">
        <f>L64-M64-N64-P64-Q64-R64</f>
      </c>
      <c r="U64" s="4">
        <f>(T64-W64)/J64*100</f>
      </c>
      <c r="V64" s="4">
        <f>M64-S64</f>
      </c>
      <c r="X64" s="4">
        <f>T64-W64</f>
      </c>
      <c r="AC64" t="s">
        <v>1</v>
      </c>
    </row>
    <row r="65" spans="1:29" x14ac:dyDescent="0.25">
      <c r="A65" s="8">
        <v>46229.5</v>
      </c>
      <c r="B65" t="s">
        <v>3172</v>
      </c>
      <c r="C65" t="s">
        <v>254</v>
      </c>
      <c r="D65" s="9" t="s">
        <v>1</v>
      </c>
      <c r="E65" t="s">
        <v>254</v>
      </c>
      <c r="F65" t="s">
        <v>1</v>
      </c>
      <c r="G65" t="s">
        <v>1</v>
      </c>
      <c r="H65" t="s">
        <v>61</v>
      </c>
      <c r="I65">
        <v>3</v>
      </c>
      <c r="J65" s="4">
        <v>2.4</v>
      </c>
      <c r="K65" s="4">
        <v>3.14</v>
      </c>
      <c r="L65" s="4">
        <f>K65-J65</f>
      </c>
      <c r="M65" s="4">
        <f>L65*16.67%</f>
      </c>
      <c r="N65" s="4">
        <v>0.14</v>
      </c>
      <c r="O65" s="4">
        <f>N65*20%</f>
      </c>
      <c r="P65" s="4">
        <v>0</v>
      </c>
      <c r="Q65" s="4">
        <f>P65*20%</f>
      </c>
      <c r="R65" s="4">
        <v>0</v>
      </c>
      <c r="S65" s="4">
        <f>Q65</f>
      </c>
      <c r="T65" s="4">
        <f>L65-M65-N65-P65-Q65-R65</f>
      </c>
      <c r="U65" s="4">
        <f>(T65-W65)/J65*100</f>
      </c>
      <c r="V65" s="4">
        <f>M65-S65</f>
      </c>
      <c r="X65" s="4">
        <f>T65-W65</f>
      </c>
      <c r="AC65" t="s">
        <v>1</v>
      </c>
    </row>
    <row r="66" spans="1:29" x14ac:dyDescent="0.25">
      <c r="A66" s="8">
        <v>46229.5</v>
      </c>
      <c r="B66" t="s">
        <v>3173</v>
      </c>
      <c r="C66" t="s">
        <v>174</v>
      </c>
      <c r="D66" s="9" t="s">
        <v>1</v>
      </c>
      <c r="E66" t="s">
        <v>174</v>
      </c>
      <c r="F66" t="s">
        <v>1</v>
      </c>
      <c r="G66" t="s">
        <v>1</v>
      </c>
      <c r="H66" t="s">
        <v>66</v>
      </c>
      <c r="I66">
        <v>1</v>
      </c>
      <c r="J66" s="4">
        <v>4.25</v>
      </c>
      <c r="K66" s="4">
        <v>5.18</v>
      </c>
      <c r="L66" s="4">
        <f>K66-J66</f>
      </c>
      <c r="M66" s="4">
        <f>L66*16.67%</f>
      </c>
      <c r="N66" s="4">
        <v>0.24</v>
      </c>
      <c r="O66" s="4">
        <f>N66*20%</f>
      </c>
      <c r="P66" s="4">
        <v>0</v>
      </c>
      <c r="Q66" s="4">
        <f>P66*20%</f>
      </c>
      <c r="R66" s="4">
        <v>0</v>
      </c>
      <c r="S66" s="4">
        <f>Q66</f>
      </c>
      <c r="T66" s="4">
        <f>L66-M66-N66-P66-Q66-R66</f>
      </c>
      <c r="U66" s="4">
        <f>(T66-W66)/J66*100</f>
      </c>
      <c r="V66" s="4">
        <f>M66-S66</f>
      </c>
      <c r="X66" s="4">
        <f>T66-W66</f>
      </c>
      <c r="AC66" t="s">
        <v>1</v>
      </c>
    </row>
    <row r="67" spans="1:29" x14ac:dyDescent="0.25">
      <c r="A67" s="8">
        <v>46229.5</v>
      </c>
      <c r="B67" t="s">
        <v>3174</v>
      </c>
      <c r="C67" t="s">
        <v>177</v>
      </c>
      <c r="D67" s="9" t="s">
        <v>1</v>
      </c>
      <c r="E67" t="s">
        <v>177</v>
      </c>
      <c r="F67" t="s">
        <v>1</v>
      </c>
      <c r="G67" t="s">
        <v>1</v>
      </c>
      <c r="H67" t="s">
        <v>78</v>
      </c>
      <c r="I67">
        <v>1</v>
      </c>
      <c r="J67" s="4">
        <v>0.15</v>
      </c>
      <c r="K67" s="4">
        <v>0.2</v>
      </c>
      <c r="L67" s="4">
        <f>K67-J67</f>
      </c>
      <c r="M67" s="4">
        <f>L67*16.67%</f>
      </c>
      <c r="N67" s="4">
        <v>0.01</v>
      </c>
      <c r="O67" s="4">
        <f>N67*20%</f>
      </c>
      <c r="P67" s="4">
        <v>0</v>
      </c>
      <c r="Q67" s="4">
        <f>P67*20%</f>
      </c>
      <c r="R67" s="4">
        <v>0</v>
      </c>
      <c r="S67" s="4">
        <f>Q67</f>
      </c>
      <c r="T67" s="4">
        <f>L67-M67-N67-P67-Q67-R67</f>
      </c>
      <c r="U67" s="4">
        <f>(T67-W67)/J67*100</f>
      </c>
      <c r="V67" s="4">
        <f>M67-S67</f>
      </c>
      <c r="X67" s="4">
        <f>T67-W67</f>
      </c>
      <c r="AC67" t="s">
        <v>1</v>
      </c>
    </row>
    <row r="68" spans="1:29" x14ac:dyDescent="0.25">
      <c r="A68" s="8">
        <v>46228.5</v>
      </c>
      <c r="B68" t="s">
        <v>3175</v>
      </c>
      <c r="C68" t="s">
        <v>1</v>
      </c>
      <c r="D68" s="9" t="s">
        <v>3176</v>
      </c>
      <c r="E68" t="s">
        <v>292</v>
      </c>
      <c r="F68" t="s">
        <v>88</v>
      </c>
      <c r="G68" t="s">
        <v>126</v>
      </c>
      <c r="H68" t="s">
        <v>78</v>
      </c>
      <c r="I68">
        <v>1</v>
      </c>
      <c r="J68" s="4">
        <v>175</v>
      </c>
      <c r="K68" s="4">
        <v>239.75</v>
      </c>
      <c r="L68" s="4">
        <f>K68-J68</f>
      </c>
      <c r="M68" s="4">
        <f>L68*16.67%</f>
      </c>
      <c r="N68" s="4">
        <v>11.05</v>
      </c>
      <c r="O68" s="4">
        <f>N68*20%</f>
      </c>
      <c r="P68" s="4">
        <v>0</v>
      </c>
      <c r="Q68" s="4">
        <f>P68*20%</f>
      </c>
      <c r="R68" s="4">
        <v>1</v>
      </c>
      <c r="S68" s="4">
        <f>Q68</f>
      </c>
      <c r="T68" s="4">
        <f>L68-M68-N68-P68-Q68-R68</f>
      </c>
      <c r="U68" s="4">
        <f>(T68-W68)/J68*100</f>
      </c>
      <c r="V68" s="4">
        <f>M68-S68</f>
      </c>
      <c r="X68" s="4">
        <f>T68-W68</f>
      </c>
      <c r="AC68" t="s">
        <v>1</v>
      </c>
    </row>
    <row r="69" spans="1:29" x14ac:dyDescent="0.25">
      <c r="A69" s="8">
        <v>46228.5</v>
      </c>
      <c r="B69" t="s">
        <v>3177</v>
      </c>
      <c r="C69" t="s">
        <v>1</v>
      </c>
      <c r="D69" s="9" t="s">
        <v>3178</v>
      </c>
      <c r="E69" t="s">
        <v>139</v>
      </c>
      <c r="F69" t="s">
        <v>70</v>
      </c>
      <c r="G69" t="s">
        <v>65</v>
      </c>
      <c r="H69" t="s">
        <v>102</v>
      </c>
      <c r="I69">
        <v>1</v>
      </c>
      <c r="J69" s="4">
        <v>348</v>
      </c>
      <c r="K69" s="4">
        <v>504.6</v>
      </c>
      <c r="L69" s="4">
        <f>K69-J69</f>
      </c>
      <c r="M69" s="4">
        <f>L69*16.67%</f>
      </c>
      <c r="N69" s="4">
        <v>23.26</v>
      </c>
      <c r="O69" s="4">
        <f>N69*20%</f>
      </c>
      <c r="P69" s="4">
        <v>0</v>
      </c>
      <c r="Q69" s="4">
        <f>P69*20%</f>
      </c>
      <c r="R69" s="4">
        <v>1</v>
      </c>
      <c r="S69" s="4">
        <f>Q69</f>
      </c>
      <c r="T69" s="4">
        <f>L69-M69-N69-P69-Q69-R69</f>
      </c>
      <c r="U69" s="4">
        <f>(T69-W69)/J69*100</f>
      </c>
      <c r="V69" s="4">
        <f>M69-S69</f>
      </c>
      <c r="X69" s="4">
        <f>T69-W69</f>
      </c>
      <c r="AC69" t="s">
        <v>1</v>
      </c>
    </row>
    <row r="70" spans="1:29" x14ac:dyDescent="0.25">
      <c r="A70" s="8">
        <v>46228.5</v>
      </c>
      <c r="B70" t="s">
        <v>3179</v>
      </c>
      <c r="C70" t="s">
        <v>1</v>
      </c>
      <c r="D70" s="9" t="s">
        <v>3180</v>
      </c>
      <c r="E70" t="s">
        <v>292</v>
      </c>
      <c r="F70" t="s">
        <v>74</v>
      </c>
      <c r="G70" t="s">
        <v>126</v>
      </c>
      <c r="H70" t="s">
        <v>102</v>
      </c>
      <c r="I70">
        <v>1</v>
      </c>
      <c r="J70" s="4">
        <v>207</v>
      </c>
      <c r="K70" s="4">
        <v>254.61</v>
      </c>
      <c r="L70" s="4">
        <f>K70-J70</f>
      </c>
      <c r="M70" s="4">
        <f>L70*16.67%</f>
      </c>
      <c r="N70" s="4">
        <v>11.74</v>
      </c>
      <c r="O70" s="4">
        <f>N70*20%</f>
      </c>
      <c r="P70" s="4">
        <v>0</v>
      </c>
      <c r="Q70" s="4">
        <f>P70*20%</f>
      </c>
      <c r="R70" s="4">
        <v>1</v>
      </c>
      <c r="S70" s="4">
        <f>Q70</f>
      </c>
      <c r="T70" s="4">
        <f>L70-M70-N70-P70-Q70-R70</f>
      </c>
      <c r="U70" s="4">
        <f>(T70-W70)/J70*100</f>
      </c>
      <c r="V70" s="4">
        <f>M70-S70</f>
      </c>
      <c r="X70" s="4">
        <f>T70-W70</f>
      </c>
      <c r="AC70" t="s">
        <v>1</v>
      </c>
    </row>
    <row r="71" spans="1:29" x14ac:dyDescent="0.25">
      <c r="A71" s="8">
        <v>46228.5</v>
      </c>
      <c r="B71" t="s">
        <v>3181</v>
      </c>
      <c r="C71" t="s">
        <v>1</v>
      </c>
      <c r="D71" s="9" t="s">
        <v>3182</v>
      </c>
      <c r="E71" t="s">
        <v>84</v>
      </c>
      <c r="F71" t="s">
        <v>59</v>
      </c>
      <c r="G71" t="s">
        <v>60</v>
      </c>
      <c r="H71" t="s">
        <v>75</v>
      </c>
      <c r="I71">
        <v>1</v>
      </c>
      <c r="J71" s="4">
        <v>720</v>
      </c>
      <c r="K71" s="4">
        <v>849.6</v>
      </c>
      <c r="L71" s="4">
        <f>K71-J71</f>
      </c>
      <c r="M71" s="4">
        <f>L71*16.67%</f>
      </c>
      <c r="N71" s="4">
        <v>39.17</v>
      </c>
      <c r="O71" s="4">
        <f>N71*20%</f>
      </c>
      <c r="P71" s="4">
        <v>0</v>
      </c>
      <c r="Q71" s="4">
        <f>P71*20%</f>
      </c>
      <c r="R71" s="4">
        <v>1</v>
      </c>
      <c r="S71" s="4">
        <f>Q71</f>
      </c>
      <c r="T71" s="4">
        <f>L71-M71-N71-P71-Q71-R71</f>
      </c>
      <c r="U71" s="4">
        <f>(T71-W71)/J71*100</f>
      </c>
      <c r="V71" s="4">
        <f>M71-S71</f>
      </c>
      <c r="X71" s="4">
        <f>T71-W71</f>
      </c>
      <c r="AC71" t="s">
        <v>1</v>
      </c>
    </row>
    <row r="72" spans="1:29" x14ac:dyDescent="0.25">
      <c r="A72" s="8">
        <v>46228.5</v>
      </c>
      <c r="B72" t="s">
        <v>3183</v>
      </c>
      <c r="C72" t="s">
        <v>1</v>
      </c>
      <c r="D72" s="9" t="s">
        <v>3184</v>
      </c>
      <c r="E72" t="s">
        <v>81</v>
      </c>
      <c r="F72" t="s">
        <v>88</v>
      </c>
      <c r="G72" t="s">
        <v>60</v>
      </c>
      <c r="H72" t="s">
        <v>61</v>
      </c>
      <c r="I72">
        <v>1</v>
      </c>
      <c r="J72" s="4">
        <v>592</v>
      </c>
      <c r="K72" s="4">
        <v>775.52</v>
      </c>
      <c r="L72" s="4">
        <f>K72-J72</f>
      </c>
      <c r="M72" s="4">
        <f>L72*16.67%</f>
      </c>
      <c r="N72" s="4">
        <v>35.75</v>
      </c>
      <c r="O72" s="4">
        <f>N72*20%</f>
      </c>
      <c r="P72" s="4">
        <v>0</v>
      </c>
      <c r="Q72" s="4">
        <f>P72*20%</f>
      </c>
      <c r="R72" s="4">
        <v>1</v>
      </c>
      <c r="S72" s="4">
        <f>Q72</f>
      </c>
      <c r="T72" s="4">
        <f>L72-M72-N72-P72-Q72-R72</f>
      </c>
      <c r="U72" s="4">
        <f>(T72-W72)/J72*100</f>
      </c>
      <c r="V72" s="4">
        <f>M72-S72</f>
      </c>
      <c r="X72" s="4">
        <f>T72-W72</f>
      </c>
      <c r="AC72" t="s">
        <v>1</v>
      </c>
    </row>
    <row r="73" spans="1:29" x14ac:dyDescent="0.25">
      <c r="A73" s="8">
        <v>46228.5</v>
      </c>
      <c r="B73" t="s">
        <v>3185</v>
      </c>
      <c r="C73" t="s">
        <v>1</v>
      </c>
      <c r="D73" s="9" t="s">
        <v>3186</v>
      </c>
      <c r="E73" t="s">
        <v>172</v>
      </c>
      <c r="F73" t="s">
        <v>70</v>
      </c>
      <c r="G73" t="s">
        <v>65</v>
      </c>
      <c r="H73" t="s">
        <v>66</v>
      </c>
      <c r="I73">
        <v>1</v>
      </c>
      <c r="J73" s="4">
        <v>175</v>
      </c>
      <c r="K73" s="4">
        <v>208.25</v>
      </c>
      <c r="L73" s="4">
        <f>K73-J73</f>
      </c>
      <c r="M73" s="4">
        <f>L73*16.67%</f>
      </c>
      <c r="N73" s="4">
        <v>9.6</v>
      </c>
      <c r="O73" s="4">
        <f>N73*20%</f>
      </c>
      <c r="P73" s="4">
        <v>0</v>
      </c>
      <c r="Q73" s="4">
        <f>P73*20%</f>
      </c>
      <c r="R73" s="4">
        <v>1</v>
      </c>
      <c r="S73" s="4">
        <f>Q73</f>
      </c>
      <c r="T73" s="4">
        <f>L73-M73-N73-P73-Q73-R73</f>
      </c>
      <c r="U73" s="4">
        <f>(T73-W73)/J73*100</f>
      </c>
      <c r="V73" s="4">
        <f>M73-S73</f>
      </c>
      <c r="X73" s="4">
        <f>T73-W73</f>
      </c>
      <c r="AC73" t="s">
        <v>1</v>
      </c>
    </row>
    <row r="74" spans="1:29" x14ac:dyDescent="0.25">
      <c r="A74" s="8">
        <v>46228.5</v>
      </c>
      <c r="B74" t="s">
        <v>3187</v>
      </c>
      <c r="C74" t="s">
        <v>189</v>
      </c>
      <c r="D74" s="9" t="s">
        <v>1</v>
      </c>
      <c r="E74" t="s">
        <v>189</v>
      </c>
      <c r="F74" t="s">
        <v>1</v>
      </c>
      <c r="G74" t="s">
        <v>1</v>
      </c>
      <c r="H74" t="s">
        <v>66</v>
      </c>
      <c r="I74">
        <v>1</v>
      </c>
      <c r="J74" s="4">
        <v>3.5</v>
      </c>
      <c r="K74" s="4">
        <v>4.93</v>
      </c>
      <c r="L74" s="4">
        <f>K74-J74</f>
      </c>
      <c r="M74" s="4">
        <f>L74*16.67%</f>
      </c>
      <c r="N74" s="4">
        <v>0.23</v>
      </c>
      <c r="O74" s="4">
        <f>N74*20%</f>
      </c>
      <c r="P74" s="4">
        <v>0</v>
      </c>
      <c r="Q74" s="4">
        <f>P74*20%</f>
      </c>
      <c r="R74" s="4">
        <v>0</v>
      </c>
      <c r="S74" s="4">
        <f>Q74</f>
      </c>
      <c r="T74" s="4">
        <f>L74-M74-N74-P74-Q74-R74</f>
      </c>
      <c r="U74" s="4">
        <f>(T74-W74)/J74*100</f>
      </c>
      <c r="V74" s="4">
        <f>M74-S74</f>
      </c>
      <c r="X74" s="4">
        <f>T74-W74</f>
      </c>
      <c r="AC74" t="s">
        <v>1</v>
      </c>
    </row>
    <row r="75" spans="1:29" x14ac:dyDescent="0.25">
      <c r="A75" s="8">
        <v>46227.5</v>
      </c>
      <c r="B75" t="s">
        <v>3188</v>
      </c>
      <c r="C75" t="s">
        <v>1</v>
      </c>
      <c r="D75" s="9" t="s">
        <v>3189</v>
      </c>
      <c r="E75" t="s">
        <v>84</v>
      </c>
      <c r="F75" t="s">
        <v>88</v>
      </c>
      <c r="G75" t="s">
        <v>60</v>
      </c>
      <c r="H75" t="s">
        <v>66</v>
      </c>
      <c r="I75">
        <v>1</v>
      </c>
      <c r="J75" s="4">
        <v>732</v>
      </c>
      <c r="K75" s="4">
        <v>973.56</v>
      </c>
      <c r="L75" s="4">
        <f>K75-J75</f>
      </c>
      <c r="M75" s="4">
        <f>L75*16.67%</f>
      </c>
      <c r="N75" s="4">
        <v>44.88</v>
      </c>
      <c r="O75" s="4">
        <f>N75*20%</f>
      </c>
      <c r="P75" s="4">
        <v>0</v>
      </c>
      <c r="Q75" s="4">
        <f>P75*20%</f>
      </c>
      <c r="R75" s="4">
        <v>1</v>
      </c>
      <c r="S75" s="4">
        <f>Q75</f>
      </c>
      <c r="T75" s="4">
        <f>L75-M75-N75-P75-Q75-R75</f>
      </c>
      <c r="U75" s="4">
        <f>(T75-W75)/J75*100</f>
      </c>
      <c r="V75" s="4">
        <f>M75-S75</f>
      </c>
      <c r="X75" s="4">
        <f>T75-W75</f>
      </c>
      <c r="AC75" t="s">
        <v>1</v>
      </c>
    </row>
    <row r="76" spans="1:29" x14ac:dyDescent="0.25">
      <c r="A76" s="8">
        <v>46227.5</v>
      </c>
      <c r="B76" t="s">
        <v>3190</v>
      </c>
      <c r="C76" t="s">
        <v>1</v>
      </c>
      <c r="D76" s="9" t="s">
        <v>3191</v>
      </c>
      <c r="E76" t="s">
        <v>292</v>
      </c>
      <c r="F76" t="s">
        <v>70</v>
      </c>
      <c r="G76" t="s">
        <v>126</v>
      </c>
      <c r="H76" t="s">
        <v>75</v>
      </c>
      <c r="I76">
        <v>1</v>
      </c>
      <c r="J76" s="4">
        <v>164</v>
      </c>
      <c r="K76" s="4">
        <v>193.52</v>
      </c>
      <c r="L76" s="4">
        <f>K76-J76</f>
      </c>
      <c r="M76" s="4">
        <f>L76*16.67%</f>
      </c>
      <c r="N76" s="4">
        <v>8.92</v>
      </c>
      <c r="O76" s="4">
        <f>N76*20%</f>
      </c>
      <c r="P76" s="4">
        <v>0</v>
      </c>
      <c r="Q76" s="4">
        <f>P76*20%</f>
      </c>
      <c r="R76" s="4">
        <v>1</v>
      </c>
      <c r="S76" s="4">
        <f>Q76</f>
      </c>
      <c r="T76" s="4">
        <f>L76-M76-N76-P76-Q76-R76</f>
      </c>
      <c r="U76" s="4">
        <f>(T76-W76)/J76*100</f>
      </c>
      <c r="V76" s="4">
        <f>M76-S76</f>
      </c>
      <c r="X76" s="4">
        <f>T76-W76</f>
      </c>
      <c r="AC76" t="s">
        <v>1</v>
      </c>
    </row>
    <row r="77" spans="1:29" x14ac:dyDescent="0.25">
      <c r="A77" s="8">
        <v>46227.5</v>
      </c>
      <c r="B77" t="s">
        <v>3192</v>
      </c>
      <c r="C77" t="s">
        <v>174</v>
      </c>
      <c r="D77" s="9" t="s">
        <v>1</v>
      </c>
      <c r="E77" t="s">
        <v>174</v>
      </c>
      <c r="F77" t="s">
        <v>1</v>
      </c>
      <c r="G77" t="s">
        <v>1</v>
      </c>
      <c r="H77" t="s">
        <v>66</v>
      </c>
      <c r="I77">
        <v>2</v>
      </c>
      <c r="J77" s="4">
        <v>8.5</v>
      </c>
      <c r="K77" s="4">
        <v>10.88</v>
      </c>
      <c r="L77" s="4">
        <f>K77-J77</f>
      </c>
      <c r="M77" s="4">
        <f>L77*16.67%</f>
      </c>
      <c r="N77" s="4">
        <v>0.5</v>
      </c>
      <c r="O77" s="4">
        <f>N77*20%</f>
      </c>
      <c r="P77" s="4">
        <v>0</v>
      </c>
      <c r="Q77" s="4">
        <f>P77*20%</f>
      </c>
      <c r="R77" s="4">
        <v>0</v>
      </c>
      <c r="S77" s="4">
        <f>Q77</f>
      </c>
      <c r="T77" s="4">
        <f>L77-M77-N77-P77-Q77-R77</f>
      </c>
      <c r="U77" s="4">
        <f>(T77-W77)/J77*100</f>
      </c>
      <c r="V77" s="4">
        <f>M77-S77</f>
      </c>
      <c r="X77" s="4">
        <f>T77-W77</f>
      </c>
      <c r="AC77" t="s">
        <v>1</v>
      </c>
    </row>
    <row r="78" spans="1:29" x14ac:dyDescent="0.25">
      <c r="A78" s="8">
        <v>46227.5</v>
      </c>
      <c r="B78" t="s">
        <v>3193</v>
      </c>
      <c r="C78" t="s">
        <v>1</v>
      </c>
      <c r="D78" s="9" t="s">
        <v>1</v>
      </c>
      <c r="E78" t="s">
        <v>1</v>
      </c>
      <c r="F78" t="s">
        <v>1</v>
      </c>
      <c r="G78" t="s">
        <v>1</v>
      </c>
      <c r="H78" t="s">
        <v>66</v>
      </c>
      <c r="I78">
        <v>1</v>
      </c>
      <c r="J78" s="4">
        <v>101</v>
      </c>
      <c r="K78" s="4">
        <v>138.37</v>
      </c>
      <c r="L78" s="4">
        <f>K78-J78</f>
      </c>
      <c r="M78" s="4">
        <f>L78*16.67%</f>
      </c>
      <c r="N78" s="4">
        <v>6.38</v>
      </c>
      <c r="O78" s="4">
        <f>N78*20%</f>
      </c>
      <c r="P78" s="4">
        <v>0</v>
      </c>
      <c r="Q78" s="4">
        <f>P78*20%</f>
      </c>
      <c r="R78" s="4">
        <v>1</v>
      </c>
      <c r="S78" s="4">
        <f>Q78</f>
      </c>
      <c r="T78" s="4">
        <f>L78-M78-N78-P78-Q78-R78</f>
      </c>
      <c r="U78" s="4">
        <f>(T78-W78)/J78*100</f>
      </c>
      <c r="V78" s="4">
        <f>M78-S78</f>
      </c>
      <c r="X78" s="4">
        <f>T78-W78</f>
      </c>
      <c r="AC78" t="s">
        <v>1</v>
      </c>
    </row>
    <row r="79" spans="1:29" x14ac:dyDescent="0.25">
      <c r="A79" s="8">
        <v>46226.5</v>
      </c>
      <c r="B79" t="s">
        <v>3194</v>
      </c>
      <c r="C79" t="s">
        <v>1</v>
      </c>
      <c r="D79" s="9" t="s">
        <v>3195</v>
      </c>
      <c r="E79" t="s">
        <v>64</v>
      </c>
      <c r="F79" t="s">
        <v>105</v>
      </c>
      <c r="G79" t="s">
        <v>65</v>
      </c>
      <c r="H79" t="s">
        <v>61</v>
      </c>
      <c r="I79">
        <v>1</v>
      </c>
      <c r="J79" s="4">
        <v>241</v>
      </c>
      <c r="K79" s="4">
        <v>318.12</v>
      </c>
      <c r="L79" s="4">
        <f>K79-J79</f>
      </c>
      <c r="M79" s="4">
        <f>L79*16.67%</f>
      </c>
      <c r="N79" s="4">
        <v>14.67</v>
      </c>
      <c r="O79" s="4">
        <f>N79*20%</f>
      </c>
      <c r="P79" s="4">
        <v>0</v>
      </c>
      <c r="Q79" s="4">
        <f>P79*20%</f>
      </c>
      <c r="R79" s="4">
        <v>1</v>
      </c>
      <c r="S79" s="4">
        <f>Q79</f>
      </c>
      <c r="T79" s="4">
        <f>L79-M79-N79-P79-Q79-R79</f>
      </c>
      <c r="U79" s="4">
        <f>(T79-W79)/J79*100</f>
      </c>
      <c r="V79" s="4">
        <f>M79-S79</f>
      </c>
      <c r="X79" s="4">
        <f>T79-W79</f>
      </c>
      <c r="AC79" t="s">
        <v>1</v>
      </c>
    </row>
    <row r="80" spans="1:29" x14ac:dyDescent="0.25">
      <c r="A80" s="8">
        <v>46226.5</v>
      </c>
      <c r="B80" t="s">
        <v>3196</v>
      </c>
      <c r="C80" t="s">
        <v>1</v>
      </c>
      <c r="D80" s="9" t="s">
        <v>3197</v>
      </c>
      <c r="E80" t="s">
        <v>98</v>
      </c>
      <c r="F80" t="s">
        <v>99</v>
      </c>
      <c r="G80" t="s">
        <v>60</v>
      </c>
      <c r="H80" t="s">
        <v>61</v>
      </c>
      <c r="I80">
        <v>1</v>
      </c>
      <c r="J80" s="4">
        <v>320</v>
      </c>
      <c r="K80" s="4">
        <v>432</v>
      </c>
      <c r="L80" s="4">
        <f>K80-J80</f>
      </c>
      <c r="M80" s="4">
        <f>L80*16.67%</f>
      </c>
      <c r="N80" s="4">
        <v>19.92</v>
      </c>
      <c r="O80" s="4">
        <f>N80*20%</f>
      </c>
      <c r="P80" s="4">
        <v>0</v>
      </c>
      <c r="Q80" s="4">
        <f>P80*20%</f>
      </c>
      <c r="R80" s="4">
        <v>1</v>
      </c>
      <c r="S80" s="4">
        <f>Q80</f>
      </c>
      <c r="T80" s="4">
        <f>L80-M80-N80-P80-Q80-R80</f>
      </c>
      <c r="U80" s="4">
        <f>(T80-W80)/J80*100</f>
      </c>
      <c r="V80" s="4">
        <f>M80-S80</f>
      </c>
      <c r="X80" s="4">
        <f>T80-W80</f>
      </c>
      <c r="AC80" t="s">
        <v>1</v>
      </c>
    </row>
    <row r="81" spans="1:29" x14ac:dyDescent="0.25">
      <c r="A81" s="8">
        <v>46225.5</v>
      </c>
      <c r="B81" t="s">
        <v>3198</v>
      </c>
      <c r="C81" t="s">
        <v>1</v>
      </c>
      <c r="D81" s="9" t="s">
        <v>3199</v>
      </c>
      <c r="E81" t="s">
        <v>81</v>
      </c>
      <c r="F81" t="s">
        <v>74</v>
      </c>
      <c r="G81" t="s">
        <v>60</v>
      </c>
      <c r="H81" t="s">
        <v>78</v>
      </c>
      <c r="I81">
        <v>1</v>
      </c>
      <c r="J81" s="4">
        <v>614</v>
      </c>
      <c r="K81" s="4">
        <v>792.06</v>
      </c>
      <c r="L81" s="4">
        <f>K81-J81</f>
      </c>
      <c r="M81" s="4">
        <f>L81*16.67%</f>
      </c>
      <c r="N81" s="4">
        <v>36.51</v>
      </c>
      <c r="O81" s="4">
        <f>N81*20%</f>
      </c>
      <c r="P81" s="4">
        <v>0</v>
      </c>
      <c r="Q81" s="4">
        <f>P81*20%</f>
      </c>
      <c r="R81" s="4">
        <v>1</v>
      </c>
      <c r="S81" s="4">
        <f>Q81</f>
      </c>
      <c r="T81" s="4">
        <f>L81-M81-N81-P81-Q81-R81</f>
      </c>
      <c r="U81" s="4">
        <f>(T81-W81)/J81*100</f>
      </c>
      <c r="V81" s="4">
        <f>M81-S81</f>
      </c>
      <c r="X81" s="4">
        <f>T81-W81</f>
      </c>
      <c r="AC81" t="s">
        <v>1</v>
      </c>
    </row>
    <row r="82" spans="1:29" x14ac:dyDescent="0.25">
      <c r="A82" s="8">
        <v>46225.5</v>
      </c>
      <c r="B82" t="s">
        <v>3200</v>
      </c>
      <c r="C82" t="s">
        <v>1</v>
      </c>
      <c r="D82" s="9" t="s">
        <v>3201</v>
      </c>
      <c r="E82" t="s">
        <v>69</v>
      </c>
      <c r="F82" t="s">
        <v>88</v>
      </c>
      <c r="G82" t="s">
        <v>60</v>
      </c>
      <c r="H82" t="s">
        <v>102</v>
      </c>
      <c r="I82">
        <v>1</v>
      </c>
      <c r="J82" s="4">
        <v>522</v>
      </c>
      <c r="K82" s="4">
        <v>709.92</v>
      </c>
      <c r="L82" s="4">
        <f>K82-J82</f>
      </c>
      <c r="M82" s="4">
        <f>L82*16.67%</f>
      </c>
      <c r="N82" s="4">
        <v>32.73</v>
      </c>
      <c r="O82" s="4">
        <f>N82*20%</f>
      </c>
      <c r="P82" s="4">
        <v>0</v>
      </c>
      <c r="Q82" s="4">
        <f>P82*20%</f>
      </c>
      <c r="R82" s="4">
        <v>1</v>
      </c>
      <c r="S82" s="4">
        <f>Q82</f>
      </c>
      <c r="T82" s="4">
        <f>L82-M82-N82-P82-Q82-R82</f>
      </c>
      <c r="U82" s="4">
        <f>(T82-W82)/J82*100</f>
      </c>
      <c r="V82" s="4">
        <f>M82-S82</f>
      </c>
      <c r="X82" s="4">
        <f>T82-W82</f>
      </c>
      <c r="AC82" t="s">
        <v>1</v>
      </c>
    </row>
    <row r="83" spans="1:29" x14ac:dyDescent="0.25">
      <c r="A83" s="8">
        <v>46225.5</v>
      </c>
      <c r="B83" t="s">
        <v>3202</v>
      </c>
      <c r="C83" t="s">
        <v>1</v>
      </c>
      <c r="D83" s="9" t="s">
        <v>3203</v>
      </c>
      <c r="E83" t="s">
        <v>292</v>
      </c>
      <c r="F83" t="s">
        <v>74</v>
      </c>
      <c r="G83" t="s">
        <v>126</v>
      </c>
      <c r="H83" t="s">
        <v>78</v>
      </c>
      <c r="I83">
        <v>1</v>
      </c>
      <c r="J83" s="4">
        <v>151</v>
      </c>
      <c r="K83" s="4">
        <v>203.85</v>
      </c>
      <c r="L83" s="4">
        <f>K83-J83</f>
      </c>
      <c r="M83" s="4">
        <f>L83*16.67%</f>
      </c>
      <c r="N83" s="4">
        <v>9.4</v>
      </c>
      <c r="O83" s="4">
        <f>N83*20%</f>
      </c>
      <c r="P83" s="4">
        <v>0</v>
      </c>
      <c r="Q83" s="4">
        <f>P83*20%</f>
      </c>
      <c r="R83" s="4">
        <v>1</v>
      </c>
      <c r="S83" s="4">
        <f>Q83</f>
      </c>
      <c r="T83" s="4">
        <f>L83-M83-N83-P83-Q83-R83</f>
      </c>
      <c r="U83" s="4">
        <f>(T83-W83)/J83*100</f>
      </c>
      <c r="V83" s="4">
        <f>M83-S83</f>
      </c>
      <c r="X83" s="4">
        <f>T83-W83</f>
      </c>
      <c r="AC83" t="s">
        <v>1</v>
      </c>
    </row>
    <row r="84" spans="1:29" x14ac:dyDescent="0.25">
      <c r="A84" s="8">
        <v>46224.5</v>
      </c>
      <c r="B84" t="s">
        <v>3204</v>
      </c>
      <c r="C84" t="s">
        <v>1</v>
      </c>
      <c r="D84" s="9" t="s">
        <v>3205</v>
      </c>
      <c r="E84" t="s">
        <v>94</v>
      </c>
      <c r="F84" t="s">
        <v>99</v>
      </c>
      <c r="G84" t="s">
        <v>95</v>
      </c>
      <c r="H84" t="s">
        <v>102</v>
      </c>
      <c r="I84">
        <v>1</v>
      </c>
      <c r="J84" s="4">
        <v>73</v>
      </c>
      <c r="K84" s="4">
        <v>88.33</v>
      </c>
      <c r="L84" s="4">
        <f>K84-J84</f>
      </c>
      <c r="M84" s="4">
        <f>L84*16.67%</f>
      </c>
      <c r="N84" s="4">
        <v>4.07</v>
      </c>
      <c r="O84" s="4">
        <f>N84*20%</f>
      </c>
      <c r="P84" s="4">
        <v>0</v>
      </c>
      <c r="Q84" s="4">
        <f>P84*20%</f>
      </c>
      <c r="R84" s="4">
        <v>1</v>
      </c>
      <c r="S84" s="4">
        <f>Q84</f>
      </c>
      <c r="T84" s="4">
        <f>L84-M84-N84-P84-Q84-R84</f>
      </c>
      <c r="U84" s="4">
        <f>(T84-W84)/J84*100</f>
      </c>
      <c r="V84" s="4">
        <f>M84-S84</f>
      </c>
      <c r="X84" s="4">
        <f>T84-W84</f>
      </c>
      <c r="AC84" t="s">
        <v>1</v>
      </c>
    </row>
    <row r="85" spans="1:29" x14ac:dyDescent="0.25">
      <c r="A85" s="8">
        <v>46224.5</v>
      </c>
      <c r="B85" t="s">
        <v>3206</v>
      </c>
      <c r="C85" t="s">
        <v>1</v>
      </c>
      <c r="D85" s="9" t="s">
        <v>3207</v>
      </c>
      <c r="E85" t="s">
        <v>125</v>
      </c>
      <c r="F85" t="s">
        <v>99</v>
      </c>
      <c r="G85" t="s">
        <v>126</v>
      </c>
      <c r="H85" t="s">
        <v>66</v>
      </c>
      <c r="I85">
        <v>1</v>
      </c>
      <c r="J85" s="4">
        <v>270</v>
      </c>
      <c r="K85" s="4">
        <v>375.3</v>
      </c>
      <c r="L85" s="4">
        <f>K85-J85</f>
      </c>
      <c r="M85" s="4">
        <f>L85*16.67%</f>
      </c>
      <c r="N85" s="4">
        <v>17.3</v>
      </c>
      <c r="O85" s="4">
        <f>N85*20%</f>
      </c>
      <c r="P85" s="4">
        <v>0</v>
      </c>
      <c r="Q85" s="4">
        <f>P85*20%</f>
      </c>
      <c r="R85" s="4">
        <v>1</v>
      </c>
      <c r="S85" s="4">
        <f>Q85</f>
      </c>
      <c r="T85" s="4">
        <f>L85-M85-N85-P85-Q85-R85</f>
      </c>
      <c r="U85" s="4">
        <f>(T85-W85)/J85*100</f>
      </c>
      <c r="V85" s="4">
        <f>M85-S85</f>
      </c>
      <c r="X85" s="4">
        <f>T85-W85</f>
      </c>
      <c r="AC85" t="s">
        <v>1</v>
      </c>
    </row>
    <row r="86" spans="1:29" x14ac:dyDescent="0.25">
      <c r="A86" s="8">
        <v>46223.5</v>
      </c>
      <c r="B86" t="s">
        <v>3208</v>
      </c>
      <c r="C86" t="s">
        <v>1</v>
      </c>
      <c r="D86" s="9" t="s">
        <v>3209</v>
      </c>
      <c r="E86" t="s">
        <v>73</v>
      </c>
      <c r="F86" t="s">
        <v>59</v>
      </c>
      <c r="G86" t="s">
        <v>60</v>
      </c>
      <c r="H86" t="s">
        <v>75</v>
      </c>
      <c r="I86">
        <v>1</v>
      </c>
      <c r="J86" s="4">
        <v>368</v>
      </c>
      <c r="K86" s="4">
        <v>437.92</v>
      </c>
      <c r="L86" s="4">
        <f>K86-J86</f>
      </c>
      <c r="M86" s="4">
        <f>L86*16.67%</f>
      </c>
      <c r="N86" s="4">
        <v>20.19</v>
      </c>
      <c r="O86" s="4">
        <f>N86*20%</f>
      </c>
      <c r="P86" s="4">
        <v>0</v>
      </c>
      <c r="Q86" s="4">
        <f>P86*20%</f>
      </c>
      <c r="R86" s="4">
        <v>1</v>
      </c>
      <c r="S86" s="4">
        <f>Q86</f>
      </c>
      <c r="T86" s="4">
        <f>L86-M86-N86-P86-Q86-R86</f>
      </c>
      <c r="U86" s="4">
        <f>(T86-W86)/J86*100</f>
      </c>
      <c r="V86" s="4">
        <f>M86-S86</f>
      </c>
      <c r="X86" s="4">
        <f>T86-W86</f>
      </c>
      <c r="AC86" t="s">
        <v>1</v>
      </c>
    </row>
    <row r="87" spans="1:29" x14ac:dyDescent="0.25">
      <c r="A87" s="8">
        <v>46222.5</v>
      </c>
      <c r="B87" t="s">
        <v>3210</v>
      </c>
      <c r="C87" t="s">
        <v>1</v>
      </c>
      <c r="D87" s="9" t="s">
        <v>3211</v>
      </c>
      <c r="E87" t="s">
        <v>114</v>
      </c>
      <c r="F87" t="s">
        <v>70</v>
      </c>
      <c r="G87" t="s">
        <v>60</v>
      </c>
      <c r="H87" t="s">
        <v>66</v>
      </c>
      <c r="I87">
        <v>1</v>
      </c>
      <c r="J87" s="4">
        <v>247</v>
      </c>
      <c r="K87" s="4">
        <v>298.87</v>
      </c>
      <c r="L87" s="4">
        <f>K87-J87</f>
      </c>
      <c r="M87" s="4">
        <f>L87*16.67%</f>
      </c>
      <c r="N87" s="4">
        <v>13.78</v>
      </c>
      <c r="O87" s="4">
        <f>N87*20%</f>
      </c>
      <c r="P87" s="4">
        <v>0</v>
      </c>
      <c r="Q87" s="4">
        <f>P87*20%</f>
      </c>
      <c r="R87" s="4">
        <v>1</v>
      </c>
      <c r="S87" s="4">
        <f>Q87</f>
      </c>
      <c r="T87" s="4">
        <f>L87-M87-N87-P87-Q87-R87</f>
      </c>
      <c r="U87" s="4">
        <f>(T87-W87)/J87*100</f>
      </c>
      <c r="V87" s="4">
        <f>M87-S87</f>
      </c>
      <c r="X87" s="4">
        <f>T87-W87</f>
      </c>
      <c r="AC87" t="s">
        <v>1</v>
      </c>
    </row>
    <row r="88" spans="1:29" x14ac:dyDescent="0.25">
      <c r="A88" s="8">
        <v>46222.5</v>
      </c>
      <c r="B88" t="s">
        <v>3212</v>
      </c>
      <c r="C88" t="s">
        <v>1</v>
      </c>
      <c r="D88" s="9" t="s">
        <v>3213</v>
      </c>
      <c r="E88" t="s">
        <v>114</v>
      </c>
      <c r="F88" t="s">
        <v>74</v>
      </c>
      <c r="G88" t="s">
        <v>60</v>
      </c>
      <c r="H88" t="s">
        <v>75</v>
      </c>
      <c r="I88">
        <v>1</v>
      </c>
      <c r="J88" s="4">
        <v>216</v>
      </c>
      <c r="K88" s="4">
        <v>289.44</v>
      </c>
      <c r="L88" s="4">
        <f>K88-J88</f>
      </c>
      <c r="M88" s="4">
        <f>L88*16.67%</f>
      </c>
      <c r="N88" s="4">
        <v>13.34</v>
      </c>
      <c r="O88" s="4">
        <f>N88*20%</f>
      </c>
      <c r="P88" s="4">
        <v>0</v>
      </c>
      <c r="Q88" s="4">
        <f>P88*20%</f>
      </c>
      <c r="R88" s="4">
        <v>1</v>
      </c>
      <c r="S88" s="4">
        <f>Q88</f>
      </c>
      <c r="T88" s="4">
        <f>L88-M88-N88-P88-Q88-R88</f>
      </c>
      <c r="U88" s="4">
        <f>(T88-W88)/J88*100</f>
      </c>
      <c r="V88" s="4">
        <f>M88-S88</f>
      </c>
      <c r="X88" s="4">
        <f>T88-W88</f>
      </c>
      <c r="AC88" t="s">
        <v>1</v>
      </c>
    </row>
    <row r="89" spans="1:29" x14ac:dyDescent="0.25">
      <c r="A89" s="8">
        <v>46222.5</v>
      </c>
      <c r="B89" t="s">
        <v>3214</v>
      </c>
      <c r="C89" t="s">
        <v>1</v>
      </c>
      <c r="D89" s="9" t="s">
        <v>3215</v>
      </c>
      <c r="E89" t="s">
        <v>94</v>
      </c>
      <c r="F89" t="s">
        <v>70</v>
      </c>
      <c r="G89" t="s">
        <v>95</v>
      </c>
      <c r="H89" t="s">
        <v>102</v>
      </c>
      <c r="I89">
        <v>1</v>
      </c>
      <c r="J89" s="4">
        <v>66</v>
      </c>
      <c r="K89" s="4">
        <v>79.86</v>
      </c>
      <c r="L89" s="4">
        <f>K89-J89</f>
      </c>
      <c r="M89" s="4">
        <f>L89*16.67%</f>
      </c>
      <c r="N89" s="4">
        <v>3.68</v>
      </c>
      <c r="O89" s="4">
        <f>N89*20%</f>
      </c>
      <c r="P89" s="4">
        <v>0</v>
      </c>
      <c r="Q89" s="4">
        <f>P89*20%</f>
      </c>
      <c r="R89" s="4">
        <v>1</v>
      </c>
      <c r="S89" s="4">
        <f>Q89</f>
      </c>
      <c r="T89" s="4">
        <f>L89-M89-N89-P89-Q89-R89</f>
      </c>
      <c r="U89" s="4">
        <f>(T89-W89)/J89*100</f>
      </c>
      <c r="V89" s="4">
        <f>M89-S89</f>
      </c>
      <c r="X89" s="4">
        <f>T89-W89</f>
      </c>
      <c r="AC89" t="s">
        <v>1</v>
      </c>
    </row>
    <row r="90" spans="1:29" x14ac:dyDescent="0.25">
      <c r="A90" s="8">
        <v>46222.5</v>
      </c>
      <c r="B90" t="s">
        <v>3216</v>
      </c>
      <c r="C90" t="s">
        <v>1</v>
      </c>
      <c r="D90" s="9" t="s">
        <v>3217</v>
      </c>
      <c r="E90" t="s">
        <v>64</v>
      </c>
      <c r="F90" t="s">
        <v>70</v>
      </c>
      <c r="G90" t="s">
        <v>65</v>
      </c>
      <c r="H90" t="s">
        <v>61</v>
      </c>
      <c r="I90">
        <v>1</v>
      </c>
      <c r="J90" s="4">
        <v>242</v>
      </c>
      <c r="K90" s="4">
        <v>302.5</v>
      </c>
      <c r="L90" s="4">
        <f>K90-J90</f>
      </c>
      <c r="M90" s="4">
        <f>L90*16.67%</f>
      </c>
      <c r="N90" s="4">
        <v>13.95</v>
      </c>
      <c r="O90" s="4">
        <f>N90*20%</f>
      </c>
      <c r="P90" s="4">
        <v>0</v>
      </c>
      <c r="Q90" s="4">
        <f>P90*20%</f>
      </c>
      <c r="R90" s="4">
        <v>1</v>
      </c>
      <c r="S90" s="4">
        <f>Q90</f>
      </c>
      <c r="T90" s="4">
        <f>L90-M90-N90-P90-Q90-R90</f>
      </c>
      <c r="U90" s="4">
        <f>(T90-W90)/J90*100</f>
      </c>
      <c r="V90" s="4">
        <f>M90-S90</f>
      </c>
      <c r="X90" s="4">
        <f>T90-W90</f>
      </c>
      <c r="AC90" t="s">
        <v>1</v>
      </c>
    </row>
    <row r="91" spans="1:29" x14ac:dyDescent="0.25">
      <c r="A91" s="8">
        <v>46222.5</v>
      </c>
      <c r="B91" t="s">
        <v>3218</v>
      </c>
      <c r="C91" t="s">
        <v>1</v>
      </c>
      <c r="D91" s="9" t="s">
        <v>3219</v>
      </c>
      <c r="E91" t="s">
        <v>91</v>
      </c>
      <c r="F91" t="s">
        <v>88</v>
      </c>
      <c r="G91" t="s">
        <v>95</v>
      </c>
      <c r="H91" t="s">
        <v>61</v>
      </c>
      <c r="I91">
        <v>1</v>
      </c>
      <c r="J91" s="4">
        <v>101</v>
      </c>
      <c r="K91" s="4">
        <v>140.39</v>
      </c>
      <c r="L91" s="4">
        <f>K91-J91</f>
      </c>
      <c r="M91" s="4">
        <f>L91*16.67%</f>
      </c>
      <c r="N91" s="4">
        <v>6.47</v>
      </c>
      <c r="O91" s="4">
        <f>N91*20%</f>
      </c>
      <c r="P91" s="4">
        <v>0</v>
      </c>
      <c r="Q91" s="4">
        <f>P91*20%</f>
      </c>
      <c r="R91" s="4">
        <v>1</v>
      </c>
      <c r="S91" s="4">
        <f>Q91</f>
      </c>
      <c r="T91" s="4">
        <f>L91-M91-N91-P91-Q91-R91</f>
      </c>
      <c r="U91" s="4">
        <f>(T91-W91)/J91*100</f>
      </c>
      <c r="V91" s="4">
        <f>M91-S91</f>
      </c>
      <c r="X91" s="4">
        <f>T91-W91</f>
      </c>
      <c r="AC91" t="s">
        <v>1</v>
      </c>
    </row>
    <row r="92" spans="1:29" x14ac:dyDescent="0.25">
      <c r="A92" s="8">
        <v>46222.5</v>
      </c>
      <c r="B92" t="s">
        <v>3220</v>
      </c>
      <c r="C92" t="s">
        <v>182</v>
      </c>
      <c r="D92" s="9" t="s">
        <v>1</v>
      </c>
      <c r="E92" t="s">
        <v>182</v>
      </c>
      <c r="F92" t="s">
        <v>1</v>
      </c>
      <c r="G92" t="s">
        <v>1</v>
      </c>
      <c r="H92" t="s">
        <v>75</v>
      </c>
      <c r="I92">
        <v>2</v>
      </c>
      <c r="J92" s="4">
        <v>3.8</v>
      </c>
      <c r="K92" s="4">
        <v>4.9</v>
      </c>
      <c r="L92" s="4">
        <f>K92-J92</f>
      </c>
      <c r="M92" s="4">
        <f>L92*16.67%</f>
      </c>
      <c r="N92" s="4">
        <v>0.23</v>
      </c>
      <c r="O92" s="4">
        <f>N92*20%</f>
      </c>
      <c r="P92" s="4">
        <v>0</v>
      </c>
      <c r="Q92" s="4">
        <f>P92*20%</f>
      </c>
      <c r="R92" s="4">
        <v>0</v>
      </c>
      <c r="S92" s="4">
        <f>Q92</f>
      </c>
      <c r="T92" s="4">
        <f>L92-M92-N92-P92-Q92-R92</f>
      </c>
      <c r="U92" s="4">
        <f>(T92-W92)/J92*100</f>
      </c>
      <c r="V92" s="4">
        <f>M92-S92</f>
      </c>
      <c r="X92" s="4">
        <f>T92-W92</f>
      </c>
      <c r="AC92" t="s">
        <v>1</v>
      </c>
    </row>
    <row r="93" spans="1:29" x14ac:dyDescent="0.25">
      <c r="A93" s="8">
        <v>46221.5</v>
      </c>
      <c r="B93" t="s">
        <v>3221</v>
      </c>
      <c r="C93" t="s">
        <v>1</v>
      </c>
      <c r="D93" s="9" t="s">
        <v>3222</v>
      </c>
      <c r="E93" t="s">
        <v>81</v>
      </c>
      <c r="F93" t="s">
        <v>88</v>
      </c>
      <c r="G93" t="s">
        <v>60</v>
      </c>
      <c r="H93" t="s">
        <v>75</v>
      </c>
      <c r="I93">
        <v>1</v>
      </c>
      <c r="J93" s="4">
        <v>554</v>
      </c>
      <c r="K93" s="4">
        <v>764.52</v>
      </c>
      <c r="L93" s="4">
        <f>K93-J93</f>
      </c>
      <c r="M93" s="4">
        <f>L93*16.67%</f>
      </c>
      <c r="N93" s="4">
        <v>35.24</v>
      </c>
      <c r="O93" s="4">
        <f>N93*20%</f>
      </c>
      <c r="P93" s="4">
        <v>0</v>
      </c>
      <c r="Q93" s="4">
        <f>P93*20%</f>
      </c>
      <c r="R93" s="4">
        <v>1</v>
      </c>
      <c r="S93" s="4">
        <f>Q93</f>
      </c>
      <c r="T93" s="4">
        <f>L93-M93-N93-P93-Q93-R93</f>
      </c>
      <c r="U93" s="4">
        <f>(T93-W93)/J93*100</f>
      </c>
      <c r="V93" s="4">
        <f>M93-S93</f>
      </c>
      <c r="X93" s="4">
        <f>T93-W93</f>
      </c>
      <c r="AC93" t="s">
        <v>1</v>
      </c>
    </row>
    <row r="94" spans="1:29" x14ac:dyDescent="0.25">
      <c r="A94" s="8">
        <v>46221.5</v>
      </c>
      <c r="B94" t="s">
        <v>3223</v>
      </c>
      <c r="C94" t="s">
        <v>1</v>
      </c>
      <c r="D94" s="9" t="s">
        <v>3224</v>
      </c>
      <c r="E94" t="s">
        <v>94</v>
      </c>
      <c r="F94" t="s">
        <v>85</v>
      </c>
      <c r="G94" t="s">
        <v>95</v>
      </c>
      <c r="H94" t="s">
        <v>75</v>
      </c>
      <c r="I94">
        <v>1</v>
      </c>
      <c r="J94" s="4">
        <v>74</v>
      </c>
      <c r="K94" s="4">
        <v>88.06</v>
      </c>
      <c r="L94" s="4">
        <f>K94-J94</f>
      </c>
      <c r="M94" s="4">
        <f>L94*16.67%</f>
      </c>
      <c r="N94" s="4">
        <v>4.06</v>
      </c>
      <c r="O94" s="4">
        <f>N94*20%</f>
      </c>
      <c r="P94" s="4">
        <v>0</v>
      </c>
      <c r="Q94" s="4">
        <f>P94*20%</f>
      </c>
      <c r="R94" s="4">
        <v>1</v>
      </c>
      <c r="S94" s="4">
        <f>Q94</f>
      </c>
      <c r="T94" s="4">
        <f>L94-M94-N94-P94-Q94-R94</f>
      </c>
      <c r="U94" s="4">
        <f>(T94-W94)/J94*100</f>
      </c>
      <c r="V94" s="4">
        <f>M94-S94</f>
      </c>
      <c r="X94" s="4">
        <f>T94-W94</f>
      </c>
      <c r="AC94" t="s">
        <v>1</v>
      </c>
    </row>
    <row r="95" spans="1:29" x14ac:dyDescent="0.25">
      <c r="A95" s="8">
        <v>46221.5</v>
      </c>
      <c r="B95" t="s">
        <v>3225</v>
      </c>
      <c r="C95" t="s">
        <v>1</v>
      </c>
      <c r="D95" s="9" t="s">
        <v>3226</v>
      </c>
      <c r="E95" t="s">
        <v>81</v>
      </c>
      <c r="F95" t="s">
        <v>85</v>
      </c>
      <c r="G95" t="s">
        <v>60</v>
      </c>
      <c r="H95" t="s">
        <v>78</v>
      </c>
      <c r="I95">
        <v>1</v>
      </c>
      <c r="J95" s="4">
        <v>553</v>
      </c>
      <c r="K95" s="4">
        <v>707.84</v>
      </c>
      <c r="L95" s="4">
        <f>K95-J95</f>
      </c>
      <c r="M95" s="4">
        <f>L95*16.67%</f>
      </c>
      <c r="N95" s="4">
        <v>32.63</v>
      </c>
      <c r="O95" s="4">
        <f>N95*20%</f>
      </c>
      <c r="P95" s="4">
        <v>0</v>
      </c>
      <c r="Q95" s="4">
        <f>P95*20%</f>
      </c>
      <c r="R95" s="4">
        <v>1</v>
      </c>
      <c r="S95" s="4">
        <f>Q95</f>
      </c>
      <c r="T95" s="4">
        <f>L95-M95-N95-P95-Q95-R95</f>
      </c>
      <c r="U95" s="4">
        <f>(T95-W95)/J95*100</f>
      </c>
      <c r="V95" s="4">
        <f>M95-S95</f>
      </c>
      <c r="X95" s="4">
        <f>T95-W95</f>
      </c>
      <c r="AC95" t="s">
        <v>1</v>
      </c>
    </row>
    <row r="96" spans="1:29" x14ac:dyDescent="0.25">
      <c r="A96" s="8">
        <v>46221.5</v>
      </c>
      <c r="B96" t="s">
        <v>3227</v>
      </c>
      <c r="C96" t="s">
        <v>1</v>
      </c>
      <c r="D96" s="9" t="s">
        <v>3228</v>
      </c>
      <c r="E96" t="s">
        <v>134</v>
      </c>
      <c r="F96" t="s">
        <v>74</v>
      </c>
      <c r="G96" t="s">
        <v>65</v>
      </c>
      <c r="H96" t="s">
        <v>102</v>
      </c>
      <c r="I96">
        <v>1</v>
      </c>
      <c r="J96" s="4">
        <v>103</v>
      </c>
      <c r="K96" s="4">
        <v>133.9</v>
      </c>
      <c r="L96" s="4">
        <f>K96-J96</f>
      </c>
      <c r="M96" s="4">
        <f>L96*16.67%</f>
      </c>
      <c r="N96" s="4">
        <v>6.17</v>
      </c>
      <c r="O96" s="4">
        <f>N96*20%</f>
      </c>
      <c r="P96" s="4">
        <v>0</v>
      </c>
      <c r="Q96" s="4">
        <f>P96*20%</f>
      </c>
      <c r="R96" s="4">
        <v>1</v>
      </c>
      <c r="S96" s="4">
        <f>Q96</f>
      </c>
      <c r="T96" s="4">
        <f>L96-M96-N96-P96-Q96-R96</f>
      </c>
      <c r="U96" s="4">
        <f>(T96-W96)/J96*100</f>
      </c>
      <c r="V96" s="4">
        <f>M96-S96</f>
      </c>
      <c r="X96" s="4">
        <f>T96-W96</f>
      </c>
      <c r="AC96" t="s">
        <v>1</v>
      </c>
    </row>
    <row r="97" spans="1:29" x14ac:dyDescent="0.25">
      <c r="A97" s="8">
        <v>46221.5</v>
      </c>
      <c r="B97" t="s">
        <v>3229</v>
      </c>
      <c r="C97" t="s">
        <v>174</v>
      </c>
      <c r="D97" s="9" t="s">
        <v>1</v>
      </c>
      <c r="E97" t="s">
        <v>174</v>
      </c>
      <c r="F97" t="s">
        <v>1</v>
      </c>
      <c r="G97" t="s">
        <v>1</v>
      </c>
      <c r="H97" t="s">
        <v>66</v>
      </c>
      <c r="I97">
        <v>1</v>
      </c>
      <c r="J97" s="4">
        <v>4.25</v>
      </c>
      <c r="K97" s="4">
        <v>5.53</v>
      </c>
      <c r="L97" s="4">
        <f>K97-J97</f>
      </c>
      <c r="M97" s="4">
        <f>L97*16.67%</f>
      </c>
      <c r="N97" s="4">
        <v>0.25</v>
      </c>
      <c r="O97" s="4">
        <f>N97*20%</f>
      </c>
      <c r="P97" s="4">
        <v>0</v>
      </c>
      <c r="Q97" s="4">
        <f>P97*20%</f>
      </c>
      <c r="R97" s="4">
        <v>0</v>
      </c>
      <c r="S97" s="4">
        <f>Q97</f>
      </c>
      <c r="T97" s="4">
        <f>L97-M97-N97-P97-Q97-R97</f>
      </c>
      <c r="U97" s="4">
        <f>(T97-W97)/J97*100</f>
      </c>
      <c r="V97" s="4">
        <f>M97-S97</f>
      </c>
      <c r="X97" s="4">
        <f>T97-W97</f>
      </c>
      <c r="AC97" t="s">
        <v>1</v>
      </c>
    </row>
    <row r="98" spans="1:29" x14ac:dyDescent="0.25">
      <c r="A98" s="8">
        <v>46220.5</v>
      </c>
      <c r="B98" t="s">
        <v>3230</v>
      </c>
      <c r="C98" t="s">
        <v>1</v>
      </c>
      <c r="D98" s="9" t="s">
        <v>3231</v>
      </c>
      <c r="E98" t="s">
        <v>73</v>
      </c>
      <c r="F98" t="s">
        <v>105</v>
      </c>
      <c r="G98" t="s">
        <v>60</v>
      </c>
      <c r="H98" t="s">
        <v>102</v>
      </c>
      <c r="I98">
        <v>1</v>
      </c>
      <c r="J98" s="4">
        <v>361</v>
      </c>
      <c r="K98" s="4">
        <v>494.57</v>
      </c>
      <c r="L98" s="4">
        <f>K98-J98</f>
      </c>
      <c r="M98" s="4">
        <f>L98*16.67%</f>
      </c>
      <c r="N98" s="4">
        <v>22.8</v>
      </c>
      <c r="O98" s="4">
        <f>N98*20%</f>
      </c>
      <c r="P98" s="4">
        <v>0</v>
      </c>
      <c r="Q98" s="4">
        <f>P98*20%</f>
      </c>
      <c r="R98" s="4">
        <v>1</v>
      </c>
      <c r="S98" s="4">
        <f>Q98</f>
      </c>
      <c r="T98" s="4">
        <f>L98-M98-N98-P98-Q98-R98</f>
      </c>
      <c r="U98" s="4">
        <f>(T98-W98)/J98*100</f>
      </c>
      <c r="V98" s="4">
        <f>M98-S98</f>
      </c>
      <c r="X98" s="4">
        <f>T98-W98</f>
      </c>
      <c r="AC98" t="s">
        <v>1</v>
      </c>
    </row>
    <row r="99" spans="1:29" x14ac:dyDescent="0.25">
      <c r="A99" s="8">
        <v>46220.5</v>
      </c>
      <c r="B99" t="s">
        <v>3232</v>
      </c>
      <c r="C99" t="s">
        <v>174</v>
      </c>
      <c r="D99" s="9" t="s">
        <v>1</v>
      </c>
      <c r="E99" t="s">
        <v>174</v>
      </c>
      <c r="F99" t="s">
        <v>1</v>
      </c>
      <c r="G99" t="s">
        <v>1</v>
      </c>
      <c r="H99" t="s">
        <v>66</v>
      </c>
      <c r="I99">
        <v>1</v>
      </c>
      <c r="J99" s="4">
        <v>4.25</v>
      </c>
      <c r="K99" s="4">
        <v>5.31</v>
      </c>
      <c r="L99" s="4">
        <f>K99-J99</f>
      </c>
      <c r="M99" s="4">
        <f>L99*16.67%</f>
      </c>
      <c r="N99" s="4">
        <v>0.24</v>
      </c>
      <c r="O99" s="4">
        <f>N99*20%</f>
      </c>
      <c r="P99" s="4">
        <v>0</v>
      </c>
      <c r="Q99" s="4">
        <f>P99*20%</f>
      </c>
      <c r="R99" s="4">
        <v>0</v>
      </c>
      <c r="S99" s="4">
        <f>Q99</f>
      </c>
      <c r="T99" s="4">
        <f>L99-M99-N99-P99-Q99-R99</f>
      </c>
      <c r="U99" s="4">
        <f>(T99-W99)/J99*100</f>
      </c>
      <c r="V99" s="4">
        <f>M99-S99</f>
      </c>
      <c r="X99" s="4">
        <f>T99-W99</f>
      </c>
      <c r="AC99" t="s">
        <v>1</v>
      </c>
    </row>
    <row r="100" spans="1:29" x14ac:dyDescent="0.25">
      <c r="A100" s="8">
        <v>46219.5</v>
      </c>
      <c r="B100" t="s">
        <v>3233</v>
      </c>
      <c r="C100" t="s">
        <v>1</v>
      </c>
      <c r="D100" s="9" t="s">
        <v>3234</v>
      </c>
      <c r="E100" t="s">
        <v>131</v>
      </c>
      <c r="F100" t="s">
        <v>99</v>
      </c>
      <c r="G100" t="s">
        <v>65</v>
      </c>
      <c r="H100" t="s">
        <v>102</v>
      </c>
      <c r="I100">
        <v>1</v>
      </c>
      <c r="J100" s="4">
        <v>281</v>
      </c>
      <c r="K100" s="4">
        <v>348.44</v>
      </c>
      <c r="L100" s="4">
        <f>K100-J100</f>
      </c>
      <c r="M100" s="4">
        <f>L100*16.67%</f>
      </c>
      <c r="N100" s="4">
        <v>16.06</v>
      </c>
      <c r="O100" s="4">
        <f>N100*20%</f>
      </c>
      <c r="P100" s="4">
        <v>0</v>
      </c>
      <c r="Q100" s="4">
        <f>P100*20%</f>
      </c>
      <c r="R100" s="4">
        <v>1</v>
      </c>
      <c r="S100" s="4">
        <f>Q100</f>
      </c>
      <c r="T100" s="4">
        <f>L100-M100-N100-P100-Q100-R100</f>
      </c>
      <c r="U100" s="4">
        <f>(T100-W100)/J100*100</f>
      </c>
      <c r="V100" s="4">
        <f>M100-S100</f>
      </c>
      <c r="X100" s="4">
        <f>T100-W100</f>
      </c>
      <c r="AC100" t="s">
        <v>1</v>
      </c>
    </row>
    <row r="101" spans="1:29" x14ac:dyDescent="0.25">
      <c r="A101" s="8">
        <v>46219.5</v>
      </c>
      <c r="B101" t="s">
        <v>3235</v>
      </c>
      <c r="C101" t="s">
        <v>1</v>
      </c>
      <c r="D101" s="9" t="s">
        <v>3236</v>
      </c>
      <c r="E101" t="s">
        <v>58</v>
      </c>
      <c r="F101" t="s">
        <v>70</v>
      </c>
      <c r="G101" t="s">
        <v>60</v>
      </c>
      <c r="H101" t="s">
        <v>75</v>
      </c>
      <c r="I101">
        <v>1</v>
      </c>
      <c r="J101" s="4">
        <v>474</v>
      </c>
      <c r="K101" s="4">
        <v>625.68</v>
      </c>
      <c r="L101" s="4">
        <f>K101-J101</f>
      </c>
      <c r="M101" s="4">
        <f>L101*16.67%</f>
      </c>
      <c r="N101" s="4">
        <v>28.84</v>
      </c>
      <c r="O101" s="4">
        <f>N101*20%</f>
      </c>
      <c r="P101" s="4">
        <v>0</v>
      </c>
      <c r="Q101" s="4">
        <f>P101*20%</f>
      </c>
      <c r="R101" s="4">
        <v>1</v>
      </c>
      <c r="S101" s="4">
        <f>Q101</f>
      </c>
      <c r="T101" s="4">
        <f>L101-M101-N101-P101-Q101-R101</f>
      </c>
      <c r="U101" s="4">
        <f>(T101-W101)/J101*100</f>
      </c>
      <c r="V101" s="4">
        <f>M101-S101</f>
      </c>
      <c r="X101" s="4">
        <f>T101-W101</f>
      </c>
      <c r="AC101" t="s">
        <v>1</v>
      </c>
    </row>
    <row r="102" spans="1:29" x14ac:dyDescent="0.25">
      <c r="A102" s="8">
        <v>46219.5</v>
      </c>
      <c r="B102" t="s">
        <v>3237</v>
      </c>
      <c r="C102" t="s">
        <v>174</v>
      </c>
      <c r="D102" s="9" t="s">
        <v>1</v>
      </c>
      <c r="E102" t="s">
        <v>174</v>
      </c>
      <c r="F102" t="s">
        <v>1</v>
      </c>
      <c r="G102" t="s">
        <v>1</v>
      </c>
      <c r="H102" t="s">
        <v>66</v>
      </c>
      <c r="I102">
        <v>4</v>
      </c>
      <c r="J102" s="4">
        <v>17</v>
      </c>
      <c r="K102" s="4">
        <v>20.06</v>
      </c>
      <c r="L102" s="4">
        <f>K102-J102</f>
      </c>
      <c r="M102" s="4">
        <f>L102*16.67%</f>
      </c>
      <c r="N102" s="4">
        <v>0.92</v>
      </c>
      <c r="O102" s="4">
        <f>N102*20%</f>
      </c>
      <c r="P102" s="4">
        <v>0</v>
      </c>
      <c r="Q102" s="4">
        <f>P102*20%</f>
      </c>
      <c r="R102" s="4">
        <v>0</v>
      </c>
      <c r="S102" s="4">
        <f>Q102</f>
      </c>
      <c r="T102" s="4">
        <f>L102-M102-N102-P102-Q102-R102</f>
      </c>
      <c r="U102" s="4">
        <f>(T102-W102)/J102*100</f>
      </c>
      <c r="V102" s="4">
        <f>M102-S102</f>
      </c>
      <c r="X102" s="4">
        <f>T102-W102</f>
      </c>
      <c r="AC102" t="s">
        <v>1</v>
      </c>
    </row>
    <row r="103" spans="1:29" x14ac:dyDescent="0.25">
      <c r="A103" s="8">
        <v>46219.5</v>
      </c>
      <c r="B103" t="s">
        <v>3238</v>
      </c>
      <c r="C103" t="s">
        <v>1</v>
      </c>
      <c r="D103" s="9" t="s">
        <v>1</v>
      </c>
      <c r="E103" t="s">
        <v>1</v>
      </c>
      <c r="F103" t="s">
        <v>1</v>
      </c>
      <c r="G103" t="s">
        <v>1</v>
      </c>
      <c r="H103" t="s">
        <v>78</v>
      </c>
      <c r="I103">
        <v>1</v>
      </c>
      <c r="J103" s="4">
        <v>181</v>
      </c>
      <c r="K103" s="4">
        <v>226.25</v>
      </c>
      <c r="L103" s="4">
        <f>K103-J103</f>
      </c>
      <c r="M103" s="4">
        <f>L103*16.67%</f>
      </c>
      <c r="N103" s="4">
        <v>10.43</v>
      </c>
      <c r="O103" s="4">
        <f>N103*20%</f>
      </c>
      <c r="P103" s="4">
        <v>0</v>
      </c>
      <c r="Q103" s="4">
        <f>P103*20%</f>
      </c>
      <c r="R103" s="4">
        <v>1</v>
      </c>
      <c r="S103" s="4">
        <f>Q103</f>
      </c>
      <c r="T103" s="4">
        <f>L103-M103-N103-P103-Q103-R103</f>
      </c>
      <c r="U103" s="4">
        <f>(T103-W103)/J103*100</f>
      </c>
      <c r="V103" s="4">
        <f>M103-S103</f>
      </c>
      <c r="X103" s="4">
        <f>T103-W103</f>
      </c>
      <c r="AC103" t="s">
        <v>1</v>
      </c>
    </row>
    <row r="104" spans="1:29" x14ac:dyDescent="0.25">
      <c r="A104" s="8">
        <v>46218.5</v>
      </c>
      <c r="B104" t="s">
        <v>3239</v>
      </c>
      <c r="C104" t="s">
        <v>1</v>
      </c>
      <c r="D104" s="9" t="s">
        <v>3240</v>
      </c>
      <c r="E104" t="s">
        <v>131</v>
      </c>
      <c r="F104" t="s">
        <v>99</v>
      </c>
      <c r="G104" t="s">
        <v>60</v>
      </c>
      <c r="H104" t="s">
        <v>75</v>
      </c>
      <c r="I104">
        <v>1</v>
      </c>
      <c r="J104" s="4">
        <v>296</v>
      </c>
      <c r="K104" s="4">
        <v>343.36</v>
      </c>
      <c r="L104" s="4">
        <f>K104-J104</f>
      </c>
      <c r="M104" s="4">
        <f>L104*16.67%</f>
      </c>
      <c r="N104" s="4">
        <v>15.83</v>
      </c>
      <c r="O104" s="4">
        <f>N104*20%</f>
      </c>
      <c r="P104" s="4">
        <v>0</v>
      </c>
      <c r="Q104" s="4">
        <f>P104*20%</f>
      </c>
      <c r="R104" s="4">
        <v>1</v>
      </c>
      <c r="S104" s="4">
        <f>Q104</f>
      </c>
      <c r="T104" s="4">
        <f>L104-M104-N104-P104-Q104-R104</f>
      </c>
      <c r="U104" s="4">
        <f>(T104-W104)/J104*100</f>
      </c>
      <c r="V104" s="4">
        <f>M104-S104</f>
      </c>
      <c r="X104" s="4">
        <f>T104-W104</f>
      </c>
      <c r="AC104" t="s">
        <v>1</v>
      </c>
    </row>
    <row r="105" spans="1:29" x14ac:dyDescent="0.25">
      <c r="A105" s="8">
        <v>46218.5</v>
      </c>
      <c r="B105" t="s">
        <v>3241</v>
      </c>
      <c r="C105" t="s">
        <v>1</v>
      </c>
      <c r="D105" s="9" t="s">
        <v>3242</v>
      </c>
      <c r="E105" t="s">
        <v>84</v>
      </c>
      <c r="F105" t="s">
        <v>99</v>
      </c>
      <c r="G105" t="s">
        <v>60</v>
      </c>
      <c r="H105" t="s">
        <v>78</v>
      </c>
      <c r="I105">
        <v>1</v>
      </c>
      <c r="J105" s="4">
        <v>732</v>
      </c>
      <c r="K105" s="4">
        <v>907.68</v>
      </c>
      <c r="L105" s="4">
        <f>K105-J105</f>
      </c>
      <c r="M105" s="4">
        <f>L105*16.67%</f>
      </c>
      <c r="N105" s="4">
        <v>41.84</v>
      </c>
      <c r="O105" s="4">
        <f>N105*20%</f>
      </c>
      <c r="P105" s="4">
        <v>0</v>
      </c>
      <c r="Q105" s="4">
        <f>P105*20%</f>
      </c>
      <c r="R105" s="4">
        <v>1</v>
      </c>
      <c r="S105" s="4">
        <f>Q105</f>
      </c>
      <c r="T105" s="4">
        <f>L105-M105-N105-P105-Q105-R105</f>
      </c>
      <c r="U105" s="4">
        <f>(T105-W105)/J105*100</f>
      </c>
      <c r="V105" s="4">
        <f>M105-S105</f>
      </c>
      <c r="X105" s="4">
        <f>T105-W105</f>
      </c>
      <c r="AC105" t="s">
        <v>1</v>
      </c>
    </row>
    <row r="106" spans="1:29" x14ac:dyDescent="0.25">
      <c r="A106" s="8">
        <v>46218.5</v>
      </c>
      <c r="B106" t="s">
        <v>3243</v>
      </c>
      <c r="C106" t="s">
        <v>1</v>
      </c>
      <c r="D106" s="9" t="s">
        <v>3244</v>
      </c>
      <c r="E106" t="s">
        <v>292</v>
      </c>
      <c r="F106" t="s">
        <v>85</v>
      </c>
      <c r="G106" t="s">
        <v>126</v>
      </c>
      <c r="H106" t="s">
        <v>61</v>
      </c>
      <c r="I106">
        <v>1</v>
      </c>
      <c r="J106" s="4">
        <v>198</v>
      </c>
      <c r="K106" s="4">
        <v>231.66</v>
      </c>
      <c r="L106" s="4">
        <f>K106-J106</f>
      </c>
      <c r="M106" s="4">
        <f>L106*16.67%</f>
      </c>
      <c r="N106" s="4">
        <v>10.68</v>
      </c>
      <c r="O106" s="4">
        <f>N106*20%</f>
      </c>
      <c r="P106" s="4">
        <v>0</v>
      </c>
      <c r="Q106" s="4">
        <f>P106*20%</f>
      </c>
      <c r="R106" s="4">
        <v>1</v>
      </c>
      <c r="S106" s="4">
        <f>Q106</f>
      </c>
      <c r="T106" s="4">
        <f>L106-M106-N106-P106-Q106-R106</f>
      </c>
      <c r="U106" s="4">
        <f>(T106-W106)/J106*100</f>
      </c>
      <c r="V106" s="4">
        <f>M106-S106</f>
      </c>
      <c r="X106" s="4">
        <f>T106-W106</f>
      </c>
      <c r="AC106" t="s">
        <v>1</v>
      </c>
    </row>
    <row r="107" spans="1:29" x14ac:dyDescent="0.25">
      <c r="A107" s="8">
        <v>46218.5</v>
      </c>
      <c r="B107" t="s">
        <v>3245</v>
      </c>
      <c r="C107" t="s">
        <v>1</v>
      </c>
      <c r="D107" s="9" t="s">
        <v>3246</v>
      </c>
      <c r="E107" t="s">
        <v>58</v>
      </c>
      <c r="F107" t="s">
        <v>85</v>
      </c>
      <c r="G107" t="s">
        <v>60</v>
      </c>
      <c r="H107" t="s">
        <v>102</v>
      </c>
      <c r="I107">
        <v>1</v>
      </c>
      <c r="J107" s="4">
        <v>478</v>
      </c>
      <c r="K107" s="4">
        <v>626.18</v>
      </c>
      <c r="L107" s="4">
        <f>K107-J107</f>
      </c>
      <c r="M107" s="4">
        <f>L107*16.67%</f>
      </c>
      <c r="N107" s="4">
        <v>28.87</v>
      </c>
      <c r="O107" s="4">
        <f>N107*20%</f>
      </c>
      <c r="P107" s="4">
        <v>0</v>
      </c>
      <c r="Q107" s="4">
        <f>P107*20%</f>
      </c>
      <c r="R107" s="4">
        <v>1</v>
      </c>
      <c r="S107" s="4">
        <f>Q107</f>
      </c>
      <c r="T107" s="4">
        <f>L107-M107-N107-P107-Q107-R107</f>
      </c>
      <c r="U107" s="4">
        <f>(T107-W107)/J107*100</f>
      </c>
      <c r="V107" s="4">
        <f>M107-S107</f>
      </c>
      <c r="X107" s="4">
        <f>T107-W107</f>
      </c>
      <c r="AC107" t="s">
        <v>1</v>
      </c>
    </row>
    <row r="108" spans="1:29" x14ac:dyDescent="0.25">
      <c r="A108" s="8">
        <v>46218.5</v>
      </c>
      <c r="B108" t="s">
        <v>3247</v>
      </c>
      <c r="C108" t="s">
        <v>1</v>
      </c>
      <c r="D108" s="9" t="s">
        <v>3248</v>
      </c>
      <c r="E108" t="s">
        <v>139</v>
      </c>
      <c r="F108" t="s">
        <v>70</v>
      </c>
      <c r="G108" t="s">
        <v>60</v>
      </c>
      <c r="H108" t="s">
        <v>102</v>
      </c>
      <c r="I108">
        <v>1</v>
      </c>
      <c r="J108" s="4">
        <v>323</v>
      </c>
      <c r="K108" s="4">
        <v>468.35</v>
      </c>
      <c r="L108" s="4">
        <f>K108-J108</f>
      </c>
      <c r="M108" s="4">
        <f>L108*16.67%</f>
      </c>
      <c r="N108" s="4">
        <v>21.59</v>
      </c>
      <c r="O108" s="4">
        <f>N108*20%</f>
      </c>
      <c r="P108" s="4">
        <v>0</v>
      </c>
      <c r="Q108" s="4">
        <f>P108*20%</f>
      </c>
      <c r="R108" s="4">
        <v>1</v>
      </c>
      <c r="S108" s="4">
        <f>Q108</f>
      </c>
      <c r="T108" s="4">
        <f>L108-M108-N108-P108-Q108-R108</f>
      </c>
      <c r="U108" s="4">
        <f>(T108-W108)/J108*100</f>
      </c>
      <c r="V108" s="4">
        <f>M108-S108</f>
      </c>
      <c r="X108" s="4">
        <f>T108-W108</f>
      </c>
      <c r="AC108" t="s">
        <v>1</v>
      </c>
    </row>
    <row r="109" spans="1:29" x14ac:dyDescent="0.25">
      <c r="A109" s="8">
        <v>46218.5</v>
      </c>
      <c r="B109" t="s">
        <v>3249</v>
      </c>
      <c r="C109" t="s">
        <v>182</v>
      </c>
      <c r="D109" s="9" t="s">
        <v>1</v>
      </c>
      <c r="E109" t="s">
        <v>182</v>
      </c>
      <c r="F109" t="s">
        <v>1</v>
      </c>
      <c r="G109" t="s">
        <v>1</v>
      </c>
      <c r="H109" t="s">
        <v>75</v>
      </c>
      <c r="I109">
        <v>1</v>
      </c>
      <c r="J109" s="4">
        <v>1.9</v>
      </c>
      <c r="K109" s="4">
        <v>2.56</v>
      </c>
      <c r="L109" s="4">
        <f>K109-J109</f>
      </c>
      <c r="M109" s="4">
        <f>L109*16.67%</f>
      </c>
      <c r="N109" s="4">
        <v>0.12</v>
      </c>
      <c r="O109" s="4">
        <f>N109*20%</f>
      </c>
      <c r="P109" s="4">
        <v>0</v>
      </c>
      <c r="Q109" s="4">
        <f>P109*20%</f>
      </c>
      <c r="R109" s="4">
        <v>0</v>
      </c>
      <c r="S109" s="4">
        <f>Q109</f>
      </c>
      <c r="T109" s="4">
        <f>L109-M109-N109-P109-Q109-R109</f>
      </c>
      <c r="U109" s="4">
        <f>(T109-W109)/J109*100</f>
      </c>
      <c r="V109" s="4">
        <f>M109-S109</f>
      </c>
      <c r="X109" s="4">
        <f>T109-W109</f>
      </c>
      <c r="AC109" t="s">
        <v>1</v>
      </c>
    </row>
    <row r="110" spans="1:29" x14ac:dyDescent="0.25">
      <c r="A110" s="8">
        <v>46218.5</v>
      </c>
      <c r="B110" t="s">
        <v>3250</v>
      </c>
      <c r="C110" t="s">
        <v>1</v>
      </c>
      <c r="D110" s="9" t="s">
        <v>1</v>
      </c>
      <c r="E110" t="s">
        <v>1</v>
      </c>
      <c r="F110" t="s">
        <v>1</v>
      </c>
      <c r="G110" t="s">
        <v>1</v>
      </c>
      <c r="H110" t="s">
        <v>102</v>
      </c>
      <c r="I110">
        <v>1</v>
      </c>
      <c r="J110" s="4">
        <v>220</v>
      </c>
      <c r="K110" s="4">
        <v>277.2</v>
      </c>
      <c r="L110" s="4">
        <f>K110-J110</f>
      </c>
      <c r="M110" s="4">
        <f>L110*16.67%</f>
      </c>
      <c r="N110" s="4">
        <v>12.78</v>
      </c>
      <c r="O110" s="4">
        <f>N110*20%</f>
      </c>
      <c r="P110" s="4">
        <v>0</v>
      </c>
      <c r="Q110" s="4">
        <f>P110*20%</f>
      </c>
      <c r="R110" s="4">
        <v>1</v>
      </c>
      <c r="S110" s="4">
        <f>Q110</f>
      </c>
      <c r="T110" s="4">
        <f>L110-M110-N110-P110-Q110-R110</f>
      </c>
      <c r="U110" s="4">
        <f>(T110-W110)/J110*100</f>
      </c>
      <c r="V110" s="4">
        <f>M110-S110</f>
      </c>
      <c r="X110" s="4">
        <f>T110-W110</f>
      </c>
      <c r="AC110" t="s">
        <v>1</v>
      </c>
    </row>
    <row r="111" spans="1:29" x14ac:dyDescent="0.25">
      <c r="A111" s="8">
        <v>46217.5</v>
      </c>
      <c r="B111" t="s">
        <v>3251</v>
      </c>
      <c r="C111" t="s">
        <v>1</v>
      </c>
      <c r="D111" s="9" t="s">
        <v>3252</v>
      </c>
      <c r="E111" t="s">
        <v>98</v>
      </c>
      <c r="F111" t="s">
        <v>59</v>
      </c>
      <c r="G111" t="s">
        <v>60</v>
      </c>
      <c r="H111" t="s">
        <v>78</v>
      </c>
      <c r="I111">
        <v>1</v>
      </c>
      <c r="J111" s="4">
        <v>312</v>
      </c>
      <c r="K111" s="4">
        <v>377.52</v>
      </c>
      <c r="L111" s="4">
        <f>K111-J111</f>
      </c>
      <c r="M111" s="4">
        <f>L111*16.67%</f>
      </c>
      <c r="N111" s="4">
        <v>17.4</v>
      </c>
      <c r="O111" s="4">
        <f>N111*20%</f>
      </c>
      <c r="P111" s="4">
        <v>0</v>
      </c>
      <c r="Q111" s="4">
        <f>P111*20%</f>
      </c>
      <c r="R111" s="4">
        <v>1</v>
      </c>
      <c r="S111" s="4">
        <f>Q111</f>
      </c>
      <c r="T111" s="4">
        <f>L111-M111-N111-P111-Q111-R111</f>
      </c>
      <c r="U111" s="4">
        <f>(T111-W111)/J111*100</f>
      </c>
      <c r="V111" s="4">
        <f>M111-S111</f>
      </c>
      <c r="X111" s="4">
        <f>T111-W111</f>
      </c>
      <c r="AC111" t="s">
        <v>1</v>
      </c>
    </row>
    <row r="112" spans="1:29" x14ac:dyDescent="0.25">
      <c r="A112" s="8">
        <v>46217.5</v>
      </c>
      <c r="B112" t="s">
        <v>3253</v>
      </c>
      <c r="C112" t="s">
        <v>1</v>
      </c>
      <c r="D112" s="9" t="s">
        <v>3254</v>
      </c>
      <c r="E112" t="s">
        <v>131</v>
      </c>
      <c r="F112" t="s">
        <v>85</v>
      </c>
      <c r="G112" t="s">
        <v>65</v>
      </c>
      <c r="H112" t="s">
        <v>66</v>
      </c>
      <c r="I112">
        <v>1</v>
      </c>
      <c r="J112" s="4">
        <v>307</v>
      </c>
      <c r="K112" s="4">
        <v>429.8</v>
      </c>
      <c r="L112" s="4">
        <f>K112-J112</f>
      </c>
      <c r="M112" s="4">
        <f>L112*16.67%</f>
      </c>
      <c r="N112" s="4">
        <v>19.81</v>
      </c>
      <c r="O112" s="4">
        <f>N112*20%</f>
      </c>
      <c r="P112" s="4">
        <v>0</v>
      </c>
      <c r="Q112" s="4">
        <f>P112*20%</f>
      </c>
      <c r="R112" s="4">
        <v>1</v>
      </c>
      <c r="S112" s="4">
        <f>Q112</f>
      </c>
      <c r="T112" s="4">
        <f>L112-M112-N112-P112-Q112-R112</f>
      </c>
      <c r="U112" s="4">
        <f>(T112-W112)/J112*100</f>
      </c>
      <c r="V112" s="4">
        <f>M112-S112</f>
      </c>
      <c r="X112" s="4">
        <f>T112-W112</f>
      </c>
      <c r="AC112" t="s">
        <v>1</v>
      </c>
    </row>
    <row r="113" spans="1:29" x14ac:dyDescent="0.25">
      <c r="A113" s="8">
        <v>46217.5</v>
      </c>
      <c r="B113" t="s">
        <v>3255</v>
      </c>
      <c r="C113" t="s">
        <v>1</v>
      </c>
      <c r="D113" s="9" t="s">
        <v>3256</v>
      </c>
      <c r="E113" t="s">
        <v>139</v>
      </c>
      <c r="F113" t="s">
        <v>74</v>
      </c>
      <c r="G113" t="s">
        <v>65</v>
      </c>
      <c r="H113" t="s">
        <v>78</v>
      </c>
      <c r="I113">
        <v>1</v>
      </c>
      <c r="J113" s="4">
        <v>361</v>
      </c>
      <c r="K113" s="4">
        <v>480.13</v>
      </c>
      <c r="L113" s="4">
        <f>K113-J113</f>
      </c>
      <c r="M113" s="4">
        <f>L113*16.67%</f>
      </c>
      <c r="N113" s="4">
        <v>22.13</v>
      </c>
      <c r="O113" s="4">
        <f>N113*20%</f>
      </c>
      <c r="P113" s="4">
        <v>0</v>
      </c>
      <c r="Q113" s="4">
        <f>P113*20%</f>
      </c>
      <c r="R113" s="4">
        <v>1</v>
      </c>
      <c r="S113" s="4">
        <f>Q113</f>
      </c>
      <c r="T113" s="4">
        <f>L113-M113-N113-P113-Q113-R113</f>
      </c>
      <c r="U113" s="4">
        <f>(T113-W113)/J113*100</f>
      </c>
      <c r="V113" s="4">
        <f>M113-S113</f>
      </c>
      <c r="X113" s="4">
        <f>T113-W113</f>
      </c>
      <c r="AC113" t="s">
        <v>1</v>
      </c>
    </row>
    <row r="114" spans="1:29" x14ac:dyDescent="0.25">
      <c r="A114" s="8">
        <v>46217.5</v>
      </c>
      <c r="B114" t="s">
        <v>3257</v>
      </c>
      <c r="C114" t="s">
        <v>1</v>
      </c>
      <c r="D114" s="9" t="s">
        <v>3258</v>
      </c>
      <c r="E114" t="s">
        <v>69</v>
      </c>
      <c r="F114" t="s">
        <v>74</v>
      </c>
      <c r="G114" t="s">
        <v>60</v>
      </c>
      <c r="H114" t="s">
        <v>66</v>
      </c>
      <c r="I114">
        <v>1</v>
      </c>
      <c r="J114" s="4">
        <v>533</v>
      </c>
      <c r="K114" s="4">
        <v>634.27</v>
      </c>
      <c r="L114" s="4">
        <f>K114-J114</f>
      </c>
      <c r="M114" s="4">
        <f>L114*16.67%</f>
      </c>
      <c r="N114" s="4">
        <v>29.24</v>
      </c>
      <c r="O114" s="4">
        <f>N114*20%</f>
      </c>
      <c r="P114" s="4">
        <v>0</v>
      </c>
      <c r="Q114" s="4">
        <f>P114*20%</f>
      </c>
      <c r="R114" s="4">
        <v>1</v>
      </c>
      <c r="S114" s="4">
        <f>Q114</f>
      </c>
      <c r="T114" s="4">
        <f>L114-M114-N114-P114-Q114-R114</f>
      </c>
      <c r="U114" s="4">
        <f>(T114-W114)/J114*100</f>
      </c>
      <c r="V114" s="4">
        <f>M114-S114</f>
      </c>
      <c r="X114" s="4">
        <f>T114-W114</f>
      </c>
      <c r="AC114" t="s">
        <v>1</v>
      </c>
    </row>
    <row r="115" spans="1:29" x14ac:dyDescent="0.25">
      <c r="A115" s="8">
        <v>46217.5</v>
      </c>
      <c r="B115" t="s">
        <v>3259</v>
      </c>
      <c r="C115" t="s">
        <v>1</v>
      </c>
      <c r="D115" s="9" t="s">
        <v>3260</v>
      </c>
      <c r="E115" t="s">
        <v>94</v>
      </c>
      <c r="F115" t="s">
        <v>88</v>
      </c>
      <c r="G115" t="s">
        <v>95</v>
      </c>
      <c r="H115" t="s">
        <v>102</v>
      </c>
      <c r="I115">
        <v>1</v>
      </c>
      <c r="J115" s="4">
        <v>71</v>
      </c>
      <c r="K115" s="4">
        <v>100.82</v>
      </c>
      <c r="L115" s="4">
        <f>K115-J115</f>
      </c>
      <c r="M115" s="4">
        <f>L115*16.67%</f>
      </c>
      <c r="N115" s="4">
        <v>4.65</v>
      </c>
      <c r="O115" s="4">
        <f>N115*20%</f>
      </c>
      <c r="P115" s="4">
        <v>0</v>
      </c>
      <c r="Q115" s="4">
        <f>P115*20%</f>
      </c>
      <c r="R115" s="4">
        <v>1</v>
      </c>
      <c r="S115" s="4">
        <f>Q115</f>
      </c>
      <c r="T115" s="4">
        <f>L115-M115-N115-P115-Q115-R115</f>
      </c>
      <c r="U115" s="4">
        <f>(T115-W115)/J115*100</f>
      </c>
      <c r="V115" s="4">
        <f>M115-S115</f>
      </c>
      <c r="X115" s="4">
        <f>T115-W115</f>
      </c>
      <c r="AC115" t="s">
        <v>1</v>
      </c>
    </row>
    <row r="116" spans="1:29" x14ac:dyDescent="0.25">
      <c r="A116" s="8">
        <v>46217.5</v>
      </c>
      <c r="B116" t="s">
        <v>3261</v>
      </c>
      <c r="C116" t="s">
        <v>1</v>
      </c>
      <c r="D116" s="9" t="s">
        <v>3262</v>
      </c>
      <c r="E116" t="s">
        <v>81</v>
      </c>
      <c r="F116" t="s">
        <v>70</v>
      </c>
      <c r="G116" t="s">
        <v>60</v>
      </c>
      <c r="H116" t="s">
        <v>75</v>
      </c>
      <c r="I116">
        <v>1</v>
      </c>
      <c r="J116" s="4">
        <v>588</v>
      </c>
      <c r="K116" s="4">
        <v>817.32</v>
      </c>
      <c r="L116" s="4">
        <f>K116-J116</f>
      </c>
      <c r="M116" s="4">
        <f>L116*16.67%</f>
      </c>
      <c r="N116" s="4">
        <v>37.68</v>
      </c>
      <c r="O116" s="4">
        <f>N116*20%</f>
      </c>
      <c r="P116" s="4">
        <v>0</v>
      </c>
      <c r="Q116" s="4">
        <f>P116*20%</f>
      </c>
      <c r="R116" s="4">
        <v>1</v>
      </c>
      <c r="S116" s="4">
        <f>Q116</f>
      </c>
      <c r="T116" s="4">
        <f>L116-M116-N116-P116-Q116-R116</f>
      </c>
      <c r="U116" s="4">
        <f>(T116-W116)/J116*100</f>
      </c>
      <c r="V116" s="4">
        <f>M116-S116</f>
      </c>
      <c r="X116" s="4">
        <f>T116-W116</f>
      </c>
      <c r="AC116" t="s">
        <v>1</v>
      </c>
    </row>
    <row r="117" spans="1:29" x14ac:dyDescent="0.25">
      <c r="A117" s="8">
        <v>46217.5</v>
      </c>
      <c r="B117" t="s">
        <v>3263</v>
      </c>
      <c r="C117" t="s">
        <v>174</v>
      </c>
      <c r="D117" s="9" t="s">
        <v>1</v>
      </c>
      <c r="E117" t="s">
        <v>174</v>
      </c>
      <c r="F117" t="s">
        <v>1</v>
      </c>
      <c r="G117" t="s">
        <v>1</v>
      </c>
      <c r="H117" t="s">
        <v>66</v>
      </c>
      <c r="I117">
        <v>1</v>
      </c>
      <c r="J117" s="4">
        <v>4.25</v>
      </c>
      <c r="K117" s="4">
        <v>5.06</v>
      </c>
      <c r="L117" s="4">
        <f>K117-J117</f>
      </c>
      <c r="M117" s="4">
        <f>L117*16.67%</f>
      </c>
      <c r="N117" s="4">
        <v>0.23</v>
      </c>
      <c r="O117" s="4">
        <f>N117*20%</f>
      </c>
      <c r="P117" s="4">
        <v>0</v>
      </c>
      <c r="Q117" s="4">
        <f>P117*20%</f>
      </c>
      <c r="R117" s="4">
        <v>0</v>
      </c>
      <c r="S117" s="4">
        <f>Q117</f>
      </c>
      <c r="T117" s="4">
        <f>L117-M117-N117-P117-Q117-R117</f>
      </c>
      <c r="U117" s="4">
        <f>(T117-W117)/J117*100</f>
      </c>
      <c r="V117" s="4">
        <f>M117-S117</f>
      </c>
      <c r="X117" s="4">
        <f>T117-W117</f>
      </c>
      <c r="AC117" t="s">
        <v>1</v>
      </c>
    </row>
    <row r="118" spans="1:29" x14ac:dyDescent="0.25">
      <c r="A118" s="8">
        <v>46217.5</v>
      </c>
      <c r="B118" t="s">
        <v>3264</v>
      </c>
      <c r="C118" t="s">
        <v>254</v>
      </c>
      <c r="D118" s="9" t="s">
        <v>1</v>
      </c>
      <c r="E118" t="s">
        <v>254</v>
      </c>
      <c r="F118" t="s">
        <v>1</v>
      </c>
      <c r="G118" t="s">
        <v>1</v>
      </c>
      <c r="H118" t="s">
        <v>61</v>
      </c>
      <c r="I118">
        <v>2</v>
      </c>
      <c r="J118" s="4">
        <v>1.6</v>
      </c>
      <c r="K118" s="4">
        <v>1.89</v>
      </c>
      <c r="L118" s="4">
        <f>K118-J118</f>
      </c>
      <c r="M118" s="4">
        <f>L118*16.67%</f>
      </c>
      <c r="N118" s="4">
        <v>0.09</v>
      </c>
      <c r="O118" s="4">
        <f>N118*20%</f>
      </c>
      <c r="P118" s="4">
        <v>0</v>
      </c>
      <c r="Q118" s="4">
        <f>P118*20%</f>
      </c>
      <c r="R118" s="4">
        <v>0</v>
      </c>
      <c r="S118" s="4">
        <f>Q118</f>
      </c>
      <c r="T118" s="4">
        <f>L118-M118-N118-P118-Q118-R118</f>
      </c>
      <c r="U118" s="4">
        <f>(T118-W118)/J118*100</f>
      </c>
      <c r="V118" s="4">
        <f>M118-S118</f>
      </c>
      <c r="X118" s="4">
        <f>T118-W118</f>
      </c>
      <c r="AC118" t="s">
        <v>1</v>
      </c>
    </row>
    <row r="119" spans="1:29" x14ac:dyDescent="0.25">
      <c r="A119" s="8">
        <v>46217.5</v>
      </c>
      <c r="B119" t="s">
        <v>3265</v>
      </c>
      <c r="C119" t="s">
        <v>182</v>
      </c>
      <c r="D119" s="9" t="s">
        <v>1</v>
      </c>
      <c r="E119" t="s">
        <v>182</v>
      </c>
      <c r="F119" t="s">
        <v>1</v>
      </c>
      <c r="G119" t="s">
        <v>1</v>
      </c>
      <c r="H119" t="s">
        <v>75</v>
      </c>
      <c r="I119">
        <v>2</v>
      </c>
      <c r="J119" s="4">
        <v>3.8</v>
      </c>
      <c r="K119" s="4">
        <v>4.94</v>
      </c>
      <c r="L119" s="4">
        <f>K119-J119</f>
      </c>
      <c r="M119" s="4">
        <f>L119*16.67%</f>
      </c>
      <c r="N119" s="4">
        <v>0.23</v>
      </c>
      <c r="O119" s="4">
        <f>N119*20%</f>
      </c>
      <c r="P119" s="4">
        <v>0</v>
      </c>
      <c r="Q119" s="4">
        <f>P119*20%</f>
      </c>
      <c r="R119" s="4">
        <v>0</v>
      </c>
      <c r="S119" s="4">
        <f>Q119</f>
      </c>
      <c r="T119" s="4">
        <f>L119-M119-N119-P119-Q119-R119</f>
      </c>
      <c r="U119" s="4">
        <f>(T119-W119)/J119*100</f>
      </c>
      <c r="V119" s="4">
        <f>M119-S119</f>
      </c>
      <c r="X119" s="4">
        <f>T119-W119</f>
      </c>
      <c r="AC119" t="s">
        <v>1</v>
      </c>
    </row>
    <row r="120" spans="1:29" x14ac:dyDescent="0.25">
      <c r="A120" s="8">
        <v>46217.5</v>
      </c>
      <c r="B120" t="s">
        <v>3266</v>
      </c>
      <c r="C120" t="s">
        <v>1</v>
      </c>
      <c r="D120" s="9" t="s">
        <v>1</v>
      </c>
      <c r="E120" t="s">
        <v>1</v>
      </c>
      <c r="F120" t="s">
        <v>1</v>
      </c>
      <c r="G120" t="s">
        <v>1</v>
      </c>
      <c r="H120" t="s">
        <v>75</v>
      </c>
      <c r="I120">
        <v>1</v>
      </c>
      <c r="J120" s="4">
        <v>244</v>
      </c>
      <c r="K120" s="4">
        <v>336.72</v>
      </c>
      <c r="L120" s="4">
        <f>K120-J120</f>
      </c>
      <c r="M120" s="4">
        <f>L120*16.67%</f>
      </c>
      <c r="N120" s="4">
        <v>15.52</v>
      </c>
      <c r="O120" s="4">
        <f>N120*20%</f>
      </c>
      <c r="P120" s="4">
        <v>0</v>
      </c>
      <c r="Q120" s="4">
        <f>P120*20%</f>
      </c>
      <c r="R120" s="4">
        <v>1</v>
      </c>
      <c r="S120" s="4">
        <f>Q120</f>
      </c>
      <c r="T120" s="4">
        <f>L120-M120-N120-P120-Q120-R120</f>
      </c>
      <c r="U120" s="4">
        <f>(T120-W120)/J120*100</f>
      </c>
      <c r="V120" s="4">
        <f>M120-S120</f>
      </c>
      <c r="X120" s="4">
        <f>T120-W120</f>
      </c>
      <c r="AC120" t="s">
        <v>1</v>
      </c>
    </row>
    <row r="121" spans="1:29" x14ac:dyDescent="0.25">
      <c r="A121" s="8">
        <v>46216.5</v>
      </c>
      <c r="B121" t="s">
        <v>3267</v>
      </c>
      <c r="C121" t="s">
        <v>1</v>
      </c>
      <c r="D121" s="9" t="s">
        <v>3268</v>
      </c>
      <c r="E121" t="s">
        <v>125</v>
      </c>
      <c r="F121" t="s">
        <v>105</v>
      </c>
      <c r="G121" t="s">
        <v>126</v>
      </c>
      <c r="H121" t="s">
        <v>61</v>
      </c>
      <c r="I121">
        <v>1</v>
      </c>
      <c r="J121" s="4">
        <v>275</v>
      </c>
      <c r="K121" s="4">
        <v>365.75</v>
      </c>
      <c r="L121" s="4">
        <f>K121-J121</f>
      </c>
      <c r="M121" s="4">
        <f>L121*16.67%</f>
      </c>
      <c r="N121" s="4">
        <v>16.86</v>
      </c>
      <c r="O121" s="4">
        <f>N121*20%</f>
      </c>
      <c r="P121" s="4">
        <v>0</v>
      </c>
      <c r="Q121" s="4">
        <f>P121*20%</f>
      </c>
      <c r="R121" s="4">
        <v>1</v>
      </c>
      <c r="S121" s="4">
        <f>Q121</f>
      </c>
      <c r="T121" s="4">
        <f>L121-M121-N121-P121-Q121-R121</f>
      </c>
      <c r="U121" s="4">
        <f>(T121-W121)/J121*100</f>
      </c>
      <c r="V121" s="4">
        <f>M121-S121</f>
      </c>
      <c r="X121" s="4">
        <f>T121-W121</f>
      </c>
      <c r="AC121" t="s">
        <v>1</v>
      </c>
    </row>
    <row r="122" spans="1:29" x14ac:dyDescent="0.25">
      <c r="A122" s="8">
        <v>46216.5</v>
      </c>
      <c r="B122" t="s">
        <v>3269</v>
      </c>
      <c r="C122" t="s">
        <v>1</v>
      </c>
      <c r="D122" s="9" t="s">
        <v>3270</v>
      </c>
      <c r="E122" t="s">
        <v>131</v>
      </c>
      <c r="F122" t="s">
        <v>59</v>
      </c>
      <c r="G122" t="s">
        <v>60</v>
      </c>
      <c r="H122" t="s">
        <v>61</v>
      </c>
      <c r="I122">
        <v>1</v>
      </c>
      <c r="J122" s="4">
        <v>296</v>
      </c>
      <c r="K122" s="4">
        <v>420.32</v>
      </c>
      <c r="L122" s="4">
        <f>K122-J122</f>
      </c>
      <c r="M122" s="4">
        <f>L122*16.67%</f>
      </c>
      <c r="N122" s="4">
        <v>19.38</v>
      </c>
      <c r="O122" s="4">
        <f>N122*20%</f>
      </c>
      <c r="P122" s="4">
        <v>0</v>
      </c>
      <c r="Q122" s="4">
        <f>P122*20%</f>
      </c>
      <c r="R122" s="4">
        <v>1</v>
      </c>
      <c r="S122" s="4">
        <f>Q122</f>
      </c>
      <c r="T122" s="4">
        <f>L122-M122-N122-P122-Q122-R122</f>
      </c>
      <c r="U122" s="4">
        <f>(T122-W122)/J122*100</f>
      </c>
      <c r="V122" s="4">
        <f>M122-S122</f>
      </c>
      <c r="X122" s="4">
        <f>T122-W122</f>
      </c>
      <c r="AC122" t="s">
        <v>1</v>
      </c>
    </row>
    <row r="123" spans="1:29" x14ac:dyDescent="0.25">
      <c r="A123" s="8">
        <v>46216.5</v>
      </c>
      <c r="B123" t="s">
        <v>3271</v>
      </c>
      <c r="C123" t="s">
        <v>189</v>
      </c>
      <c r="D123" s="9" t="s">
        <v>1</v>
      </c>
      <c r="E123" t="s">
        <v>189</v>
      </c>
      <c r="F123" t="s">
        <v>1</v>
      </c>
      <c r="G123" t="s">
        <v>1</v>
      </c>
      <c r="H123" t="s">
        <v>66</v>
      </c>
      <c r="I123">
        <v>4</v>
      </c>
      <c r="J123" s="4">
        <v>14</v>
      </c>
      <c r="K123" s="4">
        <v>17.64</v>
      </c>
      <c r="L123" s="4">
        <f>K123-J123</f>
      </c>
      <c r="M123" s="4">
        <f>L123*16.67%</f>
      </c>
      <c r="N123" s="4">
        <v>0.81</v>
      </c>
      <c r="O123" s="4">
        <f>N123*20%</f>
      </c>
      <c r="P123" s="4">
        <v>0</v>
      </c>
      <c r="Q123" s="4">
        <f>P123*20%</f>
      </c>
      <c r="R123" s="4">
        <v>0</v>
      </c>
      <c r="S123" s="4">
        <f>Q123</f>
      </c>
      <c r="T123" s="4">
        <f>L123-M123-N123-P123-Q123-R123</f>
      </c>
      <c r="U123" s="4">
        <f>(T123-W123)/J123*100</f>
      </c>
      <c r="V123" s="4">
        <f>M123-S123</f>
      </c>
      <c r="X123" s="4">
        <f>T123-W123</f>
      </c>
      <c r="AC123" t="s">
        <v>1</v>
      </c>
    </row>
    <row r="124" spans="1:29" x14ac:dyDescent="0.25">
      <c r="A124" s="8">
        <v>46216.5</v>
      </c>
      <c r="B124" t="s">
        <v>3272</v>
      </c>
      <c r="C124" t="s">
        <v>185</v>
      </c>
      <c r="D124" s="9" t="s">
        <v>1</v>
      </c>
      <c r="E124" t="s">
        <v>185</v>
      </c>
      <c r="F124" t="s">
        <v>1</v>
      </c>
      <c r="G124" t="s">
        <v>1</v>
      </c>
      <c r="H124" t="s">
        <v>102</v>
      </c>
      <c r="I124">
        <v>4</v>
      </c>
      <c r="J124" s="4">
        <v>4.8</v>
      </c>
      <c r="K124" s="4">
        <v>6.82</v>
      </c>
      <c r="L124" s="4">
        <f>K124-J124</f>
      </c>
      <c r="M124" s="4">
        <f>L124*16.67%</f>
      </c>
      <c r="N124" s="4">
        <v>0.31</v>
      </c>
      <c r="O124" s="4">
        <f>N124*20%</f>
      </c>
      <c r="P124" s="4">
        <v>0</v>
      </c>
      <c r="Q124" s="4">
        <f>P124*20%</f>
      </c>
      <c r="R124" s="4">
        <v>0</v>
      </c>
      <c r="S124" s="4">
        <f>Q124</f>
      </c>
      <c r="T124" s="4">
        <f>L124-M124-N124-P124-Q124-R124</f>
      </c>
      <c r="U124" s="4">
        <f>(T124-W124)/J124*100</f>
      </c>
      <c r="V124" s="4">
        <f>M124-S124</f>
      </c>
      <c r="X124" s="4">
        <f>T124-W124</f>
      </c>
      <c r="AC124" t="s">
        <v>1</v>
      </c>
    </row>
    <row r="125" spans="1:29" x14ac:dyDescent="0.25">
      <c r="A125" s="8">
        <v>46216.5</v>
      </c>
      <c r="B125" t="s">
        <v>3273</v>
      </c>
      <c r="C125" t="s">
        <v>1</v>
      </c>
      <c r="D125" s="9" t="s">
        <v>1</v>
      </c>
      <c r="E125" t="s">
        <v>1</v>
      </c>
      <c r="F125" t="s">
        <v>1</v>
      </c>
      <c r="G125" t="s">
        <v>1</v>
      </c>
      <c r="H125" t="s">
        <v>78</v>
      </c>
      <c r="I125">
        <v>1</v>
      </c>
      <c r="J125" s="4">
        <v>138</v>
      </c>
      <c r="K125" s="4">
        <v>168.36</v>
      </c>
      <c r="L125" s="4">
        <f>K125-J125</f>
      </c>
      <c r="M125" s="4">
        <f>L125*16.67%</f>
      </c>
      <c r="N125" s="4">
        <v>7.76</v>
      </c>
      <c r="O125" s="4">
        <f>N125*20%</f>
      </c>
      <c r="P125" s="4">
        <v>0</v>
      </c>
      <c r="Q125" s="4">
        <f>P125*20%</f>
      </c>
      <c r="R125" s="4">
        <v>1</v>
      </c>
      <c r="S125" s="4">
        <f>Q125</f>
      </c>
      <c r="T125" s="4">
        <f>L125-M125-N125-P125-Q125-R125</f>
      </c>
      <c r="U125" s="4">
        <f>(T125-W125)/J125*100</f>
      </c>
      <c r="V125" s="4">
        <f>M125-S125</f>
      </c>
      <c r="X125" s="4">
        <f>T125-W125</f>
      </c>
      <c r="AC125" t="s">
        <v>1</v>
      </c>
    </row>
    <row r="126" spans="1:29" x14ac:dyDescent="0.25">
      <c r="A126" s="8">
        <v>46215.5</v>
      </c>
      <c r="B126" t="s">
        <v>3274</v>
      </c>
      <c r="C126" t="s">
        <v>1</v>
      </c>
      <c r="D126" s="9" t="s">
        <v>3275</v>
      </c>
      <c r="E126" t="s">
        <v>172</v>
      </c>
      <c r="F126" t="s">
        <v>70</v>
      </c>
      <c r="G126" t="s">
        <v>65</v>
      </c>
      <c r="H126" t="s">
        <v>66</v>
      </c>
      <c r="I126">
        <v>1</v>
      </c>
      <c r="J126" s="4">
        <v>178</v>
      </c>
      <c r="K126" s="4">
        <v>247.42</v>
      </c>
      <c r="L126" s="4">
        <f>K126-J126</f>
      </c>
      <c r="M126" s="4">
        <f>L126*16.67%</f>
      </c>
      <c r="N126" s="4">
        <v>11.41</v>
      </c>
      <c r="O126" s="4">
        <f>N126*20%</f>
      </c>
      <c r="P126" s="4">
        <v>0</v>
      </c>
      <c r="Q126" s="4">
        <f>P126*20%</f>
      </c>
      <c r="R126" s="4">
        <v>1</v>
      </c>
      <c r="S126" s="4">
        <f>Q126</f>
      </c>
      <c r="T126" s="4">
        <f>L126-M126-N126-P126-Q126-R126</f>
      </c>
      <c r="U126" s="4">
        <f>(T126-W126)/J126*100</f>
      </c>
      <c r="V126" s="4">
        <f>M126-S126</f>
      </c>
      <c r="X126" s="4">
        <f>T126-W126</f>
      </c>
      <c r="AC126" t="s">
        <v>1</v>
      </c>
    </row>
    <row r="127" spans="1:29" x14ac:dyDescent="0.25">
      <c r="A127" s="8">
        <v>46215.5</v>
      </c>
      <c r="B127" t="s">
        <v>3276</v>
      </c>
      <c r="C127" t="s">
        <v>1</v>
      </c>
      <c r="D127" s="9" t="s">
        <v>3277</v>
      </c>
      <c r="E127" t="s">
        <v>139</v>
      </c>
      <c r="F127" t="s">
        <v>59</v>
      </c>
      <c r="G127" t="s">
        <v>60</v>
      </c>
      <c r="H127" t="s">
        <v>102</v>
      </c>
      <c r="I127">
        <v>1</v>
      </c>
      <c r="J127" s="4">
        <v>366</v>
      </c>
      <c r="K127" s="4">
        <v>468.48</v>
      </c>
      <c r="L127" s="4">
        <f>K127-J127</f>
      </c>
      <c r="M127" s="4">
        <f>L127*16.67%</f>
      </c>
      <c r="N127" s="4">
        <v>21.6</v>
      </c>
      <c r="O127" s="4">
        <f>N127*20%</f>
      </c>
      <c r="P127" s="4">
        <v>0</v>
      </c>
      <c r="Q127" s="4">
        <f>P127*20%</f>
      </c>
      <c r="R127" s="4">
        <v>1</v>
      </c>
      <c r="S127" s="4">
        <f>Q127</f>
      </c>
      <c r="T127" s="4">
        <f>L127-M127-N127-P127-Q127-R127</f>
      </c>
      <c r="U127" s="4">
        <f>(T127-W127)/J127*100</f>
      </c>
      <c r="V127" s="4">
        <f>M127-S127</f>
      </c>
      <c r="X127" s="4">
        <f>T127-W127</f>
      </c>
      <c r="AC127" t="s">
        <v>1</v>
      </c>
    </row>
    <row r="128" spans="1:29" x14ac:dyDescent="0.25">
      <c r="A128" s="8">
        <v>46215.5</v>
      </c>
      <c r="B128" t="s">
        <v>3278</v>
      </c>
      <c r="C128" t="s">
        <v>1</v>
      </c>
      <c r="D128" s="9" t="s">
        <v>3279</v>
      </c>
      <c r="E128" t="s">
        <v>98</v>
      </c>
      <c r="F128" t="s">
        <v>88</v>
      </c>
      <c r="G128" t="s">
        <v>60</v>
      </c>
      <c r="H128" t="s">
        <v>75</v>
      </c>
      <c r="I128">
        <v>1</v>
      </c>
      <c r="J128" s="4">
        <v>295</v>
      </c>
      <c r="K128" s="4">
        <v>404.15</v>
      </c>
      <c r="L128" s="4">
        <f>K128-J128</f>
      </c>
      <c r="M128" s="4">
        <f>L128*16.67%</f>
      </c>
      <c r="N128" s="4">
        <v>18.63</v>
      </c>
      <c r="O128" s="4">
        <f>N128*20%</f>
      </c>
      <c r="P128" s="4">
        <v>0</v>
      </c>
      <c r="Q128" s="4">
        <f>P128*20%</f>
      </c>
      <c r="R128" s="4">
        <v>1</v>
      </c>
      <c r="S128" s="4">
        <f>Q128</f>
      </c>
      <c r="T128" s="4">
        <f>L128-M128-N128-P128-Q128-R128</f>
      </c>
      <c r="U128" s="4">
        <f>(T128-W128)/J128*100</f>
      </c>
      <c r="V128" s="4">
        <f>M128-S128</f>
      </c>
      <c r="X128" s="4">
        <f>T128-W128</f>
      </c>
      <c r="AC128" t="s">
        <v>1</v>
      </c>
    </row>
    <row r="129" spans="1:29" x14ac:dyDescent="0.25">
      <c r="A129" s="8">
        <v>46215.5</v>
      </c>
      <c r="B129" t="s">
        <v>3280</v>
      </c>
      <c r="C129" t="s">
        <v>1</v>
      </c>
      <c r="D129" s="9" t="s">
        <v>3281</v>
      </c>
      <c r="E129" t="s">
        <v>81</v>
      </c>
      <c r="F129" t="s">
        <v>88</v>
      </c>
      <c r="G129" t="s">
        <v>60</v>
      </c>
      <c r="H129" t="s">
        <v>75</v>
      </c>
      <c r="I129">
        <v>1</v>
      </c>
      <c r="J129" s="4">
        <v>568</v>
      </c>
      <c r="K129" s="4">
        <v>744.08</v>
      </c>
      <c r="L129" s="4">
        <f>K129-J129</f>
      </c>
      <c r="M129" s="4">
        <f>L129*16.67%</f>
      </c>
      <c r="N129" s="4">
        <v>34.3</v>
      </c>
      <c r="O129" s="4">
        <f>N129*20%</f>
      </c>
      <c r="P129" s="4">
        <v>0</v>
      </c>
      <c r="Q129" s="4">
        <f>P129*20%</f>
      </c>
      <c r="R129" s="4">
        <v>1</v>
      </c>
      <c r="S129" s="4">
        <f>Q129</f>
      </c>
      <c r="T129" s="4">
        <f>L129-M129-N129-P129-Q129-R129</f>
      </c>
      <c r="U129" s="4">
        <f>(T129-W129)/J129*100</f>
      </c>
      <c r="V129" s="4">
        <f>M129-S129</f>
      </c>
      <c r="X129" s="4">
        <f>T129-W129</f>
      </c>
      <c r="AC129" t="s">
        <v>1</v>
      </c>
    </row>
    <row r="130" spans="1:29" x14ac:dyDescent="0.25">
      <c r="A130" s="8">
        <v>46214.5</v>
      </c>
      <c r="B130" t="s">
        <v>3282</v>
      </c>
      <c r="C130" t="s">
        <v>254</v>
      </c>
      <c r="D130" s="9" t="s">
        <v>1</v>
      </c>
      <c r="E130" t="s">
        <v>254</v>
      </c>
      <c r="F130" t="s">
        <v>1</v>
      </c>
      <c r="G130" t="s">
        <v>1</v>
      </c>
      <c r="H130" t="s">
        <v>61</v>
      </c>
      <c r="I130">
        <v>1</v>
      </c>
      <c r="J130" s="4">
        <v>0.8</v>
      </c>
      <c r="K130" s="4">
        <v>1.09</v>
      </c>
      <c r="L130" s="4">
        <f>K130-J130</f>
      </c>
      <c r="M130" s="4">
        <f>L130*16.67%</f>
      </c>
      <c r="N130" s="4">
        <v>0.05</v>
      </c>
      <c r="O130" s="4">
        <f>N130*20%</f>
      </c>
      <c r="P130" s="4">
        <v>0</v>
      </c>
      <c r="Q130" s="4">
        <f>P130*20%</f>
      </c>
      <c r="R130" s="4">
        <v>0</v>
      </c>
      <c r="S130" s="4">
        <f>Q130</f>
      </c>
      <c r="T130" s="4">
        <f>L130-M130-N130-P130-Q130-R130</f>
      </c>
      <c r="U130" s="4">
        <f>(T130-W130)/J130*100</f>
      </c>
      <c r="V130" s="4">
        <f>M130-S130</f>
      </c>
      <c r="X130" s="4">
        <f>T130-W130</f>
      </c>
      <c r="AC130" t="s">
        <v>1</v>
      </c>
    </row>
    <row r="131" spans="1:29" x14ac:dyDescent="0.25">
      <c r="A131" s="8">
        <v>46214.5</v>
      </c>
      <c r="B131" t="s">
        <v>3283</v>
      </c>
      <c r="C131" t="s">
        <v>1</v>
      </c>
      <c r="D131" s="9" t="s">
        <v>1</v>
      </c>
      <c r="E131" t="s">
        <v>1</v>
      </c>
      <c r="F131" t="s">
        <v>1</v>
      </c>
      <c r="G131" t="s">
        <v>1</v>
      </c>
      <c r="H131" t="s">
        <v>75</v>
      </c>
      <c r="I131">
        <v>1</v>
      </c>
      <c r="J131" s="4">
        <v>252</v>
      </c>
      <c r="K131" s="4">
        <v>365.4</v>
      </c>
      <c r="L131" s="4">
        <f>K131-J131</f>
      </c>
      <c r="M131" s="4">
        <f>L131*16.67%</f>
      </c>
      <c r="N131" s="4">
        <v>16.84</v>
      </c>
      <c r="O131" s="4">
        <f>N131*20%</f>
      </c>
      <c r="P131" s="4">
        <v>0</v>
      </c>
      <c r="Q131" s="4">
        <f>P131*20%</f>
      </c>
      <c r="R131" s="4">
        <v>1</v>
      </c>
      <c r="S131" s="4">
        <f>Q131</f>
      </c>
      <c r="T131" s="4">
        <f>L131-M131-N131-P131-Q131-R131</f>
      </c>
      <c r="U131" s="4">
        <f>(T131-W131)/J131*100</f>
      </c>
      <c r="V131" s="4">
        <f>M131-S131</f>
      </c>
      <c r="X131" s="4">
        <f>T131-W131</f>
      </c>
      <c r="AC131" t="s">
        <v>1</v>
      </c>
    </row>
    <row r="132" spans="1:29" x14ac:dyDescent="0.25">
      <c r="A132" s="8">
        <v>46213.5</v>
      </c>
      <c r="B132" t="s">
        <v>3284</v>
      </c>
      <c r="C132" t="s">
        <v>1</v>
      </c>
      <c r="D132" s="9" t="s">
        <v>3285</v>
      </c>
      <c r="E132" t="s">
        <v>94</v>
      </c>
      <c r="F132" t="s">
        <v>59</v>
      </c>
      <c r="G132" t="s">
        <v>95</v>
      </c>
      <c r="H132" t="s">
        <v>102</v>
      </c>
      <c r="I132">
        <v>1</v>
      </c>
      <c r="J132" s="4">
        <v>67</v>
      </c>
      <c r="K132" s="4">
        <v>95.81</v>
      </c>
      <c r="L132" s="4">
        <f>K132-J132</f>
      </c>
      <c r="M132" s="4">
        <f>L132*16.67%</f>
      </c>
      <c r="N132" s="4">
        <v>4.42</v>
      </c>
      <c r="O132" s="4">
        <f>N132*20%</f>
      </c>
      <c r="P132" s="4">
        <v>0</v>
      </c>
      <c r="Q132" s="4">
        <f>P132*20%</f>
      </c>
      <c r="R132" s="4">
        <v>1</v>
      </c>
      <c r="S132" s="4">
        <f>Q132</f>
      </c>
      <c r="T132" s="4">
        <f>L132-M132-N132-P132-Q132-R132</f>
      </c>
      <c r="U132" s="4">
        <f>(T132-W132)/J132*100</f>
      </c>
      <c r="V132" s="4">
        <f>M132-S132</f>
      </c>
      <c r="X132" s="4">
        <f>T132-W132</f>
      </c>
      <c r="AC132" t="s">
        <v>1</v>
      </c>
    </row>
    <row r="133" spans="1:29" x14ac:dyDescent="0.25">
      <c r="A133" s="8">
        <v>46213.5</v>
      </c>
      <c r="B133" t="s">
        <v>3286</v>
      </c>
      <c r="C133" t="s">
        <v>1</v>
      </c>
      <c r="D133" s="9" t="s">
        <v>3287</v>
      </c>
      <c r="E133" t="s">
        <v>131</v>
      </c>
      <c r="F133" t="s">
        <v>74</v>
      </c>
      <c r="G133" t="s">
        <v>60</v>
      </c>
      <c r="H133" t="s">
        <v>75</v>
      </c>
      <c r="I133">
        <v>1</v>
      </c>
      <c r="J133" s="4">
        <v>298</v>
      </c>
      <c r="K133" s="4">
        <v>372.5</v>
      </c>
      <c r="L133" s="4">
        <f>K133-J133</f>
      </c>
      <c r="M133" s="4">
        <f>L133*16.67%</f>
      </c>
      <c r="N133" s="4">
        <v>17.17</v>
      </c>
      <c r="O133" s="4">
        <f>N133*20%</f>
      </c>
      <c r="P133" s="4">
        <v>0</v>
      </c>
      <c r="Q133" s="4">
        <f>P133*20%</f>
      </c>
      <c r="R133" s="4">
        <v>1</v>
      </c>
      <c r="S133" s="4">
        <f>Q133</f>
      </c>
      <c r="T133" s="4">
        <f>L133-M133-N133-P133-Q133-R133</f>
      </c>
      <c r="U133" s="4">
        <f>(T133-W133)/J133*100</f>
      </c>
      <c r="V133" s="4">
        <f>M133-S133</f>
      </c>
      <c r="X133" s="4">
        <f>T133-W133</f>
      </c>
      <c r="AC133" t="s">
        <v>1</v>
      </c>
    </row>
    <row r="134" spans="1:29" x14ac:dyDescent="0.25">
      <c r="A134" s="8">
        <v>46213.5</v>
      </c>
      <c r="B134" t="s">
        <v>3288</v>
      </c>
      <c r="C134" t="s">
        <v>1</v>
      </c>
      <c r="D134" s="9" t="s">
        <v>3289</v>
      </c>
      <c r="E134" t="s">
        <v>64</v>
      </c>
      <c r="F134" t="s">
        <v>99</v>
      </c>
      <c r="G134" t="s">
        <v>65</v>
      </c>
      <c r="H134" t="s">
        <v>66</v>
      </c>
      <c r="I134">
        <v>1</v>
      </c>
      <c r="J134" s="4">
        <v>250</v>
      </c>
      <c r="K134" s="4">
        <v>315</v>
      </c>
      <c r="L134" s="4">
        <f>K134-J134</f>
      </c>
      <c r="M134" s="4">
        <f>L134*16.67%</f>
      </c>
      <c r="N134" s="4">
        <v>14.52</v>
      </c>
      <c r="O134" s="4">
        <f>N134*20%</f>
      </c>
      <c r="P134" s="4">
        <v>0</v>
      </c>
      <c r="Q134" s="4">
        <f>P134*20%</f>
      </c>
      <c r="R134" s="4">
        <v>1</v>
      </c>
      <c r="S134" s="4">
        <f>Q134</f>
      </c>
      <c r="T134" s="4">
        <f>L134-M134-N134-P134-Q134-R134</f>
      </c>
      <c r="U134" s="4">
        <f>(T134-W134)/J134*100</f>
      </c>
      <c r="V134" s="4">
        <f>M134-S134</f>
      </c>
      <c r="X134" s="4">
        <f>T134-W134</f>
      </c>
      <c r="AC134" t="s">
        <v>1</v>
      </c>
    </row>
    <row r="135" spans="1:29" x14ac:dyDescent="0.25">
      <c r="A135" s="8">
        <v>46213.5</v>
      </c>
      <c r="B135" t="s">
        <v>3290</v>
      </c>
      <c r="C135" t="s">
        <v>254</v>
      </c>
      <c r="D135" s="9" t="s">
        <v>1</v>
      </c>
      <c r="E135" t="s">
        <v>254</v>
      </c>
      <c r="F135" t="s">
        <v>1</v>
      </c>
      <c r="G135" t="s">
        <v>1</v>
      </c>
      <c r="H135" t="s">
        <v>61</v>
      </c>
      <c r="I135">
        <v>4</v>
      </c>
      <c r="J135" s="4">
        <v>3.2</v>
      </c>
      <c r="K135" s="4">
        <v>4.45</v>
      </c>
      <c r="L135" s="4">
        <f>K135-J135</f>
      </c>
      <c r="M135" s="4">
        <f>L135*16.67%</f>
      </c>
      <c r="N135" s="4">
        <v>0.21</v>
      </c>
      <c r="O135" s="4">
        <f>N135*20%</f>
      </c>
      <c r="P135" s="4">
        <v>0</v>
      </c>
      <c r="Q135" s="4">
        <f>P135*20%</f>
      </c>
      <c r="R135" s="4">
        <v>0</v>
      </c>
      <c r="S135" s="4">
        <f>Q135</f>
      </c>
      <c r="T135" s="4">
        <f>L135-M135-N135-P135-Q135-R135</f>
      </c>
      <c r="U135" s="4">
        <f>(T135-W135)/J135*100</f>
      </c>
      <c r="V135" s="4">
        <f>M135-S135</f>
      </c>
      <c r="X135" s="4">
        <f>T135-W135</f>
      </c>
      <c r="AC135" t="s">
        <v>1</v>
      </c>
    </row>
    <row r="136" spans="1:29" x14ac:dyDescent="0.25">
      <c r="A136" s="8">
        <v>46213.5</v>
      </c>
      <c r="B136" t="s">
        <v>3291</v>
      </c>
      <c r="C136" t="s">
        <v>182</v>
      </c>
      <c r="D136" s="9" t="s">
        <v>1</v>
      </c>
      <c r="E136" t="s">
        <v>182</v>
      </c>
      <c r="F136" t="s">
        <v>1</v>
      </c>
      <c r="G136" t="s">
        <v>1</v>
      </c>
      <c r="H136" t="s">
        <v>75</v>
      </c>
      <c r="I136">
        <v>4</v>
      </c>
      <c r="J136" s="4">
        <v>7.6</v>
      </c>
      <c r="K136" s="4">
        <v>9.04</v>
      </c>
      <c r="L136" s="4">
        <f>K136-J136</f>
      </c>
      <c r="M136" s="4">
        <f>L136*16.67%</f>
      </c>
      <c r="N136" s="4">
        <v>0.42</v>
      </c>
      <c r="O136" s="4">
        <f>N136*20%</f>
      </c>
      <c r="P136" s="4">
        <v>0</v>
      </c>
      <c r="Q136" s="4">
        <f>P136*20%</f>
      </c>
      <c r="R136" s="4">
        <v>0</v>
      </c>
      <c r="S136" s="4">
        <f>Q136</f>
      </c>
      <c r="T136" s="4">
        <f>L136-M136-N136-P136-Q136-R136</f>
      </c>
      <c r="U136" s="4">
        <f>(T136-W136)/J136*100</f>
      </c>
      <c r="V136" s="4">
        <f>M136-S136</f>
      </c>
      <c r="X136" s="4">
        <f>T136-W136</f>
      </c>
      <c r="AC136" t="s">
        <v>1</v>
      </c>
    </row>
    <row r="137" spans="1:29" x14ac:dyDescent="0.25">
      <c r="A137" s="8">
        <v>46213.5</v>
      </c>
      <c r="B137" t="s">
        <v>3292</v>
      </c>
      <c r="C137" t="s">
        <v>185</v>
      </c>
      <c r="D137" s="9" t="s">
        <v>1</v>
      </c>
      <c r="E137" t="s">
        <v>185</v>
      </c>
      <c r="F137" t="s">
        <v>1</v>
      </c>
      <c r="G137" t="s">
        <v>1</v>
      </c>
      <c r="H137" t="s">
        <v>102</v>
      </c>
      <c r="I137">
        <v>3</v>
      </c>
      <c r="J137" s="4">
        <v>3.6</v>
      </c>
      <c r="K137" s="4">
        <v>5</v>
      </c>
      <c r="L137" s="4">
        <f>K137-J137</f>
      </c>
      <c r="M137" s="4">
        <f>L137*16.67%</f>
      </c>
      <c r="N137" s="4">
        <v>0.23</v>
      </c>
      <c r="O137" s="4">
        <f>N137*20%</f>
      </c>
      <c r="P137" s="4">
        <v>0</v>
      </c>
      <c r="Q137" s="4">
        <f>P137*20%</f>
      </c>
      <c r="R137" s="4">
        <v>0</v>
      </c>
      <c r="S137" s="4">
        <f>Q137</f>
      </c>
      <c r="T137" s="4">
        <f>L137-M137-N137-P137-Q137-R137</f>
      </c>
      <c r="U137" s="4">
        <f>(T137-W137)/J137*100</f>
      </c>
      <c r="V137" s="4">
        <f>M137-S137</f>
      </c>
      <c r="X137" s="4">
        <f>T137-W137</f>
      </c>
      <c r="AC137" t="s">
        <v>1</v>
      </c>
    </row>
    <row r="138" spans="1:29" x14ac:dyDescent="0.25">
      <c r="A138" s="8">
        <v>46213.5</v>
      </c>
      <c r="B138" t="s">
        <v>3293</v>
      </c>
      <c r="C138" t="s">
        <v>185</v>
      </c>
      <c r="D138" s="9" t="s">
        <v>1</v>
      </c>
      <c r="E138" t="s">
        <v>185</v>
      </c>
      <c r="F138" t="s">
        <v>1</v>
      </c>
      <c r="G138" t="s">
        <v>1</v>
      </c>
      <c r="H138" t="s">
        <v>102</v>
      </c>
      <c r="I138">
        <v>1</v>
      </c>
      <c r="J138" s="4">
        <v>1.2</v>
      </c>
      <c r="K138" s="4">
        <v>1.55</v>
      </c>
      <c r="L138" s="4">
        <f>K138-J138</f>
      </c>
      <c r="M138" s="4">
        <f>L138*16.67%</f>
      </c>
      <c r="N138" s="4">
        <v>0.07</v>
      </c>
      <c r="O138" s="4">
        <f>N138*20%</f>
      </c>
      <c r="P138" s="4">
        <v>0</v>
      </c>
      <c r="Q138" s="4">
        <f>P138*20%</f>
      </c>
      <c r="R138" s="4">
        <v>0</v>
      </c>
      <c r="S138" s="4">
        <f>Q138</f>
      </c>
      <c r="T138" s="4">
        <f>L138-M138-N138-P138-Q138-R138</f>
      </c>
      <c r="U138" s="4">
        <f>(T138-W138)/J138*100</f>
      </c>
      <c r="V138" s="4">
        <f>M138-S138</f>
      </c>
      <c r="X138" s="4">
        <f>T138-W138</f>
      </c>
      <c r="AC138" t="s">
        <v>1</v>
      </c>
    </row>
    <row r="139" spans="1:29" x14ac:dyDescent="0.25">
      <c r="A139" s="8">
        <v>46213.5</v>
      </c>
      <c r="B139" t="s">
        <v>3294</v>
      </c>
      <c r="C139" t="s">
        <v>1</v>
      </c>
      <c r="D139" s="9" t="s">
        <v>1</v>
      </c>
      <c r="E139" t="s">
        <v>1</v>
      </c>
      <c r="F139" t="s">
        <v>1</v>
      </c>
      <c r="G139" t="s">
        <v>1</v>
      </c>
      <c r="H139" t="s">
        <v>102</v>
      </c>
      <c r="I139">
        <v>1</v>
      </c>
      <c r="J139" s="4">
        <v>157</v>
      </c>
      <c r="K139" s="4">
        <v>213.52</v>
      </c>
      <c r="L139" s="4">
        <f>K139-J139</f>
      </c>
      <c r="M139" s="4">
        <f>L139*16.67%</f>
      </c>
      <c r="N139" s="4">
        <v>9.84</v>
      </c>
      <c r="O139" s="4">
        <f>N139*20%</f>
      </c>
      <c r="P139" s="4">
        <v>0</v>
      </c>
      <c r="Q139" s="4">
        <f>P139*20%</f>
      </c>
      <c r="R139" s="4">
        <v>1</v>
      </c>
      <c r="S139" s="4">
        <f>Q139</f>
      </c>
      <c r="T139" s="4">
        <f>L139-M139-N139-P139-Q139-R139</f>
      </c>
      <c r="U139" s="4">
        <f>(T139-W139)/J139*100</f>
      </c>
      <c r="V139" s="4">
        <f>M139-S139</f>
      </c>
      <c r="X139" s="4">
        <f>T139-W139</f>
      </c>
      <c r="AC139" t="s">
        <v>1</v>
      </c>
    </row>
    <row r="140" spans="1:29" x14ac:dyDescent="0.25">
      <c r="A140" s="8">
        <v>46212.5</v>
      </c>
      <c r="B140" t="s">
        <v>3295</v>
      </c>
      <c r="C140" t="s">
        <v>1</v>
      </c>
      <c r="D140" s="9" t="s">
        <v>3296</v>
      </c>
      <c r="E140" t="s">
        <v>139</v>
      </c>
      <c r="F140" t="s">
        <v>99</v>
      </c>
      <c r="G140" t="s">
        <v>65</v>
      </c>
      <c r="H140" t="s">
        <v>61</v>
      </c>
      <c r="I140">
        <v>1</v>
      </c>
      <c r="J140" s="4">
        <v>335</v>
      </c>
      <c r="K140" s="4">
        <v>422.1</v>
      </c>
      <c r="L140" s="4">
        <f>K140-J140</f>
      </c>
      <c r="M140" s="4">
        <f>L140*16.67%</f>
      </c>
      <c r="N140" s="4">
        <v>19.46</v>
      </c>
      <c r="O140" s="4">
        <f>N140*20%</f>
      </c>
      <c r="P140" s="4">
        <v>0</v>
      </c>
      <c r="Q140" s="4">
        <f>P140*20%</f>
      </c>
      <c r="R140" s="4">
        <v>1</v>
      </c>
      <c r="S140" s="4">
        <f>Q140</f>
      </c>
      <c r="T140" s="4">
        <f>L140-M140-N140-P140-Q140-R140</f>
      </c>
      <c r="U140" s="4">
        <f>(T140-W140)/J140*100</f>
      </c>
      <c r="V140" s="4">
        <f>M140-S140</f>
      </c>
      <c r="X140" s="4">
        <f>T140-W140</f>
      </c>
      <c r="AC140" t="s">
        <v>1</v>
      </c>
    </row>
    <row r="141" spans="1:29" x14ac:dyDescent="0.25">
      <c r="A141" s="8">
        <v>46212.5</v>
      </c>
      <c r="B141" t="s">
        <v>3297</v>
      </c>
      <c r="C141" t="s">
        <v>1</v>
      </c>
      <c r="D141" s="9" t="s">
        <v>3298</v>
      </c>
      <c r="E141" t="s">
        <v>84</v>
      </c>
      <c r="F141" t="s">
        <v>74</v>
      </c>
      <c r="G141" t="s">
        <v>60</v>
      </c>
      <c r="H141" t="s">
        <v>102</v>
      </c>
      <c r="I141">
        <v>1</v>
      </c>
      <c r="J141" s="4">
        <v>677</v>
      </c>
      <c r="K141" s="4">
        <v>920.72</v>
      </c>
      <c r="L141" s="4">
        <f>K141-J141</f>
      </c>
      <c r="M141" s="4">
        <f>L141*16.67%</f>
      </c>
      <c r="N141" s="4">
        <v>42.45</v>
      </c>
      <c r="O141" s="4">
        <f>N141*20%</f>
      </c>
      <c r="P141" s="4">
        <v>0</v>
      </c>
      <c r="Q141" s="4">
        <f>P141*20%</f>
      </c>
      <c r="R141" s="4">
        <v>1</v>
      </c>
      <c r="S141" s="4">
        <f>Q141</f>
      </c>
      <c r="T141" s="4">
        <f>L141-M141-N141-P141-Q141-R141</f>
      </c>
      <c r="U141" s="4">
        <f>(T141-W141)/J141*100</f>
      </c>
      <c r="V141" s="4">
        <f>M141-S141</f>
      </c>
      <c r="X141" s="4">
        <f>T141-W141</f>
      </c>
      <c r="AC141" t="s">
        <v>1</v>
      </c>
    </row>
    <row r="142" spans="1:29" x14ac:dyDescent="0.25">
      <c r="A142" s="8">
        <v>46212.5</v>
      </c>
      <c r="B142" t="s">
        <v>3299</v>
      </c>
      <c r="C142" t="s">
        <v>1</v>
      </c>
      <c r="D142" s="9" t="s">
        <v>3300</v>
      </c>
      <c r="E142" t="s">
        <v>84</v>
      </c>
      <c r="F142" t="s">
        <v>105</v>
      </c>
      <c r="G142" t="s">
        <v>60</v>
      </c>
      <c r="H142" t="s">
        <v>102</v>
      </c>
      <c r="I142">
        <v>1</v>
      </c>
      <c r="J142" s="4">
        <v>694</v>
      </c>
      <c r="K142" s="4">
        <v>964.66</v>
      </c>
      <c r="L142" s="4">
        <f>K142-J142</f>
      </c>
      <c r="M142" s="4">
        <f>L142*16.67%</f>
      </c>
      <c r="N142" s="4">
        <v>44.47</v>
      </c>
      <c r="O142" s="4">
        <f>N142*20%</f>
      </c>
      <c r="P142" s="4">
        <v>0</v>
      </c>
      <c r="Q142" s="4">
        <f>P142*20%</f>
      </c>
      <c r="R142" s="4">
        <v>1</v>
      </c>
      <c r="S142" s="4">
        <f>Q142</f>
      </c>
      <c r="T142" s="4">
        <f>L142-M142-N142-P142-Q142-R142</f>
      </c>
      <c r="U142" s="4">
        <f>(T142-W142)/J142*100</f>
      </c>
      <c r="V142" s="4">
        <f>M142-S142</f>
      </c>
      <c r="X142" s="4">
        <f>T142-W142</f>
      </c>
      <c r="AC142" t="s">
        <v>1</v>
      </c>
    </row>
    <row r="143" spans="1:29" x14ac:dyDescent="0.25">
      <c r="A143" s="8">
        <v>46212.5</v>
      </c>
      <c r="B143" t="s">
        <v>3301</v>
      </c>
      <c r="C143" t="s">
        <v>177</v>
      </c>
      <c r="D143" s="9" t="s">
        <v>1</v>
      </c>
      <c r="E143" t="s">
        <v>177</v>
      </c>
      <c r="F143" t="s">
        <v>1</v>
      </c>
      <c r="G143" t="s">
        <v>1</v>
      </c>
      <c r="H143" t="s">
        <v>78</v>
      </c>
      <c r="I143">
        <v>2</v>
      </c>
      <c r="J143" s="4">
        <v>0.3</v>
      </c>
      <c r="K143" s="4">
        <v>0.34</v>
      </c>
      <c r="L143" s="4">
        <f>K143-J143</f>
      </c>
      <c r="M143" s="4">
        <f>L143*16.67%</f>
      </c>
      <c r="N143" s="4">
        <v>0.02</v>
      </c>
      <c r="O143" s="4">
        <f>N143*20%</f>
      </c>
      <c r="P143" s="4">
        <v>0</v>
      </c>
      <c r="Q143" s="4">
        <f>P143*20%</f>
      </c>
      <c r="R143" s="4">
        <v>0</v>
      </c>
      <c r="S143" s="4">
        <f>Q143</f>
      </c>
      <c r="T143" s="4">
        <f>L143-M143-N143-P143-Q143-R143</f>
      </c>
      <c r="U143" s="4">
        <f>(T143-W143)/J143*100</f>
      </c>
      <c r="V143" s="4">
        <f>M143-S143</f>
      </c>
      <c r="X143" s="4">
        <f>T143-W143</f>
      </c>
      <c r="AC143" t="s">
        <v>1</v>
      </c>
    </row>
    <row r="144" spans="1:29" x14ac:dyDescent="0.25">
      <c r="A144" s="8">
        <v>46211.5</v>
      </c>
      <c r="B144" t="s">
        <v>3302</v>
      </c>
      <c r="C144" t="s">
        <v>1</v>
      </c>
      <c r="D144" s="9" t="s">
        <v>3303</v>
      </c>
      <c r="E144" t="s">
        <v>94</v>
      </c>
      <c r="F144" t="s">
        <v>85</v>
      </c>
      <c r="G144" t="s">
        <v>95</v>
      </c>
      <c r="H144" t="s">
        <v>75</v>
      </c>
      <c r="I144">
        <v>1</v>
      </c>
      <c r="J144" s="4">
        <v>80</v>
      </c>
      <c r="K144" s="4">
        <v>97.6</v>
      </c>
      <c r="L144" s="4">
        <f>K144-J144</f>
      </c>
      <c r="M144" s="4">
        <f>L144*16.67%</f>
      </c>
      <c r="N144" s="4">
        <v>4.5</v>
      </c>
      <c r="O144" s="4">
        <f>N144*20%</f>
      </c>
      <c r="P144" s="4">
        <v>0</v>
      </c>
      <c r="Q144" s="4">
        <f>P144*20%</f>
      </c>
      <c r="R144" s="4">
        <v>1</v>
      </c>
      <c r="S144" s="4">
        <f>Q144</f>
      </c>
      <c r="T144" s="4">
        <f>L144-M144-N144-P144-Q144-R144</f>
      </c>
      <c r="U144" s="4">
        <f>(T144-W144)/J144*100</f>
      </c>
      <c r="V144" s="4">
        <f>M144-S144</f>
      </c>
      <c r="X144" s="4">
        <f>T144-W144</f>
      </c>
      <c r="AC144" t="s">
        <v>1</v>
      </c>
    </row>
    <row r="145" spans="1:29" x14ac:dyDescent="0.25">
      <c r="A145" s="8">
        <v>46211.5</v>
      </c>
      <c r="B145" t="s">
        <v>3304</v>
      </c>
      <c r="C145" t="s">
        <v>1</v>
      </c>
      <c r="D145" s="9" t="s">
        <v>3305</v>
      </c>
      <c r="E145" t="s">
        <v>84</v>
      </c>
      <c r="F145" t="s">
        <v>59</v>
      </c>
      <c r="G145" t="s">
        <v>60</v>
      </c>
      <c r="H145" t="s">
        <v>75</v>
      </c>
      <c r="I145">
        <v>1</v>
      </c>
      <c r="J145" s="4">
        <v>733</v>
      </c>
      <c r="K145" s="4">
        <v>901.59</v>
      </c>
      <c r="L145" s="4">
        <f>K145-J145</f>
      </c>
      <c r="M145" s="4">
        <f>L145*16.67%</f>
      </c>
      <c r="N145" s="4">
        <v>41.56</v>
      </c>
      <c r="O145" s="4">
        <f>N145*20%</f>
      </c>
      <c r="P145" s="4">
        <v>0</v>
      </c>
      <c r="Q145" s="4">
        <f>P145*20%</f>
      </c>
      <c r="R145" s="4">
        <v>1</v>
      </c>
      <c r="S145" s="4">
        <f>Q145</f>
      </c>
      <c r="T145" s="4">
        <f>L145-M145-N145-P145-Q145-R145</f>
      </c>
      <c r="U145" s="4">
        <f>(T145-W145)/J145*100</f>
      </c>
      <c r="V145" s="4">
        <f>M145-S145</f>
      </c>
      <c r="X145" s="4">
        <f>T145-W145</f>
      </c>
      <c r="AC145" t="s">
        <v>1</v>
      </c>
    </row>
    <row r="146" spans="1:29" x14ac:dyDescent="0.25">
      <c r="A146" s="8">
        <v>46211.5</v>
      </c>
      <c r="B146" t="s">
        <v>3306</v>
      </c>
      <c r="C146" t="s">
        <v>1</v>
      </c>
      <c r="D146" s="9" t="s">
        <v>3307</v>
      </c>
      <c r="E146" t="s">
        <v>125</v>
      </c>
      <c r="F146" t="s">
        <v>85</v>
      </c>
      <c r="G146" t="s">
        <v>126</v>
      </c>
      <c r="H146" t="s">
        <v>78</v>
      </c>
      <c r="I146">
        <v>1</v>
      </c>
      <c r="J146" s="4">
        <v>221</v>
      </c>
      <c r="K146" s="4">
        <v>254.15</v>
      </c>
      <c r="L146" s="4">
        <f>K146-J146</f>
      </c>
      <c r="M146" s="4">
        <f>L146*16.67%</f>
      </c>
      <c r="N146" s="4">
        <v>11.72</v>
      </c>
      <c r="O146" s="4">
        <f>N146*20%</f>
      </c>
      <c r="P146" s="4">
        <v>0</v>
      </c>
      <c r="Q146" s="4">
        <f>P146*20%</f>
      </c>
      <c r="R146" s="4">
        <v>1</v>
      </c>
      <c r="S146" s="4">
        <f>Q146</f>
      </c>
      <c r="T146" s="4">
        <f>L146-M146-N146-P146-Q146-R146</f>
      </c>
      <c r="U146" s="4">
        <f>(T146-W146)/J146*100</f>
      </c>
      <c r="V146" s="4">
        <f>M146-S146</f>
      </c>
      <c r="X146" s="4">
        <f>T146-W146</f>
      </c>
      <c r="AC146" t="s">
        <v>1</v>
      </c>
    </row>
    <row r="147" spans="1:29" x14ac:dyDescent="0.25">
      <c r="A147" s="8">
        <v>46211.5</v>
      </c>
      <c r="B147" t="s">
        <v>3308</v>
      </c>
      <c r="C147" t="s">
        <v>1</v>
      </c>
      <c r="D147" s="9" t="s">
        <v>3309</v>
      </c>
      <c r="E147" t="s">
        <v>125</v>
      </c>
      <c r="F147" t="s">
        <v>74</v>
      </c>
      <c r="G147" t="s">
        <v>126</v>
      </c>
      <c r="H147" t="s">
        <v>102</v>
      </c>
      <c r="I147">
        <v>1</v>
      </c>
      <c r="J147" s="4">
        <v>249</v>
      </c>
      <c r="K147" s="4">
        <v>301.29</v>
      </c>
      <c r="L147" s="4">
        <f>K147-J147</f>
      </c>
      <c r="M147" s="4">
        <f>L147*16.67%</f>
      </c>
      <c r="N147" s="4">
        <v>13.89</v>
      </c>
      <c r="O147" s="4">
        <f>N147*20%</f>
      </c>
      <c r="P147" s="4">
        <v>0</v>
      </c>
      <c r="Q147" s="4">
        <f>P147*20%</f>
      </c>
      <c r="R147" s="4">
        <v>1</v>
      </c>
      <c r="S147" s="4">
        <f>Q147</f>
      </c>
      <c r="T147" s="4">
        <f>L147-M147-N147-P147-Q147-R147</f>
      </c>
      <c r="U147" s="4">
        <f>(T147-W147)/J147*100</f>
      </c>
      <c r="V147" s="4">
        <f>M147-S147</f>
      </c>
      <c r="X147" s="4">
        <f>T147-W147</f>
      </c>
      <c r="AC147" t="s">
        <v>1</v>
      </c>
    </row>
    <row r="148" spans="1:29" x14ac:dyDescent="0.25">
      <c r="A148" s="8">
        <v>46211.5</v>
      </c>
      <c r="B148" t="s">
        <v>3310</v>
      </c>
      <c r="C148" t="s">
        <v>1</v>
      </c>
      <c r="D148" s="9" t="s">
        <v>3311</v>
      </c>
      <c r="E148" t="s">
        <v>172</v>
      </c>
      <c r="F148" t="s">
        <v>105</v>
      </c>
      <c r="G148" t="s">
        <v>65</v>
      </c>
      <c r="H148" t="s">
        <v>78</v>
      </c>
      <c r="I148">
        <v>1</v>
      </c>
      <c r="J148" s="4">
        <v>140</v>
      </c>
      <c r="K148" s="4">
        <v>170.8</v>
      </c>
      <c r="L148" s="4">
        <f>K148-J148</f>
      </c>
      <c r="M148" s="4">
        <f>L148*16.67%</f>
      </c>
      <c r="N148" s="4">
        <v>7.87</v>
      </c>
      <c r="O148" s="4">
        <f>N148*20%</f>
      </c>
      <c r="P148" s="4">
        <v>0</v>
      </c>
      <c r="Q148" s="4">
        <f>P148*20%</f>
      </c>
      <c r="R148" s="4">
        <v>1</v>
      </c>
      <c r="S148" s="4">
        <f>Q148</f>
      </c>
      <c r="T148" s="4">
        <f>L148-M148-N148-P148-Q148-R148</f>
      </c>
      <c r="U148" s="4">
        <f>(T148-W148)/J148*100</f>
      </c>
      <c r="V148" s="4">
        <f>M148-S148</f>
      </c>
      <c r="X148" s="4">
        <f>T148-W148</f>
      </c>
      <c r="AC148" t="s">
        <v>1</v>
      </c>
    </row>
    <row r="149" spans="1:29" x14ac:dyDescent="0.25">
      <c r="A149" s="8">
        <v>46211.5</v>
      </c>
      <c r="B149" t="s">
        <v>3312</v>
      </c>
      <c r="C149" t="s">
        <v>1</v>
      </c>
      <c r="D149" s="9" t="s">
        <v>3313</v>
      </c>
      <c r="E149" t="s">
        <v>94</v>
      </c>
      <c r="F149" t="s">
        <v>99</v>
      </c>
      <c r="G149" t="s">
        <v>95</v>
      </c>
      <c r="H149" t="s">
        <v>66</v>
      </c>
      <c r="I149">
        <v>1</v>
      </c>
      <c r="J149" s="4">
        <v>77</v>
      </c>
      <c r="K149" s="4">
        <v>104.72</v>
      </c>
      <c r="L149" s="4">
        <f>K149-J149</f>
      </c>
      <c r="M149" s="4">
        <f>L149*16.67%</f>
      </c>
      <c r="N149" s="4">
        <v>4.83</v>
      </c>
      <c r="O149" s="4">
        <f>N149*20%</f>
      </c>
      <c r="P149" s="4">
        <v>0</v>
      </c>
      <c r="Q149" s="4">
        <f>P149*20%</f>
      </c>
      <c r="R149" s="4">
        <v>1</v>
      </c>
      <c r="S149" s="4">
        <f>Q149</f>
      </c>
      <c r="T149" s="4">
        <f>L149-M149-N149-P149-Q149-R149</f>
      </c>
      <c r="U149" s="4">
        <f>(T149-W149)/J149*100</f>
      </c>
      <c r="V149" s="4">
        <f>M149-S149</f>
      </c>
      <c r="X149" s="4">
        <f>T149-W149</f>
      </c>
      <c r="AC149" t="s">
        <v>1</v>
      </c>
    </row>
    <row r="150" spans="1:29" x14ac:dyDescent="0.25">
      <c r="A150" s="8">
        <v>46211.5</v>
      </c>
      <c r="B150" t="s">
        <v>3314</v>
      </c>
      <c r="C150" t="s">
        <v>254</v>
      </c>
      <c r="D150" s="9" t="s">
        <v>1</v>
      </c>
      <c r="E150" t="s">
        <v>254</v>
      </c>
      <c r="F150" t="s">
        <v>1</v>
      </c>
      <c r="G150" t="s">
        <v>1</v>
      </c>
      <c r="H150" t="s">
        <v>61</v>
      </c>
      <c r="I150">
        <v>4</v>
      </c>
      <c r="J150" s="4">
        <v>3.2</v>
      </c>
      <c r="K150" s="4">
        <v>4.48</v>
      </c>
      <c r="L150" s="4">
        <f>K150-J150</f>
      </c>
      <c r="M150" s="4">
        <f>L150*16.67%</f>
      </c>
      <c r="N150" s="4">
        <v>0.21</v>
      </c>
      <c r="O150" s="4">
        <f>N150*20%</f>
      </c>
      <c r="P150" s="4">
        <v>0</v>
      </c>
      <c r="Q150" s="4">
        <f>P150*20%</f>
      </c>
      <c r="R150" s="4">
        <v>0</v>
      </c>
      <c r="S150" s="4">
        <f>Q150</f>
      </c>
      <c r="T150" s="4">
        <f>L150-M150-N150-P150-Q150-R150</f>
      </c>
      <c r="U150" s="4">
        <f>(T150-W150)/J150*100</f>
      </c>
      <c r="V150" s="4">
        <f>M150-S150</f>
      </c>
      <c r="X150" s="4">
        <f>T150-W150</f>
      </c>
      <c r="AC150" t="s">
        <v>1</v>
      </c>
    </row>
    <row r="151" spans="1:29" x14ac:dyDescent="0.25">
      <c r="A151" s="8">
        <v>46211.5</v>
      </c>
      <c r="B151" t="s">
        <v>3315</v>
      </c>
      <c r="C151" t="s">
        <v>182</v>
      </c>
      <c r="D151" s="9" t="s">
        <v>1</v>
      </c>
      <c r="E151" t="s">
        <v>182</v>
      </c>
      <c r="F151" t="s">
        <v>1</v>
      </c>
      <c r="G151" t="s">
        <v>1</v>
      </c>
      <c r="H151" t="s">
        <v>75</v>
      </c>
      <c r="I151">
        <v>4</v>
      </c>
      <c r="J151" s="4">
        <v>7.6</v>
      </c>
      <c r="K151" s="4">
        <v>8.82</v>
      </c>
      <c r="L151" s="4">
        <f>K151-J151</f>
      </c>
      <c r="M151" s="4">
        <f>L151*16.67%</f>
      </c>
      <c r="N151" s="4">
        <v>0.41</v>
      </c>
      <c r="O151" s="4">
        <f>N151*20%</f>
      </c>
      <c r="P151" s="4">
        <v>0</v>
      </c>
      <c r="Q151" s="4">
        <f>P151*20%</f>
      </c>
      <c r="R151" s="4">
        <v>0</v>
      </c>
      <c r="S151" s="4">
        <f>Q151</f>
      </c>
      <c r="T151" s="4">
        <f>L151-M151-N151-P151-Q151-R151</f>
      </c>
      <c r="U151" s="4">
        <f>(T151-W151)/J151*100</f>
      </c>
      <c r="V151" s="4">
        <f>M151-S151</f>
      </c>
      <c r="X151" s="4">
        <f>T151-W151</f>
      </c>
      <c r="AC151" t="s">
        <v>1</v>
      </c>
    </row>
    <row r="152" spans="1:29" x14ac:dyDescent="0.25">
      <c r="A152" s="8">
        <v>46211.5</v>
      </c>
      <c r="B152" t="s">
        <v>3316</v>
      </c>
      <c r="C152" t="s">
        <v>1</v>
      </c>
      <c r="D152" s="9" t="s">
        <v>1</v>
      </c>
      <c r="E152" t="s">
        <v>1</v>
      </c>
      <c r="F152" t="s">
        <v>1</v>
      </c>
      <c r="G152" t="s">
        <v>1</v>
      </c>
      <c r="H152" t="s">
        <v>66</v>
      </c>
      <c r="I152">
        <v>1</v>
      </c>
      <c r="J152" s="4">
        <v>327</v>
      </c>
      <c r="K152" s="4">
        <v>461.07</v>
      </c>
      <c r="L152" s="4">
        <f>K152-J152</f>
      </c>
      <c r="M152" s="4">
        <f>L152*16.67%</f>
      </c>
      <c r="N152" s="4">
        <v>21.26</v>
      </c>
      <c r="O152" s="4">
        <f>N152*20%</f>
      </c>
      <c r="P152" s="4">
        <v>0</v>
      </c>
      <c r="Q152" s="4">
        <f>P152*20%</f>
      </c>
      <c r="R152" s="4">
        <v>1</v>
      </c>
      <c r="S152" s="4">
        <f>Q152</f>
      </c>
      <c r="T152" s="4">
        <f>L152-M152-N152-P152-Q152-R152</f>
      </c>
      <c r="U152" s="4">
        <f>(T152-W152)/J152*100</f>
      </c>
      <c r="V152" s="4">
        <f>M152-S152</f>
      </c>
      <c r="X152" s="4">
        <f>T152-W152</f>
      </c>
      <c r="AC152" t="s">
        <v>1</v>
      </c>
    </row>
    <row r="153" spans="1:29" x14ac:dyDescent="0.25">
      <c r="A153" s="8">
        <v>46210.5</v>
      </c>
      <c r="B153" t="s">
        <v>3317</v>
      </c>
      <c r="C153" t="s">
        <v>1</v>
      </c>
      <c r="D153" s="9" t="s">
        <v>3318</v>
      </c>
      <c r="E153" t="s">
        <v>91</v>
      </c>
      <c r="F153" t="s">
        <v>105</v>
      </c>
      <c r="G153" t="s">
        <v>95</v>
      </c>
      <c r="H153" t="s">
        <v>66</v>
      </c>
      <c r="I153">
        <v>1</v>
      </c>
      <c r="J153" s="4">
        <v>133</v>
      </c>
      <c r="K153" s="4">
        <v>160.93</v>
      </c>
      <c r="L153" s="4">
        <f>K153-J153</f>
      </c>
      <c r="M153" s="4">
        <f>L153*16.67%</f>
      </c>
      <c r="N153" s="4">
        <v>7.42</v>
      </c>
      <c r="O153" s="4">
        <f>N153*20%</f>
      </c>
      <c r="P153" s="4">
        <v>0</v>
      </c>
      <c r="Q153" s="4">
        <f>P153*20%</f>
      </c>
      <c r="R153" s="4">
        <v>1</v>
      </c>
      <c r="S153" s="4">
        <f>Q153</f>
      </c>
      <c r="T153" s="4">
        <f>L153-M153-N153-P153-Q153-R153</f>
      </c>
      <c r="U153" s="4">
        <f>(T153-W153)/J153*100</f>
      </c>
      <c r="V153" s="4">
        <f>M153-S153</f>
      </c>
      <c r="X153" s="4">
        <f>T153-W153</f>
      </c>
      <c r="AC153" t="s">
        <v>1</v>
      </c>
    </row>
    <row r="154" spans="1:29" x14ac:dyDescent="0.25">
      <c r="A154" s="8">
        <v>46210.5</v>
      </c>
      <c r="B154" t="s">
        <v>3319</v>
      </c>
      <c r="C154" t="s">
        <v>1</v>
      </c>
      <c r="D154" s="9" t="s">
        <v>3320</v>
      </c>
      <c r="E154" t="s">
        <v>64</v>
      </c>
      <c r="F154" t="s">
        <v>105</v>
      </c>
      <c r="G154" t="s">
        <v>65</v>
      </c>
      <c r="H154" t="s">
        <v>102</v>
      </c>
      <c r="I154">
        <v>1</v>
      </c>
      <c r="J154" s="4">
        <v>227</v>
      </c>
      <c r="K154" s="4">
        <v>272.4</v>
      </c>
      <c r="L154" s="4">
        <f>K154-J154</f>
      </c>
      <c r="M154" s="4">
        <f>L154*16.67%</f>
      </c>
      <c r="N154" s="4">
        <v>12.56</v>
      </c>
      <c r="O154" s="4">
        <f>N154*20%</f>
      </c>
      <c r="P154" s="4">
        <v>0</v>
      </c>
      <c r="Q154" s="4">
        <f>P154*20%</f>
      </c>
      <c r="R154" s="4">
        <v>1</v>
      </c>
      <c r="S154" s="4">
        <f>Q154</f>
      </c>
      <c r="T154" s="4">
        <f>L154-M154-N154-P154-Q154-R154</f>
      </c>
      <c r="U154" s="4">
        <f>(T154-W154)/J154*100</f>
      </c>
      <c r="V154" s="4">
        <f>M154-S154</f>
      </c>
      <c r="X154" s="4">
        <f>T154-W154</f>
      </c>
      <c r="AC154" t="s">
        <v>1</v>
      </c>
    </row>
    <row r="155" spans="1:29" x14ac:dyDescent="0.25">
      <c r="A155" s="8">
        <v>46209.5</v>
      </c>
      <c r="B155" t="s">
        <v>3321</v>
      </c>
      <c r="C155" t="s">
        <v>1</v>
      </c>
      <c r="D155" s="9" t="s">
        <v>3322</v>
      </c>
      <c r="E155" t="s">
        <v>73</v>
      </c>
      <c r="F155" t="s">
        <v>70</v>
      </c>
      <c r="G155" t="s">
        <v>60</v>
      </c>
      <c r="H155" t="s">
        <v>66</v>
      </c>
      <c r="I155">
        <v>1</v>
      </c>
      <c r="J155" s="4">
        <v>370</v>
      </c>
      <c r="K155" s="4">
        <v>458.8</v>
      </c>
      <c r="L155" s="4">
        <f>K155-J155</f>
      </c>
      <c r="M155" s="4">
        <f>L155*16.67%</f>
      </c>
      <c r="N155" s="4">
        <v>21.15</v>
      </c>
      <c r="O155" s="4">
        <f>N155*20%</f>
      </c>
      <c r="P155" s="4">
        <v>0</v>
      </c>
      <c r="Q155" s="4">
        <f>P155*20%</f>
      </c>
      <c r="R155" s="4">
        <v>1</v>
      </c>
      <c r="S155" s="4">
        <f>Q155</f>
      </c>
      <c r="T155" s="4">
        <f>L155-M155-N155-P155-Q155-R155</f>
      </c>
      <c r="U155" s="4">
        <f>(T155-W155)/J155*100</f>
      </c>
      <c r="V155" s="4">
        <f>M155-S155</f>
      </c>
      <c r="X155" s="4">
        <f>T155-W155</f>
      </c>
      <c r="AC155" t="s">
        <v>1</v>
      </c>
    </row>
    <row r="156" spans="1:29" x14ac:dyDescent="0.25">
      <c r="A156" s="8">
        <v>46209.5</v>
      </c>
      <c r="B156" t="s">
        <v>3323</v>
      </c>
      <c r="C156" t="s">
        <v>1</v>
      </c>
      <c r="D156" s="9" t="s">
        <v>3324</v>
      </c>
      <c r="E156" t="s">
        <v>172</v>
      </c>
      <c r="F156" t="s">
        <v>59</v>
      </c>
      <c r="G156" t="s">
        <v>65</v>
      </c>
      <c r="H156" t="s">
        <v>75</v>
      </c>
      <c r="I156">
        <v>1</v>
      </c>
      <c r="J156" s="4">
        <v>144</v>
      </c>
      <c r="K156" s="4">
        <v>204.48</v>
      </c>
      <c r="L156" s="4">
        <f>K156-J156</f>
      </c>
      <c r="M156" s="4">
        <f>L156*16.67%</f>
      </c>
      <c r="N156" s="4">
        <v>9.43</v>
      </c>
      <c r="O156" s="4">
        <f>N156*20%</f>
      </c>
      <c r="P156" s="4">
        <v>0</v>
      </c>
      <c r="Q156" s="4">
        <f>P156*20%</f>
      </c>
      <c r="R156" s="4">
        <v>1</v>
      </c>
      <c r="S156" s="4">
        <f>Q156</f>
      </c>
      <c r="T156" s="4">
        <f>L156-M156-N156-P156-Q156-R156</f>
      </c>
      <c r="U156" s="4">
        <f>(T156-W156)/J156*100</f>
      </c>
      <c r="V156" s="4">
        <f>M156-S156</f>
      </c>
      <c r="X156" s="4">
        <f>T156-W156</f>
      </c>
      <c r="AC156" t="s">
        <v>1</v>
      </c>
    </row>
    <row r="157" spans="1:29" x14ac:dyDescent="0.25">
      <c r="A157" s="8">
        <v>46209.5</v>
      </c>
      <c r="B157" t="s">
        <v>3325</v>
      </c>
      <c r="C157" t="s">
        <v>1</v>
      </c>
      <c r="D157" s="9" t="s">
        <v>1</v>
      </c>
      <c r="E157" t="s">
        <v>1</v>
      </c>
      <c r="F157" t="s">
        <v>1</v>
      </c>
      <c r="G157" t="s">
        <v>1</v>
      </c>
      <c r="H157" t="s">
        <v>66</v>
      </c>
      <c r="I157">
        <v>1</v>
      </c>
      <c r="J157" s="4">
        <v>225</v>
      </c>
      <c r="K157" s="4">
        <v>267.75</v>
      </c>
      <c r="L157" s="4">
        <f>K157-J157</f>
      </c>
      <c r="M157" s="4">
        <f>L157*16.67%</f>
      </c>
      <c r="N157" s="4">
        <v>12.34</v>
      </c>
      <c r="O157" s="4">
        <f>N157*20%</f>
      </c>
      <c r="P157" s="4">
        <v>0</v>
      </c>
      <c r="Q157" s="4">
        <f>P157*20%</f>
      </c>
      <c r="R157" s="4">
        <v>1</v>
      </c>
      <c r="S157" s="4">
        <f>Q157</f>
      </c>
      <c r="T157" s="4">
        <f>L157-M157-N157-P157-Q157-R157</f>
      </c>
      <c r="U157" s="4">
        <f>(T157-W157)/J157*100</f>
      </c>
      <c r="V157" s="4">
        <f>M157-S157</f>
      </c>
      <c r="X157" s="4">
        <f>T157-W157</f>
      </c>
      <c r="AC157" t="s">
        <v>1</v>
      </c>
    </row>
    <row r="158" spans="1:29" x14ac:dyDescent="0.25">
      <c r="A158" s="8">
        <v>46208.5</v>
      </c>
      <c r="B158" t="s">
        <v>3326</v>
      </c>
      <c r="C158" t="s">
        <v>1</v>
      </c>
      <c r="D158" s="9" t="s">
        <v>3327</v>
      </c>
      <c r="E158" t="s">
        <v>58</v>
      </c>
      <c r="F158" t="s">
        <v>85</v>
      </c>
      <c r="G158" t="s">
        <v>60</v>
      </c>
      <c r="H158" t="s">
        <v>61</v>
      </c>
      <c r="I158">
        <v>1</v>
      </c>
      <c r="J158" s="4">
        <v>453</v>
      </c>
      <c r="K158" s="4">
        <v>634.2</v>
      </c>
      <c r="L158" s="4">
        <f>K158-J158</f>
      </c>
      <c r="M158" s="4">
        <f>L158*16.67%</f>
      </c>
      <c r="N158" s="4">
        <v>29.24</v>
      </c>
      <c r="O158" s="4">
        <f>N158*20%</f>
      </c>
      <c r="P158" s="4">
        <v>0</v>
      </c>
      <c r="Q158" s="4">
        <f>P158*20%</f>
      </c>
      <c r="R158" s="4">
        <v>1</v>
      </c>
      <c r="S158" s="4">
        <f>Q158</f>
      </c>
      <c r="T158" s="4">
        <f>L158-M158-N158-P158-Q158-R158</f>
      </c>
      <c r="U158" s="4">
        <f>(T158-W158)/J158*100</f>
      </c>
      <c r="V158" s="4">
        <f>M158-S158</f>
      </c>
      <c r="X158" s="4">
        <f>T158-W158</f>
      </c>
      <c r="AC158" t="s">
        <v>1</v>
      </c>
    </row>
    <row r="159" spans="1:29" x14ac:dyDescent="0.25">
      <c r="A159" s="8">
        <v>46208.5</v>
      </c>
      <c r="B159" t="s">
        <v>3328</v>
      </c>
      <c r="C159" t="s">
        <v>1</v>
      </c>
      <c r="D159" s="9" t="s">
        <v>3329</v>
      </c>
      <c r="E159" t="s">
        <v>292</v>
      </c>
      <c r="F159" t="s">
        <v>59</v>
      </c>
      <c r="G159" t="s">
        <v>126</v>
      </c>
      <c r="H159" t="s">
        <v>75</v>
      </c>
      <c r="I159">
        <v>1</v>
      </c>
      <c r="J159" s="4">
        <v>162</v>
      </c>
      <c r="K159" s="4">
        <v>204.12</v>
      </c>
      <c r="L159" s="4">
        <f>K159-J159</f>
      </c>
      <c r="M159" s="4">
        <f>L159*16.67%</f>
      </c>
      <c r="N159" s="4">
        <v>9.41</v>
      </c>
      <c r="O159" s="4">
        <f>N159*20%</f>
      </c>
      <c r="P159" s="4">
        <v>0</v>
      </c>
      <c r="Q159" s="4">
        <f>P159*20%</f>
      </c>
      <c r="R159" s="4">
        <v>1</v>
      </c>
      <c r="S159" s="4">
        <f>Q159</f>
      </c>
      <c r="T159" s="4">
        <f>L159-M159-N159-P159-Q159-R159</f>
      </c>
      <c r="U159" s="4">
        <f>(T159-W159)/J159*100</f>
      </c>
      <c r="V159" s="4">
        <f>M159-S159</f>
      </c>
      <c r="X159" s="4">
        <f>T159-W159</f>
      </c>
      <c r="AC159" t="s">
        <v>1</v>
      </c>
    </row>
    <row r="160" spans="1:29" x14ac:dyDescent="0.25">
      <c r="A160" s="8">
        <v>46208.5</v>
      </c>
      <c r="B160" t="s">
        <v>3330</v>
      </c>
      <c r="C160" t="s">
        <v>1</v>
      </c>
      <c r="D160" s="9" t="s">
        <v>3331</v>
      </c>
      <c r="E160" t="s">
        <v>98</v>
      </c>
      <c r="F160" t="s">
        <v>99</v>
      </c>
      <c r="G160" t="s">
        <v>60</v>
      </c>
      <c r="H160" t="s">
        <v>61</v>
      </c>
      <c r="I160">
        <v>1</v>
      </c>
      <c r="J160" s="4">
        <v>302</v>
      </c>
      <c r="K160" s="4">
        <v>416.76</v>
      </c>
      <c r="L160" s="4">
        <f>K160-J160</f>
      </c>
      <c r="M160" s="4">
        <f>L160*16.67%</f>
      </c>
      <c r="N160" s="4">
        <v>19.21</v>
      </c>
      <c r="O160" s="4">
        <f>N160*20%</f>
      </c>
      <c r="P160" s="4">
        <v>0</v>
      </c>
      <c r="Q160" s="4">
        <f>P160*20%</f>
      </c>
      <c r="R160" s="4">
        <v>1</v>
      </c>
      <c r="S160" s="4">
        <f>Q160</f>
      </c>
      <c r="T160" s="4">
        <f>L160-M160-N160-P160-Q160-R160</f>
      </c>
      <c r="U160" s="4">
        <f>(T160-W160)/J160*100</f>
      </c>
      <c r="V160" s="4">
        <f>M160-S160</f>
      </c>
      <c r="X160" s="4">
        <f>T160-W160</f>
      </c>
      <c r="AC160" t="s">
        <v>1</v>
      </c>
    </row>
    <row r="161" spans="1:29" x14ac:dyDescent="0.25">
      <c r="A161" s="8">
        <v>46208.5</v>
      </c>
      <c r="B161" t="s">
        <v>3332</v>
      </c>
      <c r="C161" t="s">
        <v>1</v>
      </c>
      <c r="D161" s="9" t="s">
        <v>3333</v>
      </c>
      <c r="E161" t="s">
        <v>172</v>
      </c>
      <c r="F161" t="s">
        <v>85</v>
      </c>
      <c r="G161" t="s">
        <v>65</v>
      </c>
      <c r="H161" t="s">
        <v>75</v>
      </c>
      <c r="I161">
        <v>1</v>
      </c>
      <c r="J161" s="4">
        <v>166</v>
      </c>
      <c r="K161" s="4">
        <v>200.86</v>
      </c>
      <c r="L161" s="4">
        <f>K161-J161</f>
      </c>
      <c r="M161" s="4">
        <f>L161*16.67%</f>
      </c>
      <c r="N161" s="4">
        <v>9.26</v>
      </c>
      <c r="O161" s="4">
        <f>N161*20%</f>
      </c>
      <c r="P161" s="4">
        <v>0</v>
      </c>
      <c r="Q161" s="4">
        <f>P161*20%</f>
      </c>
      <c r="R161" s="4">
        <v>1</v>
      </c>
      <c r="S161" s="4">
        <f>Q161</f>
      </c>
      <c r="T161" s="4">
        <f>L161-M161-N161-P161-Q161-R161</f>
      </c>
      <c r="U161" s="4">
        <f>(T161-W161)/J161*100</f>
      </c>
      <c r="V161" s="4">
        <f>M161-S161</f>
      </c>
      <c r="X161" s="4">
        <f>T161-W161</f>
      </c>
      <c r="AC161" t="s">
        <v>1</v>
      </c>
    </row>
    <row r="162" spans="1:29" x14ac:dyDescent="0.25">
      <c r="A162" s="8">
        <v>46208.5</v>
      </c>
      <c r="B162" t="s">
        <v>3334</v>
      </c>
      <c r="C162" t="s">
        <v>189</v>
      </c>
      <c r="D162" s="9" t="s">
        <v>1</v>
      </c>
      <c r="E162" t="s">
        <v>189</v>
      </c>
      <c r="F162" t="s">
        <v>1</v>
      </c>
      <c r="G162" t="s">
        <v>1</v>
      </c>
      <c r="H162" t="s">
        <v>66</v>
      </c>
      <c r="I162">
        <v>1</v>
      </c>
      <c r="J162" s="4">
        <v>3.5</v>
      </c>
      <c r="K162" s="4">
        <v>5</v>
      </c>
      <c r="L162" s="4">
        <f>K162-J162</f>
      </c>
      <c r="M162" s="4">
        <f>L162*16.67%</f>
      </c>
      <c r="N162" s="4">
        <v>0.23</v>
      </c>
      <c r="O162" s="4">
        <f>N162*20%</f>
      </c>
      <c r="P162" s="4">
        <v>0</v>
      </c>
      <c r="Q162" s="4">
        <f>P162*20%</f>
      </c>
      <c r="R162" s="4">
        <v>0</v>
      </c>
      <c r="S162" s="4">
        <f>Q162</f>
      </c>
      <c r="T162" s="4">
        <f>L162-M162-N162-P162-Q162-R162</f>
      </c>
      <c r="U162" s="4">
        <f>(T162-W162)/J162*100</f>
      </c>
      <c r="V162" s="4">
        <f>M162-S162</f>
      </c>
      <c r="X162" s="4">
        <f>T162-W162</f>
      </c>
      <c r="AC162" t="s">
        <v>1</v>
      </c>
    </row>
    <row r="163" spans="1:29" x14ac:dyDescent="0.25">
      <c r="A163" s="8">
        <v>46208.5</v>
      </c>
      <c r="B163" t="s">
        <v>3335</v>
      </c>
      <c r="C163" t="s">
        <v>254</v>
      </c>
      <c r="D163" s="9" t="s">
        <v>1</v>
      </c>
      <c r="E163" t="s">
        <v>254</v>
      </c>
      <c r="F163" t="s">
        <v>1</v>
      </c>
      <c r="G163" t="s">
        <v>1</v>
      </c>
      <c r="H163" t="s">
        <v>61</v>
      </c>
      <c r="I163">
        <v>4</v>
      </c>
      <c r="J163" s="4">
        <v>3.2</v>
      </c>
      <c r="K163" s="4">
        <v>3.78</v>
      </c>
      <c r="L163" s="4">
        <f>K163-J163</f>
      </c>
      <c r="M163" s="4">
        <f>L163*16.67%</f>
      </c>
      <c r="N163" s="4">
        <v>0.17</v>
      </c>
      <c r="O163" s="4">
        <f>N163*20%</f>
      </c>
      <c r="P163" s="4">
        <v>0</v>
      </c>
      <c r="Q163" s="4">
        <f>P163*20%</f>
      </c>
      <c r="R163" s="4">
        <v>0</v>
      </c>
      <c r="S163" s="4">
        <f>Q163</f>
      </c>
      <c r="T163" s="4">
        <f>L163-M163-N163-P163-Q163-R163</f>
      </c>
      <c r="U163" s="4">
        <f>(T163-W163)/J163*100</f>
      </c>
      <c r="V163" s="4">
        <f>M163-S163</f>
      </c>
      <c r="X163" s="4">
        <f>T163-W163</f>
      </c>
      <c r="AC163" t="s">
        <v>1</v>
      </c>
    </row>
    <row r="164" spans="1:29" x14ac:dyDescent="0.25">
      <c r="A164" s="8">
        <v>46207.5</v>
      </c>
      <c r="B164" t="s">
        <v>3336</v>
      </c>
      <c r="C164" t="s">
        <v>1</v>
      </c>
      <c r="D164" s="9" t="s">
        <v>3337</v>
      </c>
      <c r="E164" t="s">
        <v>134</v>
      </c>
      <c r="F164" t="s">
        <v>85</v>
      </c>
      <c r="G164" t="s">
        <v>65</v>
      </c>
      <c r="H164" t="s">
        <v>61</v>
      </c>
      <c r="I164">
        <v>1</v>
      </c>
      <c r="J164" s="4">
        <v>106</v>
      </c>
      <c r="K164" s="4">
        <v>150.52</v>
      </c>
      <c r="L164" s="4">
        <f>K164-J164</f>
      </c>
      <c r="M164" s="4">
        <f>L164*16.67%</f>
      </c>
      <c r="N164" s="4">
        <v>6.94</v>
      </c>
      <c r="O164" s="4">
        <f>N164*20%</f>
      </c>
      <c r="P164" s="4">
        <v>0</v>
      </c>
      <c r="Q164" s="4">
        <f>P164*20%</f>
      </c>
      <c r="R164" s="4">
        <v>1</v>
      </c>
      <c r="S164" s="4">
        <f>Q164</f>
      </c>
      <c r="T164" s="4">
        <f>L164-M164-N164-P164-Q164-R164</f>
      </c>
      <c r="U164" s="4">
        <f>(T164-W164)/J164*100</f>
      </c>
      <c r="V164" s="4">
        <f>M164-S164</f>
      </c>
      <c r="X164" s="4">
        <f>T164-W164</f>
      </c>
      <c r="AC164" t="s">
        <v>1</v>
      </c>
    </row>
    <row r="165" spans="1:29" x14ac:dyDescent="0.25">
      <c r="A165" s="8">
        <v>46207.5</v>
      </c>
      <c r="B165" t="s">
        <v>3338</v>
      </c>
      <c r="C165" t="s">
        <v>1</v>
      </c>
      <c r="D165" s="9" t="s">
        <v>3339</v>
      </c>
      <c r="E165" t="s">
        <v>172</v>
      </c>
      <c r="F165" t="s">
        <v>70</v>
      </c>
      <c r="G165" t="s">
        <v>65</v>
      </c>
      <c r="H165" t="s">
        <v>61</v>
      </c>
      <c r="I165">
        <v>1</v>
      </c>
      <c r="J165" s="4">
        <v>163</v>
      </c>
      <c r="K165" s="4">
        <v>233.09</v>
      </c>
      <c r="L165" s="4">
        <f>K165-J165</f>
      </c>
      <c r="M165" s="4">
        <f>L165*16.67%</f>
      </c>
      <c r="N165" s="4">
        <v>10.75</v>
      </c>
      <c r="O165" s="4">
        <f>N165*20%</f>
      </c>
      <c r="P165" s="4">
        <v>0</v>
      </c>
      <c r="Q165" s="4">
        <f>P165*20%</f>
      </c>
      <c r="R165" s="4">
        <v>1</v>
      </c>
      <c r="S165" s="4">
        <f>Q165</f>
      </c>
      <c r="T165" s="4">
        <f>L165-M165-N165-P165-Q165-R165</f>
      </c>
      <c r="U165" s="4">
        <f>(T165-W165)/J165*100</f>
      </c>
      <c r="V165" s="4">
        <f>M165-S165</f>
      </c>
      <c r="X165" s="4">
        <f>T165-W165</f>
      </c>
      <c r="AC165" t="s">
        <v>1</v>
      </c>
    </row>
    <row r="166" spans="1:29" x14ac:dyDescent="0.25">
      <c r="A166" s="8">
        <v>46207.5</v>
      </c>
      <c r="B166" t="s">
        <v>3340</v>
      </c>
      <c r="C166" t="s">
        <v>1</v>
      </c>
      <c r="D166" s="9" t="s">
        <v>3341</v>
      </c>
      <c r="E166" t="s">
        <v>81</v>
      </c>
      <c r="F166" t="s">
        <v>85</v>
      </c>
      <c r="G166" t="s">
        <v>65</v>
      </c>
      <c r="H166" t="s">
        <v>61</v>
      </c>
      <c r="I166">
        <v>1</v>
      </c>
      <c r="J166" s="4">
        <v>530</v>
      </c>
      <c r="K166" s="4">
        <v>620.1</v>
      </c>
      <c r="L166" s="4">
        <f>K166-J166</f>
      </c>
      <c r="M166" s="4">
        <f>L166*16.67%</f>
      </c>
      <c r="N166" s="4">
        <v>28.59</v>
      </c>
      <c r="O166" s="4">
        <f>N166*20%</f>
      </c>
      <c r="P166" s="4">
        <v>0</v>
      </c>
      <c r="Q166" s="4">
        <f>P166*20%</f>
      </c>
      <c r="R166" s="4">
        <v>1</v>
      </c>
      <c r="S166" s="4">
        <f>Q166</f>
      </c>
      <c r="T166" s="4">
        <f>L166-M166-N166-P166-Q166-R166</f>
      </c>
      <c r="U166" s="4">
        <f>(T166-W166)/J166*100</f>
      </c>
      <c r="V166" s="4">
        <f>M166-S166</f>
      </c>
      <c r="X166" s="4">
        <f>T166-W166</f>
      </c>
      <c r="AC166" t="s">
        <v>1</v>
      </c>
    </row>
    <row r="167" spans="1:29" x14ac:dyDescent="0.25">
      <c r="A167" s="8">
        <v>46207.5</v>
      </c>
      <c r="B167" t="s">
        <v>3342</v>
      </c>
      <c r="C167" t="s">
        <v>1</v>
      </c>
      <c r="D167" s="9" t="s">
        <v>3343</v>
      </c>
      <c r="E167" t="s">
        <v>73</v>
      </c>
      <c r="F167" t="s">
        <v>70</v>
      </c>
      <c r="G167" t="s">
        <v>60</v>
      </c>
      <c r="H167" t="s">
        <v>102</v>
      </c>
      <c r="I167">
        <v>1</v>
      </c>
      <c r="J167" s="4">
        <v>346</v>
      </c>
      <c r="K167" s="4">
        <v>484.4</v>
      </c>
      <c r="L167" s="4">
        <f>K167-J167</f>
      </c>
      <c r="M167" s="4">
        <f>L167*16.67%</f>
      </c>
      <c r="N167" s="4">
        <v>22.33</v>
      </c>
      <c r="O167" s="4">
        <f>N167*20%</f>
      </c>
      <c r="P167" s="4">
        <v>0</v>
      </c>
      <c r="Q167" s="4">
        <f>P167*20%</f>
      </c>
      <c r="R167" s="4">
        <v>1</v>
      </c>
      <c r="S167" s="4">
        <f>Q167</f>
      </c>
      <c r="T167" s="4">
        <f>L167-M167-N167-P167-Q167-R167</f>
      </c>
      <c r="U167" s="4">
        <f>(T167-W167)/J167*100</f>
      </c>
      <c r="V167" s="4">
        <f>M167-S167</f>
      </c>
      <c r="X167" s="4">
        <f>T167-W167</f>
      </c>
      <c r="AC167" t="s">
        <v>1</v>
      </c>
    </row>
    <row r="168" spans="1:29" x14ac:dyDescent="0.25">
      <c r="A168" s="8">
        <v>46207.5</v>
      </c>
      <c r="B168" t="s">
        <v>3344</v>
      </c>
      <c r="C168" t="s">
        <v>1</v>
      </c>
      <c r="D168" s="9" t="s">
        <v>3345</v>
      </c>
      <c r="E168" t="s">
        <v>125</v>
      </c>
      <c r="F168" t="s">
        <v>59</v>
      </c>
      <c r="G168" t="s">
        <v>126</v>
      </c>
      <c r="H168" t="s">
        <v>75</v>
      </c>
      <c r="I168">
        <v>1</v>
      </c>
      <c r="J168" s="4">
        <v>233</v>
      </c>
      <c r="K168" s="4">
        <v>295.91</v>
      </c>
      <c r="L168" s="4">
        <f>K168-J168</f>
      </c>
      <c r="M168" s="4">
        <f>L168*16.67%</f>
      </c>
      <c r="N168" s="4">
        <v>13.64</v>
      </c>
      <c r="O168" s="4">
        <f>N168*20%</f>
      </c>
      <c r="P168" s="4">
        <v>0</v>
      </c>
      <c r="Q168" s="4">
        <f>P168*20%</f>
      </c>
      <c r="R168" s="4">
        <v>1</v>
      </c>
      <c r="S168" s="4">
        <f>Q168</f>
      </c>
      <c r="T168" s="4">
        <f>L168-M168-N168-P168-Q168-R168</f>
      </c>
      <c r="U168" s="4">
        <f>(T168-W168)/J168*100</f>
      </c>
      <c r="V168" s="4">
        <f>M168-S168</f>
      </c>
      <c r="X168" s="4">
        <f>T168-W168</f>
      </c>
      <c r="AC168" t="s">
        <v>1</v>
      </c>
    </row>
    <row r="169" spans="1:29" x14ac:dyDescent="0.25">
      <c r="A169" s="8">
        <v>46207.5</v>
      </c>
      <c r="B169" t="s">
        <v>3346</v>
      </c>
      <c r="C169" t="s">
        <v>1</v>
      </c>
      <c r="D169" s="9" t="s">
        <v>1</v>
      </c>
      <c r="E169" t="s">
        <v>1</v>
      </c>
      <c r="F169" t="s">
        <v>1</v>
      </c>
      <c r="G169" t="s">
        <v>1</v>
      </c>
      <c r="H169" t="s">
        <v>61</v>
      </c>
      <c r="I169">
        <v>1</v>
      </c>
      <c r="J169" s="4">
        <v>227</v>
      </c>
      <c r="K169" s="4">
        <v>265.59</v>
      </c>
      <c r="L169" s="4">
        <f>K169-J169</f>
      </c>
      <c r="M169" s="4">
        <f>L169*16.67%</f>
      </c>
      <c r="N169" s="4">
        <v>12.24</v>
      </c>
      <c r="O169" s="4">
        <f>N169*20%</f>
      </c>
      <c r="P169" s="4">
        <v>0</v>
      </c>
      <c r="Q169" s="4">
        <f>P169*20%</f>
      </c>
      <c r="R169" s="4">
        <v>1</v>
      </c>
      <c r="S169" s="4">
        <f>Q169</f>
      </c>
      <c r="T169" s="4">
        <f>L169-M169-N169-P169-Q169-R169</f>
      </c>
      <c r="U169" s="4">
        <f>(T169-W169)/J169*100</f>
      </c>
      <c r="V169" s="4">
        <f>M169-S169</f>
      </c>
      <c r="X169" s="4">
        <f>T169-W169</f>
      </c>
      <c r="AC169" t="s">
        <v>1</v>
      </c>
    </row>
    <row r="170" spans="1:29" x14ac:dyDescent="0.25">
      <c r="A170" s="8">
        <v>46206.5</v>
      </c>
      <c r="B170" t="s">
        <v>3347</v>
      </c>
      <c r="C170" t="s">
        <v>1</v>
      </c>
      <c r="D170" s="9" t="s">
        <v>3348</v>
      </c>
      <c r="E170" t="s">
        <v>81</v>
      </c>
      <c r="F170" t="s">
        <v>105</v>
      </c>
      <c r="G170" t="s">
        <v>60</v>
      </c>
      <c r="H170" t="s">
        <v>66</v>
      </c>
      <c r="I170">
        <v>1</v>
      </c>
      <c r="J170" s="4">
        <v>597</v>
      </c>
      <c r="K170" s="4">
        <v>692.52</v>
      </c>
      <c r="L170" s="4">
        <f>K170-J170</f>
      </c>
      <c r="M170" s="4">
        <f>L170*16.67%</f>
      </c>
      <c r="N170" s="4">
        <v>31.93</v>
      </c>
      <c r="O170" s="4">
        <f>N170*20%</f>
      </c>
      <c r="P170" s="4">
        <v>0</v>
      </c>
      <c r="Q170" s="4">
        <f>P170*20%</f>
      </c>
      <c r="R170" s="4">
        <v>1</v>
      </c>
      <c r="S170" s="4">
        <f>Q170</f>
      </c>
      <c r="T170" s="4">
        <f>L170-M170-N170-P170-Q170-R170</f>
      </c>
      <c r="U170" s="4">
        <f>(T170-W170)/J170*100</f>
      </c>
      <c r="V170" s="4">
        <f>M170-S170</f>
      </c>
      <c r="X170" s="4">
        <f>T170-W170</f>
      </c>
      <c r="AC170" t="s">
        <v>1</v>
      </c>
    </row>
    <row r="171" spans="1:29" x14ac:dyDescent="0.25">
      <c r="A171" s="8">
        <v>46206.5</v>
      </c>
      <c r="B171" t="s">
        <v>3349</v>
      </c>
      <c r="C171" t="s">
        <v>1</v>
      </c>
      <c r="D171" s="9" t="s">
        <v>3350</v>
      </c>
      <c r="E171" t="s">
        <v>98</v>
      </c>
      <c r="F171" t="s">
        <v>99</v>
      </c>
      <c r="G171" t="s">
        <v>60</v>
      </c>
      <c r="H171" t="s">
        <v>66</v>
      </c>
      <c r="I171">
        <v>1</v>
      </c>
      <c r="J171" s="4">
        <v>306</v>
      </c>
      <c r="K171" s="4">
        <v>394.74</v>
      </c>
      <c r="L171" s="4">
        <f>K171-J171</f>
      </c>
      <c r="M171" s="4">
        <f>L171*16.67%</f>
      </c>
      <c r="N171" s="4">
        <v>18.2</v>
      </c>
      <c r="O171" s="4">
        <f>N171*20%</f>
      </c>
      <c r="P171" s="4">
        <v>0</v>
      </c>
      <c r="Q171" s="4">
        <f>P171*20%</f>
      </c>
      <c r="R171" s="4">
        <v>1</v>
      </c>
      <c r="S171" s="4">
        <f>Q171</f>
      </c>
      <c r="T171" s="4">
        <f>L171-M171-N171-P171-Q171-R171</f>
      </c>
      <c r="U171" s="4">
        <f>(T171-W171)/J171*100</f>
      </c>
      <c r="V171" s="4">
        <f>M171-S171</f>
      </c>
      <c r="X171" s="4">
        <f>T171-W171</f>
      </c>
      <c r="AC171" t="s">
        <v>1</v>
      </c>
    </row>
    <row r="172" spans="1:29" x14ac:dyDescent="0.25">
      <c r="A172" s="8">
        <v>46206.5</v>
      </c>
      <c r="B172" t="s">
        <v>3351</v>
      </c>
      <c r="C172" t="s">
        <v>1</v>
      </c>
      <c r="D172" s="9" t="s">
        <v>3352</v>
      </c>
      <c r="E172" t="s">
        <v>172</v>
      </c>
      <c r="F172" t="s">
        <v>105</v>
      </c>
      <c r="G172" t="s">
        <v>65</v>
      </c>
      <c r="H172" t="s">
        <v>78</v>
      </c>
      <c r="I172">
        <v>1</v>
      </c>
      <c r="J172" s="4">
        <v>170</v>
      </c>
      <c r="K172" s="4">
        <v>219.3</v>
      </c>
      <c r="L172" s="4">
        <f>K172-J172</f>
      </c>
      <c r="M172" s="4">
        <f>L172*16.67%</f>
      </c>
      <c r="N172" s="4">
        <v>10.11</v>
      </c>
      <c r="O172" s="4">
        <f>N172*20%</f>
      </c>
      <c r="P172" s="4">
        <v>0</v>
      </c>
      <c r="Q172" s="4">
        <f>P172*20%</f>
      </c>
      <c r="R172" s="4">
        <v>1</v>
      </c>
      <c r="S172" s="4">
        <f>Q172</f>
      </c>
      <c r="T172" s="4">
        <f>L172-M172-N172-P172-Q172-R172</f>
      </c>
      <c r="U172" s="4">
        <f>(T172-W172)/J172*100</f>
      </c>
      <c r="V172" s="4">
        <f>M172-S172</f>
      </c>
      <c r="X172" s="4">
        <f>T172-W172</f>
      </c>
      <c r="AC172" t="s">
        <v>1</v>
      </c>
    </row>
    <row r="173" spans="1:29" x14ac:dyDescent="0.25">
      <c r="A173" s="8">
        <v>46206.5</v>
      </c>
      <c r="B173" t="s">
        <v>3353</v>
      </c>
      <c r="C173" t="s">
        <v>1</v>
      </c>
      <c r="D173" s="9" t="s">
        <v>3354</v>
      </c>
      <c r="E173" t="s">
        <v>81</v>
      </c>
      <c r="F173" t="s">
        <v>99</v>
      </c>
      <c r="G173" t="s">
        <v>65</v>
      </c>
      <c r="H173" t="s">
        <v>66</v>
      </c>
      <c r="I173">
        <v>1</v>
      </c>
      <c r="J173" s="4">
        <v>528</v>
      </c>
      <c r="K173" s="4">
        <v>686.4</v>
      </c>
      <c r="L173" s="4">
        <f>K173-J173</f>
      </c>
      <c r="M173" s="4">
        <f>L173*16.67%</f>
      </c>
      <c r="N173" s="4">
        <v>31.64</v>
      </c>
      <c r="O173" s="4">
        <f>N173*20%</f>
      </c>
      <c r="P173" s="4">
        <v>0</v>
      </c>
      <c r="Q173" s="4">
        <f>P173*20%</f>
      </c>
      <c r="R173" s="4">
        <v>1</v>
      </c>
      <c r="S173" s="4">
        <f>Q173</f>
      </c>
      <c r="T173" s="4">
        <f>L173-M173-N173-P173-Q173-R173</f>
      </c>
      <c r="U173" s="4">
        <f>(T173-W173)/J173*100</f>
      </c>
      <c r="V173" s="4">
        <f>M173-S173</f>
      </c>
      <c r="X173" s="4">
        <f>T173-W173</f>
      </c>
      <c r="AC173" t="s">
        <v>1</v>
      </c>
    </row>
    <row r="174" spans="1:29" x14ac:dyDescent="0.25">
      <c r="A174" s="8">
        <v>46206.5</v>
      </c>
      <c r="B174" t="s">
        <v>3355</v>
      </c>
      <c r="C174" t="s">
        <v>1</v>
      </c>
      <c r="D174" s="9" t="s">
        <v>3356</v>
      </c>
      <c r="E174" t="s">
        <v>69</v>
      </c>
      <c r="F174" t="s">
        <v>70</v>
      </c>
      <c r="G174" t="s">
        <v>60</v>
      </c>
      <c r="H174" t="s">
        <v>78</v>
      </c>
      <c r="I174">
        <v>1</v>
      </c>
      <c r="J174" s="4">
        <v>486</v>
      </c>
      <c r="K174" s="4">
        <v>602.64</v>
      </c>
      <c r="L174" s="4">
        <f>K174-J174</f>
      </c>
      <c r="M174" s="4">
        <f>L174*16.67%</f>
      </c>
      <c r="N174" s="4">
        <v>27.78</v>
      </c>
      <c r="O174" s="4">
        <f>N174*20%</f>
      </c>
      <c r="P174" s="4">
        <v>0</v>
      </c>
      <c r="Q174" s="4">
        <f>P174*20%</f>
      </c>
      <c r="R174" s="4">
        <v>1</v>
      </c>
      <c r="S174" s="4">
        <f>Q174</f>
      </c>
      <c r="T174" s="4">
        <f>L174-M174-N174-P174-Q174-R174</f>
      </c>
      <c r="U174" s="4">
        <f>(T174-W174)/J174*100</f>
      </c>
      <c r="V174" s="4">
        <f>M174-S174</f>
      </c>
      <c r="X174" s="4">
        <f>T174-W174</f>
      </c>
      <c r="AC174" t="s">
        <v>1</v>
      </c>
    </row>
    <row r="175" spans="1:29" x14ac:dyDescent="0.25">
      <c r="A175" s="8">
        <v>46206.5</v>
      </c>
      <c r="B175" t="s">
        <v>3357</v>
      </c>
      <c r="C175" t="s">
        <v>1</v>
      </c>
      <c r="D175" s="9" t="s">
        <v>3358</v>
      </c>
      <c r="E175" t="s">
        <v>234</v>
      </c>
      <c r="F175" t="s">
        <v>70</v>
      </c>
      <c r="G175" t="s">
        <v>65</v>
      </c>
      <c r="H175" t="s">
        <v>61</v>
      </c>
      <c r="I175">
        <v>1</v>
      </c>
      <c r="J175" s="4">
        <v>154</v>
      </c>
      <c r="K175" s="4">
        <v>206.36</v>
      </c>
      <c r="L175" s="4">
        <f>K175-J175</f>
      </c>
      <c r="M175" s="4">
        <f>L175*16.67%</f>
      </c>
      <c r="N175" s="4">
        <v>9.51</v>
      </c>
      <c r="O175" s="4">
        <f>N175*20%</f>
      </c>
      <c r="P175" s="4">
        <v>0</v>
      </c>
      <c r="Q175" s="4">
        <f>P175*20%</f>
      </c>
      <c r="R175" s="4">
        <v>1</v>
      </c>
      <c r="S175" s="4">
        <f>Q175</f>
      </c>
      <c r="T175" s="4">
        <f>L175-M175-N175-P175-Q175-R175</f>
      </c>
      <c r="U175" s="4">
        <f>(T175-W175)/J175*100</f>
      </c>
      <c r="V175" s="4">
        <f>M175-S175</f>
      </c>
      <c r="X175" s="4">
        <f>T175-W175</f>
      </c>
      <c r="AC175" t="s">
        <v>1</v>
      </c>
    </row>
    <row r="176" spans="1:29" x14ac:dyDescent="0.25">
      <c r="A176" s="8">
        <v>46206.5</v>
      </c>
      <c r="B176" t="s">
        <v>3359</v>
      </c>
      <c r="C176" t="s">
        <v>1</v>
      </c>
      <c r="D176" s="9" t="s">
        <v>3360</v>
      </c>
      <c r="E176" t="s">
        <v>64</v>
      </c>
      <c r="F176" t="s">
        <v>99</v>
      </c>
      <c r="G176" t="s">
        <v>65</v>
      </c>
      <c r="H176" t="s">
        <v>102</v>
      </c>
      <c r="I176">
        <v>1</v>
      </c>
      <c r="J176" s="4">
        <v>227</v>
      </c>
      <c r="K176" s="4">
        <v>324.61</v>
      </c>
      <c r="L176" s="4">
        <f>K176-J176</f>
      </c>
      <c r="M176" s="4">
        <f>L176*16.67%</f>
      </c>
      <c r="N176" s="4">
        <v>14.96</v>
      </c>
      <c r="O176" s="4">
        <f>N176*20%</f>
      </c>
      <c r="P176" s="4">
        <v>0</v>
      </c>
      <c r="Q176" s="4">
        <f>P176*20%</f>
      </c>
      <c r="R176" s="4">
        <v>1</v>
      </c>
      <c r="S176" s="4">
        <f>Q176</f>
      </c>
      <c r="T176" s="4">
        <f>L176-M176-N176-P176-Q176-R176</f>
      </c>
      <c r="U176" s="4">
        <f>(T176-W176)/J176*100</f>
      </c>
      <c r="V176" s="4">
        <f>M176-S176</f>
      </c>
      <c r="X176" s="4">
        <f>T176-W176</f>
      </c>
      <c r="AC176" t="s">
        <v>1</v>
      </c>
    </row>
    <row r="177" spans="1:29" x14ac:dyDescent="0.25">
      <c r="A177" s="8">
        <v>46206.5</v>
      </c>
      <c r="B177" t="s">
        <v>3361</v>
      </c>
      <c r="C177" t="s">
        <v>1</v>
      </c>
      <c r="D177" s="9" t="s">
        <v>3362</v>
      </c>
      <c r="E177" t="s">
        <v>94</v>
      </c>
      <c r="F177" t="s">
        <v>70</v>
      </c>
      <c r="G177" t="s">
        <v>95</v>
      </c>
      <c r="H177" t="s">
        <v>78</v>
      </c>
      <c r="I177">
        <v>1</v>
      </c>
      <c r="J177" s="4">
        <v>83</v>
      </c>
      <c r="K177" s="4">
        <v>112.88</v>
      </c>
      <c r="L177" s="4">
        <f>K177-J177</f>
      </c>
      <c r="M177" s="4">
        <f>L177*16.67%</f>
      </c>
      <c r="N177" s="4">
        <v>5.2</v>
      </c>
      <c r="O177" s="4">
        <f>N177*20%</f>
      </c>
      <c r="P177" s="4">
        <v>0</v>
      </c>
      <c r="Q177" s="4">
        <f>P177*20%</f>
      </c>
      <c r="R177" s="4">
        <v>1</v>
      </c>
      <c r="S177" s="4">
        <f>Q177</f>
      </c>
      <c r="T177" s="4">
        <f>L177-M177-N177-P177-Q177-R177</f>
      </c>
      <c r="U177" s="4">
        <f>(T177-W177)/J177*100</f>
      </c>
      <c r="V177" s="4">
        <f>M177-S177</f>
      </c>
      <c r="X177" s="4">
        <f>T177-W177</f>
      </c>
      <c r="AC177" t="s">
        <v>1</v>
      </c>
    </row>
    <row r="178" spans="1:29" x14ac:dyDescent="0.25">
      <c r="A178" s="8">
        <v>46205.5</v>
      </c>
      <c r="B178" t="s">
        <v>3363</v>
      </c>
      <c r="C178" t="s">
        <v>1</v>
      </c>
      <c r="D178" s="9" t="s">
        <v>3364</v>
      </c>
      <c r="E178" t="s">
        <v>172</v>
      </c>
      <c r="F178" t="s">
        <v>70</v>
      </c>
      <c r="G178" t="s">
        <v>65</v>
      </c>
      <c r="H178" t="s">
        <v>102</v>
      </c>
      <c r="I178">
        <v>1</v>
      </c>
      <c r="J178" s="4">
        <v>141</v>
      </c>
      <c r="K178" s="4">
        <v>198.81</v>
      </c>
      <c r="L178" s="4">
        <f>K178-J178</f>
      </c>
      <c r="M178" s="4">
        <f>L178*16.67%</f>
      </c>
      <c r="N178" s="4">
        <v>9.17</v>
      </c>
      <c r="O178" s="4">
        <f>N178*20%</f>
      </c>
      <c r="P178" s="4">
        <v>0</v>
      </c>
      <c r="Q178" s="4">
        <f>P178*20%</f>
      </c>
      <c r="R178" s="4">
        <v>1</v>
      </c>
      <c r="S178" s="4">
        <f>Q178</f>
      </c>
      <c r="T178" s="4">
        <f>L178-M178-N178-P178-Q178-R178</f>
      </c>
      <c r="U178" s="4">
        <f>(T178-W178)/J178*100</f>
      </c>
      <c r="V178" s="4">
        <f>M178-S178</f>
      </c>
      <c r="X178" s="4">
        <f>T178-W178</f>
      </c>
      <c r="AC178" t="s">
        <v>1</v>
      </c>
    </row>
    <row r="179" spans="1:29" x14ac:dyDescent="0.25">
      <c r="A179" s="8">
        <v>46205.5</v>
      </c>
      <c r="B179" t="s">
        <v>3365</v>
      </c>
      <c r="C179" t="s">
        <v>1</v>
      </c>
      <c r="D179" s="9" t="s">
        <v>3366</v>
      </c>
      <c r="E179" t="s">
        <v>94</v>
      </c>
      <c r="F179" t="s">
        <v>99</v>
      </c>
      <c r="G179" t="s">
        <v>95</v>
      </c>
      <c r="H179" t="s">
        <v>78</v>
      </c>
      <c r="I179">
        <v>1</v>
      </c>
      <c r="J179" s="4">
        <v>88</v>
      </c>
      <c r="K179" s="4">
        <v>106.48</v>
      </c>
      <c r="L179" s="4">
        <f>K179-J179</f>
      </c>
      <c r="M179" s="4">
        <f>L179*16.67%</f>
      </c>
      <c r="N179" s="4">
        <v>4.91</v>
      </c>
      <c r="O179" s="4">
        <f>N179*20%</f>
      </c>
      <c r="P179" s="4">
        <v>0</v>
      </c>
      <c r="Q179" s="4">
        <f>P179*20%</f>
      </c>
      <c r="R179" s="4">
        <v>1</v>
      </c>
      <c r="S179" s="4">
        <f>Q179</f>
      </c>
      <c r="T179" s="4">
        <f>L179-M179-N179-P179-Q179-R179</f>
      </c>
      <c r="U179" s="4">
        <f>(T179-W179)/J179*100</f>
      </c>
      <c r="V179" s="4">
        <f>M179-S179</f>
      </c>
      <c r="X179" s="4">
        <f>T179-W179</f>
      </c>
      <c r="AC179" t="s">
        <v>1</v>
      </c>
    </row>
    <row r="180" spans="1:29" x14ac:dyDescent="0.25">
      <c r="A180" s="8">
        <v>46205.5</v>
      </c>
      <c r="B180" t="s">
        <v>3367</v>
      </c>
      <c r="C180" t="s">
        <v>189</v>
      </c>
      <c r="D180" s="9" t="s">
        <v>1</v>
      </c>
      <c r="E180" t="s">
        <v>189</v>
      </c>
      <c r="F180" t="s">
        <v>1</v>
      </c>
      <c r="G180" t="s">
        <v>1</v>
      </c>
      <c r="H180" t="s">
        <v>66</v>
      </c>
      <c r="I180">
        <v>4</v>
      </c>
      <c r="J180" s="4">
        <v>14</v>
      </c>
      <c r="K180" s="4">
        <v>17.92</v>
      </c>
      <c r="L180" s="4">
        <f>K180-J180</f>
      </c>
      <c r="M180" s="4">
        <f>L180*16.67%</f>
      </c>
      <c r="N180" s="4">
        <v>0.83</v>
      </c>
      <c r="O180" s="4">
        <f>N180*20%</f>
      </c>
      <c r="P180" s="4">
        <v>0</v>
      </c>
      <c r="Q180" s="4">
        <f>P180*20%</f>
      </c>
      <c r="R180" s="4">
        <v>0</v>
      </c>
      <c r="S180" s="4">
        <f>Q180</f>
      </c>
      <c r="T180" s="4">
        <f>L180-M180-N180-P180-Q180-R180</f>
      </c>
      <c r="U180" s="4">
        <f>(T180-W180)/J180*100</f>
      </c>
      <c r="V180" s="4">
        <f>M180-S180</f>
      </c>
      <c r="X180" s="4">
        <f>T180-W180</f>
      </c>
      <c r="AC180" t="s">
        <v>1</v>
      </c>
    </row>
    <row r="181" spans="1:29" x14ac:dyDescent="0.25">
      <c r="A181" s="8">
        <v>46205.5</v>
      </c>
      <c r="B181" t="s">
        <v>3368</v>
      </c>
      <c r="C181" t="s">
        <v>174</v>
      </c>
      <c r="D181" s="9" t="s">
        <v>1</v>
      </c>
      <c r="E181" t="s">
        <v>174</v>
      </c>
      <c r="F181" t="s">
        <v>1</v>
      </c>
      <c r="G181" t="s">
        <v>1</v>
      </c>
      <c r="H181" t="s">
        <v>66</v>
      </c>
      <c r="I181">
        <v>1</v>
      </c>
      <c r="J181" s="4">
        <v>4.25</v>
      </c>
      <c r="K181" s="4">
        <v>5.31</v>
      </c>
      <c r="L181" s="4">
        <f>K181-J181</f>
      </c>
      <c r="M181" s="4">
        <f>L181*16.67%</f>
      </c>
      <c r="N181" s="4">
        <v>0.24</v>
      </c>
      <c r="O181" s="4">
        <f>N181*20%</f>
      </c>
      <c r="P181" s="4">
        <v>0</v>
      </c>
      <c r="Q181" s="4">
        <f>P181*20%</f>
      </c>
      <c r="R181" s="4">
        <v>0</v>
      </c>
      <c r="S181" s="4">
        <f>Q181</f>
      </c>
      <c r="T181" s="4">
        <f>L181-M181-N181-P181-Q181-R181</f>
      </c>
      <c r="U181" s="4">
        <f>(T181-W181)/J181*100</f>
      </c>
      <c r="V181" s="4">
        <f>M181-S181</f>
      </c>
      <c r="X181" s="4">
        <f>T181-W181</f>
      </c>
      <c r="AC181" t="s">
        <v>1</v>
      </c>
    </row>
    <row r="182" spans="1:29" x14ac:dyDescent="0.25">
      <c r="A182" s="8">
        <v>46205.5</v>
      </c>
      <c r="B182" t="s">
        <v>3369</v>
      </c>
      <c r="C182" t="s">
        <v>185</v>
      </c>
      <c r="D182" s="9" t="s">
        <v>1</v>
      </c>
      <c r="E182" t="s">
        <v>185</v>
      </c>
      <c r="F182" t="s">
        <v>1</v>
      </c>
      <c r="G182" t="s">
        <v>1</v>
      </c>
      <c r="H182" t="s">
        <v>102</v>
      </c>
      <c r="I182">
        <v>4</v>
      </c>
      <c r="J182" s="4">
        <v>4.8</v>
      </c>
      <c r="K182" s="4">
        <v>5.52</v>
      </c>
      <c r="L182" s="4">
        <f>K182-J182</f>
      </c>
      <c r="M182" s="4">
        <f>L182*16.67%</f>
      </c>
      <c r="N182" s="4">
        <v>0.25</v>
      </c>
      <c r="O182" s="4">
        <f>N182*20%</f>
      </c>
      <c r="P182" s="4">
        <v>0</v>
      </c>
      <c r="Q182" s="4">
        <f>P182*20%</f>
      </c>
      <c r="R182" s="4">
        <v>0</v>
      </c>
      <c r="S182" s="4">
        <f>Q182</f>
      </c>
      <c r="T182" s="4">
        <f>L182-M182-N182-P182-Q182-R182</f>
      </c>
      <c r="U182" s="4">
        <f>(T182-W182)/J182*100</f>
      </c>
      <c r="V182" s="4">
        <f>M182-S182</f>
      </c>
      <c r="X182" s="4">
        <f>T182-W182</f>
      </c>
      <c r="AC182" t="s">
        <v>1</v>
      </c>
    </row>
    <row r="183" spans="1:29" x14ac:dyDescent="0.25">
      <c r="A183" s="8">
        <v>46204.5</v>
      </c>
      <c r="B183" t="s">
        <v>3370</v>
      </c>
      <c r="C183" t="s">
        <v>1</v>
      </c>
      <c r="D183" s="9" t="s">
        <v>3371</v>
      </c>
      <c r="E183" t="s">
        <v>69</v>
      </c>
      <c r="F183" t="s">
        <v>99</v>
      </c>
      <c r="G183" t="s">
        <v>60</v>
      </c>
      <c r="H183" t="s">
        <v>61</v>
      </c>
      <c r="I183">
        <v>1</v>
      </c>
      <c r="J183" s="4">
        <v>523</v>
      </c>
      <c r="K183" s="4">
        <v>706.05</v>
      </c>
      <c r="L183" s="4">
        <f>K183-J183</f>
      </c>
      <c r="M183" s="4">
        <f>L183*16.67%</f>
      </c>
      <c r="N183" s="4">
        <v>32.55</v>
      </c>
      <c r="O183" s="4">
        <f>N183*20%</f>
      </c>
      <c r="P183" s="4">
        <v>0</v>
      </c>
      <c r="Q183" s="4">
        <f>P183*20%</f>
      </c>
      <c r="R183" s="4">
        <v>1</v>
      </c>
      <c r="S183" s="4">
        <f>Q183</f>
      </c>
      <c r="T183" s="4">
        <f>L183-M183-N183-P183-Q183-R183</f>
      </c>
      <c r="U183" s="4">
        <f>(T183-W183)/J183*100</f>
      </c>
      <c r="V183" s="4">
        <f>M183-S183</f>
      </c>
      <c r="X183" s="4">
        <f>T183-W183</f>
      </c>
      <c r="AC183" t="s">
        <v>1</v>
      </c>
    </row>
    <row r="184" spans="1:29" x14ac:dyDescent="0.25">
      <c r="A184" s="8">
        <v>46204.5</v>
      </c>
      <c r="B184" t="s">
        <v>3372</v>
      </c>
      <c r="C184" t="s">
        <v>1</v>
      </c>
      <c r="D184" s="9" t="s">
        <v>3373</v>
      </c>
      <c r="E184" t="s">
        <v>114</v>
      </c>
      <c r="F184" t="s">
        <v>70</v>
      </c>
      <c r="G184" t="s">
        <v>95</v>
      </c>
      <c r="H184" t="s">
        <v>102</v>
      </c>
      <c r="I184">
        <v>1</v>
      </c>
      <c r="J184" s="4">
        <v>215</v>
      </c>
      <c r="K184" s="4">
        <v>279.5</v>
      </c>
      <c r="L184" s="4">
        <f>K184-J184</f>
      </c>
      <c r="M184" s="4">
        <f>L184*16.67%</f>
      </c>
      <c r="N184" s="4">
        <v>12.88</v>
      </c>
      <c r="O184" s="4">
        <f>N184*20%</f>
      </c>
      <c r="P184" s="4">
        <v>0</v>
      </c>
      <c r="Q184" s="4">
        <f>P184*20%</f>
      </c>
      <c r="R184" s="4">
        <v>1</v>
      </c>
      <c r="S184" s="4">
        <f>Q184</f>
      </c>
      <c r="T184" s="4">
        <f>L184-M184-N184-P184-Q184-R184</f>
      </c>
      <c r="U184" s="4">
        <f>(T184-W184)/J184*100</f>
      </c>
      <c r="V184" s="4">
        <f>M184-S184</f>
      </c>
      <c r="X184" s="4">
        <f>T184-W184</f>
      </c>
      <c r="AC184" t="s">
        <v>1</v>
      </c>
    </row>
    <row r="185" spans="1:29" x14ac:dyDescent="0.25">
      <c r="A185" s="8">
        <v>46204.5</v>
      </c>
      <c r="B185" t="s">
        <v>3374</v>
      </c>
      <c r="C185" t="s">
        <v>1</v>
      </c>
      <c r="D185" s="9" t="s">
        <v>3375</v>
      </c>
      <c r="E185" t="s">
        <v>84</v>
      </c>
      <c r="F185" t="s">
        <v>59</v>
      </c>
      <c r="G185" t="s">
        <v>60</v>
      </c>
      <c r="H185" t="s">
        <v>66</v>
      </c>
      <c r="I185">
        <v>1</v>
      </c>
      <c r="J185" s="4">
        <v>729</v>
      </c>
      <c r="K185" s="4">
        <v>1013.31</v>
      </c>
      <c r="L185" s="4">
        <f>K185-J185</f>
      </c>
      <c r="M185" s="4">
        <f>L185*16.67%</f>
      </c>
      <c r="N185" s="4">
        <v>46.71</v>
      </c>
      <c r="O185" s="4">
        <f>N185*20%</f>
      </c>
      <c r="P185" s="4">
        <v>0</v>
      </c>
      <c r="Q185" s="4">
        <f>P185*20%</f>
      </c>
      <c r="R185" s="4">
        <v>1</v>
      </c>
      <c r="S185" s="4">
        <f>Q185</f>
      </c>
      <c r="T185" s="4">
        <f>L185-M185-N185-P185-Q185-R185</f>
      </c>
      <c r="U185" s="4">
        <f>(T185-W185)/J185*100</f>
      </c>
      <c r="V185" s="4">
        <f>M185-S185</f>
      </c>
      <c r="X185" s="4">
        <f>T185-W185</f>
      </c>
      <c r="AC185" t="s">
        <v>1</v>
      </c>
    </row>
    <row r="186" spans="1:29" x14ac:dyDescent="0.25">
      <c r="A186" s="8">
        <v>46204.5</v>
      </c>
      <c r="B186" t="s">
        <v>3376</v>
      </c>
      <c r="C186" t="s">
        <v>1</v>
      </c>
      <c r="D186" s="9" t="s">
        <v>3377</v>
      </c>
      <c r="E186" t="s">
        <v>94</v>
      </c>
      <c r="F186" t="s">
        <v>105</v>
      </c>
      <c r="G186" t="s">
        <v>95</v>
      </c>
      <c r="H186" t="s">
        <v>66</v>
      </c>
      <c r="I186">
        <v>1</v>
      </c>
      <c r="J186" s="4">
        <v>87</v>
      </c>
      <c r="K186" s="4">
        <v>126.15</v>
      </c>
      <c r="L186" s="4">
        <f>K186-J186</f>
      </c>
      <c r="M186" s="4">
        <f>L186*16.67%</f>
      </c>
      <c r="N186" s="4">
        <v>5.82</v>
      </c>
      <c r="O186" s="4">
        <f>N186*20%</f>
      </c>
      <c r="P186" s="4">
        <v>0</v>
      </c>
      <c r="Q186" s="4">
        <f>P186*20%</f>
      </c>
      <c r="R186" s="4">
        <v>1</v>
      </c>
      <c r="S186" s="4">
        <f>Q186</f>
      </c>
      <c r="T186" s="4">
        <f>L186-M186-N186-P186-Q186-R186</f>
      </c>
      <c r="U186" s="4">
        <f>(T186-W186)/J186*100</f>
      </c>
      <c r="V186" s="4">
        <f>M186-S186</f>
      </c>
      <c r="X186" s="4">
        <f>T186-W186</f>
      </c>
      <c r="AC186" t="s">
        <v>1</v>
      </c>
    </row>
    <row r="187" spans="1:29" x14ac:dyDescent="0.25">
      <c r="A187" s="8">
        <v>46204.5</v>
      </c>
      <c r="B187" t="s">
        <v>3378</v>
      </c>
      <c r="C187" t="s">
        <v>1</v>
      </c>
      <c r="D187" s="9" t="s">
        <v>3379</v>
      </c>
      <c r="E187" t="s">
        <v>58</v>
      </c>
      <c r="F187" t="s">
        <v>85</v>
      </c>
      <c r="G187" t="s">
        <v>60</v>
      </c>
      <c r="H187" t="s">
        <v>78</v>
      </c>
      <c r="I187">
        <v>1</v>
      </c>
      <c r="J187" s="4">
        <v>463</v>
      </c>
      <c r="K187" s="4">
        <v>671.35</v>
      </c>
      <c r="L187" s="4">
        <f>K187-J187</f>
      </c>
      <c r="M187" s="4">
        <f>L187*16.67%</f>
      </c>
      <c r="N187" s="4">
        <v>30.95</v>
      </c>
      <c r="O187" s="4">
        <f>N187*20%</f>
      </c>
      <c r="P187" s="4">
        <v>0</v>
      </c>
      <c r="Q187" s="4">
        <f>P187*20%</f>
      </c>
      <c r="R187" s="4">
        <v>1</v>
      </c>
      <c r="S187" s="4">
        <f>Q187</f>
      </c>
      <c r="T187" s="4">
        <f>L187-M187-N187-P187-Q187-R187</f>
      </c>
      <c r="U187" s="4">
        <f>(T187-W187)/J187*100</f>
      </c>
      <c r="V187" s="4">
        <f>M187-S187</f>
      </c>
      <c r="X187" s="4">
        <f>T187-W187</f>
      </c>
      <c r="AC187" t="s">
        <v>1</v>
      </c>
    </row>
    <row r="188" spans="1:29" x14ac:dyDescent="0.25">
      <c r="A188" s="8">
        <v>46204.5</v>
      </c>
      <c r="B188" t="s">
        <v>3380</v>
      </c>
      <c r="C188" t="s">
        <v>1</v>
      </c>
      <c r="D188" s="9" t="s">
        <v>3381</v>
      </c>
      <c r="E188" t="s">
        <v>73</v>
      </c>
      <c r="F188" t="s">
        <v>99</v>
      </c>
      <c r="G188" t="s">
        <v>60</v>
      </c>
      <c r="H188" t="s">
        <v>66</v>
      </c>
      <c r="I188">
        <v>1</v>
      </c>
      <c r="J188" s="4">
        <v>374</v>
      </c>
      <c r="K188" s="4">
        <v>508.64</v>
      </c>
      <c r="L188" s="4">
        <f>K188-J188</f>
      </c>
      <c r="M188" s="4">
        <f>L188*16.67%</f>
      </c>
      <c r="N188" s="4">
        <v>23.45</v>
      </c>
      <c r="O188" s="4">
        <f>N188*20%</f>
      </c>
      <c r="P188" s="4">
        <v>0</v>
      </c>
      <c r="Q188" s="4">
        <f>P188*20%</f>
      </c>
      <c r="R188" s="4">
        <v>1</v>
      </c>
      <c r="S188" s="4">
        <f>Q188</f>
      </c>
      <c r="T188" s="4">
        <f>L188-M188-N188-P188-Q188-R188</f>
      </c>
      <c r="U188" s="4">
        <f>(T188-W188)/J188*100</f>
      </c>
      <c r="V188" s="4">
        <f>M188-S188</f>
      </c>
      <c r="X188" s="4">
        <f>T188-W188</f>
      </c>
      <c r="AC188" t="s">
        <v>1</v>
      </c>
    </row>
    <row r="189" spans="1:29" x14ac:dyDescent="0.25">
      <c r="A189" s="8">
        <v>46204.5</v>
      </c>
      <c r="B189" t="s">
        <v>3382</v>
      </c>
      <c r="C189" t="s">
        <v>174</v>
      </c>
      <c r="D189" s="9" t="s">
        <v>1</v>
      </c>
      <c r="E189" t="s">
        <v>174</v>
      </c>
      <c r="F189" t="s">
        <v>1</v>
      </c>
      <c r="G189" t="s">
        <v>1</v>
      </c>
      <c r="H189" t="s">
        <v>66</v>
      </c>
      <c r="I189">
        <v>4</v>
      </c>
      <c r="J189" s="4">
        <v>17</v>
      </c>
      <c r="K189" s="4">
        <v>19.55</v>
      </c>
      <c r="L189" s="4">
        <f>K189-J189</f>
      </c>
      <c r="M189" s="4">
        <f>L189*16.67%</f>
      </c>
      <c r="N189" s="4">
        <v>0.9</v>
      </c>
      <c r="O189" s="4">
        <f>N189*20%</f>
      </c>
      <c r="P189" s="4">
        <v>0</v>
      </c>
      <c r="Q189" s="4">
        <f>P189*20%</f>
      </c>
      <c r="R189" s="4">
        <v>0</v>
      </c>
      <c r="S189" s="4">
        <f>Q189</f>
      </c>
      <c r="T189" s="4">
        <f>L189-M189-N189-P189-Q189-R189</f>
      </c>
      <c r="U189" s="4">
        <f>(T189-W189)/J189*100</f>
      </c>
      <c r="V189" s="4">
        <f>M189-S189</f>
      </c>
      <c r="X189" s="4">
        <f>T189-W189</f>
      </c>
      <c r="AC189" t="s">
        <v>1</v>
      </c>
    </row>
    <row r="190" spans="1:29" x14ac:dyDescent="0.25">
      <c r="A190" s="8">
        <v>46204.5</v>
      </c>
      <c r="B190" t="s">
        <v>3383</v>
      </c>
      <c r="C190" t="s">
        <v>254</v>
      </c>
      <c r="D190" s="9" t="s">
        <v>1</v>
      </c>
      <c r="E190" t="s">
        <v>254</v>
      </c>
      <c r="F190" t="s">
        <v>1</v>
      </c>
      <c r="G190" t="s">
        <v>1</v>
      </c>
      <c r="H190" t="s">
        <v>61</v>
      </c>
      <c r="I190">
        <v>2</v>
      </c>
      <c r="J190" s="4">
        <v>1.6</v>
      </c>
      <c r="K190" s="4">
        <v>1.84</v>
      </c>
      <c r="L190" s="4">
        <f>K190-J190</f>
      </c>
      <c r="M190" s="4">
        <f>L190*16.67%</f>
      </c>
      <c r="N190" s="4">
        <v>0.08</v>
      </c>
      <c r="O190" s="4">
        <f>N190*20%</f>
      </c>
      <c r="P190" s="4">
        <v>0</v>
      </c>
      <c r="Q190" s="4">
        <f>P190*20%</f>
      </c>
      <c r="R190" s="4">
        <v>0</v>
      </c>
      <c r="S190" s="4">
        <f>Q190</f>
      </c>
      <c r="T190" s="4">
        <f>L190-M190-N190-P190-Q190-R190</f>
      </c>
      <c r="U190" s="4">
        <f>(T190-W190)/J190*100</f>
      </c>
      <c r="V190" s="4">
        <f>M190-S190</f>
      </c>
      <c r="X190" s="4">
        <f>T190-W190</f>
      </c>
      <c r="AC190" t="s">
        <v>1</v>
      </c>
    </row>
    <row r="191" spans="1:29" x14ac:dyDescent="0.25">
      <c r="A191" s="8">
        <v>46203.5</v>
      </c>
      <c r="B191" t="s">
        <v>3384</v>
      </c>
      <c r="C191" t="s">
        <v>1</v>
      </c>
      <c r="D191" s="9" t="s">
        <v>3385</v>
      </c>
      <c r="E191" t="s">
        <v>98</v>
      </c>
      <c r="F191" t="s">
        <v>74</v>
      </c>
      <c r="G191" t="s">
        <v>60</v>
      </c>
      <c r="H191" t="s">
        <v>66</v>
      </c>
      <c r="I191">
        <v>1</v>
      </c>
      <c r="J191" s="4">
        <v>307</v>
      </c>
      <c r="K191" s="4">
        <v>368.4</v>
      </c>
      <c r="L191" s="4">
        <f>K191-J191</f>
      </c>
      <c r="M191" s="4">
        <f>L191*16.67%</f>
      </c>
      <c r="N191" s="4">
        <v>16.98</v>
      </c>
      <c r="O191" s="4">
        <f>N191*20%</f>
      </c>
      <c r="P191" s="4">
        <v>0</v>
      </c>
      <c r="Q191" s="4">
        <f>P191*20%</f>
      </c>
      <c r="R191" s="4">
        <v>1</v>
      </c>
      <c r="S191" s="4">
        <f>Q191</f>
      </c>
      <c r="T191" s="4">
        <f>L191-M191-N191-P191-Q191-R191</f>
      </c>
      <c r="U191" s="4">
        <f>(T191-W191)/J191*100</f>
      </c>
      <c r="V191" s="4">
        <f>M191-S191</f>
      </c>
      <c r="X191" s="4">
        <f>T191-W191</f>
      </c>
      <c r="AC191" t="s">
        <v>1</v>
      </c>
    </row>
    <row r="192" spans="1:29" x14ac:dyDescent="0.25">
      <c r="A192" s="8">
        <v>46203.5</v>
      </c>
      <c r="B192" t="s">
        <v>3386</v>
      </c>
      <c r="C192" t="s">
        <v>1</v>
      </c>
      <c r="D192" s="9" t="s">
        <v>3387</v>
      </c>
      <c r="E192" t="s">
        <v>139</v>
      </c>
      <c r="F192" t="s">
        <v>105</v>
      </c>
      <c r="G192" t="s">
        <v>65</v>
      </c>
      <c r="H192" t="s">
        <v>78</v>
      </c>
      <c r="I192">
        <v>1</v>
      </c>
      <c r="J192" s="4">
        <v>316</v>
      </c>
      <c r="K192" s="4">
        <v>432.92</v>
      </c>
      <c r="L192" s="4">
        <f>K192-J192</f>
      </c>
      <c r="M192" s="4">
        <f>L192*16.67%</f>
      </c>
      <c r="N192" s="4">
        <v>19.96</v>
      </c>
      <c r="O192" s="4">
        <f>N192*20%</f>
      </c>
      <c r="P192" s="4">
        <v>0</v>
      </c>
      <c r="Q192" s="4">
        <f>P192*20%</f>
      </c>
      <c r="R192" s="4">
        <v>1</v>
      </c>
      <c r="S192" s="4">
        <f>Q192</f>
      </c>
      <c r="T192" s="4">
        <f>L192-M192-N192-P192-Q192-R192</f>
      </c>
      <c r="U192" s="4">
        <f>(T192-W192)/J192*100</f>
      </c>
      <c r="V192" s="4">
        <f>M192-S192</f>
      </c>
      <c r="X192" s="4">
        <f>T192-W192</f>
      </c>
      <c r="AC192" t="s">
        <v>1</v>
      </c>
    </row>
    <row r="193" spans="1:29" x14ac:dyDescent="0.25">
      <c r="A193" s="8">
        <v>46203.5</v>
      </c>
      <c r="B193" t="s">
        <v>3388</v>
      </c>
      <c r="C193" t="s">
        <v>1</v>
      </c>
      <c r="D193" s="9" t="s">
        <v>3389</v>
      </c>
      <c r="E193" t="s">
        <v>91</v>
      </c>
      <c r="F193" t="s">
        <v>99</v>
      </c>
      <c r="G193" t="s">
        <v>65</v>
      </c>
      <c r="H193" t="s">
        <v>78</v>
      </c>
      <c r="I193">
        <v>1</v>
      </c>
      <c r="J193" s="4">
        <v>108</v>
      </c>
      <c r="K193" s="4">
        <v>146.88</v>
      </c>
      <c r="L193" s="4">
        <f>K193-J193</f>
      </c>
      <c r="M193" s="4">
        <f>L193*16.67%</f>
      </c>
      <c r="N193" s="4">
        <v>6.77</v>
      </c>
      <c r="O193" s="4">
        <f>N193*20%</f>
      </c>
      <c r="P193" s="4">
        <v>0</v>
      </c>
      <c r="Q193" s="4">
        <f>P193*20%</f>
      </c>
      <c r="R193" s="4">
        <v>1</v>
      </c>
      <c r="S193" s="4">
        <f>Q193</f>
      </c>
      <c r="T193" s="4">
        <f>L193-M193-N193-P193-Q193-R193</f>
      </c>
      <c r="U193" s="4">
        <f>(T193-W193)/J193*100</f>
      </c>
      <c r="V193" s="4">
        <f>M193-S193</f>
      </c>
      <c r="X193" s="4">
        <f>T193-W193</f>
      </c>
      <c r="AC193" t="s">
        <v>1</v>
      </c>
    </row>
    <row r="194" spans="1:29" x14ac:dyDescent="0.25">
      <c r="A194" s="8">
        <v>46203.5</v>
      </c>
      <c r="B194" t="s">
        <v>3390</v>
      </c>
      <c r="C194" t="s">
        <v>254</v>
      </c>
      <c r="D194" s="9" t="s">
        <v>1</v>
      </c>
      <c r="E194" t="s">
        <v>254</v>
      </c>
      <c r="F194" t="s">
        <v>1</v>
      </c>
      <c r="G194" t="s">
        <v>1</v>
      </c>
      <c r="H194" t="s">
        <v>61</v>
      </c>
      <c r="I194">
        <v>3</v>
      </c>
      <c r="J194" s="4">
        <v>2.4</v>
      </c>
      <c r="K194" s="4">
        <v>3.22</v>
      </c>
      <c r="L194" s="4">
        <f>K194-J194</f>
      </c>
      <c r="M194" s="4">
        <f>L194*16.67%</f>
      </c>
      <c r="N194" s="4">
        <v>0.15</v>
      </c>
      <c r="O194" s="4">
        <f>N194*20%</f>
      </c>
      <c r="P194" s="4">
        <v>0</v>
      </c>
      <c r="Q194" s="4">
        <f>P194*20%</f>
      </c>
      <c r="R194" s="4">
        <v>0</v>
      </c>
      <c r="S194" s="4">
        <f>Q194</f>
      </c>
      <c r="T194" s="4">
        <f>L194-M194-N194-P194-Q194-R194</f>
      </c>
      <c r="U194" s="4">
        <f>(T194-W194)/J194*100</f>
      </c>
      <c r="V194" s="4">
        <f>M194-S194</f>
      </c>
      <c r="X194" s="4">
        <f>T194-W194</f>
      </c>
      <c r="AC194" t="s">
        <v>1</v>
      </c>
    </row>
    <row r="195" spans="1:29" x14ac:dyDescent="0.25">
      <c r="A195" s="8">
        <v>46203.5</v>
      </c>
      <c r="B195" t="s">
        <v>3391</v>
      </c>
      <c r="C195" t="s">
        <v>1</v>
      </c>
      <c r="D195" s="9" t="s">
        <v>1</v>
      </c>
      <c r="E195" t="s">
        <v>1</v>
      </c>
      <c r="F195" t="s">
        <v>1</v>
      </c>
      <c r="G195" t="s">
        <v>1</v>
      </c>
      <c r="H195" t="s">
        <v>102</v>
      </c>
      <c r="I195">
        <v>1</v>
      </c>
      <c r="J195" s="4">
        <v>180</v>
      </c>
      <c r="K195" s="4">
        <v>219.6</v>
      </c>
      <c r="L195" s="4">
        <f>K195-J195</f>
      </c>
      <c r="M195" s="4">
        <f>L195*16.67%</f>
      </c>
      <c r="N195" s="4">
        <v>10.12</v>
      </c>
      <c r="O195" s="4">
        <f>N195*20%</f>
      </c>
      <c r="P195" s="4">
        <v>0</v>
      </c>
      <c r="Q195" s="4">
        <f>P195*20%</f>
      </c>
      <c r="R195" s="4">
        <v>1</v>
      </c>
      <c r="S195" s="4">
        <f>Q195</f>
      </c>
      <c r="T195" s="4">
        <f>L195-M195-N195-P195-Q195-R195</f>
      </c>
      <c r="U195" s="4">
        <f>(T195-W195)/J195*100</f>
      </c>
      <c r="V195" s="4">
        <f>M195-S195</f>
      </c>
      <c r="X195" s="4">
        <f>T195-W195</f>
      </c>
      <c r="AC195" t="s">
        <v>1</v>
      </c>
    </row>
    <row r="196" spans="1:29" x14ac:dyDescent="0.25">
      <c r="A196" s="8">
        <v>46203.5</v>
      </c>
      <c r="B196" t="s">
        <v>3392</v>
      </c>
      <c r="C196" t="s">
        <v>1</v>
      </c>
      <c r="D196" s="9" t="s">
        <v>1</v>
      </c>
      <c r="E196" t="s">
        <v>1</v>
      </c>
      <c r="F196" t="s">
        <v>1</v>
      </c>
      <c r="G196" t="s">
        <v>1</v>
      </c>
      <c r="H196" t="s">
        <v>78</v>
      </c>
      <c r="I196">
        <v>1</v>
      </c>
      <c r="J196" s="4">
        <v>92</v>
      </c>
      <c r="K196" s="4">
        <v>115</v>
      </c>
      <c r="L196" s="4">
        <f>K196-J196</f>
      </c>
      <c r="M196" s="4">
        <f>L196*16.67%</f>
      </c>
      <c r="N196" s="4">
        <v>5.3</v>
      </c>
      <c r="O196" s="4">
        <f>N196*20%</f>
      </c>
      <c r="P196" s="4">
        <v>0</v>
      </c>
      <c r="Q196" s="4">
        <f>P196*20%</f>
      </c>
      <c r="R196" s="4">
        <v>1</v>
      </c>
      <c r="S196" s="4">
        <f>Q196</f>
      </c>
      <c r="T196" s="4">
        <f>L196-M196-N196-P196-Q196-R196</f>
      </c>
      <c r="U196" s="4">
        <f>(T196-W196)/J196*100</f>
      </c>
      <c r="V196" s="4">
        <f>M196-S196</f>
      </c>
      <c r="X196" s="4">
        <f>T196-W196</f>
      </c>
      <c r="AC196" t="s">
        <v>1</v>
      </c>
    </row>
    <row r="197" spans="1:29" x14ac:dyDescent="0.25">
      <c r="A197" s="8">
        <v>46202.5</v>
      </c>
      <c r="B197" t="s">
        <v>3393</v>
      </c>
      <c r="C197" t="s">
        <v>1</v>
      </c>
      <c r="D197" s="9" t="s">
        <v>3394</v>
      </c>
      <c r="E197" t="s">
        <v>94</v>
      </c>
      <c r="F197" t="s">
        <v>105</v>
      </c>
      <c r="G197" t="s">
        <v>95</v>
      </c>
      <c r="H197" t="s">
        <v>61</v>
      </c>
      <c r="I197">
        <v>1</v>
      </c>
      <c r="J197" s="4">
        <v>71</v>
      </c>
      <c r="K197" s="4">
        <v>84.49</v>
      </c>
      <c r="L197" s="4">
        <f>K197-J197</f>
      </c>
      <c r="M197" s="4">
        <f>L197*16.67%</f>
      </c>
      <c r="N197" s="4">
        <v>3.89</v>
      </c>
      <c r="O197" s="4">
        <f>N197*20%</f>
      </c>
      <c r="P197" s="4">
        <v>0</v>
      </c>
      <c r="Q197" s="4">
        <f>P197*20%</f>
      </c>
      <c r="R197" s="4">
        <v>1</v>
      </c>
      <c r="S197" s="4">
        <f>Q197</f>
      </c>
      <c r="T197" s="4">
        <f>L197-M197-N197-P197-Q197-R197</f>
      </c>
      <c r="U197" s="4">
        <f>(T197-W197)/J197*100</f>
      </c>
      <c r="V197" s="4">
        <f>M197-S197</f>
      </c>
      <c r="X197" s="4">
        <f>T197-W197</f>
      </c>
      <c r="AC197" t="s">
        <v>1</v>
      </c>
    </row>
    <row r="198" spans="1:29" x14ac:dyDescent="0.25">
      <c r="A198" s="8">
        <v>46202.5</v>
      </c>
      <c r="B198" t="s">
        <v>3395</v>
      </c>
      <c r="C198" t="s">
        <v>1</v>
      </c>
      <c r="D198" s="9" t="s">
        <v>3396</v>
      </c>
      <c r="E198" t="s">
        <v>139</v>
      </c>
      <c r="F198" t="s">
        <v>59</v>
      </c>
      <c r="G198" t="s">
        <v>65</v>
      </c>
      <c r="H198" t="s">
        <v>66</v>
      </c>
      <c r="I198">
        <v>1</v>
      </c>
      <c r="J198" s="4">
        <v>325</v>
      </c>
      <c r="K198" s="4">
        <v>419.25</v>
      </c>
      <c r="L198" s="4">
        <f>K198-J198</f>
      </c>
      <c r="M198" s="4">
        <f>L198*16.67%</f>
      </c>
      <c r="N198" s="4">
        <v>19.33</v>
      </c>
      <c r="O198" s="4">
        <f>N198*20%</f>
      </c>
      <c r="P198" s="4">
        <v>0</v>
      </c>
      <c r="Q198" s="4">
        <f>P198*20%</f>
      </c>
      <c r="R198" s="4">
        <v>1</v>
      </c>
      <c r="S198" s="4">
        <f>Q198</f>
      </c>
      <c r="T198" s="4">
        <f>L198-M198-N198-P198-Q198-R198</f>
      </c>
      <c r="U198" s="4">
        <f>(T198-W198)/J198*100</f>
      </c>
      <c r="V198" s="4">
        <f>M198-S198</f>
      </c>
      <c r="X198" s="4">
        <f>T198-W198</f>
      </c>
      <c r="AC198" t="s">
        <v>1</v>
      </c>
    </row>
    <row r="199" spans="1:29" x14ac:dyDescent="0.25">
      <c r="A199" s="8">
        <v>46202.5</v>
      </c>
      <c r="B199" t="s">
        <v>3397</v>
      </c>
      <c r="C199" t="s">
        <v>177</v>
      </c>
      <c r="D199" s="9" t="s">
        <v>1</v>
      </c>
      <c r="E199" t="s">
        <v>177</v>
      </c>
      <c r="F199" t="s">
        <v>1</v>
      </c>
      <c r="G199" t="s">
        <v>1</v>
      </c>
      <c r="H199" t="s">
        <v>78</v>
      </c>
      <c r="I199">
        <v>3</v>
      </c>
      <c r="J199" s="4">
        <v>0.45</v>
      </c>
      <c r="K199" s="4">
        <v>0.52</v>
      </c>
      <c r="L199" s="4">
        <f>K199-J199</f>
      </c>
      <c r="M199" s="4">
        <f>L199*16.67%</f>
      </c>
      <c r="N199" s="4">
        <v>0.02</v>
      </c>
      <c r="O199" s="4">
        <f>N199*20%</f>
      </c>
      <c r="P199" s="4">
        <v>0</v>
      </c>
      <c r="Q199" s="4">
        <f>P199*20%</f>
      </c>
      <c r="R199" s="4">
        <v>0</v>
      </c>
      <c r="S199" s="4">
        <f>Q199</f>
      </c>
      <c r="T199" s="4">
        <f>L199-M199-N199-P199-Q199-R199</f>
      </c>
      <c r="U199" s="4">
        <f>(T199-W199)/J199*100</f>
      </c>
      <c r="V199" s="4">
        <f>M199-S199</f>
      </c>
      <c r="X199" s="4">
        <f>T199-W199</f>
      </c>
      <c r="AC199" t="s">
        <v>1</v>
      </c>
    </row>
    <row r="200" spans="1:29" x14ac:dyDescent="0.25">
      <c r="A200" s="8">
        <v>46202.5</v>
      </c>
      <c r="B200" t="s">
        <v>3398</v>
      </c>
      <c r="C200" t="s">
        <v>1</v>
      </c>
      <c r="D200" s="9" t="s">
        <v>1</v>
      </c>
      <c r="E200" t="s">
        <v>1</v>
      </c>
      <c r="F200" t="s">
        <v>1</v>
      </c>
      <c r="G200" t="s">
        <v>1</v>
      </c>
      <c r="H200" t="s">
        <v>66</v>
      </c>
      <c r="I200">
        <v>1</v>
      </c>
      <c r="J200" s="4">
        <v>338</v>
      </c>
      <c r="K200" s="4">
        <v>395.46</v>
      </c>
      <c r="L200" s="4">
        <f>K200-J200</f>
      </c>
      <c r="M200" s="4">
        <f>L200*16.67%</f>
      </c>
      <c r="N200" s="4">
        <v>18.23</v>
      </c>
      <c r="O200" s="4">
        <f>N200*20%</f>
      </c>
      <c r="P200" s="4">
        <v>0</v>
      </c>
      <c r="Q200" s="4">
        <f>P200*20%</f>
      </c>
      <c r="R200" s="4">
        <v>1</v>
      </c>
      <c r="S200" s="4">
        <f>Q200</f>
      </c>
      <c r="T200" s="4">
        <f>L200-M200-N200-P200-Q200-R200</f>
      </c>
      <c r="U200" s="4">
        <f>(T200-W200)/J200*100</f>
      </c>
      <c r="V200" s="4">
        <f>M200-S200</f>
      </c>
      <c r="X200" s="4">
        <f>T200-W200</f>
      </c>
      <c r="AC200" t="s">
        <v>1</v>
      </c>
    </row>
    <row r="201" spans="1:29" x14ac:dyDescent="0.25">
      <c r="A201" s="8">
        <v>46201.5</v>
      </c>
      <c r="B201" t="s">
        <v>3399</v>
      </c>
      <c r="C201" t="s">
        <v>1</v>
      </c>
      <c r="D201" s="9" t="s">
        <v>3400</v>
      </c>
      <c r="E201" t="s">
        <v>234</v>
      </c>
      <c r="F201" t="s">
        <v>59</v>
      </c>
      <c r="G201" t="s">
        <v>65</v>
      </c>
      <c r="H201" t="s">
        <v>78</v>
      </c>
      <c r="I201">
        <v>1</v>
      </c>
      <c r="J201" s="4">
        <v>180</v>
      </c>
      <c r="K201" s="4">
        <v>228.6</v>
      </c>
      <c r="L201" s="4">
        <f>K201-J201</f>
      </c>
      <c r="M201" s="4">
        <f>L201*16.67%</f>
      </c>
      <c r="N201" s="4">
        <v>10.54</v>
      </c>
      <c r="O201" s="4">
        <f>N201*20%</f>
      </c>
      <c r="P201" s="4">
        <v>0</v>
      </c>
      <c r="Q201" s="4">
        <f>P201*20%</f>
      </c>
      <c r="R201" s="4">
        <v>1</v>
      </c>
      <c r="S201" s="4">
        <f>Q201</f>
      </c>
      <c r="T201" s="4">
        <f>L201-M201-N201-P201-Q201-R201</f>
      </c>
      <c r="U201" s="4">
        <f>(T201-W201)/J201*100</f>
      </c>
      <c r="V201" s="4">
        <f>M201-S201</f>
      </c>
      <c r="X201" s="4">
        <f>T201-W201</f>
      </c>
      <c r="AC201" t="s">
        <v>1</v>
      </c>
    </row>
    <row r="202" spans="1:29" x14ac:dyDescent="0.25">
      <c r="A202" s="8">
        <v>46201.5</v>
      </c>
      <c r="B202" t="s">
        <v>3401</v>
      </c>
      <c r="C202" t="s">
        <v>1</v>
      </c>
      <c r="D202" s="9" t="s">
        <v>3402</v>
      </c>
      <c r="E202" t="s">
        <v>94</v>
      </c>
      <c r="F202" t="s">
        <v>70</v>
      </c>
      <c r="G202" t="s">
        <v>95</v>
      </c>
      <c r="H202" t="s">
        <v>75</v>
      </c>
      <c r="I202">
        <v>1</v>
      </c>
      <c r="J202" s="4">
        <v>83</v>
      </c>
      <c r="K202" s="4">
        <v>101.26</v>
      </c>
      <c r="L202" s="4">
        <f>K202-J202</f>
      </c>
      <c r="M202" s="4">
        <f>L202*16.67%</f>
      </c>
      <c r="N202" s="4">
        <v>4.67</v>
      </c>
      <c r="O202" s="4">
        <f>N202*20%</f>
      </c>
      <c r="P202" s="4">
        <v>0</v>
      </c>
      <c r="Q202" s="4">
        <f>P202*20%</f>
      </c>
      <c r="R202" s="4">
        <v>1</v>
      </c>
      <c r="S202" s="4">
        <f>Q202</f>
      </c>
      <c r="T202" s="4">
        <f>L202-M202-N202-P202-Q202-R202</f>
      </c>
      <c r="U202" s="4">
        <f>(T202-W202)/J202*100</f>
      </c>
      <c r="V202" s="4">
        <f>M202-S202</f>
      </c>
      <c r="X202" s="4">
        <f>T202-W202</f>
      </c>
      <c r="AC202" t="s">
        <v>1</v>
      </c>
    </row>
    <row r="203" spans="1:29" x14ac:dyDescent="0.25">
      <c r="A203" s="8">
        <v>46201.5</v>
      </c>
      <c r="B203" t="s">
        <v>3403</v>
      </c>
      <c r="C203" t="s">
        <v>1</v>
      </c>
      <c r="D203" s="9" t="s">
        <v>3404</v>
      </c>
      <c r="E203" t="s">
        <v>81</v>
      </c>
      <c r="F203" t="s">
        <v>99</v>
      </c>
      <c r="G203" t="s">
        <v>65</v>
      </c>
      <c r="H203" t="s">
        <v>66</v>
      </c>
      <c r="I203">
        <v>1</v>
      </c>
      <c r="J203" s="4">
        <v>536</v>
      </c>
      <c r="K203" s="4">
        <v>777.2</v>
      </c>
      <c r="L203" s="4">
        <f>K203-J203</f>
      </c>
      <c r="M203" s="4">
        <f>L203*16.67%</f>
      </c>
      <c r="N203" s="4">
        <v>35.83</v>
      </c>
      <c r="O203" s="4">
        <f>N203*20%</f>
      </c>
      <c r="P203" s="4">
        <v>0</v>
      </c>
      <c r="Q203" s="4">
        <f>P203*20%</f>
      </c>
      <c r="R203" s="4">
        <v>1</v>
      </c>
      <c r="S203" s="4">
        <f>Q203</f>
      </c>
      <c r="T203" s="4">
        <f>L203-M203-N203-P203-Q203-R203</f>
      </c>
      <c r="U203" s="4">
        <f>(T203-W203)/J203*100</f>
      </c>
      <c r="V203" s="4">
        <f>M203-S203</f>
      </c>
      <c r="X203" s="4">
        <f>T203-W203</f>
      </c>
      <c r="AC203" t="s">
        <v>1</v>
      </c>
    </row>
    <row r="204" spans="1:29" x14ac:dyDescent="0.25">
      <c r="A204" s="8">
        <v>46201.5</v>
      </c>
      <c r="B204" t="s">
        <v>3405</v>
      </c>
      <c r="C204" t="s">
        <v>1</v>
      </c>
      <c r="D204" s="9" t="s">
        <v>3406</v>
      </c>
      <c r="E204" t="s">
        <v>73</v>
      </c>
      <c r="F204" t="s">
        <v>105</v>
      </c>
      <c r="G204" t="s">
        <v>60</v>
      </c>
      <c r="H204" t="s">
        <v>75</v>
      </c>
      <c r="I204">
        <v>1</v>
      </c>
      <c r="J204" s="4">
        <v>321</v>
      </c>
      <c r="K204" s="4">
        <v>404.46</v>
      </c>
      <c r="L204" s="4">
        <f>K204-J204</f>
      </c>
      <c r="M204" s="4">
        <f>L204*16.67%</f>
      </c>
      <c r="N204" s="4">
        <v>18.65</v>
      </c>
      <c r="O204" s="4">
        <f>N204*20%</f>
      </c>
      <c r="P204" s="4">
        <v>0</v>
      </c>
      <c r="Q204" s="4">
        <f>P204*20%</f>
      </c>
      <c r="R204" s="4">
        <v>1</v>
      </c>
      <c r="S204" s="4">
        <f>Q204</f>
      </c>
      <c r="T204" s="4">
        <f>L204-M204-N204-P204-Q204-R204</f>
      </c>
      <c r="U204" s="4">
        <f>(T204-W204)/J204*100</f>
      </c>
      <c r="V204" s="4">
        <f>M204-S204</f>
      </c>
      <c r="X204" s="4">
        <f>T204-W204</f>
      </c>
      <c r="AC204" t="s">
        <v>1</v>
      </c>
    </row>
    <row r="205" spans="1:29" x14ac:dyDescent="0.25">
      <c r="A205" s="8">
        <v>46201.5</v>
      </c>
      <c r="B205" t="s">
        <v>3407</v>
      </c>
      <c r="C205" t="s">
        <v>1</v>
      </c>
      <c r="D205" s="9" t="s">
        <v>3408</v>
      </c>
      <c r="E205" t="s">
        <v>58</v>
      </c>
      <c r="F205" t="s">
        <v>59</v>
      </c>
      <c r="G205" t="s">
        <v>60</v>
      </c>
      <c r="H205" t="s">
        <v>66</v>
      </c>
      <c r="I205">
        <v>1</v>
      </c>
      <c r="J205" s="4">
        <v>464</v>
      </c>
      <c r="K205" s="4">
        <v>556.8</v>
      </c>
      <c r="L205" s="4">
        <f>K205-J205</f>
      </c>
      <c r="M205" s="4">
        <f>L205*16.67%</f>
      </c>
      <c r="N205" s="4">
        <v>25.67</v>
      </c>
      <c r="O205" s="4">
        <f>N205*20%</f>
      </c>
      <c r="P205" s="4">
        <v>0</v>
      </c>
      <c r="Q205" s="4">
        <f>P205*20%</f>
      </c>
      <c r="R205" s="4">
        <v>1</v>
      </c>
      <c r="S205" s="4">
        <f>Q205</f>
      </c>
      <c r="T205" s="4">
        <f>L205-M205-N205-P205-Q205-R205</f>
      </c>
      <c r="U205" s="4">
        <f>(T205-W205)/J205*100</f>
      </c>
      <c r="V205" s="4">
        <f>M205-S205</f>
      </c>
      <c r="X205" s="4">
        <f>T205-W205</f>
      </c>
      <c r="AC205" t="s">
        <v>1</v>
      </c>
    </row>
    <row r="206" spans="1:29" x14ac:dyDescent="0.25">
      <c r="A206" s="8">
        <v>46201.5</v>
      </c>
      <c r="B206" t="s">
        <v>3409</v>
      </c>
      <c r="C206" t="s">
        <v>185</v>
      </c>
      <c r="D206" s="9" t="s">
        <v>1</v>
      </c>
      <c r="E206" t="s">
        <v>185</v>
      </c>
      <c r="F206" t="s">
        <v>1</v>
      </c>
      <c r="G206" t="s">
        <v>1</v>
      </c>
      <c r="H206" t="s">
        <v>102</v>
      </c>
      <c r="I206">
        <v>1</v>
      </c>
      <c r="J206" s="4">
        <v>1.2</v>
      </c>
      <c r="K206" s="4">
        <v>1.73</v>
      </c>
      <c r="L206" s="4">
        <f>K206-J206</f>
      </c>
      <c r="M206" s="4">
        <f>L206*16.67%</f>
      </c>
      <c r="N206" s="4">
        <v>0.08</v>
      </c>
      <c r="O206" s="4">
        <f>N206*20%</f>
      </c>
      <c r="P206" s="4">
        <v>0</v>
      </c>
      <c r="Q206" s="4">
        <f>P206*20%</f>
      </c>
      <c r="R206" s="4">
        <v>0</v>
      </c>
      <c r="S206" s="4">
        <f>Q206</f>
      </c>
      <c r="T206" s="4">
        <f>L206-M206-N206-P206-Q206-R206</f>
      </c>
      <c r="U206" s="4">
        <f>(T206-W206)/J206*100</f>
      </c>
      <c r="V206" s="4">
        <f>M206-S206</f>
      </c>
      <c r="X206" s="4">
        <f>T206-W206</f>
      </c>
      <c r="AC206" t="s">
        <v>1</v>
      </c>
    </row>
    <row r="207" spans="1:29" x14ac:dyDescent="0.25">
      <c r="A207" s="8">
        <v>46200.5</v>
      </c>
      <c r="B207" t="s">
        <v>3410</v>
      </c>
      <c r="C207" t="s">
        <v>1</v>
      </c>
      <c r="D207" s="9" t="s">
        <v>3411</v>
      </c>
      <c r="E207" t="s">
        <v>131</v>
      </c>
      <c r="F207" t="s">
        <v>70</v>
      </c>
      <c r="G207" t="s">
        <v>65</v>
      </c>
      <c r="H207" t="s">
        <v>66</v>
      </c>
      <c r="I207">
        <v>1</v>
      </c>
      <c r="J207" s="4">
        <v>297</v>
      </c>
      <c r="K207" s="4">
        <v>356.4</v>
      </c>
      <c r="L207" s="4">
        <f>K207-J207</f>
      </c>
      <c r="M207" s="4">
        <f>L207*16.67%</f>
      </c>
      <c r="N207" s="4">
        <v>16.43</v>
      </c>
      <c r="O207" s="4">
        <f>N207*20%</f>
      </c>
      <c r="P207" s="4">
        <v>0</v>
      </c>
      <c r="Q207" s="4">
        <f>P207*20%</f>
      </c>
      <c r="R207" s="4">
        <v>1</v>
      </c>
      <c r="S207" s="4">
        <f>Q207</f>
      </c>
      <c r="T207" s="4">
        <f>L207-M207-N207-P207-Q207-R207</f>
      </c>
      <c r="U207" s="4">
        <f>(T207-W207)/J207*100</f>
      </c>
      <c r="V207" s="4">
        <f>M207-S207</f>
      </c>
      <c r="X207" s="4">
        <f>T207-W207</f>
      </c>
      <c r="AC207" t="s">
        <v>1</v>
      </c>
    </row>
    <row r="208" spans="1:29" x14ac:dyDescent="0.25">
      <c r="A208" s="8">
        <v>46200.5</v>
      </c>
      <c r="B208" t="s">
        <v>3412</v>
      </c>
      <c r="C208" t="s">
        <v>1</v>
      </c>
      <c r="D208" s="9" t="s">
        <v>3413</v>
      </c>
      <c r="E208" t="s">
        <v>94</v>
      </c>
      <c r="F208" t="s">
        <v>99</v>
      </c>
      <c r="G208" t="s">
        <v>95</v>
      </c>
      <c r="H208" t="s">
        <v>102</v>
      </c>
      <c r="I208">
        <v>1</v>
      </c>
      <c r="J208" s="4">
        <v>61</v>
      </c>
      <c r="K208" s="4">
        <v>81.13</v>
      </c>
      <c r="L208" s="4">
        <f>K208-J208</f>
      </c>
      <c r="M208" s="4">
        <f>L208*16.67%</f>
      </c>
      <c r="N208" s="4">
        <v>3.74</v>
      </c>
      <c r="O208" s="4">
        <f>N208*20%</f>
      </c>
      <c r="P208" s="4">
        <v>0</v>
      </c>
      <c r="Q208" s="4">
        <f>P208*20%</f>
      </c>
      <c r="R208" s="4">
        <v>1</v>
      </c>
      <c r="S208" s="4">
        <f>Q208</f>
      </c>
      <c r="T208" s="4">
        <f>L208-M208-N208-P208-Q208-R208</f>
      </c>
      <c r="U208" s="4">
        <f>(T208-W208)/J208*100</f>
      </c>
      <c r="V208" s="4">
        <f>M208-S208</f>
      </c>
      <c r="X208" s="4">
        <f>T208-W208</f>
      </c>
      <c r="AC208" t="s">
        <v>1</v>
      </c>
    </row>
    <row r="209" spans="1:29" x14ac:dyDescent="0.25">
      <c r="A209" s="8">
        <v>46200.5</v>
      </c>
      <c r="B209" t="s">
        <v>3414</v>
      </c>
      <c r="C209" t="s">
        <v>182</v>
      </c>
      <c r="D209" s="9" t="s">
        <v>1</v>
      </c>
      <c r="E209" t="s">
        <v>182</v>
      </c>
      <c r="F209" t="s">
        <v>1</v>
      </c>
      <c r="G209" t="s">
        <v>1</v>
      </c>
      <c r="H209" t="s">
        <v>75</v>
      </c>
      <c r="I209">
        <v>2</v>
      </c>
      <c r="J209" s="4">
        <v>3.8</v>
      </c>
      <c r="K209" s="4">
        <v>4.75</v>
      </c>
      <c r="L209" s="4">
        <f>K209-J209</f>
      </c>
      <c r="M209" s="4">
        <f>L209*16.67%</f>
      </c>
      <c r="N209" s="4">
        <v>0.22</v>
      </c>
      <c r="O209" s="4">
        <f>N209*20%</f>
      </c>
      <c r="P209" s="4">
        <v>0</v>
      </c>
      <c r="Q209" s="4">
        <f>P209*20%</f>
      </c>
      <c r="R209" s="4">
        <v>0</v>
      </c>
      <c r="S209" s="4">
        <f>Q209</f>
      </c>
      <c r="T209" s="4">
        <f>L209-M209-N209-P209-Q209-R209</f>
      </c>
      <c r="U209" s="4">
        <f>(T209-W209)/J209*100</f>
      </c>
      <c r="V209" s="4">
        <f>M209-S209</f>
      </c>
      <c r="X209" s="4">
        <f>T209-W209</f>
      </c>
      <c r="AC209" t="s">
        <v>1</v>
      </c>
    </row>
    <row r="210" spans="1:29" x14ac:dyDescent="0.25">
      <c r="A210" s="8">
        <v>46200.5</v>
      </c>
      <c r="B210" t="s">
        <v>3415</v>
      </c>
      <c r="C210" t="s">
        <v>182</v>
      </c>
      <c r="D210" s="9" t="s">
        <v>1</v>
      </c>
      <c r="E210" t="s">
        <v>182</v>
      </c>
      <c r="F210" t="s">
        <v>1</v>
      </c>
      <c r="G210" t="s">
        <v>1</v>
      </c>
      <c r="H210" t="s">
        <v>75</v>
      </c>
      <c r="I210">
        <v>4</v>
      </c>
      <c r="J210" s="4">
        <v>7.6</v>
      </c>
      <c r="K210" s="4">
        <v>9.88</v>
      </c>
      <c r="L210" s="4">
        <f>K210-J210</f>
      </c>
      <c r="M210" s="4">
        <f>L210*16.67%</f>
      </c>
      <c r="N210" s="4">
        <v>0.46</v>
      </c>
      <c r="O210" s="4">
        <f>N210*20%</f>
      </c>
      <c r="P210" s="4">
        <v>0</v>
      </c>
      <c r="Q210" s="4">
        <f>P210*20%</f>
      </c>
      <c r="R210" s="4">
        <v>0</v>
      </c>
      <c r="S210" s="4">
        <f>Q210</f>
      </c>
      <c r="T210" s="4">
        <f>L210-M210-N210-P210-Q210-R210</f>
      </c>
      <c r="U210" s="4">
        <f>(T210-W210)/J210*100</f>
      </c>
      <c r="V210" s="4">
        <f>M210-S210</f>
      </c>
      <c r="X210" s="4">
        <f>T210-W210</f>
      </c>
      <c r="AC210" t="s">
        <v>1</v>
      </c>
    </row>
    <row r="211" spans="1:29" x14ac:dyDescent="0.25">
      <c r="A211" s="8">
        <v>46200.5</v>
      </c>
      <c r="B211" t="s">
        <v>3416</v>
      </c>
      <c r="C211" t="s">
        <v>185</v>
      </c>
      <c r="D211" s="9" t="s">
        <v>1</v>
      </c>
      <c r="E211" t="s">
        <v>185</v>
      </c>
      <c r="F211" t="s">
        <v>1</v>
      </c>
      <c r="G211" t="s">
        <v>1</v>
      </c>
      <c r="H211" t="s">
        <v>102</v>
      </c>
      <c r="I211">
        <v>1</v>
      </c>
      <c r="J211" s="4">
        <v>1.2</v>
      </c>
      <c r="K211" s="4">
        <v>1.43</v>
      </c>
      <c r="L211" s="4">
        <f>K211-J211</f>
      </c>
      <c r="M211" s="4">
        <f>L211*16.67%</f>
      </c>
      <c r="N211" s="4">
        <v>0.07</v>
      </c>
      <c r="O211" s="4">
        <f>N211*20%</f>
      </c>
      <c r="P211" s="4">
        <v>0</v>
      </c>
      <c r="Q211" s="4">
        <f>P211*20%</f>
      </c>
      <c r="R211" s="4">
        <v>0</v>
      </c>
      <c r="S211" s="4">
        <f>Q211</f>
      </c>
      <c r="T211" s="4">
        <f>L211-M211-N211-P211-Q211-R211</f>
      </c>
      <c r="U211" s="4">
        <f>(T211-W211)/J211*100</f>
      </c>
      <c r="V211" s="4">
        <f>M211-S211</f>
      </c>
      <c r="X211" s="4">
        <f>T211-W211</f>
      </c>
      <c r="AC211" t="s">
        <v>1</v>
      </c>
    </row>
    <row r="212" spans="1:29" x14ac:dyDescent="0.25">
      <c r="A212" s="8">
        <v>46200.5</v>
      </c>
      <c r="B212" t="s">
        <v>3417</v>
      </c>
      <c r="C212" t="s">
        <v>1</v>
      </c>
      <c r="D212" s="9" t="s">
        <v>1</v>
      </c>
      <c r="E212" t="s">
        <v>1</v>
      </c>
      <c r="F212" t="s">
        <v>1</v>
      </c>
      <c r="G212" t="s">
        <v>1</v>
      </c>
      <c r="H212" t="s">
        <v>66</v>
      </c>
      <c r="I212">
        <v>1</v>
      </c>
      <c r="J212" s="4">
        <v>177</v>
      </c>
      <c r="K212" s="4">
        <v>203.55</v>
      </c>
      <c r="L212" s="4">
        <f>K212-J212</f>
      </c>
      <c r="M212" s="4">
        <f>L212*16.67%</f>
      </c>
      <c r="N212" s="4">
        <v>9.38</v>
      </c>
      <c r="O212" s="4">
        <f>N212*20%</f>
      </c>
      <c r="P212" s="4">
        <v>0</v>
      </c>
      <c r="Q212" s="4">
        <f>P212*20%</f>
      </c>
      <c r="R212" s="4">
        <v>1</v>
      </c>
      <c r="S212" s="4">
        <f>Q212</f>
      </c>
      <c r="T212" s="4">
        <f>L212-M212-N212-P212-Q212-R212</f>
      </c>
      <c r="U212" s="4">
        <f>(T212-W212)/J212*100</f>
      </c>
      <c r="V212" s="4">
        <f>M212-S212</f>
      </c>
      <c r="X212" s="4">
        <f>T212-W212</f>
      </c>
      <c r="AC212" t="s">
        <v>1</v>
      </c>
    </row>
    <row r="213" spans="1:29" x14ac:dyDescent="0.25">
      <c r="A213" s="8">
        <v>46199.5</v>
      </c>
      <c r="B213" t="s">
        <v>3418</v>
      </c>
      <c r="C213" t="s">
        <v>1</v>
      </c>
      <c r="D213" s="9" t="s">
        <v>3419</v>
      </c>
      <c r="E213" t="s">
        <v>94</v>
      </c>
      <c r="F213" t="s">
        <v>85</v>
      </c>
      <c r="G213" t="s">
        <v>95</v>
      </c>
      <c r="H213" t="s">
        <v>66</v>
      </c>
      <c r="I213">
        <v>1</v>
      </c>
      <c r="J213" s="4">
        <v>72</v>
      </c>
      <c r="K213" s="4">
        <v>87.12</v>
      </c>
      <c r="L213" s="4">
        <f>K213-J213</f>
      </c>
      <c r="M213" s="4">
        <f>L213*16.67%</f>
      </c>
      <c r="N213" s="4">
        <v>4.02</v>
      </c>
      <c r="O213" s="4">
        <f>N213*20%</f>
      </c>
      <c r="P213" s="4">
        <v>0</v>
      </c>
      <c r="Q213" s="4">
        <f>P213*20%</f>
      </c>
      <c r="R213" s="4">
        <v>1</v>
      </c>
      <c r="S213" s="4">
        <f>Q213</f>
      </c>
      <c r="T213" s="4">
        <f>L213-M213-N213-P213-Q213-R213</f>
      </c>
      <c r="U213" s="4">
        <f>(T213-W213)/J213*100</f>
      </c>
      <c r="V213" s="4">
        <f>M213-S213</f>
      </c>
      <c r="X213" s="4">
        <f>T213-W213</f>
      </c>
      <c r="AC213" t="s">
        <v>1</v>
      </c>
    </row>
    <row r="214" spans="1:29" x14ac:dyDescent="0.25">
      <c r="A214" s="8">
        <v>46199.5</v>
      </c>
      <c r="B214" t="s">
        <v>3420</v>
      </c>
      <c r="C214" t="s">
        <v>1</v>
      </c>
      <c r="D214" s="9" t="s">
        <v>3421</v>
      </c>
      <c r="E214" t="s">
        <v>98</v>
      </c>
      <c r="F214" t="s">
        <v>88</v>
      </c>
      <c r="G214" t="s">
        <v>65</v>
      </c>
      <c r="H214" t="s">
        <v>66</v>
      </c>
      <c r="I214">
        <v>1</v>
      </c>
      <c r="J214" s="4">
        <v>321</v>
      </c>
      <c r="K214" s="4">
        <v>423.72</v>
      </c>
      <c r="L214" s="4">
        <f>K214-J214</f>
      </c>
      <c r="M214" s="4">
        <f>L214*16.67%</f>
      </c>
      <c r="N214" s="4">
        <v>19.53</v>
      </c>
      <c r="O214" s="4">
        <f>N214*20%</f>
      </c>
      <c r="P214" s="4">
        <v>0</v>
      </c>
      <c r="Q214" s="4">
        <f>P214*20%</f>
      </c>
      <c r="R214" s="4">
        <v>1</v>
      </c>
      <c r="S214" s="4">
        <f>Q214</f>
      </c>
      <c r="T214" s="4">
        <f>L214-M214-N214-P214-Q214-R214</f>
      </c>
      <c r="U214" s="4">
        <f>(T214-W214)/J214*100</f>
      </c>
      <c r="V214" s="4">
        <f>M214-S214</f>
      </c>
      <c r="X214" s="4">
        <f>T214-W214</f>
      </c>
      <c r="AC214" t="s">
        <v>1</v>
      </c>
    </row>
    <row r="215" spans="1:29" x14ac:dyDescent="0.25">
      <c r="A215" s="8">
        <v>46199.5</v>
      </c>
      <c r="B215" t="s">
        <v>3422</v>
      </c>
      <c r="C215" t="s">
        <v>1</v>
      </c>
      <c r="D215" s="9" t="s">
        <v>3423</v>
      </c>
      <c r="E215" t="s">
        <v>58</v>
      </c>
      <c r="F215" t="s">
        <v>105</v>
      </c>
      <c r="G215" t="s">
        <v>60</v>
      </c>
      <c r="H215" t="s">
        <v>78</v>
      </c>
      <c r="I215">
        <v>1</v>
      </c>
      <c r="J215" s="4">
        <v>439</v>
      </c>
      <c r="K215" s="4">
        <v>605.82</v>
      </c>
      <c r="L215" s="4">
        <f>K215-J215</f>
      </c>
      <c r="M215" s="4">
        <f>L215*16.67%</f>
      </c>
      <c r="N215" s="4">
        <v>27.93</v>
      </c>
      <c r="O215" s="4">
        <f>N215*20%</f>
      </c>
      <c r="P215" s="4">
        <v>0</v>
      </c>
      <c r="Q215" s="4">
        <f>P215*20%</f>
      </c>
      <c r="R215" s="4">
        <v>1</v>
      </c>
      <c r="S215" s="4">
        <f>Q215</f>
      </c>
      <c r="T215" s="4">
        <f>L215-M215-N215-P215-Q215-R215</f>
      </c>
      <c r="U215" s="4">
        <f>(T215-W215)/J215*100</f>
      </c>
      <c r="V215" s="4">
        <f>M215-S215</f>
      </c>
      <c r="X215" s="4">
        <f>T215-W215</f>
      </c>
      <c r="AC215" t="s">
        <v>1</v>
      </c>
    </row>
    <row r="216" spans="1:29" x14ac:dyDescent="0.25">
      <c r="A216" s="8">
        <v>46199.5</v>
      </c>
      <c r="B216" t="s">
        <v>3424</v>
      </c>
      <c r="C216" t="s">
        <v>1</v>
      </c>
      <c r="D216" s="9" t="s">
        <v>3425</v>
      </c>
      <c r="E216" t="s">
        <v>69</v>
      </c>
      <c r="F216" t="s">
        <v>74</v>
      </c>
      <c r="G216" t="s">
        <v>60</v>
      </c>
      <c r="H216" t="s">
        <v>61</v>
      </c>
      <c r="I216">
        <v>1</v>
      </c>
      <c r="J216" s="4">
        <v>551</v>
      </c>
      <c r="K216" s="4">
        <v>793.44</v>
      </c>
      <c r="L216" s="4">
        <f>K216-J216</f>
      </c>
      <c r="M216" s="4">
        <f>L216*16.67%</f>
      </c>
      <c r="N216" s="4">
        <v>36.58</v>
      </c>
      <c r="O216" s="4">
        <f>N216*20%</f>
      </c>
      <c r="P216" s="4">
        <v>0</v>
      </c>
      <c r="Q216" s="4">
        <f>P216*20%</f>
      </c>
      <c r="R216" s="4">
        <v>1</v>
      </c>
      <c r="S216" s="4">
        <f>Q216</f>
      </c>
      <c r="T216" s="4">
        <f>L216-M216-N216-P216-Q216-R216</f>
      </c>
      <c r="U216" s="4">
        <f>(T216-W216)/J216*100</f>
      </c>
      <c r="V216" s="4">
        <f>M216-S216</f>
      </c>
      <c r="X216" s="4">
        <f>T216-W216</f>
      </c>
      <c r="AC216" t="s">
        <v>1</v>
      </c>
    </row>
    <row r="217" spans="1:29" x14ac:dyDescent="0.25">
      <c r="A217" s="8">
        <v>46199.5</v>
      </c>
      <c r="B217" t="s">
        <v>3426</v>
      </c>
      <c r="C217" t="s">
        <v>177</v>
      </c>
      <c r="D217" s="9" t="s">
        <v>1</v>
      </c>
      <c r="E217" t="s">
        <v>177</v>
      </c>
      <c r="F217" t="s">
        <v>1</v>
      </c>
      <c r="G217" t="s">
        <v>1</v>
      </c>
      <c r="H217" t="s">
        <v>78</v>
      </c>
      <c r="I217">
        <v>2</v>
      </c>
      <c r="J217" s="4">
        <v>0.3</v>
      </c>
      <c r="K217" s="4">
        <v>0.41</v>
      </c>
      <c r="L217" s="4">
        <f>K217-J217</f>
      </c>
      <c r="M217" s="4">
        <f>L217*16.67%</f>
      </c>
      <c r="N217" s="4">
        <v>0.02</v>
      </c>
      <c r="O217" s="4">
        <f>N217*20%</f>
      </c>
      <c r="P217" s="4">
        <v>0</v>
      </c>
      <c r="Q217" s="4">
        <f>P217*20%</f>
      </c>
      <c r="R217" s="4">
        <v>0</v>
      </c>
      <c r="S217" s="4">
        <f>Q217</f>
      </c>
      <c r="T217" s="4">
        <f>L217-M217-N217-P217-Q217-R217</f>
      </c>
      <c r="U217" s="4">
        <f>(T217-W217)/J217*100</f>
      </c>
      <c r="V217" s="4">
        <f>M217-S217</f>
      </c>
      <c r="X217" s="4">
        <f>T217-W217</f>
      </c>
      <c r="AC217" t="s">
        <v>1</v>
      </c>
    </row>
    <row r="218" spans="1:29" x14ac:dyDescent="0.25">
      <c r="A218" s="8">
        <v>46199.5</v>
      </c>
      <c r="B218" t="s">
        <v>3427</v>
      </c>
      <c r="C218" t="s">
        <v>185</v>
      </c>
      <c r="D218" s="9" t="s">
        <v>1</v>
      </c>
      <c r="E218" t="s">
        <v>185</v>
      </c>
      <c r="F218" t="s">
        <v>1</v>
      </c>
      <c r="G218" t="s">
        <v>1</v>
      </c>
      <c r="H218" t="s">
        <v>102</v>
      </c>
      <c r="I218">
        <v>1</v>
      </c>
      <c r="J218" s="4">
        <v>1.2</v>
      </c>
      <c r="K218" s="4">
        <v>1.61</v>
      </c>
      <c r="L218" s="4">
        <f>K218-J218</f>
      </c>
      <c r="M218" s="4">
        <f>L218*16.67%</f>
      </c>
      <c r="N218" s="4">
        <v>0.07</v>
      </c>
      <c r="O218" s="4">
        <f>N218*20%</f>
      </c>
      <c r="P218" s="4">
        <v>0</v>
      </c>
      <c r="Q218" s="4">
        <f>P218*20%</f>
      </c>
      <c r="R218" s="4">
        <v>0</v>
      </c>
      <c r="S218" s="4">
        <f>Q218</f>
      </c>
      <c r="T218" s="4">
        <f>L218-M218-N218-P218-Q218-R218</f>
      </c>
      <c r="U218" s="4">
        <f>(T218-W218)/J218*100</f>
      </c>
      <c r="V218" s="4">
        <f>M218-S218</f>
      </c>
      <c r="X218" s="4">
        <f>T218-W218</f>
      </c>
      <c r="AC218" t="s">
        <v>1</v>
      </c>
    </row>
    <row r="219" spans="1:29" x14ac:dyDescent="0.25">
      <c r="A219" s="8">
        <v>46198.5</v>
      </c>
      <c r="B219" t="s">
        <v>3428</v>
      </c>
      <c r="C219" t="s">
        <v>1</v>
      </c>
      <c r="D219" s="9" t="s">
        <v>3429</v>
      </c>
      <c r="E219" t="s">
        <v>172</v>
      </c>
      <c r="F219" t="s">
        <v>105</v>
      </c>
      <c r="G219" t="s">
        <v>65</v>
      </c>
      <c r="H219" t="s">
        <v>61</v>
      </c>
      <c r="I219">
        <v>1</v>
      </c>
      <c r="J219" s="4">
        <v>177</v>
      </c>
      <c r="K219" s="4">
        <v>242.49</v>
      </c>
      <c r="L219" s="4">
        <f>K219-J219</f>
      </c>
      <c r="M219" s="4">
        <f>L219*16.67%</f>
      </c>
      <c r="N219" s="4">
        <v>11.18</v>
      </c>
      <c r="O219" s="4">
        <f>N219*20%</f>
      </c>
      <c r="P219" s="4">
        <v>0</v>
      </c>
      <c r="Q219" s="4">
        <f>P219*20%</f>
      </c>
      <c r="R219" s="4">
        <v>1</v>
      </c>
      <c r="S219" s="4">
        <f>Q219</f>
      </c>
      <c r="T219" s="4">
        <f>L219-M219-N219-P219-Q219-R219</f>
      </c>
      <c r="U219" s="4">
        <f>(T219-W219)/J219*100</f>
      </c>
      <c r="V219" s="4">
        <f>M219-S219</f>
      </c>
      <c r="X219" s="4">
        <f>T219-W219</f>
      </c>
      <c r="AC219" t="s">
        <v>1</v>
      </c>
    </row>
    <row r="220" spans="1:29" x14ac:dyDescent="0.25">
      <c r="A220" s="8">
        <v>46198.5</v>
      </c>
      <c r="B220" t="s">
        <v>3430</v>
      </c>
      <c r="C220" t="s">
        <v>1</v>
      </c>
      <c r="D220" s="9" t="s">
        <v>3431</v>
      </c>
      <c r="E220" t="s">
        <v>292</v>
      </c>
      <c r="F220" t="s">
        <v>105</v>
      </c>
      <c r="G220" t="s">
        <v>126</v>
      </c>
      <c r="H220" t="s">
        <v>61</v>
      </c>
      <c r="I220">
        <v>1</v>
      </c>
      <c r="J220" s="4">
        <v>187</v>
      </c>
      <c r="K220" s="4">
        <v>248.71</v>
      </c>
      <c r="L220" s="4">
        <f>K220-J220</f>
      </c>
      <c r="M220" s="4">
        <f>L220*16.67%</f>
      </c>
      <c r="N220" s="4">
        <v>11.47</v>
      </c>
      <c r="O220" s="4">
        <f>N220*20%</f>
      </c>
      <c r="P220" s="4">
        <v>0</v>
      </c>
      <c r="Q220" s="4">
        <f>P220*20%</f>
      </c>
      <c r="R220" s="4">
        <v>1</v>
      </c>
      <c r="S220" s="4">
        <f>Q220</f>
      </c>
      <c r="T220" s="4">
        <f>L220-M220-N220-P220-Q220-R220</f>
      </c>
      <c r="U220" s="4">
        <f>(T220-W220)/J220*100</f>
      </c>
      <c r="V220" s="4">
        <f>M220-S220</f>
      </c>
      <c r="X220" s="4">
        <f>T220-W220</f>
      </c>
      <c r="AC220" t="s">
        <v>1</v>
      </c>
    </row>
    <row r="221" spans="1:29" x14ac:dyDescent="0.25">
      <c r="A221" s="8">
        <v>46198.5</v>
      </c>
      <c r="B221" t="s">
        <v>3432</v>
      </c>
      <c r="C221" t="s">
        <v>1</v>
      </c>
      <c r="D221" s="9" t="s">
        <v>3433</v>
      </c>
      <c r="E221" t="s">
        <v>131</v>
      </c>
      <c r="F221" t="s">
        <v>85</v>
      </c>
      <c r="G221" t="s">
        <v>65</v>
      </c>
      <c r="H221" t="s">
        <v>75</v>
      </c>
      <c r="I221">
        <v>1</v>
      </c>
      <c r="J221" s="4">
        <v>263</v>
      </c>
      <c r="K221" s="4">
        <v>315.6</v>
      </c>
      <c r="L221" s="4">
        <f>K221-J221</f>
      </c>
      <c r="M221" s="4">
        <f>L221*16.67%</f>
      </c>
      <c r="N221" s="4">
        <v>14.55</v>
      </c>
      <c r="O221" s="4">
        <f>N221*20%</f>
      </c>
      <c r="P221" s="4">
        <v>0</v>
      </c>
      <c r="Q221" s="4">
        <f>P221*20%</f>
      </c>
      <c r="R221" s="4">
        <v>1</v>
      </c>
      <c r="S221" s="4">
        <f>Q221</f>
      </c>
      <c r="T221" s="4">
        <f>L221-M221-N221-P221-Q221-R221</f>
      </c>
      <c r="U221" s="4">
        <f>(T221-W221)/J221*100</f>
      </c>
      <c r="V221" s="4">
        <f>M221-S221</f>
      </c>
      <c r="X221" s="4">
        <f>T221-W221</f>
      </c>
      <c r="AC221" t="s">
        <v>1</v>
      </c>
    </row>
    <row r="222" spans="1:29" x14ac:dyDescent="0.25">
      <c r="A222" s="8">
        <v>46198.5</v>
      </c>
      <c r="B222" t="s">
        <v>3434</v>
      </c>
      <c r="C222" t="s">
        <v>1</v>
      </c>
      <c r="D222" s="9" t="s">
        <v>3435</v>
      </c>
      <c r="E222" t="s">
        <v>114</v>
      </c>
      <c r="F222" t="s">
        <v>99</v>
      </c>
      <c r="G222" t="s">
        <v>95</v>
      </c>
      <c r="H222" t="s">
        <v>102</v>
      </c>
      <c r="I222">
        <v>1</v>
      </c>
      <c r="J222" s="4">
        <v>180</v>
      </c>
      <c r="K222" s="4">
        <v>239.4</v>
      </c>
      <c r="L222" s="4">
        <f>K222-J222</f>
      </c>
      <c r="M222" s="4">
        <f>L222*16.67%</f>
      </c>
      <c r="N222" s="4">
        <v>11.04</v>
      </c>
      <c r="O222" s="4">
        <f>N222*20%</f>
      </c>
      <c r="P222" s="4">
        <v>0</v>
      </c>
      <c r="Q222" s="4">
        <f>P222*20%</f>
      </c>
      <c r="R222" s="4">
        <v>1</v>
      </c>
      <c r="S222" s="4">
        <f>Q222</f>
      </c>
      <c r="T222" s="4">
        <f>L222-M222-N222-P222-Q222-R222</f>
      </c>
      <c r="U222" s="4">
        <f>(T222-W222)/J222*100</f>
      </c>
      <c r="V222" s="4">
        <f>M222-S222</f>
      </c>
      <c r="X222" s="4">
        <f>T222-W222</f>
      </c>
      <c r="AC222" t="s">
        <v>1</v>
      </c>
    </row>
    <row r="223" spans="1:29" x14ac:dyDescent="0.25">
      <c r="A223" s="8">
        <v>46198.5</v>
      </c>
      <c r="B223" t="s">
        <v>3436</v>
      </c>
      <c r="C223" t="s">
        <v>1</v>
      </c>
      <c r="D223" s="9" t="s">
        <v>3437</v>
      </c>
      <c r="E223" t="s">
        <v>292</v>
      </c>
      <c r="F223" t="s">
        <v>59</v>
      </c>
      <c r="G223" t="s">
        <v>126</v>
      </c>
      <c r="H223" t="s">
        <v>75</v>
      </c>
      <c r="I223">
        <v>1</v>
      </c>
      <c r="J223" s="4">
        <v>202</v>
      </c>
      <c r="K223" s="4">
        <v>276.74</v>
      </c>
      <c r="L223" s="4">
        <f>K223-J223</f>
      </c>
      <c r="M223" s="4">
        <f>L223*16.67%</f>
      </c>
      <c r="N223" s="4">
        <v>12.76</v>
      </c>
      <c r="O223" s="4">
        <f>N223*20%</f>
      </c>
      <c r="P223" s="4">
        <v>0</v>
      </c>
      <c r="Q223" s="4">
        <f>P223*20%</f>
      </c>
      <c r="R223" s="4">
        <v>1</v>
      </c>
      <c r="S223" s="4">
        <f>Q223</f>
      </c>
      <c r="T223" s="4">
        <f>L223-M223-N223-P223-Q223-R223</f>
      </c>
      <c r="U223" s="4">
        <f>(T223-W223)/J223*100</f>
      </c>
      <c r="V223" s="4">
        <f>M223-S223</f>
      </c>
      <c r="X223" s="4">
        <f>T223-W223</f>
      </c>
      <c r="AC223" t="s">
        <v>1</v>
      </c>
    </row>
    <row r="224" spans="1:29" x14ac:dyDescent="0.25">
      <c r="A224" s="8">
        <v>46197.5</v>
      </c>
      <c r="B224" t="s">
        <v>3438</v>
      </c>
      <c r="C224" t="s">
        <v>1</v>
      </c>
      <c r="D224" s="9" t="s">
        <v>3439</v>
      </c>
      <c r="E224" t="s">
        <v>98</v>
      </c>
      <c r="F224" t="s">
        <v>74</v>
      </c>
      <c r="G224" t="s">
        <v>60</v>
      </c>
      <c r="H224" t="s">
        <v>102</v>
      </c>
      <c r="I224">
        <v>1</v>
      </c>
      <c r="J224" s="4">
        <v>280</v>
      </c>
      <c r="K224" s="4">
        <v>380.8</v>
      </c>
      <c r="L224" s="4">
        <f>K224-J224</f>
      </c>
      <c r="M224" s="4">
        <f>L224*16.67%</f>
      </c>
      <c r="N224" s="4">
        <v>17.55</v>
      </c>
      <c r="O224" s="4">
        <f>N224*20%</f>
      </c>
      <c r="P224" s="4">
        <v>0</v>
      </c>
      <c r="Q224" s="4">
        <f>P224*20%</f>
      </c>
      <c r="R224" s="4">
        <v>1</v>
      </c>
      <c r="S224" s="4">
        <f>Q224</f>
      </c>
      <c r="T224" s="4">
        <f>L224-M224-N224-P224-Q224-R224</f>
      </c>
      <c r="U224" s="4">
        <f>(T224-W224)/J224*100</f>
      </c>
      <c r="V224" s="4">
        <f>M224-S224</f>
      </c>
      <c r="X224" s="4">
        <f>T224-W224</f>
      </c>
      <c r="AC224" t="s">
        <v>1</v>
      </c>
    </row>
    <row r="225" spans="1:29" x14ac:dyDescent="0.25">
      <c r="A225" s="8">
        <v>46197.5</v>
      </c>
      <c r="B225" t="s">
        <v>3440</v>
      </c>
      <c r="C225" t="s">
        <v>1</v>
      </c>
      <c r="D225" s="9" t="s">
        <v>3441</v>
      </c>
      <c r="E225" t="s">
        <v>131</v>
      </c>
      <c r="F225" t="s">
        <v>70</v>
      </c>
      <c r="G225" t="s">
        <v>60</v>
      </c>
      <c r="H225" t="s">
        <v>75</v>
      </c>
      <c r="I225">
        <v>1</v>
      </c>
      <c r="J225" s="4">
        <v>335</v>
      </c>
      <c r="K225" s="4">
        <v>475.7</v>
      </c>
      <c r="L225" s="4">
        <f>K225-J225</f>
      </c>
      <c r="M225" s="4">
        <f>L225*16.67%</f>
      </c>
      <c r="N225" s="4">
        <v>21.93</v>
      </c>
      <c r="O225" s="4">
        <f>N225*20%</f>
      </c>
      <c r="P225" s="4">
        <v>0</v>
      </c>
      <c r="Q225" s="4">
        <f>P225*20%</f>
      </c>
      <c r="R225" s="4">
        <v>1</v>
      </c>
      <c r="S225" s="4">
        <f>Q225</f>
      </c>
      <c r="T225" s="4">
        <f>L225-M225-N225-P225-Q225-R225</f>
      </c>
      <c r="U225" s="4">
        <f>(T225-W225)/J225*100</f>
      </c>
      <c r="V225" s="4">
        <f>M225-S225</f>
      </c>
      <c r="X225" s="4">
        <f>T225-W225</f>
      </c>
      <c r="AC225" t="s">
        <v>1</v>
      </c>
    </row>
    <row r="226" spans="1:29" x14ac:dyDescent="0.25">
      <c r="A226" s="8">
        <v>46197.5</v>
      </c>
      <c r="B226" t="s">
        <v>3442</v>
      </c>
      <c r="C226" t="s">
        <v>1</v>
      </c>
      <c r="D226" s="9" t="s">
        <v>3443</v>
      </c>
      <c r="E226" t="s">
        <v>134</v>
      </c>
      <c r="F226" t="s">
        <v>59</v>
      </c>
      <c r="G226" t="s">
        <v>65</v>
      </c>
      <c r="H226" t="s">
        <v>61</v>
      </c>
      <c r="I226">
        <v>1</v>
      </c>
      <c r="J226" s="4">
        <v>134</v>
      </c>
      <c r="K226" s="4">
        <v>186.26</v>
      </c>
      <c r="L226" s="4">
        <f>K226-J226</f>
      </c>
      <c r="M226" s="4">
        <f>L226*16.67%</f>
      </c>
      <c r="N226" s="4">
        <v>8.59</v>
      </c>
      <c r="O226" s="4">
        <f>N226*20%</f>
      </c>
      <c r="P226" s="4">
        <v>0</v>
      </c>
      <c r="Q226" s="4">
        <f>P226*20%</f>
      </c>
      <c r="R226" s="4">
        <v>1</v>
      </c>
      <c r="S226" s="4">
        <f>Q226</f>
      </c>
      <c r="T226" s="4">
        <f>L226-M226-N226-P226-Q226-R226</f>
      </c>
      <c r="U226" s="4">
        <f>(T226-W226)/J226*100</f>
      </c>
      <c r="V226" s="4">
        <f>M226-S226</f>
      </c>
      <c r="X226" s="4">
        <f>T226-W226</f>
      </c>
      <c r="AC226" t="s">
        <v>1</v>
      </c>
    </row>
    <row r="227" spans="1:29" x14ac:dyDescent="0.25">
      <c r="A227" s="8">
        <v>46197.5</v>
      </c>
      <c r="B227" t="s">
        <v>3444</v>
      </c>
      <c r="C227" t="s">
        <v>1</v>
      </c>
      <c r="D227" s="9" t="s">
        <v>3445</v>
      </c>
      <c r="E227" t="s">
        <v>139</v>
      </c>
      <c r="F227" t="s">
        <v>59</v>
      </c>
      <c r="G227" t="s">
        <v>60</v>
      </c>
      <c r="H227" t="s">
        <v>102</v>
      </c>
      <c r="I227">
        <v>1</v>
      </c>
      <c r="J227" s="4">
        <v>345</v>
      </c>
      <c r="K227" s="4">
        <v>414</v>
      </c>
      <c r="L227" s="4">
        <f>K227-J227</f>
      </c>
      <c r="M227" s="4">
        <f>L227*16.67%</f>
      </c>
      <c r="N227" s="4">
        <v>19.09</v>
      </c>
      <c r="O227" s="4">
        <f>N227*20%</f>
      </c>
      <c r="P227" s="4">
        <v>0</v>
      </c>
      <c r="Q227" s="4">
        <f>P227*20%</f>
      </c>
      <c r="R227" s="4">
        <v>1</v>
      </c>
      <c r="S227" s="4">
        <f>Q227</f>
      </c>
      <c r="T227" s="4">
        <f>L227-M227-N227-P227-Q227-R227</f>
      </c>
      <c r="U227" s="4">
        <f>(T227-W227)/J227*100</f>
      </c>
      <c r="V227" s="4">
        <f>M227-S227</f>
      </c>
      <c r="X227" s="4">
        <f>T227-W227</f>
      </c>
      <c r="AC227" t="s">
        <v>1</v>
      </c>
    </row>
    <row r="228" spans="1:29" x14ac:dyDescent="0.25">
      <c r="A228" s="8">
        <v>46196.5</v>
      </c>
      <c r="B228" t="s">
        <v>3446</v>
      </c>
      <c r="C228" t="s">
        <v>1</v>
      </c>
      <c r="D228" s="9" t="s">
        <v>3447</v>
      </c>
      <c r="E228" t="s">
        <v>98</v>
      </c>
      <c r="F228" t="s">
        <v>59</v>
      </c>
      <c r="G228" t="s">
        <v>60</v>
      </c>
      <c r="H228" t="s">
        <v>78</v>
      </c>
      <c r="I228">
        <v>1</v>
      </c>
      <c r="J228" s="4">
        <v>315</v>
      </c>
      <c r="K228" s="4">
        <v>412.65</v>
      </c>
      <c r="L228" s="4">
        <f>K228-J228</f>
      </c>
      <c r="M228" s="4">
        <f>L228*16.67%</f>
      </c>
      <c r="N228" s="4">
        <v>19.02</v>
      </c>
      <c r="O228" s="4">
        <f>N228*20%</f>
      </c>
      <c r="P228" s="4">
        <v>0</v>
      </c>
      <c r="Q228" s="4">
        <f>P228*20%</f>
      </c>
      <c r="R228" s="4">
        <v>1</v>
      </c>
      <c r="S228" s="4">
        <f>Q228</f>
      </c>
      <c r="T228" s="4">
        <f>L228-M228-N228-P228-Q228-R228</f>
      </c>
      <c r="U228" s="4">
        <f>(T228-W228)/J228*100</f>
      </c>
      <c r="V228" s="4">
        <f>M228-S228</f>
      </c>
      <c r="X228" s="4">
        <f>T228-W228</f>
      </c>
      <c r="AC228" t="s">
        <v>1</v>
      </c>
    </row>
    <row r="229" spans="1:29" x14ac:dyDescent="0.25">
      <c r="A229" s="8">
        <v>46196.5</v>
      </c>
      <c r="B229" t="s">
        <v>3448</v>
      </c>
      <c r="C229" t="s">
        <v>1</v>
      </c>
      <c r="D229" s="9" t="s">
        <v>3449</v>
      </c>
      <c r="E229" t="s">
        <v>91</v>
      </c>
      <c r="F229" t="s">
        <v>99</v>
      </c>
      <c r="G229" t="s">
        <v>65</v>
      </c>
      <c r="H229" t="s">
        <v>75</v>
      </c>
      <c r="I229">
        <v>1</v>
      </c>
      <c r="J229" s="4">
        <v>118</v>
      </c>
      <c r="K229" s="4">
        <v>156.94</v>
      </c>
      <c r="L229" s="4">
        <f>K229-J229</f>
      </c>
      <c r="M229" s="4">
        <f>L229*16.67%</f>
      </c>
      <c r="N229" s="4">
        <v>7.23</v>
      </c>
      <c r="O229" s="4">
        <f>N229*20%</f>
      </c>
      <c r="P229" s="4">
        <v>0</v>
      </c>
      <c r="Q229" s="4">
        <f>P229*20%</f>
      </c>
      <c r="R229" s="4">
        <v>1</v>
      </c>
      <c r="S229" s="4">
        <f>Q229</f>
      </c>
      <c r="T229" s="4">
        <f>L229-M229-N229-P229-Q229-R229</f>
      </c>
      <c r="U229" s="4">
        <f>(T229-W229)/J229*100</f>
      </c>
      <c r="V229" s="4">
        <f>M229-S229</f>
      </c>
      <c r="X229" s="4">
        <f>T229-W229</f>
      </c>
      <c r="AC229" t="s">
        <v>1</v>
      </c>
    </row>
    <row r="230" spans="1:29" x14ac:dyDescent="0.25">
      <c r="A230" s="8">
        <v>46196.5</v>
      </c>
      <c r="B230" t="s">
        <v>3450</v>
      </c>
      <c r="C230" t="s">
        <v>1</v>
      </c>
      <c r="D230" s="9" t="s">
        <v>3451</v>
      </c>
      <c r="E230" t="s">
        <v>81</v>
      </c>
      <c r="F230" t="s">
        <v>105</v>
      </c>
      <c r="G230" t="s">
        <v>65</v>
      </c>
      <c r="H230" t="s">
        <v>102</v>
      </c>
      <c r="I230">
        <v>1</v>
      </c>
      <c r="J230" s="4">
        <v>561</v>
      </c>
      <c r="K230" s="4">
        <v>802.23</v>
      </c>
      <c r="L230" s="4">
        <f>K230-J230</f>
      </c>
      <c r="M230" s="4">
        <f>L230*16.67%</f>
      </c>
      <c r="N230" s="4">
        <v>36.98</v>
      </c>
      <c r="O230" s="4">
        <f>N230*20%</f>
      </c>
      <c r="P230" s="4">
        <v>0</v>
      </c>
      <c r="Q230" s="4">
        <f>P230*20%</f>
      </c>
      <c r="R230" s="4">
        <v>1</v>
      </c>
      <c r="S230" s="4">
        <f>Q230</f>
      </c>
      <c r="T230" s="4">
        <f>L230-M230-N230-P230-Q230-R230</f>
      </c>
      <c r="U230" s="4">
        <f>(T230-W230)/J230*100</f>
      </c>
      <c r="V230" s="4">
        <f>M230-S230</f>
      </c>
      <c r="X230" s="4">
        <f>T230-W230</f>
      </c>
      <c r="AC230" t="s">
        <v>1</v>
      </c>
    </row>
    <row r="231" spans="1:29" x14ac:dyDescent="0.25">
      <c r="A231" s="8">
        <v>46196.5</v>
      </c>
      <c r="B231" t="s">
        <v>3452</v>
      </c>
      <c r="C231" t="s">
        <v>1</v>
      </c>
      <c r="D231" s="9" t="s">
        <v>3453</v>
      </c>
      <c r="E231" t="s">
        <v>73</v>
      </c>
      <c r="F231" t="s">
        <v>59</v>
      </c>
      <c r="G231" t="s">
        <v>60</v>
      </c>
      <c r="H231" t="s">
        <v>66</v>
      </c>
      <c r="I231">
        <v>1</v>
      </c>
      <c r="J231" s="4">
        <v>359</v>
      </c>
      <c r="K231" s="4">
        <v>488.24</v>
      </c>
      <c r="L231" s="4">
        <f>K231-J231</f>
      </c>
      <c r="M231" s="4">
        <f>L231*16.67%</f>
      </c>
      <c r="N231" s="4">
        <v>22.51</v>
      </c>
      <c r="O231" s="4">
        <f>N231*20%</f>
      </c>
      <c r="P231" s="4">
        <v>0</v>
      </c>
      <c r="Q231" s="4">
        <f>P231*20%</f>
      </c>
      <c r="R231" s="4">
        <v>1</v>
      </c>
      <c r="S231" s="4">
        <f>Q231</f>
      </c>
      <c r="T231" s="4">
        <f>L231-M231-N231-P231-Q231-R231</f>
      </c>
      <c r="U231" s="4">
        <f>(T231-W231)/J231*100</f>
      </c>
      <c r="V231" s="4">
        <f>M231-S231</f>
      </c>
      <c r="X231" s="4">
        <f>T231-W231</f>
      </c>
      <c r="AC231" t="s">
        <v>1</v>
      </c>
    </row>
    <row r="232" spans="1:29" x14ac:dyDescent="0.25">
      <c r="A232" s="8">
        <v>46196.5</v>
      </c>
      <c r="B232" t="s">
        <v>3454</v>
      </c>
      <c r="C232" t="s">
        <v>1</v>
      </c>
      <c r="D232" s="9" t="s">
        <v>3455</v>
      </c>
      <c r="E232" t="s">
        <v>81</v>
      </c>
      <c r="F232" t="s">
        <v>105</v>
      </c>
      <c r="G232" t="s">
        <v>65</v>
      </c>
      <c r="H232" t="s">
        <v>66</v>
      </c>
      <c r="I232">
        <v>1</v>
      </c>
      <c r="J232" s="4">
        <v>618</v>
      </c>
      <c r="K232" s="4">
        <v>865.2</v>
      </c>
      <c r="L232" s="4">
        <f>K232-J232</f>
      </c>
      <c r="M232" s="4">
        <f>L232*16.67%</f>
      </c>
      <c r="N232" s="4">
        <v>39.89</v>
      </c>
      <c r="O232" s="4">
        <f>N232*20%</f>
      </c>
      <c r="P232" s="4">
        <v>0</v>
      </c>
      <c r="Q232" s="4">
        <f>P232*20%</f>
      </c>
      <c r="R232" s="4">
        <v>1</v>
      </c>
      <c r="S232" s="4">
        <f>Q232</f>
      </c>
      <c r="T232" s="4">
        <f>L232-M232-N232-P232-Q232-R232</f>
      </c>
      <c r="U232" s="4">
        <f>(T232-W232)/J232*100</f>
      </c>
      <c r="V232" s="4">
        <f>M232-S232</f>
      </c>
      <c r="X232" s="4">
        <f>T232-W232</f>
      </c>
      <c r="AC232" t="s">
        <v>1</v>
      </c>
    </row>
    <row r="233" spans="1:29" x14ac:dyDescent="0.25">
      <c r="A233" s="8">
        <v>46196.5</v>
      </c>
      <c r="B233" t="s">
        <v>3456</v>
      </c>
      <c r="C233" t="s">
        <v>1</v>
      </c>
      <c r="D233" s="9" t="s">
        <v>3457</v>
      </c>
      <c r="E233" t="s">
        <v>58</v>
      </c>
      <c r="F233" t="s">
        <v>59</v>
      </c>
      <c r="G233" t="s">
        <v>60</v>
      </c>
      <c r="H233" t="s">
        <v>75</v>
      </c>
      <c r="I233">
        <v>1</v>
      </c>
      <c r="J233" s="4">
        <v>423</v>
      </c>
      <c r="K233" s="4">
        <v>558.36</v>
      </c>
      <c r="L233" s="4">
        <f>K233-J233</f>
      </c>
      <c r="M233" s="4">
        <f>L233*16.67%</f>
      </c>
      <c r="N233" s="4">
        <v>25.74</v>
      </c>
      <c r="O233" s="4">
        <f>N233*20%</f>
      </c>
      <c r="P233" s="4">
        <v>0</v>
      </c>
      <c r="Q233" s="4">
        <f>P233*20%</f>
      </c>
      <c r="R233" s="4">
        <v>1</v>
      </c>
      <c r="S233" s="4">
        <f>Q233</f>
      </c>
      <c r="T233" s="4">
        <f>L233-M233-N233-P233-Q233-R233</f>
      </c>
      <c r="U233" s="4">
        <f>(T233-W233)/J233*100</f>
      </c>
      <c r="V233" s="4">
        <f>M233-S233</f>
      </c>
      <c r="X233" s="4">
        <f>T233-W233</f>
      </c>
      <c r="AC233" t="s">
        <v>1</v>
      </c>
    </row>
    <row r="234" spans="1:29" x14ac:dyDescent="0.25">
      <c r="A234" s="8">
        <v>46196.5</v>
      </c>
      <c r="B234" t="s">
        <v>3458</v>
      </c>
      <c r="C234" t="s">
        <v>1</v>
      </c>
      <c r="D234" s="9" t="s">
        <v>3459</v>
      </c>
      <c r="E234" t="s">
        <v>98</v>
      </c>
      <c r="F234" t="s">
        <v>74</v>
      </c>
      <c r="G234" t="s">
        <v>60</v>
      </c>
      <c r="H234" t="s">
        <v>75</v>
      </c>
      <c r="I234">
        <v>1</v>
      </c>
      <c r="J234" s="4">
        <v>308</v>
      </c>
      <c r="K234" s="4">
        <v>428.12</v>
      </c>
      <c r="L234" s="4">
        <f>K234-J234</f>
      </c>
      <c r="M234" s="4">
        <f>L234*16.67%</f>
      </c>
      <c r="N234" s="4">
        <v>19.74</v>
      </c>
      <c r="O234" s="4">
        <f>N234*20%</f>
      </c>
      <c r="P234" s="4">
        <v>0</v>
      </c>
      <c r="Q234" s="4">
        <f>P234*20%</f>
      </c>
      <c r="R234" s="4">
        <v>1</v>
      </c>
      <c r="S234" s="4">
        <f>Q234</f>
      </c>
      <c r="T234" s="4">
        <f>L234-M234-N234-P234-Q234-R234</f>
      </c>
      <c r="U234" s="4">
        <f>(T234-W234)/J234*100</f>
      </c>
      <c r="V234" s="4">
        <f>M234-S234</f>
      </c>
      <c r="X234" s="4">
        <f>T234-W234</f>
      </c>
      <c r="AC234" t="s">
        <v>1</v>
      </c>
    </row>
    <row r="235" spans="1:29" x14ac:dyDescent="0.25">
      <c r="A235" s="8">
        <v>46196.5</v>
      </c>
      <c r="B235" t="s">
        <v>3460</v>
      </c>
      <c r="C235" t="s">
        <v>1</v>
      </c>
      <c r="D235" s="9" t="s">
        <v>3461</v>
      </c>
      <c r="E235" t="s">
        <v>84</v>
      </c>
      <c r="F235" t="s">
        <v>85</v>
      </c>
      <c r="G235" t="s">
        <v>60</v>
      </c>
      <c r="H235" t="s">
        <v>78</v>
      </c>
      <c r="I235">
        <v>1</v>
      </c>
      <c r="J235" s="4">
        <v>762</v>
      </c>
      <c r="K235" s="4">
        <v>982.98</v>
      </c>
      <c r="L235" s="4">
        <f>K235-J235</f>
      </c>
      <c r="M235" s="4">
        <f>L235*16.67%</f>
      </c>
      <c r="N235" s="4">
        <v>45.32</v>
      </c>
      <c r="O235" s="4">
        <f>N235*20%</f>
      </c>
      <c r="P235" s="4">
        <v>0</v>
      </c>
      <c r="Q235" s="4">
        <f>P235*20%</f>
      </c>
      <c r="R235" s="4">
        <v>1</v>
      </c>
      <c r="S235" s="4">
        <f>Q235</f>
      </c>
      <c r="T235" s="4">
        <f>L235-M235-N235-P235-Q235-R235</f>
      </c>
      <c r="U235" s="4">
        <f>(T235-W235)/J235*100</f>
      </c>
      <c r="V235" s="4">
        <f>M235-S235</f>
      </c>
      <c r="X235" s="4">
        <f>T235-W235</f>
      </c>
      <c r="AC235" t="s">
        <v>1</v>
      </c>
    </row>
    <row r="236" spans="1:29" x14ac:dyDescent="0.25">
      <c r="A236" s="8">
        <v>46195.5</v>
      </c>
      <c r="B236" t="s">
        <v>3462</v>
      </c>
      <c r="C236" t="s">
        <v>1</v>
      </c>
      <c r="D236" s="9" t="s">
        <v>3463</v>
      </c>
      <c r="E236" t="s">
        <v>234</v>
      </c>
      <c r="F236" t="s">
        <v>88</v>
      </c>
      <c r="G236" t="s">
        <v>65</v>
      </c>
      <c r="H236" t="s">
        <v>66</v>
      </c>
      <c r="I236">
        <v>1</v>
      </c>
      <c r="J236" s="4">
        <v>158</v>
      </c>
      <c r="K236" s="4">
        <v>192.76</v>
      </c>
      <c r="L236" s="4">
        <f>K236-J236</f>
      </c>
      <c r="M236" s="4">
        <f>L236*16.67%</f>
      </c>
      <c r="N236" s="4">
        <v>8.89</v>
      </c>
      <c r="O236" s="4">
        <f>N236*20%</f>
      </c>
      <c r="P236" s="4">
        <v>0</v>
      </c>
      <c r="Q236" s="4">
        <f>P236*20%</f>
      </c>
      <c r="R236" s="4">
        <v>1</v>
      </c>
      <c r="S236" s="4">
        <f>Q236</f>
      </c>
      <c r="T236" s="4">
        <f>L236-M236-N236-P236-Q236-R236</f>
      </c>
      <c r="U236" s="4">
        <f>(T236-W236)/J236*100</f>
      </c>
      <c r="V236" s="4">
        <f>M236-S236</f>
      </c>
      <c r="X236" s="4">
        <f>T236-W236</f>
      </c>
      <c r="AC236" t="s">
        <v>1</v>
      </c>
    </row>
    <row r="237" spans="1:29" x14ac:dyDescent="0.25">
      <c r="A237" s="8">
        <v>46195.5</v>
      </c>
      <c r="B237" t="s">
        <v>3464</v>
      </c>
      <c r="C237" t="s">
        <v>1</v>
      </c>
      <c r="D237" s="9" t="s">
        <v>3465</v>
      </c>
      <c r="E237" t="s">
        <v>64</v>
      </c>
      <c r="F237" t="s">
        <v>59</v>
      </c>
      <c r="G237" t="s">
        <v>65</v>
      </c>
      <c r="H237" t="s">
        <v>61</v>
      </c>
      <c r="I237">
        <v>1</v>
      </c>
      <c r="J237" s="4">
        <v>220</v>
      </c>
      <c r="K237" s="4">
        <v>312.4</v>
      </c>
      <c r="L237" s="4">
        <f>K237-J237</f>
      </c>
      <c r="M237" s="4">
        <f>L237*16.67%</f>
      </c>
      <c r="N237" s="4">
        <v>14.4</v>
      </c>
      <c r="O237" s="4">
        <f>N237*20%</f>
      </c>
      <c r="P237" s="4">
        <v>0</v>
      </c>
      <c r="Q237" s="4">
        <f>P237*20%</f>
      </c>
      <c r="R237" s="4">
        <v>1</v>
      </c>
      <c r="S237" s="4">
        <f>Q237</f>
      </c>
      <c r="T237" s="4">
        <f>L237-M237-N237-P237-Q237-R237</f>
      </c>
      <c r="U237" s="4">
        <f>(T237-W237)/J237*100</f>
      </c>
      <c r="V237" s="4">
        <f>M237-S237</f>
      </c>
      <c r="X237" s="4">
        <f>T237-W237</f>
      </c>
      <c r="AC237" t="s">
        <v>1</v>
      </c>
    </row>
    <row r="238" spans="1:29" x14ac:dyDescent="0.25">
      <c r="A238" s="8">
        <v>46195.5</v>
      </c>
      <c r="B238" t="s">
        <v>3466</v>
      </c>
      <c r="C238" t="s">
        <v>1</v>
      </c>
      <c r="D238" s="9" t="s">
        <v>3467</v>
      </c>
      <c r="E238" t="s">
        <v>94</v>
      </c>
      <c r="F238" t="s">
        <v>105</v>
      </c>
      <c r="G238" t="s">
        <v>95</v>
      </c>
      <c r="H238" t="s">
        <v>66</v>
      </c>
      <c r="I238">
        <v>1</v>
      </c>
      <c r="J238" s="4">
        <v>80</v>
      </c>
      <c r="K238" s="4">
        <v>108.8</v>
      </c>
      <c r="L238" s="4">
        <f>K238-J238</f>
      </c>
      <c r="M238" s="4">
        <f>L238*16.67%</f>
      </c>
      <c r="N238" s="4">
        <v>5.02</v>
      </c>
      <c r="O238" s="4">
        <f>N238*20%</f>
      </c>
      <c r="P238" s="4">
        <v>0</v>
      </c>
      <c r="Q238" s="4">
        <f>P238*20%</f>
      </c>
      <c r="R238" s="4">
        <v>1</v>
      </c>
      <c r="S238" s="4">
        <f>Q238</f>
      </c>
      <c r="T238" s="4">
        <f>L238-M238-N238-P238-Q238-R238</f>
      </c>
      <c r="U238" s="4">
        <f>(T238-W238)/J238*100</f>
      </c>
      <c r="V238" s="4">
        <f>M238-S238</f>
      </c>
      <c r="X238" s="4">
        <f>T238-W238</f>
      </c>
      <c r="AC238" t="s">
        <v>1</v>
      </c>
    </row>
    <row r="239" spans="1:29" x14ac:dyDescent="0.25">
      <c r="A239" s="8">
        <v>46194.5</v>
      </c>
      <c r="B239" t="s">
        <v>3468</v>
      </c>
      <c r="C239" t="s">
        <v>1</v>
      </c>
      <c r="D239" s="9" t="s">
        <v>1</v>
      </c>
      <c r="E239" t="s">
        <v>1</v>
      </c>
      <c r="F239" t="s">
        <v>1</v>
      </c>
      <c r="G239" t="s">
        <v>1</v>
      </c>
      <c r="H239" t="s">
        <v>102</v>
      </c>
      <c r="I239">
        <v>1</v>
      </c>
      <c r="J239" s="4">
        <v>486</v>
      </c>
      <c r="K239" s="4">
        <v>665.82</v>
      </c>
      <c r="L239" s="4">
        <f>K239-J239</f>
      </c>
      <c r="M239" s="4">
        <f>L239*16.67%</f>
      </c>
      <c r="N239" s="4">
        <v>30.69</v>
      </c>
      <c r="O239" s="4">
        <f>N239*20%</f>
      </c>
      <c r="P239" s="4">
        <v>0</v>
      </c>
      <c r="Q239" s="4">
        <f>P239*20%</f>
      </c>
      <c r="R239" s="4">
        <v>1</v>
      </c>
      <c r="S239" s="4">
        <f>Q239</f>
      </c>
      <c r="T239" s="4">
        <f>L239-M239-N239-P239-Q239-R239</f>
      </c>
      <c r="U239" s="4">
        <f>(T239-W239)/J239*100</f>
      </c>
      <c r="V239" s="4">
        <f>M239-S239</f>
      </c>
      <c r="X239" s="4">
        <f>T239-W239</f>
      </c>
      <c r="AC239" t="s">
        <v>1</v>
      </c>
    </row>
    <row r="240" spans="1:29" x14ac:dyDescent="0.25">
      <c r="A240" s="8">
        <v>46193.5</v>
      </c>
      <c r="B240" t="s">
        <v>3469</v>
      </c>
      <c r="C240" t="s">
        <v>1</v>
      </c>
      <c r="D240" s="9" t="s">
        <v>3470</v>
      </c>
      <c r="E240" t="s">
        <v>81</v>
      </c>
      <c r="F240" t="s">
        <v>85</v>
      </c>
      <c r="G240" t="s">
        <v>65</v>
      </c>
      <c r="H240" t="s">
        <v>61</v>
      </c>
      <c r="I240">
        <v>1</v>
      </c>
      <c r="J240" s="4">
        <v>583</v>
      </c>
      <c r="K240" s="4">
        <v>757.9</v>
      </c>
      <c r="L240" s="4">
        <f>K240-J240</f>
      </c>
      <c r="M240" s="4">
        <f>L240*16.67%</f>
      </c>
      <c r="N240" s="4">
        <v>34.94</v>
      </c>
      <c r="O240" s="4">
        <f>N240*20%</f>
      </c>
      <c r="P240" s="4">
        <v>0</v>
      </c>
      <c r="Q240" s="4">
        <f>P240*20%</f>
      </c>
      <c r="R240" s="4">
        <v>1</v>
      </c>
      <c r="S240" s="4">
        <f>Q240</f>
      </c>
      <c r="T240" s="4">
        <f>L240-M240-N240-P240-Q240-R240</f>
      </c>
      <c r="U240" s="4">
        <f>(T240-W240)/J240*100</f>
      </c>
      <c r="V240" s="4">
        <f>M240-S240</f>
      </c>
      <c r="X240" s="4">
        <f>T240-W240</f>
      </c>
      <c r="AC240" t="s">
        <v>1</v>
      </c>
    </row>
    <row r="241" spans="1:29" x14ac:dyDescent="0.25">
      <c r="A241" s="8">
        <v>46193.5</v>
      </c>
      <c r="B241" t="s">
        <v>3471</v>
      </c>
      <c r="C241" t="s">
        <v>1</v>
      </c>
      <c r="D241" s="9" t="s">
        <v>3472</v>
      </c>
      <c r="E241" t="s">
        <v>172</v>
      </c>
      <c r="F241" t="s">
        <v>74</v>
      </c>
      <c r="G241" t="s">
        <v>65</v>
      </c>
      <c r="H241" t="s">
        <v>102</v>
      </c>
      <c r="I241">
        <v>1</v>
      </c>
      <c r="J241" s="4">
        <v>144</v>
      </c>
      <c r="K241" s="4">
        <v>168.48</v>
      </c>
      <c r="L241" s="4">
        <f>K241-J241</f>
      </c>
      <c r="M241" s="4">
        <f>L241*16.67%</f>
      </c>
      <c r="N241" s="4">
        <v>7.77</v>
      </c>
      <c r="O241" s="4">
        <f>N241*20%</f>
      </c>
      <c r="P241" s="4">
        <v>0</v>
      </c>
      <c r="Q241" s="4">
        <f>P241*20%</f>
      </c>
      <c r="R241" s="4">
        <v>1</v>
      </c>
      <c r="S241" s="4">
        <f>Q241</f>
      </c>
      <c r="T241" s="4">
        <f>L241-M241-N241-P241-Q241-R241</f>
      </c>
      <c r="U241" s="4">
        <f>(T241-W241)/J241*100</f>
      </c>
      <c r="V241" s="4">
        <f>M241-S241</f>
      </c>
      <c r="X241" s="4">
        <f>T241-W241</f>
      </c>
      <c r="AC241" t="s">
        <v>1</v>
      </c>
    </row>
    <row r="242" spans="1:29" x14ac:dyDescent="0.25">
      <c r="A242" s="8">
        <v>46193.5</v>
      </c>
      <c r="B242" t="s">
        <v>3473</v>
      </c>
      <c r="C242" t="s">
        <v>1</v>
      </c>
      <c r="D242" s="9" t="s">
        <v>3474</v>
      </c>
      <c r="E242" t="s">
        <v>125</v>
      </c>
      <c r="F242" t="s">
        <v>74</v>
      </c>
      <c r="G242" t="s">
        <v>126</v>
      </c>
      <c r="H242" t="s">
        <v>75</v>
      </c>
      <c r="I242">
        <v>1</v>
      </c>
      <c r="J242" s="4">
        <v>246</v>
      </c>
      <c r="K242" s="4">
        <v>332.1</v>
      </c>
      <c r="L242" s="4">
        <f>K242-J242</f>
      </c>
      <c r="M242" s="4">
        <f>L242*16.67%</f>
      </c>
      <c r="N242" s="4">
        <v>15.31</v>
      </c>
      <c r="O242" s="4">
        <f>N242*20%</f>
      </c>
      <c r="P242" s="4">
        <v>0</v>
      </c>
      <c r="Q242" s="4">
        <f>P242*20%</f>
      </c>
      <c r="R242" s="4">
        <v>1</v>
      </c>
      <c r="S242" s="4">
        <f>Q242</f>
      </c>
      <c r="T242" s="4">
        <f>L242-M242-N242-P242-Q242-R242</f>
      </c>
      <c r="U242" s="4">
        <f>(T242-W242)/J242*100</f>
      </c>
      <c r="V242" s="4">
        <f>M242-S242</f>
      </c>
      <c r="X242" s="4">
        <f>T242-W242</f>
      </c>
      <c r="AC242" t="s">
        <v>1</v>
      </c>
    </row>
    <row r="243" spans="1:29" x14ac:dyDescent="0.25">
      <c r="A243" s="8">
        <v>46193.5</v>
      </c>
      <c r="B243" t="s">
        <v>3475</v>
      </c>
      <c r="C243" t="s">
        <v>1</v>
      </c>
      <c r="D243" s="9" t="s">
        <v>3476</v>
      </c>
      <c r="E243" t="s">
        <v>114</v>
      </c>
      <c r="F243" t="s">
        <v>99</v>
      </c>
      <c r="G243" t="s">
        <v>60</v>
      </c>
      <c r="H243" t="s">
        <v>61</v>
      </c>
      <c r="I243">
        <v>1</v>
      </c>
      <c r="J243" s="4">
        <v>246</v>
      </c>
      <c r="K243" s="4">
        <v>346.86</v>
      </c>
      <c r="L243" s="4">
        <f>K243-J243</f>
      </c>
      <c r="M243" s="4">
        <f>L243*16.67%</f>
      </c>
      <c r="N243" s="4">
        <v>15.99</v>
      </c>
      <c r="O243" s="4">
        <f>N243*20%</f>
      </c>
      <c r="P243" s="4">
        <v>0</v>
      </c>
      <c r="Q243" s="4">
        <f>P243*20%</f>
      </c>
      <c r="R243" s="4">
        <v>1</v>
      </c>
      <c r="S243" s="4">
        <f>Q243</f>
      </c>
      <c r="T243" s="4">
        <f>L243-M243-N243-P243-Q243-R243</f>
      </c>
      <c r="U243" s="4">
        <f>(T243-W243)/J243*100</f>
      </c>
      <c r="V243" s="4">
        <f>M243-S243</f>
      </c>
      <c r="X243" s="4">
        <f>T243-W243</f>
      </c>
      <c r="AC243" t="s">
        <v>1</v>
      </c>
    </row>
    <row r="244" spans="1:29" x14ac:dyDescent="0.25">
      <c r="A244" s="8">
        <v>46193.5</v>
      </c>
      <c r="B244" t="s">
        <v>3477</v>
      </c>
      <c r="C244" t="s">
        <v>1</v>
      </c>
      <c r="D244" s="9" t="s">
        <v>3478</v>
      </c>
      <c r="E244" t="s">
        <v>91</v>
      </c>
      <c r="F244" t="s">
        <v>70</v>
      </c>
      <c r="G244" t="s">
        <v>95</v>
      </c>
      <c r="H244" t="s">
        <v>61</v>
      </c>
      <c r="I244">
        <v>1</v>
      </c>
      <c r="J244" s="4">
        <v>111</v>
      </c>
      <c r="K244" s="4">
        <v>156.51</v>
      </c>
      <c r="L244" s="4">
        <f>K244-J244</f>
      </c>
      <c r="M244" s="4">
        <f>L244*16.67%</f>
      </c>
      <c r="N244" s="4">
        <v>7.22</v>
      </c>
      <c r="O244" s="4">
        <f>N244*20%</f>
      </c>
      <c r="P244" s="4">
        <v>0</v>
      </c>
      <c r="Q244" s="4">
        <f>P244*20%</f>
      </c>
      <c r="R244" s="4">
        <v>1</v>
      </c>
      <c r="S244" s="4">
        <f>Q244</f>
      </c>
      <c r="T244" s="4">
        <f>L244-M244-N244-P244-Q244-R244</f>
      </c>
      <c r="U244" s="4">
        <f>(T244-W244)/J244*100</f>
      </c>
      <c r="V244" s="4">
        <f>M244-S244</f>
      </c>
      <c r="X244" s="4">
        <f>T244-W244</f>
      </c>
      <c r="AC244" t="s">
        <v>1</v>
      </c>
    </row>
    <row r="245" spans="1:29" x14ac:dyDescent="0.25">
      <c r="A245" s="8">
        <v>46193.5</v>
      </c>
      <c r="B245" t="s">
        <v>3479</v>
      </c>
      <c r="C245" t="s">
        <v>1</v>
      </c>
      <c r="D245" s="9" t="s">
        <v>1</v>
      </c>
      <c r="E245" t="s">
        <v>1</v>
      </c>
      <c r="F245" t="s">
        <v>1</v>
      </c>
      <c r="G245" t="s">
        <v>1</v>
      </c>
      <c r="H245" t="s">
        <v>75</v>
      </c>
      <c r="I245">
        <v>1</v>
      </c>
      <c r="J245" s="4">
        <v>165</v>
      </c>
      <c r="K245" s="4">
        <v>206.25</v>
      </c>
      <c r="L245" s="4">
        <f>K245-J245</f>
      </c>
      <c r="M245" s="4">
        <f>L245*16.67%</f>
      </c>
      <c r="N245" s="4">
        <v>9.51</v>
      </c>
      <c r="O245" s="4">
        <f>N245*20%</f>
      </c>
      <c r="P245" s="4">
        <v>0</v>
      </c>
      <c r="Q245" s="4">
        <f>P245*20%</f>
      </c>
      <c r="R245" s="4">
        <v>1</v>
      </c>
      <c r="S245" s="4">
        <f>Q245</f>
      </c>
      <c r="T245" s="4">
        <f>L245-M245-N245-P245-Q245-R245</f>
      </c>
      <c r="U245" s="4">
        <f>(T245-W245)/J245*100</f>
      </c>
      <c r="V245" s="4">
        <f>M245-S245</f>
      </c>
      <c r="X245" s="4">
        <f>T245-W245</f>
      </c>
      <c r="AC245" t="s">
        <v>1</v>
      </c>
    </row>
    <row r="246" spans="1:29" x14ac:dyDescent="0.25">
      <c r="A246" s="8">
        <v>46192.5</v>
      </c>
      <c r="B246" t="s">
        <v>3480</v>
      </c>
      <c r="C246" t="s">
        <v>1</v>
      </c>
      <c r="D246" s="9" t="s">
        <v>3481</v>
      </c>
      <c r="E246" t="s">
        <v>73</v>
      </c>
      <c r="F246" t="s">
        <v>59</v>
      </c>
      <c r="G246" t="s">
        <v>60</v>
      </c>
      <c r="H246" t="s">
        <v>78</v>
      </c>
      <c r="I246">
        <v>1</v>
      </c>
      <c r="J246" s="4">
        <v>380</v>
      </c>
      <c r="K246" s="4">
        <v>532</v>
      </c>
      <c r="L246" s="4">
        <f>K246-J246</f>
      </c>
      <c r="M246" s="4">
        <f>L246*16.67%</f>
      </c>
      <c r="N246" s="4">
        <v>24.53</v>
      </c>
      <c r="O246" s="4">
        <f>N246*20%</f>
      </c>
      <c r="P246" s="4">
        <v>0</v>
      </c>
      <c r="Q246" s="4">
        <f>P246*20%</f>
      </c>
      <c r="R246" s="4">
        <v>1</v>
      </c>
      <c r="S246" s="4">
        <f>Q246</f>
      </c>
      <c r="T246" s="4">
        <f>L246-M246-N246-P246-Q246-R246</f>
      </c>
      <c r="U246" s="4">
        <f>(T246-W246)/J246*100</f>
      </c>
      <c r="V246" s="4">
        <f>M246-S246</f>
      </c>
      <c r="X246" s="4">
        <f>T246-W246</f>
      </c>
      <c r="AC246" t="s">
        <v>1</v>
      </c>
    </row>
    <row r="247" spans="1:29" x14ac:dyDescent="0.25">
      <c r="A247" s="8">
        <v>46192.5</v>
      </c>
      <c r="B247" t="s">
        <v>3482</v>
      </c>
      <c r="C247" t="s">
        <v>1</v>
      </c>
      <c r="D247" s="9" t="s">
        <v>3483</v>
      </c>
      <c r="E247" t="s">
        <v>292</v>
      </c>
      <c r="F247" t="s">
        <v>85</v>
      </c>
      <c r="G247" t="s">
        <v>126</v>
      </c>
      <c r="H247" t="s">
        <v>75</v>
      </c>
      <c r="I247">
        <v>1</v>
      </c>
      <c r="J247" s="4">
        <v>171</v>
      </c>
      <c r="K247" s="4">
        <v>203.49</v>
      </c>
      <c r="L247" s="4">
        <f>K247-J247</f>
      </c>
      <c r="M247" s="4">
        <f>L247*16.67%</f>
      </c>
      <c r="N247" s="4">
        <v>9.38</v>
      </c>
      <c r="O247" s="4">
        <f>N247*20%</f>
      </c>
      <c r="P247" s="4">
        <v>0</v>
      </c>
      <c r="Q247" s="4">
        <f>P247*20%</f>
      </c>
      <c r="R247" s="4">
        <v>1</v>
      </c>
      <c r="S247" s="4">
        <f>Q247</f>
      </c>
      <c r="T247" s="4">
        <f>L247-M247-N247-P247-Q247-R247</f>
      </c>
      <c r="U247" s="4">
        <f>(T247-W247)/J247*100</f>
      </c>
      <c r="V247" s="4">
        <f>M247-S247</f>
      </c>
      <c r="X247" s="4">
        <f>T247-W247</f>
      </c>
      <c r="AC247" t="s">
        <v>1</v>
      </c>
    </row>
    <row r="248" spans="1:29" x14ac:dyDescent="0.25">
      <c r="A248" s="8">
        <v>46192.5</v>
      </c>
      <c r="B248" t="s">
        <v>3484</v>
      </c>
      <c r="C248" t="s">
        <v>1</v>
      </c>
      <c r="D248" s="9" t="s">
        <v>3485</v>
      </c>
      <c r="E248" t="s">
        <v>125</v>
      </c>
      <c r="F248" t="s">
        <v>74</v>
      </c>
      <c r="G248" t="s">
        <v>126</v>
      </c>
      <c r="H248" t="s">
        <v>78</v>
      </c>
      <c r="I248">
        <v>1</v>
      </c>
      <c r="J248" s="4">
        <v>233</v>
      </c>
      <c r="K248" s="4">
        <v>328.53</v>
      </c>
      <c r="L248" s="4">
        <f>K248-J248</f>
      </c>
      <c r="M248" s="4">
        <f>L248*16.67%</f>
      </c>
      <c r="N248" s="4">
        <v>15.15</v>
      </c>
      <c r="O248" s="4">
        <f>N248*20%</f>
      </c>
      <c r="P248" s="4">
        <v>0</v>
      </c>
      <c r="Q248" s="4">
        <f>P248*20%</f>
      </c>
      <c r="R248" s="4">
        <v>1</v>
      </c>
      <c r="S248" s="4">
        <f>Q248</f>
      </c>
      <c r="T248" s="4">
        <f>L248-M248-N248-P248-Q248-R248</f>
      </c>
      <c r="U248" s="4">
        <f>(T248-W248)/J248*100</f>
      </c>
      <c r="V248" s="4">
        <f>M248-S248</f>
      </c>
      <c r="X248" s="4">
        <f>T248-W248</f>
      </c>
      <c r="AC248" t="s">
        <v>1</v>
      </c>
    </row>
    <row r="249" spans="1:29" x14ac:dyDescent="0.25">
      <c r="A249" s="8">
        <v>46192.5</v>
      </c>
      <c r="B249" t="s">
        <v>3486</v>
      </c>
      <c r="C249" t="s">
        <v>1</v>
      </c>
      <c r="D249" s="9" t="s">
        <v>3487</v>
      </c>
      <c r="E249" t="s">
        <v>64</v>
      </c>
      <c r="F249" t="s">
        <v>74</v>
      </c>
      <c r="G249" t="s">
        <v>65</v>
      </c>
      <c r="H249" t="s">
        <v>102</v>
      </c>
      <c r="I249">
        <v>1</v>
      </c>
      <c r="J249" s="4">
        <v>232</v>
      </c>
      <c r="K249" s="4">
        <v>329.44</v>
      </c>
      <c r="L249" s="4">
        <f>K249-J249</f>
      </c>
      <c r="M249" s="4">
        <f>L249*16.67%</f>
      </c>
      <c r="N249" s="4">
        <v>15.19</v>
      </c>
      <c r="O249" s="4">
        <f>N249*20%</f>
      </c>
      <c r="P249" s="4">
        <v>0</v>
      </c>
      <c r="Q249" s="4">
        <f>P249*20%</f>
      </c>
      <c r="R249" s="4">
        <v>1</v>
      </c>
      <c r="S249" s="4">
        <f>Q249</f>
      </c>
      <c r="T249" s="4">
        <f>L249-M249-N249-P249-Q249-R249</f>
      </c>
      <c r="U249" s="4">
        <f>(T249-W249)/J249*100</f>
      </c>
      <c r="V249" s="4">
        <f>M249-S249</f>
      </c>
      <c r="X249" s="4">
        <f>T249-W249</f>
      </c>
      <c r="AC249" t="s">
        <v>1</v>
      </c>
    </row>
    <row r="250" spans="1:29" x14ac:dyDescent="0.25">
      <c r="A250" s="8">
        <v>46192.5</v>
      </c>
      <c r="B250" t="s">
        <v>3488</v>
      </c>
      <c r="C250" t="s">
        <v>1</v>
      </c>
      <c r="D250" s="9" t="s">
        <v>3489</v>
      </c>
      <c r="E250" t="s">
        <v>134</v>
      </c>
      <c r="F250" t="s">
        <v>74</v>
      </c>
      <c r="G250" t="s">
        <v>65</v>
      </c>
      <c r="H250" t="s">
        <v>102</v>
      </c>
      <c r="I250">
        <v>1</v>
      </c>
      <c r="J250" s="4">
        <v>121</v>
      </c>
      <c r="K250" s="4">
        <v>173.03</v>
      </c>
      <c r="L250" s="4">
        <f>K250-J250</f>
      </c>
      <c r="M250" s="4">
        <f>L250*16.67%</f>
      </c>
      <c r="N250" s="4">
        <v>7.98</v>
      </c>
      <c r="O250" s="4">
        <f>N250*20%</f>
      </c>
      <c r="P250" s="4">
        <v>0</v>
      </c>
      <c r="Q250" s="4">
        <f>P250*20%</f>
      </c>
      <c r="R250" s="4">
        <v>1</v>
      </c>
      <c r="S250" s="4">
        <f>Q250</f>
      </c>
      <c r="T250" s="4">
        <f>L250-M250-N250-P250-Q250-R250</f>
      </c>
      <c r="U250" s="4">
        <f>(T250-W250)/J250*100</f>
      </c>
      <c r="V250" s="4">
        <f>M250-S250</f>
      </c>
      <c r="X250" s="4">
        <f>T250-W250</f>
      </c>
      <c r="AC250" t="s">
        <v>1</v>
      </c>
    </row>
    <row r="251" spans="1:29" x14ac:dyDescent="0.25">
      <c r="A251" s="8">
        <v>46192.5</v>
      </c>
      <c r="B251" t="s">
        <v>3490</v>
      </c>
      <c r="C251" t="s">
        <v>189</v>
      </c>
      <c r="D251" s="9" t="s">
        <v>1</v>
      </c>
      <c r="E251" t="s">
        <v>189</v>
      </c>
      <c r="F251" t="s">
        <v>1</v>
      </c>
      <c r="G251" t="s">
        <v>1</v>
      </c>
      <c r="H251" t="s">
        <v>66</v>
      </c>
      <c r="I251">
        <v>2</v>
      </c>
      <c r="J251" s="4">
        <v>7</v>
      </c>
      <c r="K251" s="4">
        <v>8.12</v>
      </c>
      <c r="L251" s="4">
        <f>K251-J251</f>
      </c>
      <c r="M251" s="4">
        <f>L251*16.67%</f>
      </c>
      <c r="N251" s="4">
        <v>0.37</v>
      </c>
      <c r="O251" s="4">
        <f>N251*20%</f>
      </c>
      <c r="P251" s="4">
        <v>0</v>
      </c>
      <c r="Q251" s="4">
        <f>P251*20%</f>
      </c>
      <c r="R251" s="4">
        <v>0</v>
      </c>
      <c r="S251" s="4">
        <f>Q251</f>
      </c>
      <c r="T251" s="4">
        <f>L251-M251-N251-P251-Q251-R251</f>
      </c>
      <c r="U251" s="4">
        <f>(T251-W251)/J251*100</f>
      </c>
      <c r="V251" s="4">
        <f>M251-S251</f>
      </c>
      <c r="X251" s="4">
        <f>T251-W251</f>
      </c>
      <c r="AC251" t="s">
        <v>1</v>
      </c>
    </row>
    <row r="252" spans="1:29" x14ac:dyDescent="0.25">
      <c r="A252" s="8">
        <v>46192.5</v>
      </c>
      <c r="B252" t="s">
        <v>3491</v>
      </c>
      <c r="C252" t="s">
        <v>174</v>
      </c>
      <c r="D252" s="9" t="s">
        <v>1</v>
      </c>
      <c r="E252" t="s">
        <v>174</v>
      </c>
      <c r="F252" t="s">
        <v>1</v>
      </c>
      <c r="G252" t="s">
        <v>1</v>
      </c>
      <c r="H252" t="s">
        <v>66</v>
      </c>
      <c r="I252">
        <v>3</v>
      </c>
      <c r="J252" s="4">
        <v>12.75</v>
      </c>
      <c r="K252" s="4">
        <v>16.45</v>
      </c>
      <c r="L252" s="4">
        <f>K252-J252</f>
      </c>
      <c r="M252" s="4">
        <f>L252*16.67%</f>
      </c>
      <c r="N252" s="4">
        <v>0.76</v>
      </c>
      <c r="O252" s="4">
        <f>N252*20%</f>
      </c>
      <c r="P252" s="4">
        <v>0</v>
      </c>
      <c r="Q252" s="4">
        <f>P252*20%</f>
      </c>
      <c r="R252" s="4">
        <v>0</v>
      </c>
      <c r="S252" s="4">
        <f>Q252</f>
      </c>
      <c r="T252" s="4">
        <f>L252-M252-N252-P252-Q252-R252</f>
      </c>
      <c r="U252" s="4">
        <f>(T252-W252)/J252*100</f>
      </c>
      <c r="V252" s="4">
        <f>M252-S252</f>
      </c>
      <c r="X252" s="4">
        <f>T252-W252</f>
      </c>
      <c r="AC252" t="s">
        <v>1</v>
      </c>
    </row>
    <row r="253" spans="1:29" x14ac:dyDescent="0.25">
      <c r="A253" s="8">
        <v>46192.5</v>
      </c>
      <c r="B253" t="s">
        <v>3492</v>
      </c>
      <c r="C253" t="s">
        <v>177</v>
      </c>
      <c r="D253" s="9" t="s">
        <v>1</v>
      </c>
      <c r="E253" t="s">
        <v>177</v>
      </c>
      <c r="F253" t="s">
        <v>1</v>
      </c>
      <c r="G253" t="s">
        <v>1</v>
      </c>
      <c r="H253" t="s">
        <v>78</v>
      </c>
      <c r="I253">
        <v>3</v>
      </c>
      <c r="J253" s="4">
        <v>0.45</v>
      </c>
      <c r="K253" s="4">
        <v>0.52</v>
      </c>
      <c r="L253" s="4">
        <f>K253-J253</f>
      </c>
      <c r="M253" s="4">
        <f>L253*16.67%</f>
      </c>
      <c r="N253" s="4">
        <v>0.02</v>
      </c>
      <c r="O253" s="4">
        <f>N253*20%</f>
      </c>
      <c r="P253" s="4">
        <v>0</v>
      </c>
      <c r="Q253" s="4">
        <f>P253*20%</f>
      </c>
      <c r="R253" s="4">
        <v>0</v>
      </c>
      <c r="S253" s="4">
        <f>Q253</f>
      </c>
      <c r="T253" s="4">
        <f>L253-M253-N253-P253-Q253-R253</f>
      </c>
      <c r="U253" s="4">
        <f>(T253-W253)/J253*100</f>
      </c>
      <c r="V253" s="4">
        <f>M253-S253</f>
      </c>
      <c r="X253" s="4">
        <f>T253-W253</f>
      </c>
      <c r="AC253" t="s">
        <v>1</v>
      </c>
    </row>
    <row r="254" spans="1:29" x14ac:dyDescent="0.25">
      <c r="A254" s="8">
        <v>46192.5</v>
      </c>
      <c r="B254" t="s">
        <v>3493</v>
      </c>
      <c r="C254" t="s">
        <v>254</v>
      </c>
      <c r="D254" s="9" t="s">
        <v>1</v>
      </c>
      <c r="E254" t="s">
        <v>254</v>
      </c>
      <c r="F254" t="s">
        <v>1</v>
      </c>
      <c r="G254" t="s">
        <v>1</v>
      </c>
      <c r="H254" t="s">
        <v>61</v>
      </c>
      <c r="I254">
        <v>4</v>
      </c>
      <c r="J254" s="4">
        <v>3.2</v>
      </c>
      <c r="K254" s="4">
        <v>4.51</v>
      </c>
      <c r="L254" s="4">
        <f>K254-J254</f>
      </c>
      <c r="M254" s="4">
        <f>L254*16.67%</f>
      </c>
      <c r="N254" s="4">
        <v>0.21</v>
      </c>
      <c r="O254" s="4">
        <f>N254*20%</f>
      </c>
      <c r="P254" s="4">
        <v>0</v>
      </c>
      <c r="Q254" s="4">
        <f>P254*20%</f>
      </c>
      <c r="R254" s="4">
        <v>0</v>
      </c>
      <c r="S254" s="4">
        <f>Q254</f>
      </c>
      <c r="T254" s="4">
        <f>L254-M254-N254-P254-Q254-R254</f>
      </c>
      <c r="U254" s="4">
        <f>(T254-W254)/J254*100</f>
      </c>
      <c r="V254" s="4">
        <f>M254-S254</f>
      </c>
      <c r="X254" s="4">
        <f>T254-W254</f>
      </c>
      <c r="AC254" t="s">
        <v>1</v>
      </c>
    </row>
    <row r="255" spans="1:29" x14ac:dyDescent="0.25">
      <c r="A255" s="8">
        <v>46192.5</v>
      </c>
      <c r="B255" t="s">
        <v>3494</v>
      </c>
      <c r="C255" t="s">
        <v>185</v>
      </c>
      <c r="D255" s="9" t="s">
        <v>1</v>
      </c>
      <c r="E255" t="s">
        <v>185</v>
      </c>
      <c r="F255" t="s">
        <v>1</v>
      </c>
      <c r="G255" t="s">
        <v>1</v>
      </c>
      <c r="H255" t="s">
        <v>102</v>
      </c>
      <c r="I255">
        <v>3</v>
      </c>
      <c r="J255" s="4">
        <v>3.6</v>
      </c>
      <c r="K255" s="4">
        <v>4.97</v>
      </c>
      <c r="L255" s="4">
        <f>K255-J255</f>
      </c>
      <c r="M255" s="4">
        <f>L255*16.67%</f>
      </c>
      <c r="N255" s="4">
        <v>0.23</v>
      </c>
      <c r="O255" s="4">
        <f>N255*20%</f>
      </c>
      <c r="P255" s="4">
        <v>0</v>
      </c>
      <c r="Q255" s="4">
        <f>P255*20%</f>
      </c>
      <c r="R255" s="4">
        <v>0</v>
      </c>
      <c r="S255" s="4">
        <f>Q255</f>
      </c>
      <c r="T255" s="4">
        <f>L255-M255-N255-P255-Q255-R255</f>
      </c>
      <c r="U255" s="4">
        <f>(T255-W255)/J255*100</f>
      </c>
      <c r="V255" s="4">
        <f>M255-S255</f>
      </c>
      <c r="X255" s="4">
        <f>T255-W255</f>
      </c>
      <c r="AC255" t="s">
        <v>1</v>
      </c>
    </row>
    <row r="256" spans="1:29" x14ac:dyDescent="0.25">
      <c r="A256" s="8">
        <v>46191.5</v>
      </c>
      <c r="B256" t="s">
        <v>3495</v>
      </c>
      <c r="C256" t="s">
        <v>1</v>
      </c>
      <c r="D256" s="9" t="s">
        <v>3496</v>
      </c>
      <c r="E256" t="s">
        <v>58</v>
      </c>
      <c r="F256" t="s">
        <v>70</v>
      </c>
      <c r="G256" t="s">
        <v>60</v>
      </c>
      <c r="H256" t="s">
        <v>102</v>
      </c>
      <c r="I256">
        <v>1</v>
      </c>
      <c r="J256" s="4">
        <v>444</v>
      </c>
      <c r="K256" s="4">
        <v>510.6</v>
      </c>
      <c r="L256" s="4">
        <f>K256-J256</f>
      </c>
      <c r="M256" s="4">
        <f>L256*16.67%</f>
      </c>
      <c r="N256" s="4">
        <v>23.54</v>
      </c>
      <c r="O256" s="4">
        <f>N256*20%</f>
      </c>
      <c r="P256" s="4">
        <v>0</v>
      </c>
      <c r="Q256" s="4">
        <f>P256*20%</f>
      </c>
      <c r="R256" s="4">
        <v>1</v>
      </c>
      <c r="S256" s="4">
        <f>Q256</f>
      </c>
      <c r="T256" s="4">
        <f>L256-M256-N256-P256-Q256-R256</f>
      </c>
      <c r="U256" s="4">
        <f>(T256-W256)/J256*100</f>
      </c>
      <c r="V256" s="4">
        <f>M256-S256</f>
      </c>
      <c r="X256" s="4">
        <f>T256-W256</f>
      </c>
      <c r="AC256" t="s">
        <v>1</v>
      </c>
    </row>
    <row r="257" spans="1:29" x14ac:dyDescent="0.25">
      <c r="A257" s="8">
        <v>46191.5</v>
      </c>
      <c r="B257" t="s">
        <v>3497</v>
      </c>
      <c r="C257" t="s">
        <v>177</v>
      </c>
      <c r="D257" s="9" t="s">
        <v>1</v>
      </c>
      <c r="E257" t="s">
        <v>177</v>
      </c>
      <c r="F257" t="s">
        <v>1</v>
      </c>
      <c r="G257" t="s">
        <v>1</v>
      </c>
      <c r="H257" t="s">
        <v>78</v>
      </c>
      <c r="I257">
        <v>2</v>
      </c>
      <c r="J257" s="4">
        <v>0.3</v>
      </c>
      <c r="K257" s="4">
        <v>0.42</v>
      </c>
      <c r="L257" s="4">
        <f>K257-J257</f>
      </c>
      <c r="M257" s="4">
        <f>L257*16.67%</f>
      </c>
      <c r="N257" s="4">
        <v>0.02</v>
      </c>
      <c r="O257" s="4">
        <f>N257*20%</f>
      </c>
      <c r="P257" s="4">
        <v>0</v>
      </c>
      <c r="Q257" s="4">
        <f>P257*20%</f>
      </c>
      <c r="R257" s="4">
        <v>0</v>
      </c>
      <c r="S257" s="4">
        <f>Q257</f>
      </c>
      <c r="T257" s="4">
        <f>L257-M257-N257-P257-Q257-R257</f>
      </c>
      <c r="U257" s="4">
        <f>(T257-W257)/J257*100</f>
      </c>
      <c r="V257" s="4">
        <f>M257-S257</f>
      </c>
      <c r="X257" s="4">
        <f>T257-W257</f>
      </c>
      <c r="AC257" t="s">
        <v>1</v>
      </c>
    </row>
    <row r="258" spans="1:29" x14ac:dyDescent="0.25">
      <c r="A258" s="8">
        <v>46191.5</v>
      </c>
      <c r="B258" t="s">
        <v>3498</v>
      </c>
      <c r="C258" t="s">
        <v>182</v>
      </c>
      <c r="D258" s="9" t="s">
        <v>1</v>
      </c>
      <c r="E258" t="s">
        <v>182</v>
      </c>
      <c r="F258" t="s">
        <v>1</v>
      </c>
      <c r="G258" t="s">
        <v>1</v>
      </c>
      <c r="H258" t="s">
        <v>75</v>
      </c>
      <c r="I258">
        <v>1</v>
      </c>
      <c r="J258" s="4">
        <v>1.9</v>
      </c>
      <c r="K258" s="4">
        <v>2.74</v>
      </c>
      <c r="L258" s="4">
        <f>K258-J258</f>
      </c>
      <c r="M258" s="4">
        <f>L258*16.67%</f>
      </c>
      <c r="N258" s="4">
        <v>0.13</v>
      </c>
      <c r="O258" s="4">
        <f>N258*20%</f>
      </c>
      <c r="P258" s="4">
        <v>0</v>
      </c>
      <c r="Q258" s="4">
        <f>P258*20%</f>
      </c>
      <c r="R258" s="4">
        <v>0</v>
      </c>
      <c r="S258" s="4">
        <f>Q258</f>
      </c>
      <c r="T258" s="4">
        <f>L258-M258-N258-P258-Q258-R258</f>
      </c>
      <c r="U258" s="4">
        <f>(T258-W258)/J258*100</f>
      </c>
      <c r="V258" s="4">
        <f>M258-S258</f>
      </c>
      <c r="X258" s="4">
        <f>T258-W258</f>
      </c>
      <c r="AC258" t="s">
        <v>1</v>
      </c>
    </row>
    <row r="259" spans="1:29" x14ac:dyDescent="0.25">
      <c r="A259" s="8">
        <v>46191.5</v>
      </c>
      <c r="B259" t="s">
        <v>3499</v>
      </c>
      <c r="C259" t="s">
        <v>185</v>
      </c>
      <c r="D259" s="9" t="s">
        <v>1</v>
      </c>
      <c r="E259" t="s">
        <v>185</v>
      </c>
      <c r="F259" t="s">
        <v>1</v>
      </c>
      <c r="G259" t="s">
        <v>1</v>
      </c>
      <c r="H259" t="s">
        <v>102</v>
      </c>
      <c r="I259">
        <v>4</v>
      </c>
      <c r="J259" s="4">
        <v>4.8</v>
      </c>
      <c r="K259" s="4">
        <v>6.53</v>
      </c>
      <c r="L259" s="4">
        <f>K259-J259</f>
      </c>
      <c r="M259" s="4">
        <f>L259*16.67%</f>
      </c>
      <c r="N259" s="4">
        <v>0.3</v>
      </c>
      <c r="O259" s="4">
        <f>N259*20%</f>
      </c>
      <c r="P259" s="4">
        <v>0</v>
      </c>
      <c r="Q259" s="4">
        <f>P259*20%</f>
      </c>
      <c r="R259" s="4">
        <v>0</v>
      </c>
      <c r="S259" s="4">
        <f>Q259</f>
      </c>
      <c r="T259" s="4">
        <f>L259-M259-N259-P259-Q259-R259</f>
      </c>
      <c r="U259" s="4">
        <f>(T259-W259)/J259*100</f>
      </c>
      <c r="V259" s="4">
        <f>M259-S259</f>
      </c>
      <c r="X259" s="4">
        <f>T259-W259</f>
      </c>
      <c r="AC259" t="s">
        <v>1</v>
      </c>
    </row>
    <row r="260" spans="1:29" x14ac:dyDescent="0.25">
      <c r="A260" s="8">
        <v>46190.5</v>
      </c>
      <c r="B260" t="s">
        <v>3500</v>
      </c>
      <c r="C260" t="s">
        <v>1</v>
      </c>
      <c r="D260" s="9" t="s">
        <v>3501</v>
      </c>
      <c r="E260" t="s">
        <v>234</v>
      </c>
      <c r="F260" t="s">
        <v>59</v>
      </c>
      <c r="G260" t="s">
        <v>65</v>
      </c>
      <c r="H260" t="s">
        <v>66</v>
      </c>
      <c r="I260">
        <v>1</v>
      </c>
      <c r="J260" s="4">
        <v>182</v>
      </c>
      <c r="K260" s="4">
        <v>249.34</v>
      </c>
      <c r="L260" s="4">
        <f>K260-J260</f>
      </c>
      <c r="M260" s="4">
        <f>L260*16.67%</f>
      </c>
      <c r="N260" s="4">
        <v>11.49</v>
      </c>
      <c r="O260" s="4">
        <f>N260*20%</f>
      </c>
      <c r="P260" s="4">
        <v>0</v>
      </c>
      <c r="Q260" s="4">
        <f>P260*20%</f>
      </c>
      <c r="R260" s="4">
        <v>1</v>
      </c>
      <c r="S260" s="4">
        <f>Q260</f>
      </c>
      <c r="T260" s="4">
        <f>L260-M260-N260-P260-Q260-R260</f>
      </c>
      <c r="U260" s="4">
        <f>(T260-W260)/J260*100</f>
      </c>
      <c r="V260" s="4">
        <f>M260-S260</f>
      </c>
      <c r="X260" s="4">
        <f>T260-W260</f>
      </c>
      <c r="AC260" t="s">
        <v>1</v>
      </c>
    </row>
    <row r="261" spans="1:29" x14ac:dyDescent="0.25">
      <c r="A261" s="8">
        <v>46190.5</v>
      </c>
      <c r="B261" t="s">
        <v>3502</v>
      </c>
      <c r="C261" t="s">
        <v>1</v>
      </c>
      <c r="D261" s="9" t="s">
        <v>3503</v>
      </c>
      <c r="E261" t="s">
        <v>114</v>
      </c>
      <c r="F261" t="s">
        <v>99</v>
      </c>
      <c r="G261" t="s">
        <v>60</v>
      </c>
      <c r="H261" t="s">
        <v>102</v>
      </c>
      <c r="I261">
        <v>1</v>
      </c>
      <c r="J261" s="4">
        <v>229</v>
      </c>
      <c r="K261" s="4">
        <v>263.35</v>
      </c>
      <c r="L261" s="4">
        <f>K261-J261</f>
      </c>
      <c r="M261" s="4">
        <f>L261*16.67%</f>
      </c>
      <c r="N261" s="4">
        <v>12.14</v>
      </c>
      <c r="O261" s="4">
        <f>N261*20%</f>
      </c>
      <c r="P261" s="4">
        <v>0</v>
      </c>
      <c r="Q261" s="4">
        <f>P261*20%</f>
      </c>
      <c r="R261" s="4">
        <v>1</v>
      </c>
      <c r="S261" s="4">
        <f>Q261</f>
      </c>
      <c r="T261" s="4">
        <f>L261-M261-N261-P261-Q261-R261</f>
      </c>
      <c r="U261" s="4">
        <f>(T261-W261)/J261*100</f>
      </c>
      <c r="V261" s="4">
        <f>M261-S261</f>
      </c>
      <c r="X261" s="4">
        <f>T261-W261</f>
      </c>
      <c r="AC261" t="s">
        <v>1</v>
      </c>
    </row>
    <row r="262" spans="1:29" x14ac:dyDescent="0.25">
      <c r="A262" s="8">
        <v>46190.5</v>
      </c>
      <c r="B262" t="s">
        <v>3504</v>
      </c>
      <c r="C262" t="s">
        <v>1</v>
      </c>
      <c r="D262" s="9" t="s">
        <v>3505</v>
      </c>
      <c r="E262" t="s">
        <v>64</v>
      </c>
      <c r="F262" t="s">
        <v>99</v>
      </c>
      <c r="G262" t="s">
        <v>65</v>
      </c>
      <c r="H262" t="s">
        <v>102</v>
      </c>
      <c r="I262">
        <v>1</v>
      </c>
      <c r="J262" s="4">
        <v>234</v>
      </c>
      <c r="K262" s="4">
        <v>297.18</v>
      </c>
      <c r="L262" s="4">
        <f>K262-J262</f>
      </c>
      <c r="M262" s="4">
        <f>L262*16.67%</f>
      </c>
      <c r="N262" s="4">
        <v>13.7</v>
      </c>
      <c r="O262" s="4">
        <f>N262*20%</f>
      </c>
      <c r="P262" s="4">
        <v>0</v>
      </c>
      <c r="Q262" s="4">
        <f>P262*20%</f>
      </c>
      <c r="R262" s="4">
        <v>1</v>
      </c>
      <c r="S262" s="4">
        <f>Q262</f>
      </c>
      <c r="T262" s="4">
        <f>L262-M262-N262-P262-Q262-R262</f>
      </c>
      <c r="U262" s="4">
        <f>(T262-W262)/J262*100</f>
      </c>
      <c r="V262" s="4">
        <f>M262-S262</f>
      </c>
      <c r="X262" s="4">
        <f>T262-W262</f>
      </c>
      <c r="AC262" t="s">
        <v>1</v>
      </c>
    </row>
    <row r="263" spans="1:29" x14ac:dyDescent="0.25">
      <c r="A263" s="8">
        <v>46190.5</v>
      </c>
      <c r="B263" t="s">
        <v>3506</v>
      </c>
      <c r="C263" t="s">
        <v>1</v>
      </c>
      <c r="D263" s="9" t="s">
        <v>3507</v>
      </c>
      <c r="E263" t="s">
        <v>84</v>
      </c>
      <c r="F263" t="s">
        <v>99</v>
      </c>
      <c r="G263" t="s">
        <v>60</v>
      </c>
      <c r="H263" t="s">
        <v>102</v>
      </c>
      <c r="I263">
        <v>1</v>
      </c>
      <c r="J263" s="4">
        <v>720</v>
      </c>
      <c r="K263" s="4">
        <v>828</v>
      </c>
      <c r="L263" s="4">
        <f>K263-J263</f>
      </c>
      <c r="M263" s="4">
        <f>L263*16.67%</f>
      </c>
      <c r="N263" s="4">
        <v>38.17</v>
      </c>
      <c r="O263" s="4">
        <f>N263*20%</f>
      </c>
      <c r="P263" s="4">
        <v>0</v>
      </c>
      <c r="Q263" s="4">
        <f>P263*20%</f>
      </c>
      <c r="R263" s="4">
        <v>1</v>
      </c>
      <c r="S263" s="4">
        <f>Q263</f>
      </c>
      <c r="T263" s="4">
        <f>L263-M263-N263-P263-Q263-R263</f>
      </c>
      <c r="U263" s="4">
        <f>(T263-W263)/J263*100</f>
      </c>
      <c r="V263" s="4">
        <f>M263-S263</f>
      </c>
      <c r="X263" s="4">
        <f>T263-W263</f>
      </c>
      <c r="AC263" t="s">
        <v>1</v>
      </c>
    </row>
    <row r="264" spans="1:29" x14ac:dyDescent="0.25">
      <c r="A264" s="8">
        <v>46190.5</v>
      </c>
      <c r="B264" t="s">
        <v>3508</v>
      </c>
      <c r="C264" t="s">
        <v>1</v>
      </c>
      <c r="D264" s="9" t="s">
        <v>3509</v>
      </c>
      <c r="E264" t="s">
        <v>114</v>
      </c>
      <c r="F264" t="s">
        <v>74</v>
      </c>
      <c r="G264" t="s">
        <v>60</v>
      </c>
      <c r="H264" t="s">
        <v>66</v>
      </c>
      <c r="I264">
        <v>1</v>
      </c>
      <c r="J264" s="4">
        <v>206</v>
      </c>
      <c r="K264" s="4">
        <v>255.44</v>
      </c>
      <c r="L264" s="4">
        <f>K264-J264</f>
      </c>
      <c r="M264" s="4">
        <f>L264*16.67%</f>
      </c>
      <c r="N264" s="4">
        <v>11.78</v>
      </c>
      <c r="O264" s="4">
        <f>N264*20%</f>
      </c>
      <c r="P264" s="4">
        <v>0</v>
      </c>
      <c r="Q264" s="4">
        <f>P264*20%</f>
      </c>
      <c r="R264" s="4">
        <v>1</v>
      </c>
      <c r="S264" s="4">
        <f>Q264</f>
      </c>
      <c r="T264" s="4">
        <f>L264-M264-N264-P264-Q264-R264</f>
      </c>
      <c r="U264" s="4">
        <f>(T264-W264)/J264*100</f>
      </c>
      <c r="V264" s="4">
        <f>M264-S264</f>
      </c>
      <c r="X264" s="4">
        <f>T264-W264</f>
      </c>
      <c r="AC264" t="s">
        <v>1</v>
      </c>
    </row>
    <row r="265" spans="1:29" x14ac:dyDescent="0.25">
      <c r="A265" s="8">
        <v>46189.5</v>
      </c>
      <c r="B265" t="s">
        <v>3510</v>
      </c>
      <c r="C265" t="s">
        <v>1</v>
      </c>
      <c r="D265" s="9" t="s">
        <v>3511</v>
      </c>
      <c r="E265" t="s">
        <v>292</v>
      </c>
      <c r="F265" t="s">
        <v>88</v>
      </c>
      <c r="G265" t="s">
        <v>126</v>
      </c>
      <c r="H265" t="s">
        <v>75</v>
      </c>
      <c r="I265">
        <v>1</v>
      </c>
      <c r="J265" s="4">
        <v>157</v>
      </c>
      <c r="K265" s="4">
        <v>202.53</v>
      </c>
      <c r="L265" s="4">
        <f>K265-J265</f>
      </c>
      <c r="M265" s="4">
        <f>L265*16.67%</f>
      </c>
      <c r="N265" s="4">
        <v>9.34</v>
      </c>
      <c r="O265" s="4">
        <f>N265*20%</f>
      </c>
      <c r="P265" s="4">
        <v>0</v>
      </c>
      <c r="Q265" s="4">
        <f>P265*20%</f>
      </c>
      <c r="R265" s="4">
        <v>1</v>
      </c>
      <c r="S265" s="4">
        <f>Q265</f>
      </c>
      <c r="T265" s="4">
        <f>L265-M265-N265-P265-Q265-R265</f>
      </c>
      <c r="U265" s="4">
        <f>(T265-W265)/J265*100</f>
      </c>
      <c r="V265" s="4">
        <f>M265-S265</f>
      </c>
      <c r="X265" s="4">
        <f>T265-W265</f>
      </c>
      <c r="AC265" t="s">
        <v>1</v>
      </c>
    </row>
    <row r="266" spans="1:29" x14ac:dyDescent="0.25">
      <c r="A266" s="8">
        <v>46189.5</v>
      </c>
      <c r="B266" t="s">
        <v>3512</v>
      </c>
      <c r="C266" t="s">
        <v>1</v>
      </c>
      <c r="D266" s="9" t="s">
        <v>3513</v>
      </c>
      <c r="E266" t="s">
        <v>84</v>
      </c>
      <c r="F266" t="s">
        <v>70</v>
      </c>
      <c r="G266" t="s">
        <v>60</v>
      </c>
      <c r="H266" t="s">
        <v>102</v>
      </c>
      <c r="I266">
        <v>1</v>
      </c>
      <c r="J266" s="4">
        <v>770</v>
      </c>
      <c r="K266" s="4">
        <v>1001</v>
      </c>
      <c r="L266" s="4">
        <f>K266-J266</f>
      </c>
      <c r="M266" s="4">
        <f>L266*16.67%</f>
      </c>
      <c r="N266" s="4">
        <v>46.15</v>
      </c>
      <c r="O266" s="4">
        <f>N266*20%</f>
      </c>
      <c r="P266" s="4">
        <v>0</v>
      </c>
      <c r="Q266" s="4">
        <f>P266*20%</f>
      </c>
      <c r="R266" s="4">
        <v>1</v>
      </c>
      <c r="S266" s="4">
        <f>Q266</f>
      </c>
      <c r="T266" s="4">
        <f>L266-M266-N266-P266-Q266-R266</f>
      </c>
      <c r="U266" s="4">
        <f>(T266-W266)/J266*100</f>
      </c>
      <c r="V266" s="4">
        <f>M266-S266</f>
      </c>
      <c r="X266" s="4">
        <f>T266-W266</f>
      </c>
      <c r="AC266" t="s">
        <v>1</v>
      </c>
    </row>
    <row r="267" spans="1:29" x14ac:dyDescent="0.25">
      <c r="A267" s="8">
        <v>46189.5</v>
      </c>
      <c r="B267" t="s">
        <v>3514</v>
      </c>
      <c r="C267" t="s">
        <v>1</v>
      </c>
      <c r="D267" s="9" t="s">
        <v>3515</v>
      </c>
      <c r="E267" t="s">
        <v>139</v>
      </c>
      <c r="F267" t="s">
        <v>74</v>
      </c>
      <c r="G267" t="s">
        <v>65</v>
      </c>
      <c r="H267" t="s">
        <v>61</v>
      </c>
      <c r="I267">
        <v>1</v>
      </c>
      <c r="J267" s="4">
        <v>370</v>
      </c>
      <c r="K267" s="4">
        <v>451.4</v>
      </c>
      <c r="L267" s="4">
        <f>K267-J267</f>
      </c>
      <c r="M267" s="4">
        <f>L267*16.67%</f>
      </c>
      <c r="N267" s="4">
        <v>20.81</v>
      </c>
      <c r="O267" s="4">
        <f>N267*20%</f>
      </c>
      <c r="P267" s="4">
        <v>0</v>
      </c>
      <c r="Q267" s="4">
        <f>P267*20%</f>
      </c>
      <c r="R267" s="4">
        <v>1</v>
      </c>
      <c r="S267" s="4">
        <f>Q267</f>
      </c>
      <c r="T267" s="4">
        <f>L267-M267-N267-P267-Q267-R267</f>
      </c>
      <c r="U267" s="4">
        <f>(T267-W267)/J267*100</f>
      </c>
      <c r="V267" s="4">
        <f>M267-S267</f>
      </c>
      <c r="X267" s="4">
        <f>T267-W267</f>
      </c>
      <c r="AC267" t="s">
        <v>1</v>
      </c>
    </row>
    <row r="268" spans="1:29" x14ac:dyDescent="0.25">
      <c r="A268" s="8">
        <v>46188.5</v>
      </c>
      <c r="B268" t="s">
        <v>3516</v>
      </c>
      <c r="C268" t="s">
        <v>1</v>
      </c>
      <c r="D268" s="9" t="s">
        <v>3517</v>
      </c>
      <c r="E268" t="s">
        <v>81</v>
      </c>
      <c r="F268" t="s">
        <v>70</v>
      </c>
      <c r="G268" t="s">
        <v>65</v>
      </c>
      <c r="H268" t="s">
        <v>102</v>
      </c>
      <c r="I268">
        <v>1</v>
      </c>
      <c r="J268" s="4">
        <v>560</v>
      </c>
      <c r="K268" s="4">
        <v>649.6</v>
      </c>
      <c r="L268" s="4">
        <f>K268-J268</f>
      </c>
      <c r="M268" s="4">
        <f>L268*16.67%</f>
      </c>
      <c r="N268" s="4">
        <v>29.95</v>
      </c>
      <c r="O268" s="4">
        <f>N268*20%</f>
      </c>
      <c r="P268" s="4">
        <v>0</v>
      </c>
      <c r="Q268" s="4">
        <f>P268*20%</f>
      </c>
      <c r="R268" s="4">
        <v>1</v>
      </c>
      <c r="S268" s="4">
        <f>Q268</f>
      </c>
      <c r="T268" s="4">
        <f>L268-M268-N268-P268-Q268-R268</f>
      </c>
      <c r="U268" s="4">
        <f>(T268-W268)/J268*100</f>
      </c>
      <c r="V268" s="4">
        <f>M268-S268</f>
      </c>
      <c r="X268" s="4">
        <f>T268-W268</f>
      </c>
      <c r="AC268" t="s">
        <v>1</v>
      </c>
    </row>
    <row r="269" spans="1:29" x14ac:dyDescent="0.25">
      <c r="A269" s="8">
        <v>46188.5</v>
      </c>
      <c r="B269" t="s">
        <v>3518</v>
      </c>
      <c r="C269" t="s">
        <v>1</v>
      </c>
      <c r="D269" s="9" t="s">
        <v>3519</v>
      </c>
      <c r="E269" t="s">
        <v>172</v>
      </c>
      <c r="F269" t="s">
        <v>99</v>
      </c>
      <c r="G269" t="s">
        <v>65</v>
      </c>
      <c r="H269" t="s">
        <v>61</v>
      </c>
      <c r="I269">
        <v>1</v>
      </c>
      <c r="J269" s="4">
        <v>173</v>
      </c>
      <c r="K269" s="4">
        <v>219.71</v>
      </c>
      <c r="L269" s="4">
        <f>K269-J269</f>
      </c>
      <c r="M269" s="4">
        <f>L269*16.67%</f>
      </c>
      <c r="N269" s="4">
        <v>10.13</v>
      </c>
      <c r="O269" s="4">
        <f>N269*20%</f>
      </c>
      <c r="P269" s="4">
        <v>0</v>
      </c>
      <c r="Q269" s="4">
        <f>P269*20%</f>
      </c>
      <c r="R269" s="4">
        <v>1</v>
      </c>
      <c r="S269" s="4">
        <f>Q269</f>
      </c>
      <c r="T269" s="4">
        <f>L269-M269-N269-P269-Q269-R269</f>
      </c>
      <c r="U269" s="4">
        <f>(T269-W269)/J269*100</f>
      </c>
      <c r="V269" s="4">
        <f>M269-S269</f>
      </c>
      <c r="X269" s="4">
        <f>T269-W269</f>
      </c>
      <c r="AC269" t="s">
        <v>1</v>
      </c>
    </row>
    <row r="270" spans="1:29" x14ac:dyDescent="0.25">
      <c r="A270" s="8">
        <v>46188.5</v>
      </c>
      <c r="B270" t="s">
        <v>3520</v>
      </c>
      <c r="C270" t="s">
        <v>1</v>
      </c>
      <c r="D270" s="9" t="s">
        <v>3521</v>
      </c>
      <c r="E270" t="s">
        <v>125</v>
      </c>
      <c r="F270" t="s">
        <v>88</v>
      </c>
      <c r="G270" t="s">
        <v>126</v>
      </c>
      <c r="H270" t="s">
        <v>61</v>
      </c>
      <c r="I270">
        <v>1</v>
      </c>
      <c r="J270" s="4">
        <v>253</v>
      </c>
      <c r="K270" s="4">
        <v>356.73</v>
      </c>
      <c r="L270" s="4">
        <f>K270-J270</f>
      </c>
      <c r="M270" s="4">
        <f>L270*16.67%</f>
      </c>
      <c r="N270" s="4">
        <v>16.45</v>
      </c>
      <c r="O270" s="4">
        <f>N270*20%</f>
      </c>
      <c r="P270" s="4">
        <v>0</v>
      </c>
      <c r="Q270" s="4">
        <f>P270*20%</f>
      </c>
      <c r="R270" s="4">
        <v>1</v>
      </c>
      <c r="S270" s="4">
        <f>Q270</f>
      </c>
      <c r="T270" s="4">
        <f>L270-M270-N270-P270-Q270-R270</f>
      </c>
      <c r="U270" s="4">
        <f>(T270-W270)/J270*100</f>
      </c>
      <c r="V270" s="4">
        <f>M270-S270</f>
      </c>
      <c r="X270" s="4">
        <f>T270-W270</f>
      </c>
      <c r="AC270" t="s">
        <v>1</v>
      </c>
    </row>
    <row r="271" spans="1:29" x14ac:dyDescent="0.25">
      <c r="A271" s="8">
        <v>46188.5</v>
      </c>
      <c r="B271" t="s">
        <v>3522</v>
      </c>
      <c r="C271" t="s">
        <v>1</v>
      </c>
      <c r="D271" s="9" t="s">
        <v>3523</v>
      </c>
      <c r="E271" t="s">
        <v>98</v>
      </c>
      <c r="F271" t="s">
        <v>105</v>
      </c>
      <c r="G271" t="s">
        <v>65</v>
      </c>
      <c r="H271" t="s">
        <v>61</v>
      </c>
      <c r="I271">
        <v>1</v>
      </c>
      <c r="J271" s="4">
        <v>302</v>
      </c>
      <c r="K271" s="4">
        <v>404.68</v>
      </c>
      <c r="L271" s="4">
        <f>K271-J271</f>
      </c>
      <c r="M271" s="4">
        <f>L271*16.67%</f>
      </c>
      <c r="N271" s="4">
        <v>18.66</v>
      </c>
      <c r="O271" s="4">
        <f>N271*20%</f>
      </c>
      <c r="P271" s="4">
        <v>0</v>
      </c>
      <c r="Q271" s="4">
        <f>P271*20%</f>
      </c>
      <c r="R271" s="4">
        <v>1</v>
      </c>
      <c r="S271" s="4">
        <f>Q271</f>
      </c>
      <c r="T271" s="4">
        <f>L271-M271-N271-P271-Q271-R271</f>
      </c>
      <c r="U271" s="4">
        <f>(T271-W271)/J271*100</f>
      </c>
      <c r="V271" s="4">
        <f>M271-S271</f>
      </c>
      <c r="X271" s="4">
        <f>T271-W271</f>
      </c>
      <c r="AC271" t="s">
        <v>1</v>
      </c>
    </row>
    <row r="272" spans="1:29" x14ac:dyDescent="0.25">
      <c r="A272" s="8">
        <v>46188.5</v>
      </c>
      <c r="B272" t="s">
        <v>3524</v>
      </c>
      <c r="C272" t="s">
        <v>254</v>
      </c>
      <c r="D272" s="9" t="s">
        <v>1</v>
      </c>
      <c r="E272" t="s">
        <v>254</v>
      </c>
      <c r="F272" t="s">
        <v>1</v>
      </c>
      <c r="G272" t="s">
        <v>1</v>
      </c>
      <c r="H272" t="s">
        <v>61</v>
      </c>
      <c r="I272">
        <v>4</v>
      </c>
      <c r="J272" s="4">
        <v>3.2</v>
      </c>
      <c r="K272" s="4">
        <v>4.64</v>
      </c>
      <c r="L272" s="4">
        <f>K272-J272</f>
      </c>
      <c r="M272" s="4">
        <f>L272*16.67%</f>
      </c>
      <c r="N272" s="4">
        <v>0.21</v>
      </c>
      <c r="O272" s="4">
        <f>N272*20%</f>
      </c>
      <c r="P272" s="4">
        <v>0</v>
      </c>
      <c r="Q272" s="4">
        <f>P272*20%</f>
      </c>
      <c r="R272" s="4">
        <v>0</v>
      </c>
      <c r="S272" s="4">
        <f>Q272</f>
      </c>
      <c r="T272" s="4">
        <f>L272-M272-N272-P272-Q272-R272</f>
      </c>
      <c r="U272" s="4">
        <f>(T272-W272)/J272*100</f>
      </c>
      <c r="V272" s="4">
        <f>M272-S272</f>
      </c>
      <c r="X272" s="4">
        <f>T272-W272</f>
      </c>
      <c r="AC272" t="s">
        <v>1</v>
      </c>
    </row>
    <row r="273" spans="1:29" x14ac:dyDescent="0.25">
      <c r="A273" s="8">
        <v>46187.5</v>
      </c>
      <c r="B273" t="s">
        <v>3525</v>
      </c>
      <c r="C273" t="s">
        <v>1</v>
      </c>
      <c r="D273" s="9" t="s">
        <v>3526</v>
      </c>
      <c r="E273" t="s">
        <v>98</v>
      </c>
      <c r="F273" t="s">
        <v>74</v>
      </c>
      <c r="G273" t="s">
        <v>60</v>
      </c>
      <c r="H273" t="s">
        <v>75</v>
      </c>
      <c r="I273">
        <v>1</v>
      </c>
      <c r="J273" s="4">
        <v>297</v>
      </c>
      <c r="K273" s="4">
        <v>421.74</v>
      </c>
      <c r="L273" s="4">
        <f>K273-J273</f>
      </c>
      <c r="M273" s="4">
        <f>L273*16.67%</f>
      </c>
      <c r="N273" s="4">
        <v>19.44</v>
      </c>
      <c r="O273" s="4">
        <f>N273*20%</f>
      </c>
      <c r="P273" s="4">
        <v>0</v>
      </c>
      <c r="Q273" s="4">
        <f>P273*20%</f>
      </c>
      <c r="R273" s="4">
        <v>1</v>
      </c>
      <c r="S273" s="4">
        <f>Q273</f>
      </c>
      <c r="T273" s="4">
        <f>L273-M273-N273-P273-Q273-R273</f>
      </c>
      <c r="U273" s="4">
        <f>(T273-W273)/J273*100</f>
      </c>
      <c r="V273" s="4">
        <f>M273-S273</f>
      </c>
      <c r="X273" s="4">
        <f>T273-W273</f>
      </c>
      <c r="AC273" t="s">
        <v>1</v>
      </c>
    </row>
    <row r="274" spans="1:29" x14ac:dyDescent="0.25">
      <c r="A274" s="8">
        <v>46187.5</v>
      </c>
      <c r="B274" t="s">
        <v>3527</v>
      </c>
      <c r="C274" t="s">
        <v>1</v>
      </c>
      <c r="D274" s="9" t="s">
        <v>3528</v>
      </c>
      <c r="E274" t="s">
        <v>94</v>
      </c>
      <c r="F274" t="s">
        <v>70</v>
      </c>
      <c r="G274" t="s">
        <v>95</v>
      </c>
      <c r="H274" t="s">
        <v>75</v>
      </c>
      <c r="I274">
        <v>1</v>
      </c>
      <c r="J274" s="4">
        <v>79</v>
      </c>
      <c r="K274" s="4">
        <v>91.64</v>
      </c>
      <c r="L274" s="4">
        <f>K274-J274</f>
      </c>
      <c r="M274" s="4">
        <f>L274*16.67%</f>
      </c>
      <c r="N274" s="4">
        <v>4.22</v>
      </c>
      <c r="O274" s="4">
        <f>N274*20%</f>
      </c>
      <c r="P274" s="4">
        <v>0</v>
      </c>
      <c r="Q274" s="4">
        <f>P274*20%</f>
      </c>
      <c r="R274" s="4">
        <v>1</v>
      </c>
      <c r="S274" s="4">
        <f>Q274</f>
      </c>
      <c r="T274" s="4">
        <f>L274-M274-N274-P274-Q274-R274</f>
      </c>
      <c r="U274" s="4">
        <f>(T274-W274)/J274*100</f>
      </c>
      <c r="V274" s="4">
        <f>M274-S274</f>
      </c>
      <c r="X274" s="4">
        <f>T274-W274</f>
      </c>
      <c r="AC274" t="s">
        <v>1</v>
      </c>
    </row>
    <row r="275" spans="1:29" x14ac:dyDescent="0.25">
      <c r="A275" s="8">
        <v>46187.5</v>
      </c>
      <c r="B275" t="s">
        <v>3529</v>
      </c>
      <c r="C275" t="s">
        <v>189</v>
      </c>
      <c r="D275" s="9" t="s">
        <v>1</v>
      </c>
      <c r="E275" t="s">
        <v>189</v>
      </c>
      <c r="F275" t="s">
        <v>1</v>
      </c>
      <c r="G275" t="s">
        <v>1</v>
      </c>
      <c r="H275" t="s">
        <v>66</v>
      </c>
      <c r="I275">
        <v>3</v>
      </c>
      <c r="J275" s="4">
        <v>10.5</v>
      </c>
      <c r="K275" s="4">
        <v>12.07</v>
      </c>
      <c r="L275" s="4">
        <f>K275-J275</f>
      </c>
      <c r="M275" s="4">
        <f>L275*16.67%</f>
      </c>
      <c r="N275" s="4">
        <v>0.56</v>
      </c>
      <c r="O275" s="4">
        <f>N275*20%</f>
      </c>
      <c r="P275" s="4">
        <v>0</v>
      </c>
      <c r="Q275" s="4">
        <f>P275*20%</f>
      </c>
      <c r="R275" s="4">
        <v>0</v>
      </c>
      <c r="S275" s="4">
        <f>Q275</f>
      </c>
      <c r="T275" s="4">
        <f>L275-M275-N275-P275-Q275-R275</f>
      </c>
      <c r="U275" s="4">
        <f>(T275-W275)/J275*100</f>
      </c>
      <c r="V275" s="4">
        <f>M275-S275</f>
      </c>
      <c r="X275" s="4">
        <f>T275-W275</f>
      </c>
      <c r="AC275" t="s">
        <v>1</v>
      </c>
    </row>
    <row r="276" spans="1:29" x14ac:dyDescent="0.25">
      <c r="A276" s="8">
        <v>46186.5</v>
      </c>
      <c r="B276" t="s">
        <v>3530</v>
      </c>
      <c r="C276" t="s">
        <v>1</v>
      </c>
      <c r="D276" s="9" t="s">
        <v>3531</v>
      </c>
      <c r="E276" t="s">
        <v>73</v>
      </c>
      <c r="F276" t="s">
        <v>99</v>
      </c>
      <c r="G276" t="s">
        <v>60</v>
      </c>
      <c r="H276" t="s">
        <v>75</v>
      </c>
      <c r="I276">
        <v>1</v>
      </c>
      <c r="J276" s="4">
        <v>348</v>
      </c>
      <c r="K276" s="4">
        <v>421.08</v>
      </c>
      <c r="L276" s="4">
        <f>K276-J276</f>
      </c>
      <c r="M276" s="4">
        <f>L276*16.67%</f>
      </c>
      <c r="N276" s="4">
        <v>19.41</v>
      </c>
      <c r="O276" s="4">
        <f>N276*20%</f>
      </c>
      <c r="P276" s="4">
        <v>0</v>
      </c>
      <c r="Q276" s="4">
        <f>P276*20%</f>
      </c>
      <c r="R276" s="4">
        <v>1</v>
      </c>
      <c r="S276" s="4">
        <f>Q276</f>
      </c>
      <c r="T276" s="4">
        <f>L276-M276-N276-P276-Q276-R276</f>
      </c>
      <c r="U276" s="4">
        <f>(T276-W276)/J276*100</f>
      </c>
      <c r="V276" s="4">
        <f>M276-S276</f>
      </c>
      <c r="X276" s="4">
        <f>T276-W276</f>
      </c>
      <c r="AC276" t="s">
        <v>1</v>
      </c>
    </row>
    <row r="277" spans="1:29" x14ac:dyDescent="0.25">
      <c r="A277" s="8">
        <v>46186.5</v>
      </c>
      <c r="B277" t="s">
        <v>3532</v>
      </c>
      <c r="C277" t="s">
        <v>1</v>
      </c>
      <c r="D277" s="9" t="s">
        <v>3533</v>
      </c>
      <c r="E277" t="s">
        <v>172</v>
      </c>
      <c r="F277" t="s">
        <v>59</v>
      </c>
      <c r="G277" t="s">
        <v>65</v>
      </c>
      <c r="H277" t="s">
        <v>66</v>
      </c>
      <c r="I277">
        <v>1</v>
      </c>
      <c r="J277" s="4">
        <v>168</v>
      </c>
      <c r="K277" s="4">
        <v>206.64</v>
      </c>
      <c r="L277" s="4">
        <f>K277-J277</f>
      </c>
      <c r="M277" s="4">
        <f>L277*16.67%</f>
      </c>
      <c r="N277" s="4">
        <v>9.53</v>
      </c>
      <c r="O277" s="4">
        <f>N277*20%</f>
      </c>
      <c r="P277" s="4">
        <v>0</v>
      </c>
      <c r="Q277" s="4">
        <f>P277*20%</f>
      </c>
      <c r="R277" s="4">
        <v>1</v>
      </c>
      <c r="S277" s="4">
        <f>Q277</f>
      </c>
      <c r="T277" s="4">
        <f>L277-M277-N277-P277-Q277-R277</f>
      </c>
      <c r="U277" s="4">
        <f>(T277-W277)/J277*100</f>
      </c>
      <c r="V277" s="4">
        <f>M277-S277</f>
      </c>
      <c r="X277" s="4">
        <f>T277-W277</f>
      </c>
      <c r="AC277" t="s">
        <v>1</v>
      </c>
    </row>
    <row r="278" spans="1:29" x14ac:dyDescent="0.25">
      <c r="A278" s="8">
        <v>46186.5</v>
      </c>
      <c r="B278" t="s">
        <v>3534</v>
      </c>
      <c r="C278" t="s">
        <v>1</v>
      </c>
      <c r="D278" s="9" t="s">
        <v>3535</v>
      </c>
      <c r="E278" t="s">
        <v>69</v>
      </c>
      <c r="F278" t="s">
        <v>70</v>
      </c>
      <c r="G278" t="s">
        <v>60</v>
      </c>
      <c r="H278" t="s">
        <v>61</v>
      </c>
      <c r="I278">
        <v>1</v>
      </c>
      <c r="J278" s="4">
        <v>480</v>
      </c>
      <c r="K278" s="4">
        <v>614.4</v>
      </c>
      <c r="L278" s="4">
        <f>K278-J278</f>
      </c>
      <c r="M278" s="4">
        <f>L278*16.67%</f>
      </c>
      <c r="N278" s="4">
        <v>28.32</v>
      </c>
      <c r="O278" s="4">
        <f>N278*20%</f>
      </c>
      <c r="P278" s="4">
        <v>0</v>
      </c>
      <c r="Q278" s="4">
        <f>P278*20%</f>
      </c>
      <c r="R278" s="4">
        <v>1</v>
      </c>
      <c r="S278" s="4">
        <f>Q278</f>
      </c>
      <c r="T278" s="4">
        <f>L278-M278-N278-P278-Q278-R278</f>
      </c>
      <c r="U278" s="4">
        <f>(T278-W278)/J278*100</f>
      </c>
      <c r="V278" s="4">
        <f>M278-S278</f>
      </c>
      <c r="X278" s="4">
        <f>T278-W278</f>
      </c>
      <c r="AC278" t="s">
        <v>1</v>
      </c>
    </row>
    <row r="279" spans="1:29" x14ac:dyDescent="0.25">
      <c r="A279" s="8">
        <v>46186.5</v>
      </c>
      <c r="B279" t="s">
        <v>3536</v>
      </c>
      <c r="C279" t="s">
        <v>1</v>
      </c>
      <c r="D279" s="9" t="s">
        <v>1</v>
      </c>
      <c r="E279" t="s">
        <v>1</v>
      </c>
      <c r="F279" t="s">
        <v>1</v>
      </c>
      <c r="G279" t="s">
        <v>1</v>
      </c>
      <c r="H279" t="s">
        <v>102</v>
      </c>
      <c r="I279">
        <v>1</v>
      </c>
      <c r="J279" s="4">
        <v>298</v>
      </c>
      <c r="K279" s="4">
        <v>399.32</v>
      </c>
      <c r="L279" s="4">
        <f>K279-J279</f>
      </c>
      <c r="M279" s="4">
        <f>L279*16.67%</f>
      </c>
      <c r="N279" s="4">
        <v>18.41</v>
      </c>
      <c r="O279" s="4">
        <f>N279*20%</f>
      </c>
      <c r="P279" s="4">
        <v>0</v>
      </c>
      <c r="Q279" s="4">
        <f>P279*20%</f>
      </c>
      <c r="R279" s="4">
        <v>1</v>
      </c>
      <c r="S279" s="4">
        <f>Q279</f>
      </c>
      <c r="T279" s="4">
        <f>L279-M279-N279-P279-Q279-R279</f>
      </c>
      <c r="U279" s="4">
        <f>(T279-W279)/J279*100</f>
      </c>
      <c r="V279" s="4">
        <f>M279-S279</f>
      </c>
      <c r="X279" s="4">
        <f>T279-W279</f>
      </c>
      <c r="AC279" t="s">
        <v>1</v>
      </c>
    </row>
    <row r="280" spans="1:29" x14ac:dyDescent="0.25">
      <c r="A280" s="8">
        <v>46185.5</v>
      </c>
      <c r="B280" t="s">
        <v>3537</v>
      </c>
      <c r="C280" t="s">
        <v>1</v>
      </c>
      <c r="D280" s="9" t="s">
        <v>3538</v>
      </c>
      <c r="E280" t="s">
        <v>172</v>
      </c>
      <c r="F280" t="s">
        <v>59</v>
      </c>
      <c r="G280" t="s">
        <v>65</v>
      </c>
      <c r="H280" t="s">
        <v>61</v>
      </c>
      <c r="I280">
        <v>1</v>
      </c>
      <c r="J280" s="4">
        <v>171</v>
      </c>
      <c r="K280" s="4">
        <v>200.07</v>
      </c>
      <c r="L280" s="4">
        <f>K280-J280</f>
      </c>
      <c r="M280" s="4">
        <f>L280*16.67%</f>
      </c>
      <c r="N280" s="4">
        <v>9.22</v>
      </c>
      <c r="O280" s="4">
        <f>N280*20%</f>
      </c>
      <c r="P280" s="4">
        <v>0</v>
      </c>
      <c r="Q280" s="4">
        <f>P280*20%</f>
      </c>
      <c r="R280" s="4">
        <v>1</v>
      </c>
      <c r="S280" s="4">
        <f>Q280</f>
      </c>
      <c r="T280" s="4">
        <f>L280-M280-N280-P280-Q280-R280</f>
      </c>
      <c r="U280" s="4">
        <f>(T280-W280)/J280*100</f>
      </c>
      <c r="V280" s="4">
        <f>M280-S280</f>
      </c>
      <c r="X280" s="4">
        <f>T280-W280</f>
      </c>
      <c r="AC280" t="s">
        <v>1</v>
      </c>
    </row>
    <row r="281" spans="1:29" x14ac:dyDescent="0.25">
      <c r="A281" s="8">
        <v>46185.5</v>
      </c>
      <c r="B281" t="s">
        <v>3539</v>
      </c>
      <c r="C281" t="s">
        <v>1</v>
      </c>
      <c r="D281" s="9" t="s">
        <v>3540</v>
      </c>
      <c r="E281" t="s">
        <v>292</v>
      </c>
      <c r="F281" t="s">
        <v>99</v>
      </c>
      <c r="G281" t="s">
        <v>126</v>
      </c>
      <c r="H281" t="s">
        <v>61</v>
      </c>
      <c r="I281">
        <v>1</v>
      </c>
      <c r="J281" s="4">
        <v>174</v>
      </c>
      <c r="K281" s="4">
        <v>248.82</v>
      </c>
      <c r="L281" s="4">
        <f>K281-J281</f>
      </c>
      <c r="M281" s="4">
        <f>L281*16.67%</f>
      </c>
      <c r="N281" s="4">
        <v>11.47</v>
      </c>
      <c r="O281" s="4">
        <f>N281*20%</f>
      </c>
      <c r="P281" s="4">
        <v>0</v>
      </c>
      <c r="Q281" s="4">
        <f>P281*20%</f>
      </c>
      <c r="R281" s="4">
        <v>1</v>
      </c>
      <c r="S281" s="4">
        <f>Q281</f>
      </c>
      <c r="T281" s="4">
        <f>L281-M281-N281-P281-Q281-R281</f>
      </c>
      <c r="U281" s="4">
        <f>(T281-W281)/J281*100</f>
      </c>
      <c r="V281" s="4">
        <f>M281-S281</f>
      </c>
      <c r="X281" s="4">
        <f>T281-W281</f>
      </c>
      <c r="AC281" t="s">
        <v>1</v>
      </c>
    </row>
    <row r="282" spans="1:29" x14ac:dyDescent="0.25">
      <c r="A282" s="8">
        <v>46185.5</v>
      </c>
      <c r="B282" t="s">
        <v>3541</v>
      </c>
      <c r="C282" t="s">
        <v>174</v>
      </c>
      <c r="D282" s="9" t="s">
        <v>1</v>
      </c>
      <c r="E282" t="s">
        <v>174</v>
      </c>
      <c r="F282" t="s">
        <v>1</v>
      </c>
      <c r="G282" t="s">
        <v>1</v>
      </c>
      <c r="H282" t="s">
        <v>66</v>
      </c>
      <c r="I282">
        <v>2</v>
      </c>
      <c r="J282" s="4">
        <v>8.5</v>
      </c>
      <c r="K282" s="4">
        <v>10.03</v>
      </c>
      <c r="L282" s="4">
        <f>K282-J282</f>
      </c>
      <c r="M282" s="4">
        <f>L282*16.67%</f>
      </c>
      <c r="N282" s="4">
        <v>0.46</v>
      </c>
      <c r="O282" s="4">
        <f>N282*20%</f>
      </c>
      <c r="P282" s="4">
        <v>0</v>
      </c>
      <c r="Q282" s="4">
        <f>P282*20%</f>
      </c>
      <c r="R282" s="4">
        <v>0</v>
      </c>
      <c r="S282" s="4">
        <f>Q282</f>
      </c>
      <c r="T282" s="4">
        <f>L282-M282-N282-P282-Q282-R282</f>
      </c>
      <c r="U282" s="4">
        <f>(T282-W282)/J282*100</f>
      </c>
      <c r="V282" s="4">
        <f>M282-S282</f>
      </c>
      <c r="X282" s="4">
        <f>T282-W282</f>
      </c>
      <c r="AC282" t="s">
        <v>1</v>
      </c>
    </row>
    <row r="283" spans="1:29" x14ac:dyDescent="0.25">
      <c r="A283" s="8">
        <v>46185.5</v>
      </c>
      <c r="B283" t="s">
        <v>3542</v>
      </c>
      <c r="C283" t="s">
        <v>174</v>
      </c>
      <c r="D283" s="9" t="s">
        <v>1</v>
      </c>
      <c r="E283" t="s">
        <v>174</v>
      </c>
      <c r="F283" t="s">
        <v>1</v>
      </c>
      <c r="G283" t="s">
        <v>1</v>
      </c>
      <c r="H283" t="s">
        <v>66</v>
      </c>
      <c r="I283">
        <v>1</v>
      </c>
      <c r="J283" s="4">
        <v>4.25</v>
      </c>
      <c r="K283" s="4">
        <v>5.31</v>
      </c>
      <c r="L283" s="4">
        <f>K283-J283</f>
      </c>
      <c r="M283" s="4">
        <f>L283*16.67%</f>
      </c>
      <c r="N283" s="4">
        <v>0.24</v>
      </c>
      <c r="O283" s="4">
        <f>N283*20%</f>
      </c>
      <c r="P283" s="4">
        <v>0</v>
      </c>
      <c r="Q283" s="4">
        <f>P283*20%</f>
      </c>
      <c r="R283" s="4">
        <v>0</v>
      </c>
      <c r="S283" s="4">
        <f>Q283</f>
      </c>
      <c r="T283" s="4">
        <f>L283-M283-N283-P283-Q283-R283</f>
      </c>
      <c r="U283" s="4">
        <f>(T283-W283)/J283*100</f>
      </c>
      <c r="V283" s="4">
        <f>M283-S283</f>
      </c>
      <c r="X283" s="4">
        <f>T283-W283</f>
      </c>
      <c r="AC283" t="s">
        <v>1</v>
      </c>
    </row>
    <row r="284" spans="1:29" x14ac:dyDescent="0.25">
      <c r="A284" s="8">
        <v>46185.5</v>
      </c>
      <c r="B284" t="s">
        <v>3543</v>
      </c>
      <c r="C284" t="s">
        <v>254</v>
      </c>
      <c r="D284" s="9" t="s">
        <v>1</v>
      </c>
      <c r="E284" t="s">
        <v>254</v>
      </c>
      <c r="F284" t="s">
        <v>1</v>
      </c>
      <c r="G284" t="s">
        <v>1</v>
      </c>
      <c r="H284" t="s">
        <v>61</v>
      </c>
      <c r="I284">
        <v>2</v>
      </c>
      <c r="J284" s="4">
        <v>1.6</v>
      </c>
      <c r="K284" s="4">
        <v>1.95</v>
      </c>
      <c r="L284" s="4">
        <f>K284-J284</f>
      </c>
      <c r="M284" s="4">
        <f>L284*16.67%</f>
      </c>
      <c r="N284" s="4">
        <v>0.09</v>
      </c>
      <c r="O284" s="4">
        <f>N284*20%</f>
      </c>
      <c r="P284" s="4">
        <v>0</v>
      </c>
      <c r="Q284" s="4">
        <f>P284*20%</f>
      </c>
      <c r="R284" s="4">
        <v>0</v>
      </c>
      <c r="S284" s="4">
        <f>Q284</f>
      </c>
      <c r="T284" s="4">
        <f>L284-M284-N284-P284-Q284-R284</f>
      </c>
      <c r="U284" s="4">
        <f>(T284-W284)/J284*100</f>
      </c>
      <c r="V284" s="4">
        <f>M284-S284</f>
      </c>
      <c r="X284" s="4">
        <f>T284-W284</f>
      </c>
      <c r="AC284" t="s">
        <v>1</v>
      </c>
    </row>
    <row r="285" spans="1:29" x14ac:dyDescent="0.25">
      <c r="A285" s="8">
        <v>46184.5</v>
      </c>
      <c r="B285" t="s">
        <v>3544</v>
      </c>
      <c r="C285" t="s">
        <v>1</v>
      </c>
      <c r="D285" s="9" t="s">
        <v>3545</v>
      </c>
      <c r="E285" t="s">
        <v>292</v>
      </c>
      <c r="F285" t="s">
        <v>105</v>
      </c>
      <c r="G285" t="s">
        <v>126</v>
      </c>
      <c r="H285" t="s">
        <v>75</v>
      </c>
      <c r="I285">
        <v>1</v>
      </c>
      <c r="J285" s="4">
        <v>200</v>
      </c>
      <c r="K285" s="4">
        <v>254</v>
      </c>
      <c r="L285" s="4">
        <f>K285-J285</f>
      </c>
      <c r="M285" s="4">
        <f>L285*16.67%</f>
      </c>
      <c r="N285" s="4">
        <v>11.71</v>
      </c>
      <c r="O285" s="4">
        <f>N285*20%</f>
      </c>
      <c r="P285" s="4">
        <v>0</v>
      </c>
      <c r="Q285" s="4">
        <f>P285*20%</f>
      </c>
      <c r="R285" s="4">
        <v>1</v>
      </c>
      <c r="S285" s="4">
        <f>Q285</f>
      </c>
      <c r="T285" s="4">
        <f>L285-M285-N285-P285-Q285-R285</f>
      </c>
      <c r="U285" s="4">
        <f>(T285-W285)/J285*100</f>
      </c>
      <c r="V285" s="4">
        <f>M285-S285</f>
      </c>
      <c r="X285" s="4">
        <f>T285-W285</f>
      </c>
      <c r="AC285" t="s">
        <v>1</v>
      </c>
    </row>
    <row r="286" spans="1:29" x14ac:dyDescent="0.25">
      <c r="A286" s="8">
        <v>46184.5</v>
      </c>
      <c r="B286" t="s">
        <v>3546</v>
      </c>
      <c r="C286" t="s">
        <v>1</v>
      </c>
      <c r="D286" s="9" t="s">
        <v>3547</v>
      </c>
      <c r="E286" t="s">
        <v>73</v>
      </c>
      <c r="F286" t="s">
        <v>99</v>
      </c>
      <c r="G286" t="s">
        <v>60</v>
      </c>
      <c r="H286" t="s">
        <v>78</v>
      </c>
      <c r="I286">
        <v>1</v>
      </c>
      <c r="J286" s="4">
        <v>323</v>
      </c>
      <c r="K286" s="4">
        <v>374.68</v>
      </c>
      <c r="L286" s="4">
        <f>K286-J286</f>
      </c>
      <c r="M286" s="4">
        <f>L286*16.67%</f>
      </c>
      <c r="N286" s="4">
        <v>17.27</v>
      </c>
      <c r="O286" s="4">
        <f>N286*20%</f>
      </c>
      <c r="P286" s="4">
        <v>0</v>
      </c>
      <c r="Q286" s="4">
        <f>P286*20%</f>
      </c>
      <c r="R286" s="4">
        <v>1</v>
      </c>
      <c r="S286" s="4">
        <f>Q286</f>
      </c>
      <c r="T286" s="4">
        <f>L286-M286-N286-P286-Q286-R286</f>
      </c>
      <c r="U286" s="4">
        <f>(T286-W286)/J286*100</f>
      </c>
      <c r="V286" s="4">
        <f>M286-S286</f>
      </c>
      <c r="X286" s="4">
        <f>T286-W286</f>
      </c>
      <c r="AC286" t="s">
        <v>1</v>
      </c>
    </row>
    <row r="287" spans="1:29" x14ac:dyDescent="0.25">
      <c r="A287" s="8">
        <v>46184.5</v>
      </c>
      <c r="B287" t="s">
        <v>3548</v>
      </c>
      <c r="C287" t="s">
        <v>1</v>
      </c>
      <c r="D287" s="9" t="s">
        <v>3549</v>
      </c>
      <c r="E287" t="s">
        <v>172</v>
      </c>
      <c r="F287" t="s">
        <v>105</v>
      </c>
      <c r="G287" t="s">
        <v>65</v>
      </c>
      <c r="H287" t="s">
        <v>66</v>
      </c>
      <c r="I287">
        <v>1</v>
      </c>
      <c r="J287" s="4">
        <v>170</v>
      </c>
      <c r="K287" s="4">
        <v>243.1</v>
      </c>
      <c r="L287" s="4">
        <f>K287-J287</f>
      </c>
      <c r="M287" s="4">
        <f>L287*16.67%</f>
      </c>
      <c r="N287" s="4">
        <v>11.21</v>
      </c>
      <c r="O287" s="4">
        <f>N287*20%</f>
      </c>
      <c r="P287" s="4">
        <v>0</v>
      </c>
      <c r="Q287" s="4">
        <f>P287*20%</f>
      </c>
      <c r="R287" s="4">
        <v>1</v>
      </c>
      <c r="S287" s="4">
        <f>Q287</f>
      </c>
      <c r="T287" s="4">
        <f>L287-M287-N287-P287-Q287-R287</f>
      </c>
      <c r="U287" s="4">
        <f>(T287-W287)/J287*100</f>
      </c>
      <c r="V287" s="4">
        <f>M287-S287</f>
      </c>
      <c r="X287" s="4">
        <f>T287-W287</f>
      </c>
      <c r="AC287" t="s">
        <v>1</v>
      </c>
    </row>
    <row r="288" spans="1:29" x14ac:dyDescent="0.25">
      <c r="A288" s="8">
        <v>46184.5</v>
      </c>
      <c r="B288" t="s">
        <v>3550</v>
      </c>
      <c r="C288" t="s">
        <v>1</v>
      </c>
      <c r="D288" s="9" t="s">
        <v>3551</v>
      </c>
      <c r="E288" t="s">
        <v>292</v>
      </c>
      <c r="F288" t="s">
        <v>59</v>
      </c>
      <c r="G288" t="s">
        <v>126</v>
      </c>
      <c r="H288" t="s">
        <v>66</v>
      </c>
      <c r="I288">
        <v>1</v>
      </c>
      <c r="J288" s="4">
        <v>186</v>
      </c>
      <c r="K288" s="4">
        <v>217.62</v>
      </c>
      <c r="L288" s="4">
        <f>K288-J288</f>
      </c>
      <c r="M288" s="4">
        <f>L288*16.67%</f>
      </c>
      <c r="N288" s="4">
        <v>10.03</v>
      </c>
      <c r="O288" s="4">
        <f>N288*20%</f>
      </c>
      <c r="P288" s="4">
        <v>0</v>
      </c>
      <c r="Q288" s="4">
        <f>P288*20%</f>
      </c>
      <c r="R288" s="4">
        <v>1</v>
      </c>
      <c r="S288" s="4">
        <f>Q288</f>
      </c>
      <c r="T288" s="4">
        <f>L288-M288-N288-P288-Q288-R288</f>
      </c>
      <c r="U288" s="4">
        <f>(T288-W288)/J288*100</f>
      </c>
      <c r="V288" s="4">
        <f>M288-S288</f>
      </c>
      <c r="X288" s="4">
        <f>T288-W288</f>
      </c>
      <c r="AC288" t="s">
        <v>1</v>
      </c>
    </row>
    <row r="289" spans="1:29" x14ac:dyDescent="0.25">
      <c r="A289" s="8">
        <v>46184.5</v>
      </c>
      <c r="B289" t="s">
        <v>3552</v>
      </c>
      <c r="C289" t="s">
        <v>189</v>
      </c>
      <c r="D289" s="9" t="s">
        <v>1</v>
      </c>
      <c r="E289" t="s">
        <v>189</v>
      </c>
      <c r="F289" t="s">
        <v>1</v>
      </c>
      <c r="G289" t="s">
        <v>1</v>
      </c>
      <c r="H289" t="s">
        <v>66</v>
      </c>
      <c r="I289">
        <v>1</v>
      </c>
      <c r="J289" s="4">
        <v>3.5</v>
      </c>
      <c r="K289" s="4">
        <v>4.13</v>
      </c>
      <c r="L289" s="4">
        <f>K289-J289</f>
      </c>
      <c r="M289" s="4">
        <f>L289*16.67%</f>
      </c>
      <c r="N289" s="4">
        <v>0.19</v>
      </c>
      <c r="O289" s="4">
        <f>N289*20%</f>
      </c>
      <c r="P289" s="4">
        <v>0</v>
      </c>
      <c r="Q289" s="4">
        <f>P289*20%</f>
      </c>
      <c r="R289" s="4">
        <v>0</v>
      </c>
      <c r="S289" s="4">
        <f>Q289</f>
      </c>
      <c r="T289" s="4">
        <f>L289-M289-N289-P289-Q289-R289</f>
      </c>
      <c r="U289" s="4">
        <f>(T289-W289)/J289*100</f>
      </c>
      <c r="V289" s="4">
        <f>M289-S289</f>
      </c>
      <c r="X289" s="4">
        <f>T289-W289</f>
      </c>
      <c r="AC289" t="s">
        <v>1</v>
      </c>
    </row>
    <row r="290" spans="1:29" x14ac:dyDescent="0.25">
      <c r="A290" s="8">
        <v>46183.5</v>
      </c>
      <c r="B290" t="s">
        <v>3553</v>
      </c>
      <c r="C290" t="s">
        <v>1</v>
      </c>
      <c r="D290" s="9" t="s">
        <v>3554</v>
      </c>
      <c r="E290" t="s">
        <v>73</v>
      </c>
      <c r="F290" t="s">
        <v>88</v>
      </c>
      <c r="G290" t="s">
        <v>60</v>
      </c>
      <c r="H290" t="s">
        <v>61</v>
      </c>
      <c r="I290">
        <v>1</v>
      </c>
      <c r="J290" s="4">
        <v>361</v>
      </c>
      <c r="K290" s="4">
        <v>454.86</v>
      </c>
      <c r="L290" s="4">
        <f>K290-J290</f>
      </c>
      <c r="M290" s="4">
        <f>L290*16.67%</f>
      </c>
      <c r="N290" s="4">
        <v>20.97</v>
      </c>
      <c r="O290" s="4">
        <f>N290*20%</f>
      </c>
      <c r="P290" s="4">
        <v>0</v>
      </c>
      <c r="Q290" s="4">
        <f>P290*20%</f>
      </c>
      <c r="R290" s="4">
        <v>1</v>
      </c>
      <c r="S290" s="4">
        <f>Q290</f>
      </c>
      <c r="T290" s="4">
        <f>L290-M290-N290-P290-Q290-R290</f>
      </c>
      <c r="U290" s="4">
        <f>(T290-W290)/J290*100</f>
      </c>
      <c r="V290" s="4">
        <f>M290-S290</f>
      </c>
      <c r="X290" s="4">
        <f>T290-W290</f>
      </c>
      <c r="AC290" t="s">
        <v>1</v>
      </c>
    </row>
    <row r="291" spans="1:29" x14ac:dyDescent="0.25">
      <c r="A291" s="8">
        <v>46183.5</v>
      </c>
      <c r="B291" t="s">
        <v>3555</v>
      </c>
      <c r="C291" t="s">
        <v>254</v>
      </c>
      <c r="D291" s="9" t="s">
        <v>1</v>
      </c>
      <c r="E291" t="s">
        <v>254</v>
      </c>
      <c r="F291" t="s">
        <v>1</v>
      </c>
      <c r="G291" t="s">
        <v>1</v>
      </c>
      <c r="H291" t="s">
        <v>61</v>
      </c>
      <c r="I291">
        <v>4</v>
      </c>
      <c r="J291" s="4">
        <v>3.2</v>
      </c>
      <c r="K291" s="4">
        <v>4.22</v>
      </c>
      <c r="L291" s="4">
        <f>K291-J291</f>
      </c>
      <c r="M291" s="4">
        <f>L291*16.67%</f>
      </c>
      <c r="N291" s="4">
        <v>0.19</v>
      </c>
      <c r="O291" s="4">
        <f>N291*20%</f>
      </c>
      <c r="P291" s="4">
        <v>0</v>
      </c>
      <c r="Q291" s="4">
        <f>P291*20%</f>
      </c>
      <c r="R291" s="4">
        <v>0</v>
      </c>
      <c r="S291" s="4">
        <f>Q291</f>
      </c>
      <c r="T291" s="4">
        <f>L291-M291-N291-P291-Q291-R291</f>
      </c>
      <c r="U291" s="4">
        <f>(T291-W291)/J291*100</f>
      </c>
      <c r="V291" s="4">
        <f>M291-S291</f>
      </c>
      <c r="X291" s="4">
        <f>T291-W291</f>
      </c>
      <c r="AC291" t="s">
        <v>1</v>
      </c>
    </row>
    <row r="292" spans="1:29" x14ac:dyDescent="0.25">
      <c r="A292" s="8">
        <v>46183.5</v>
      </c>
      <c r="B292" t="s">
        <v>3556</v>
      </c>
      <c r="C292" t="s">
        <v>189</v>
      </c>
      <c r="D292" s="9" t="s">
        <v>1</v>
      </c>
      <c r="E292" t="s">
        <v>189</v>
      </c>
      <c r="F292" t="s">
        <v>1</v>
      </c>
      <c r="G292" t="s">
        <v>1</v>
      </c>
      <c r="H292" t="s">
        <v>66</v>
      </c>
      <c r="I292">
        <v>1</v>
      </c>
      <c r="J292" s="4">
        <v>3.5</v>
      </c>
      <c r="K292" s="4">
        <v>4.2</v>
      </c>
      <c r="L292" s="4">
        <f>K292-J292</f>
      </c>
      <c r="M292" s="4">
        <f>L292*16.67%</f>
      </c>
      <c r="N292" s="4">
        <v>0.19</v>
      </c>
      <c r="O292" s="4">
        <f>N292*20%</f>
      </c>
      <c r="P292" s="4">
        <v>0</v>
      </c>
      <c r="Q292" s="4">
        <f>P292*20%</f>
      </c>
      <c r="R292" s="4">
        <v>0</v>
      </c>
      <c r="S292" s="4">
        <f>Q292</f>
      </c>
      <c r="T292" s="4">
        <f>L292-M292-N292-P292-Q292-R292</f>
      </c>
      <c r="U292" s="4">
        <f>(T292-W292)/J292*100</f>
      </c>
      <c r="V292" s="4">
        <f>M292-S292</f>
      </c>
      <c r="X292" s="4">
        <f>T292-W292</f>
      </c>
      <c r="AC292" t="s">
        <v>1</v>
      </c>
    </row>
    <row r="293" spans="1:29" x14ac:dyDescent="0.25">
      <c r="A293" s="8">
        <v>46182.5</v>
      </c>
      <c r="B293" t="s">
        <v>3557</v>
      </c>
      <c r="C293" t="s">
        <v>1</v>
      </c>
      <c r="D293" s="9" t="s">
        <v>3558</v>
      </c>
      <c r="E293" t="s">
        <v>94</v>
      </c>
      <c r="F293" t="s">
        <v>74</v>
      </c>
      <c r="G293" t="s">
        <v>95</v>
      </c>
      <c r="H293" t="s">
        <v>61</v>
      </c>
      <c r="I293">
        <v>1</v>
      </c>
      <c r="J293" s="4">
        <v>67</v>
      </c>
      <c r="K293" s="4">
        <v>95.81</v>
      </c>
      <c r="L293" s="4">
        <f>K293-J293</f>
      </c>
      <c r="M293" s="4">
        <f>L293*16.67%</f>
      </c>
      <c r="N293" s="4">
        <v>4.42</v>
      </c>
      <c r="O293" s="4">
        <f>N293*20%</f>
      </c>
      <c r="P293" s="4">
        <v>0</v>
      </c>
      <c r="Q293" s="4">
        <f>P293*20%</f>
      </c>
      <c r="R293" s="4">
        <v>1</v>
      </c>
      <c r="S293" s="4">
        <f>Q293</f>
      </c>
      <c r="T293" s="4">
        <f>L293-M293-N293-P293-Q293-R293</f>
      </c>
      <c r="U293" s="4">
        <f>(T293-W293)/J293*100</f>
      </c>
      <c r="V293" s="4">
        <f>M293-S293</f>
      </c>
      <c r="X293" s="4">
        <f>T293-W293</f>
      </c>
      <c r="AC293" t="s">
        <v>1</v>
      </c>
    </row>
    <row r="294" spans="1:29" x14ac:dyDescent="0.25">
      <c r="A294" s="8">
        <v>46182.5</v>
      </c>
      <c r="B294" t="s">
        <v>3559</v>
      </c>
      <c r="C294" t="s">
        <v>1</v>
      </c>
      <c r="D294" s="9" t="s">
        <v>3560</v>
      </c>
      <c r="E294" t="s">
        <v>131</v>
      </c>
      <c r="F294" t="s">
        <v>99</v>
      </c>
      <c r="G294" t="s">
        <v>60</v>
      </c>
      <c r="H294" t="s">
        <v>66</v>
      </c>
      <c r="I294">
        <v>1</v>
      </c>
      <c r="J294" s="4">
        <v>268</v>
      </c>
      <c r="K294" s="4">
        <v>361.8</v>
      </c>
      <c r="L294" s="4">
        <f>K294-J294</f>
      </c>
      <c r="M294" s="4">
        <f>L294*16.67%</f>
      </c>
      <c r="N294" s="4">
        <v>16.68</v>
      </c>
      <c r="O294" s="4">
        <f>N294*20%</f>
      </c>
      <c r="P294" s="4">
        <v>0</v>
      </c>
      <c r="Q294" s="4">
        <f>P294*20%</f>
      </c>
      <c r="R294" s="4">
        <v>1</v>
      </c>
      <c r="S294" s="4">
        <f>Q294</f>
      </c>
      <c r="T294" s="4">
        <f>L294-M294-N294-P294-Q294-R294</f>
      </c>
      <c r="U294" s="4">
        <f>(T294-W294)/J294*100</f>
      </c>
      <c r="V294" s="4">
        <f>M294-S294</f>
      </c>
      <c r="X294" s="4">
        <f>T294-W294</f>
      </c>
      <c r="AC294" t="s">
        <v>1</v>
      </c>
    </row>
    <row r="295" spans="1:29" x14ac:dyDescent="0.25">
      <c r="A295" s="8">
        <v>46182.5</v>
      </c>
      <c r="B295" t="s">
        <v>3561</v>
      </c>
      <c r="C295" t="s">
        <v>1</v>
      </c>
      <c r="D295" s="9" t="s">
        <v>3562</v>
      </c>
      <c r="E295" t="s">
        <v>292</v>
      </c>
      <c r="F295" t="s">
        <v>105</v>
      </c>
      <c r="G295" t="s">
        <v>126</v>
      </c>
      <c r="H295" t="s">
        <v>102</v>
      </c>
      <c r="I295">
        <v>1</v>
      </c>
      <c r="J295" s="4">
        <v>201</v>
      </c>
      <c r="K295" s="4">
        <v>251.25</v>
      </c>
      <c r="L295" s="4">
        <f>K295-J295</f>
      </c>
      <c r="M295" s="4">
        <f>L295*16.67%</f>
      </c>
      <c r="N295" s="4">
        <v>11.58</v>
      </c>
      <c r="O295" s="4">
        <f>N295*20%</f>
      </c>
      <c r="P295" s="4">
        <v>0</v>
      </c>
      <c r="Q295" s="4">
        <f>P295*20%</f>
      </c>
      <c r="R295" s="4">
        <v>1</v>
      </c>
      <c r="S295" s="4">
        <f>Q295</f>
      </c>
      <c r="T295" s="4">
        <f>L295-M295-N295-P295-Q295-R295</f>
      </c>
      <c r="U295" s="4">
        <f>(T295-W295)/J295*100</f>
      </c>
      <c r="V295" s="4">
        <f>M295-S295</f>
      </c>
      <c r="X295" s="4">
        <f>T295-W295</f>
      </c>
      <c r="AC295" t="s">
        <v>1</v>
      </c>
    </row>
    <row r="296" spans="1:29" x14ac:dyDescent="0.25">
      <c r="A296" s="8">
        <v>46182.5</v>
      </c>
      <c r="B296" t="s">
        <v>3563</v>
      </c>
      <c r="C296" t="s">
        <v>1</v>
      </c>
      <c r="D296" s="9" t="s">
        <v>3564</v>
      </c>
      <c r="E296" t="s">
        <v>234</v>
      </c>
      <c r="F296" t="s">
        <v>88</v>
      </c>
      <c r="G296" t="s">
        <v>65</v>
      </c>
      <c r="H296" t="s">
        <v>102</v>
      </c>
      <c r="I296">
        <v>1</v>
      </c>
      <c r="J296" s="4">
        <v>186</v>
      </c>
      <c r="K296" s="4">
        <v>251.1</v>
      </c>
      <c r="L296" s="4">
        <f>K296-J296</f>
      </c>
      <c r="M296" s="4">
        <f>L296*16.67%</f>
      </c>
      <c r="N296" s="4">
        <v>11.58</v>
      </c>
      <c r="O296" s="4">
        <f>N296*20%</f>
      </c>
      <c r="P296" s="4">
        <v>0</v>
      </c>
      <c r="Q296" s="4">
        <f>P296*20%</f>
      </c>
      <c r="R296" s="4">
        <v>1</v>
      </c>
      <c r="S296" s="4">
        <f>Q296</f>
      </c>
      <c r="T296" s="4">
        <f>L296-M296-N296-P296-Q296-R296</f>
      </c>
      <c r="U296" s="4">
        <f>(T296-W296)/J296*100</f>
      </c>
      <c r="V296" s="4">
        <f>M296-S296</f>
      </c>
      <c r="X296" s="4">
        <f>T296-W296</f>
      </c>
      <c r="AC296" t="s">
        <v>1</v>
      </c>
    </row>
    <row r="297" spans="1:29" x14ac:dyDescent="0.25">
      <c r="A297" s="8">
        <v>46182.5</v>
      </c>
      <c r="B297" t="s">
        <v>3565</v>
      </c>
      <c r="C297" t="s">
        <v>1</v>
      </c>
      <c r="D297" s="9" t="s">
        <v>3566</v>
      </c>
      <c r="E297" t="s">
        <v>64</v>
      </c>
      <c r="F297" t="s">
        <v>85</v>
      </c>
      <c r="G297" t="s">
        <v>65</v>
      </c>
      <c r="H297" t="s">
        <v>66</v>
      </c>
      <c r="I297">
        <v>1</v>
      </c>
      <c r="J297" s="4">
        <v>256</v>
      </c>
      <c r="K297" s="4">
        <v>320</v>
      </c>
      <c r="L297" s="4">
        <f>K297-J297</f>
      </c>
      <c r="M297" s="4">
        <f>L297*16.67%</f>
      </c>
      <c r="N297" s="4">
        <v>14.75</v>
      </c>
      <c r="O297" s="4">
        <f>N297*20%</f>
      </c>
      <c r="P297" s="4">
        <v>0</v>
      </c>
      <c r="Q297" s="4">
        <f>P297*20%</f>
      </c>
      <c r="R297" s="4">
        <v>1</v>
      </c>
      <c r="S297" s="4">
        <f>Q297</f>
      </c>
      <c r="T297" s="4">
        <f>L297-M297-N297-P297-Q297-R297</f>
      </c>
      <c r="U297" s="4">
        <f>(T297-W297)/J297*100</f>
      </c>
      <c r="V297" s="4">
        <f>M297-S297</f>
      </c>
      <c r="X297" s="4">
        <f>T297-W297</f>
      </c>
      <c r="AC297" t="s">
        <v>1</v>
      </c>
    </row>
    <row r="298" spans="1:29" x14ac:dyDescent="0.25">
      <c r="A298" s="8">
        <v>46182.5</v>
      </c>
      <c r="B298" t="s">
        <v>3567</v>
      </c>
      <c r="C298" t="s">
        <v>1</v>
      </c>
      <c r="D298" s="9" t="s">
        <v>1</v>
      </c>
      <c r="E298" t="s">
        <v>1</v>
      </c>
      <c r="F298" t="s">
        <v>1</v>
      </c>
      <c r="G298" t="s">
        <v>1</v>
      </c>
      <c r="H298" t="s">
        <v>75</v>
      </c>
      <c r="I298">
        <v>1</v>
      </c>
      <c r="J298" s="4">
        <v>547</v>
      </c>
      <c r="K298" s="4">
        <v>732.98</v>
      </c>
      <c r="L298" s="4">
        <f>K298-J298</f>
      </c>
      <c r="M298" s="4">
        <f>L298*16.67%</f>
      </c>
      <c r="N298" s="4">
        <v>33.79</v>
      </c>
      <c r="O298" s="4">
        <f>N298*20%</f>
      </c>
      <c r="P298" s="4">
        <v>0</v>
      </c>
      <c r="Q298" s="4">
        <f>P298*20%</f>
      </c>
      <c r="R298" s="4">
        <v>1</v>
      </c>
      <c r="S298" s="4">
        <f>Q298</f>
      </c>
      <c r="T298" s="4">
        <f>L298-M298-N298-P298-Q298-R298</f>
      </c>
      <c r="U298" s="4">
        <f>(T298-W298)/J298*100</f>
      </c>
      <c r="V298" s="4">
        <f>M298-S298</f>
      </c>
      <c r="X298" s="4">
        <f>T298-W298</f>
      </c>
      <c r="AC298" t="s">
        <v>1</v>
      </c>
    </row>
    <row r="299" spans="1:29" x14ac:dyDescent="0.25">
      <c r="A299" s="8">
        <v>46181.5</v>
      </c>
      <c r="B299" t="s">
        <v>3568</v>
      </c>
      <c r="C299" t="s">
        <v>1</v>
      </c>
      <c r="D299" s="9" t="s">
        <v>3569</v>
      </c>
      <c r="E299" t="s">
        <v>139</v>
      </c>
      <c r="F299" t="s">
        <v>105</v>
      </c>
      <c r="G299" t="s">
        <v>65</v>
      </c>
      <c r="H299" t="s">
        <v>102</v>
      </c>
      <c r="I299">
        <v>1</v>
      </c>
      <c r="J299" s="4">
        <v>331</v>
      </c>
      <c r="K299" s="4">
        <v>430.3</v>
      </c>
      <c r="L299" s="4">
        <f>K299-J299</f>
      </c>
      <c r="M299" s="4">
        <f>L299*16.67%</f>
      </c>
      <c r="N299" s="4">
        <v>19.84</v>
      </c>
      <c r="O299" s="4">
        <f>N299*20%</f>
      </c>
      <c r="P299" s="4">
        <v>0</v>
      </c>
      <c r="Q299" s="4">
        <f>P299*20%</f>
      </c>
      <c r="R299" s="4">
        <v>1</v>
      </c>
      <c r="S299" s="4">
        <f>Q299</f>
      </c>
      <c r="T299" s="4">
        <f>L299-M299-N299-P299-Q299-R299</f>
      </c>
      <c r="U299" s="4">
        <f>(T299-W299)/J299*100</f>
      </c>
      <c r="V299" s="4">
        <f>M299-S299</f>
      </c>
      <c r="X299" s="4">
        <f>T299-W299</f>
      </c>
      <c r="AC299" t="s">
        <v>1</v>
      </c>
    </row>
    <row r="300" spans="1:29" x14ac:dyDescent="0.25">
      <c r="A300" s="8">
        <v>46181.5</v>
      </c>
      <c r="B300" t="s">
        <v>3570</v>
      </c>
      <c r="C300" t="s">
        <v>1</v>
      </c>
      <c r="D300" s="9" t="s">
        <v>3571</v>
      </c>
      <c r="E300" t="s">
        <v>69</v>
      </c>
      <c r="F300" t="s">
        <v>99</v>
      </c>
      <c r="G300" t="s">
        <v>60</v>
      </c>
      <c r="H300" t="s">
        <v>102</v>
      </c>
      <c r="I300">
        <v>1</v>
      </c>
      <c r="J300" s="4">
        <v>545</v>
      </c>
      <c r="K300" s="4">
        <v>779.35</v>
      </c>
      <c r="L300" s="4">
        <f>K300-J300</f>
      </c>
      <c r="M300" s="4">
        <f>L300*16.67%</f>
      </c>
      <c r="N300" s="4">
        <v>35.93</v>
      </c>
      <c r="O300" s="4">
        <f>N300*20%</f>
      </c>
      <c r="P300" s="4">
        <v>0</v>
      </c>
      <c r="Q300" s="4">
        <f>P300*20%</f>
      </c>
      <c r="R300" s="4">
        <v>1</v>
      </c>
      <c r="S300" s="4">
        <f>Q300</f>
      </c>
      <c r="T300" s="4">
        <f>L300-M300-N300-P300-Q300-R300</f>
      </c>
      <c r="U300" s="4">
        <f>(T300-W300)/J300*100</f>
      </c>
      <c r="V300" s="4">
        <f>M300-S300</f>
      </c>
      <c r="X300" s="4">
        <f>T300-W300</f>
      </c>
      <c r="AC300" t="s">
        <v>1</v>
      </c>
    </row>
    <row r="301" spans="1:29" x14ac:dyDescent="0.25">
      <c r="A301" s="8">
        <v>46181.5</v>
      </c>
      <c r="B301" t="s">
        <v>3572</v>
      </c>
      <c r="C301" t="s">
        <v>1</v>
      </c>
      <c r="D301" s="9" t="s">
        <v>1</v>
      </c>
      <c r="E301" t="s">
        <v>1</v>
      </c>
      <c r="F301" t="s">
        <v>1</v>
      </c>
      <c r="G301" t="s">
        <v>1</v>
      </c>
      <c r="H301" t="s">
        <v>102</v>
      </c>
      <c r="I301">
        <v>1</v>
      </c>
      <c r="J301" s="4">
        <v>171</v>
      </c>
      <c r="K301" s="4">
        <v>232.56</v>
      </c>
      <c r="L301" s="4">
        <f>K301-J301</f>
      </c>
      <c r="M301" s="4">
        <f>L301*16.67%</f>
      </c>
      <c r="N301" s="4">
        <v>10.72</v>
      </c>
      <c r="O301" s="4">
        <f>N301*20%</f>
      </c>
      <c r="P301" s="4">
        <v>0</v>
      </c>
      <c r="Q301" s="4">
        <f>P301*20%</f>
      </c>
      <c r="R301" s="4">
        <v>1</v>
      </c>
      <c r="S301" s="4">
        <f>Q301</f>
      </c>
      <c r="T301" s="4">
        <f>L301-M301-N301-P301-Q301-R301</f>
      </c>
      <c r="U301" s="4">
        <f>(T301-W301)/J301*100</f>
      </c>
      <c r="V301" s="4">
        <f>M301-S301</f>
      </c>
      <c r="X301" s="4">
        <f>T301-W301</f>
      </c>
      <c r="AC301" t="s">
        <v>1</v>
      </c>
    </row>
    <row r="302" spans="1:29" x14ac:dyDescent="0.25">
      <c r="A302" s="8">
        <v>46180.5</v>
      </c>
      <c r="B302" t="s">
        <v>3573</v>
      </c>
      <c r="C302" t="s">
        <v>1</v>
      </c>
      <c r="D302" s="9" t="s">
        <v>3574</v>
      </c>
      <c r="E302" t="s">
        <v>98</v>
      </c>
      <c r="F302" t="s">
        <v>59</v>
      </c>
      <c r="G302" t="s">
        <v>60</v>
      </c>
      <c r="H302" t="s">
        <v>61</v>
      </c>
      <c r="I302">
        <v>1</v>
      </c>
      <c r="J302" s="4">
        <v>298</v>
      </c>
      <c r="K302" s="4">
        <v>360.58</v>
      </c>
      <c r="L302" s="4">
        <f>K302-J302</f>
      </c>
      <c r="M302" s="4">
        <f>L302*16.67%</f>
      </c>
      <c r="N302" s="4">
        <v>16.62</v>
      </c>
      <c r="O302" s="4">
        <f>N302*20%</f>
      </c>
      <c r="P302" s="4">
        <v>0</v>
      </c>
      <c r="Q302" s="4">
        <f>P302*20%</f>
      </c>
      <c r="R302" s="4">
        <v>1</v>
      </c>
      <c r="S302" s="4">
        <f>Q302</f>
      </c>
      <c r="T302" s="4">
        <f>L302-M302-N302-P302-Q302-R302</f>
      </c>
      <c r="U302" s="4">
        <f>(T302-W302)/J302*100</f>
      </c>
      <c r="V302" s="4">
        <f>M302-S302</f>
      </c>
      <c r="X302" s="4">
        <f>T302-W302</f>
      </c>
      <c r="AC302" t="s">
        <v>1</v>
      </c>
    </row>
    <row r="303" spans="1:29" x14ac:dyDescent="0.25">
      <c r="A303" s="8">
        <v>46180.5</v>
      </c>
      <c r="B303" t="s">
        <v>3575</v>
      </c>
      <c r="C303" t="s">
        <v>1</v>
      </c>
      <c r="D303" s="9" t="s">
        <v>3576</v>
      </c>
      <c r="E303" t="s">
        <v>114</v>
      </c>
      <c r="F303" t="s">
        <v>59</v>
      </c>
      <c r="G303" t="s">
        <v>60</v>
      </c>
      <c r="H303" t="s">
        <v>61</v>
      </c>
      <c r="I303">
        <v>1</v>
      </c>
      <c r="J303" s="4">
        <v>246</v>
      </c>
      <c r="K303" s="4">
        <v>297.66</v>
      </c>
      <c r="L303" s="4">
        <f>K303-J303</f>
      </c>
      <c r="M303" s="4">
        <f>L303*16.67%</f>
      </c>
      <c r="N303" s="4">
        <v>13.72</v>
      </c>
      <c r="O303" s="4">
        <f>N303*20%</f>
      </c>
      <c r="P303" s="4">
        <v>0</v>
      </c>
      <c r="Q303" s="4">
        <f>P303*20%</f>
      </c>
      <c r="R303" s="4">
        <v>1</v>
      </c>
      <c r="S303" s="4">
        <f>Q303</f>
      </c>
      <c r="T303" s="4">
        <f>L303-M303-N303-P303-Q303-R303</f>
      </c>
      <c r="U303" s="4">
        <f>(T303-W303)/J303*100</f>
      </c>
      <c r="V303" s="4">
        <f>M303-S303</f>
      </c>
      <c r="X303" s="4">
        <f>T303-W303</f>
      </c>
      <c r="AC303" t="s">
        <v>1</v>
      </c>
    </row>
    <row r="304" spans="1:29" x14ac:dyDescent="0.25">
      <c r="A304" s="8">
        <v>46180.5</v>
      </c>
      <c r="B304" t="s">
        <v>3577</v>
      </c>
      <c r="C304" t="s">
        <v>1</v>
      </c>
      <c r="D304" s="9" t="s">
        <v>3578</v>
      </c>
      <c r="E304" t="s">
        <v>134</v>
      </c>
      <c r="F304" t="s">
        <v>99</v>
      </c>
      <c r="G304" t="s">
        <v>95</v>
      </c>
      <c r="H304" t="s">
        <v>66</v>
      </c>
      <c r="I304">
        <v>1</v>
      </c>
      <c r="J304" s="4">
        <v>126</v>
      </c>
      <c r="K304" s="4">
        <v>167.58</v>
      </c>
      <c r="L304" s="4">
        <f>K304-J304</f>
      </c>
      <c r="M304" s="4">
        <f>L304*16.67%</f>
      </c>
      <c r="N304" s="4">
        <v>7.73</v>
      </c>
      <c r="O304" s="4">
        <f>N304*20%</f>
      </c>
      <c r="P304" s="4">
        <v>0</v>
      </c>
      <c r="Q304" s="4">
        <f>P304*20%</f>
      </c>
      <c r="R304" s="4">
        <v>1</v>
      </c>
      <c r="S304" s="4">
        <f>Q304</f>
      </c>
      <c r="T304" s="4">
        <f>L304-M304-N304-P304-Q304-R304</f>
      </c>
      <c r="U304" s="4">
        <f>(T304-W304)/J304*100</f>
      </c>
      <c r="V304" s="4">
        <f>M304-S304</f>
      </c>
      <c r="X304" s="4">
        <f>T304-W304</f>
      </c>
      <c r="AC304" t="s">
        <v>1</v>
      </c>
    </row>
    <row r="305" spans="1:29" x14ac:dyDescent="0.25">
      <c r="A305" s="8">
        <v>46180.5</v>
      </c>
      <c r="B305" t="s">
        <v>3579</v>
      </c>
      <c r="C305" t="s">
        <v>1</v>
      </c>
      <c r="D305" s="9" t="s">
        <v>3580</v>
      </c>
      <c r="E305" t="s">
        <v>73</v>
      </c>
      <c r="F305" t="s">
        <v>99</v>
      </c>
      <c r="G305" t="s">
        <v>60</v>
      </c>
      <c r="H305" t="s">
        <v>66</v>
      </c>
      <c r="I305">
        <v>1</v>
      </c>
      <c r="J305" s="4">
        <v>353</v>
      </c>
      <c r="K305" s="4">
        <v>405.95</v>
      </c>
      <c r="L305" s="4">
        <f>K305-J305</f>
      </c>
      <c r="M305" s="4">
        <f>L305*16.67%</f>
      </c>
      <c r="N305" s="4">
        <v>18.71</v>
      </c>
      <c r="O305" s="4">
        <f>N305*20%</f>
      </c>
      <c r="P305" s="4">
        <v>0</v>
      </c>
      <c r="Q305" s="4">
        <f>P305*20%</f>
      </c>
      <c r="R305" s="4">
        <v>1</v>
      </c>
      <c r="S305" s="4">
        <f>Q305</f>
      </c>
      <c r="T305" s="4">
        <f>L305-M305-N305-P305-Q305-R305</f>
      </c>
      <c r="U305" s="4">
        <f>(T305-W305)/J305*100</f>
      </c>
      <c r="V305" s="4">
        <f>M305-S305</f>
      </c>
      <c r="X305" s="4">
        <f>T305-W305</f>
      </c>
      <c r="AC305" t="s">
        <v>1</v>
      </c>
    </row>
    <row r="306" spans="1:29" x14ac:dyDescent="0.25">
      <c r="A306" s="8">
        <v>46179.5</v>
      </c>
      <c r="B306" t="s">
        <v>3581</v>
      </c>
      <c r="C306" t="s">
        <v>1</v>
      </c>
      <c r="D306" s="9" t="s">
        <v>3582</v>
      </c>
      <c r="E306" t="s">
        <v>81</v>
      </c>
      <c r="F306" t="s">
        <v>85</v>
      </c>
      <c r="G306" t="s">
        <v>60</v>
      </c>
      <c r="H306" t="s">
        <v>61</v>
      </c>
      <c r="I306">
        <v>1</v>
      </c>
      <c r="J306" s="4">
        <v>554</v>
      </c>
      <c r="K306" s="4">
        <v>703.58</v>
      </c>
      <c r="L306" s="4">
        <f>K306-J306</f>
      </c>
      <c r="M306" s="4">
        <f>L306*16.67%</f>
      </c>
      <c r="N306" s="4">
        <v>32.44</v>
      </c>
      <c r="O306" s="4">
        <f>N306*20%</f>
      </c>
      <c r="P306" s="4">
        <v>0</v>
      </c>
      <c r="Q306" s="4">
        <f>P306*20%</f>
      </c>
      <c r="R306" s="4">
        <v>1</v>
      </c>
      <c r="S306" s="4">
        <f>Q306</f>
      </c>
      <c r="T306" s="4">
        <f>L306-M306-N306-P306-Q306-R306</f>
      </c>
      <c r="U306" s="4">
        <f>(T306-W306)/J306*100</f>
      </c>
      <c r="V306" s="4">
        <f>M306-S306</f>
      </c>
      <c r="X306" s="4">
        <f>T306-W306</f>
      </c>
      <c r="AC306" t="s">
        <v>1</v>
      </c>
    </row>
    <row r="307" spans="1:29" x14ac:dyDescent="0.25">
      <c r="A307" s="8">
        <v>46179.5</v>
      </c>
      <c r="B307" t="s">
        <v>3583</v>
      </c>
      <c r="C307" t="s">
        <v>1</v>
      </c>
      <c r="D307" s="9" t="s">
        <v>3584</v>
      </c>
      <c r="E307" t="s">
        <v>125</v>
      </c>
      <c r="F307" t="s">
        <v>74</v>
      </c>
      <c r="G307" t="s">
        <v>126</v>
      </c>
      <c r="H307" t="s">
        <v>78</v>
      </c>
      <c r="I307">
        <v>1</v>
      </c>
      <c r="J307" s="4">
        <v>230</v>
      </c>
      <c r="K307" s="4">
        <v>287.5</v>
      </c>
      <c r="L307" s="4">
        <f>K307-J307</f>
      </c>
      <c r="M307" s="4">
        <f>L307*16.67%</f>
      </c>
      <c r="N307" s="4">
        <v>13.25</v>
      </c>
      <c r="O307" s="4">
        <f>N307*20%</f>
      </c>
      <c r="P307" s="4">
        <v>0</v>
      </c>
      <c r="Q307" s="4">
        <f>P307*20%</f>
      </c>
      <c r="R307" s="4">
        <v>1</v>
      </c>
      <c r="S307" s="4">
        <f>Q307</f>
      </c>
      <c r="T307" s="4">
        <f>L307-M307-N307-P307-Q307-R307</f>
      </c>
      <c r="U307" s="4">
        <f>(T307-W307)/J307*100</f>
      </c>
      <c r="V307" s="4">
        <f>M307-S307</f>
      </c>
      <c r="X307" s="4">
        <f>T307-W307</f>
      </c>
      <c r="AC307" t="s">
        <v>1</v>
      </c>
    </row>
    <row r="308" spans="1:29" x14ac:dyDescent="0.25">
      <c r="A308" s="8">
        <v>46179.5</v>
      </c>
      <c r="B308" t="s">
        <v>3585</v>
      </c>
      <c r="C308" t="s">
        <v>1</v>
      </c>
      <c r="D308" s="9" t="s">
        <v>3586</v>
      </c>
      <c r="E308" t="s">
        <v>234</v>
      </c>
      <c r="F308" t="s">
        <v>70</v>
      </c>
      <c r="G308" t="s">
        <v>65</v>
      </c>
      <c r="H308" t="s">
        <v>66</v>
      </c>
      <c r="I308">
        <v>1</v>
      </c>
      <c r="J308" s="4">
        <v>184</v>
      </c>
      <c r="K308" s="4">
        <v>252.08</v>
      </c>
      <c r="L308" s="4">
        <f>K308-J308</f>
      </c>
      <c r="M308" s="4">
        <f>L308*16.67%</f>
      </c>
      <c r="N308" s="4">
        <v>11.62</v>
      </c>
      <c r="O308" s="4">
        <f>N308*20%</f>
      </c>
      <c r="P308" s="4">
        <v>0</v>
      </c>
      <c r="Q308" s="4">
        <f>P308*20%</f>
      </c>
      <c r="R308" s="4">
        <v>1</v>
      </c>
      <c r="S308" s="4">
        <f>Q308</f>
      </c>
      <c r="T308" s="4">
        <f>L308-M308-N308-P308-Q308-R308</f>
      </c>
      <c r="U308" s="4">
        <f>(T308-W308)/J308*100</f>
      </c>
      <c r="V308" s="4">
        <f>M308-S308</f>
      </c>
      <c r="X308" s="4">
        <f>T308-W308</f>
      </c>
      <c r="AC308" t="s">
        <v>1</v>
      </c>
    </row>
    <row r="309" spans="1:29" x14ac:dyDescent="0.25">
      <c r="A309" s="8">
        <v>46179.5</v>
      </c>
      <c r="B309" t="s">
        <v>3587</v>
      </c>
      <c r="C309" t="s">
        <v>1</v>
      </c>
      <c r="D309" s="9" t="s">
        <v>3588</v>
      </c>
      <c r="E309" t="s">
        <v>131</v>
      </c>
      <c r="F309" t="s">
        <v>70</v>
      </c>
      <c r="G309" t="s">
        <v>65</v>
      </c>
      <c r="H309" t="s">
        <v>78</v>
      </c>
      <c r="I309">
        <v>1</v>
      </c>
      <c r="J309" s="4">
        <v>330</v>
      </c>
      <c r="K309" s="4">
        <v>448.8</v>
      </c>
      <c r="L309" s="4">
        <f>K309-J309</f>
      </c>
      <c r="M309" s="4">
        <f>L309*16.67%</f>
      </c>
      <c r="N309" s="4">
        <v>20.69</v>
      </c>
      <c r="O309" s="4">
        <f>N309*20%</f>
      </c>
      <c r="P309" s="4">
        <v>0</v>
      </c>
      <c r="Q309" s="4">
        <f>P309*20%</f>
      </c>
      <c r="R309" s="4">
        <v>1</v>
      </c>
      <c r="S309" s="4">
        <f>Q309</f>
      </c>
      <c r="T309" s="4">
        <f>L309-M309-N309-P309-Q309-R309</f>
      </c>
      <c r="U309" s="4">
        <f>(T309-W309)/J309*100</f>
      </c>
      <c r="V309" s="4">
        <f>M309-S309</f>
      </c>
      <c r="X309" s="4">
        <f>T309-W309</f>
      </c>
      <c r="AC309" t="s">
        <v>1</v>
      </c>
    </row>
    <row r="310" spans="1:29" x14ac:dyDescent="0.25">
      <c r="A310" s="8">
        <v>46179.5</v>
      </c>
      <c r="B310" t="s">
        <v>3589</v>
      </c>
      <c r="C310" t="s">
        <v>1</v>
      </c>
      <c r="D310" s="9" t="s">
        <v>3590</v>
      </c>
      <c r="E310" t="s">
        <v>73</v>
      </c>
      <c r="F310" t="s">
        <v>99</v>
      </c>
      <c r="G310" t="s">
        <v>60</v>
      </c>
      <c r="H310" t="s">
        <v>75</v>
      </c>
      <c r="I310">
        <v>1</v>
      </c>
      <c r="J310" s="4">
        <v>370</v>
      </c>
      <c r="K310" s="4">
        <v>495.8</v>
      </c>
      <c r="L310" s="4">
        <f>K310-J310</f>
      </c>
      <c r="M310" s="4">
        <f>L310*16.67%</f>
      </c>
      <c r="N310" s="4">
        <v>22.86</v>
      </c>
      <c r="O310" s="4">
        <f>N310*20%</f>
      </c>
      <c r="P310" s="4">
        <v>0</v>
      </c>
      <c r="Q310" s="4">
        <f>P310*20%</f>
      </c>
      <c r="R310" s="4">
        <v>1</v>
      </c>
      <c r="S310" s="4">
        <f>Q310</f>
      </c>
      <c r="T310" s="4">
        <f>L310-M310-N310-P310-Q310-R310</f>
      </c>
      <c r="U310" s="4">
        <f>(T310-W310)/J310*100</f>
      </c>
      <c r="V310" s="4">
        <f>M310-S310</f>
      </c>
      <c r="X310" s="4">
        <f>T310-W310</f>
      </c>
      <c r="AC310" t="s">
        <v>1</v>
      </c>
    </row>
    <row r="311" spans="1:29" x14ac:dyDescent="0.25">
      <c r="A311" s="8">
        <v>46179.5</v>
      </c>
      <c r="B311" t="s">
        <v>3591</v>
      </c>
      <c r="C311" t="s">
        <v>1</v>
      </c>
      <c r="D311" s="9" t="s">
        <v>3592</v>
      </c>
      <c r="E311" t="s">
        <v>58</v>
      </c>
      <c r="F311" t="s">
        <v>85</v>
      </c>
      <c r="G311" t="s">
        <v>60</v>
      </c>
      <c r="H311" t="s">
        <v>102</v>
      </c>
      <c r="I311">
        <v>1</v>
      </c>
      <c r="J311" s="4">
        <v>470</v>
      </c>
      <c r="K311" s="4">
        <v>596.9</v>
      </c>
      <c r="L311" s="4">
        <f>K311-J311</f>
      </c>
      <c r="M311" s="4">
        <f>L311*16.67%</f>
      </c>
      <c r="N311" s="4">
        <v>27.52</v>
      </c>
      <c r="O311" s="4">
        <f>N311*20%</f>
      </c>
      <c r="P311" s="4">
        <v>0</v>
      </c>
      <c r="Q311" s="4">
        <f>P311*20%</f>
      </c>
      <c r="R311" s="4">
        <v>1</v>
      </c>
      <c r="S311" s="4">
        <f>Q311</f>
      </c>
      <c r="T311" s="4">
        <f>L311-M311-N311-P311-Q311-R311</f>
      </c>
      <c r="U311" s="4">
        <f>(T311-W311)/J311*100</f>
      </c>
      <c r="V311" s="4">
        <f>M311-S311</f>
      </c>
      <c r="X311" s="4">
        <f>T311-W311</f>
      </c>
      <c r="AC311" t="s">
        <v>1</v>
      </c>
    </row>
    <row r="312" spans="1:29" x14ac:dyDescent="0.25">
      <c r="A312" s="8">
        <v>46179.5</v>
      </c>
      <c r="B312" t="s">
        <v>3593</v>
      </c>
      <c r="C312" t="s">
        <v>182</v>
      </c>
      <c r="D312" s="9" t="s">
        <v>1</v>
      </c>
      <c r="E312" t="s">
        <v>182</v>
      </c>
      <c r="F312" t="s">
        <v>1</v>
      </c>
      <c r="G312" t="s">
        <v>1</v>
      </c>
      <c r="H312" t="s">
        <v>75</v>
      </c>
      <c r="I312">
        <v>3</v>
      </c>
      <c r="J312" s="4">
        <v>5.7</v>
      </c>
      <c r="K312" s="4">
        <v>7.24</v>
      </c>
      <c r="L312" s="4">
        <f>K312-J312</f>
      </c>
      <c r="M312" s="4">
        <f>L312*16.67%</f>
      </c>
      <c r="N312" s="4">
        <v>0.33</v>
      </c>
      <c r="O312" s="4">
        <f>N312*20%</f>
      </c>
      <c r="P312" s="4">
        <v>0</v>
      </c>
      <c r="Q312" s="4">
        <f>P312*20%</f>
      </c>
      <c r="R312" s="4">
        <v>0</v>
      </c>
      <c r="S312" s="4">
        <f>Q312</f>
      </c>
      <c r="T312" s="4">
        <f>L312-M312-N312-P312-Q312-R312</f>
      </c>
      <c r="U312" s="4">
        <f>(T312-W312)/J312*100</f>
      </c>
      <c r="V312" s="4">
        <f>M312-S312</f>
      </c>
      <c r="X312" s="4">
        <f>T312-W312</f>
      </c>
      <c r="AC312" t="s">
        <v>1</v>
      </c>
    </row>
    <row r="313" spans="1:29" x14ac:dyDescent="0.25">
      <c r="A313" s="8">
        <v>46179.5</v>
      </c>
      <c r="B313" t="s">
        <v>3594</v>
      </c>
      <c r="C313" t="s">
        <v>185</v>
      </c>
      <c r="D313" s="9" t="s">
        <v>1</v>
      </c>
      <c r="E313" t="s">
        <v>185</v>
      </c>
      <c r="F313" t="s">
        <v>1</v>
      </c>
      <c r="G313" t="s">
        <v>1</v>
      </c>
      <c r="H313" t="s">
        <v>102</v>
      </c>
      <c r="I313">
        <v>1</v>
      </c>
      <c r="J313" s="4">
        <v>1.2</v>
      </c>
      <c r="K313" s="4">
        <v>1.64</v>
      </c>
      <c r="L313" s="4">
        <f>K313-J313</f>
      </c>
      <c r="M313" s="4">
        <f>L313*16.67%</f>
      </c>
      <c r="N313" s="4">
        <v>0.08</v>
      </c>
      <c r="O313" s="4">
        <f>N313*20%</f>
      </c>
      <c r="P313" s="4">
        <v>0</v>
      </c>
      <c r="Q313" s="4">
        <f>P313*20%</f>
      </c>
      <c r="R313" s="4">
        <v>0</v>
      </c>
      <c r="S313" s="4">
        <f>Q313</f>
      </c>
      <c r="T313" s="4">
        <f>L313-M313-N313-P313-Q313-R313</f>
      </c>
      <c r="U313" s="4">
        <f>(T313-W313)/J313*100</f>
      </c>
      <c r="V313" s="4">
        <f>M313-S313</f>
      </c>
      <c r="X313" s="4">
        <f>T313-W313</f>
      </c>
      <c r="AC313" t="s">
        <v>1</v>
      </c>
    </row>
    <row r="314" spans="1:29" x14ac:dyDescent="0.25">
      <c r="A314" s="8">
        <v>46179.5</v>
      </c>
      <c r="B314" t="s">
        <v>3595</v>
      </c>
      <c r="C314" t="s">
        <v>1</v>
      </c>
      <c r="D314" s="9" t="s">
        <v>1</v>
      </c>
      <c r="E314" t="s">
        <v>1</v>
      </c>
      <c r="F314" t="s">
        <v>1</v>
      </c>
      <c r="G314" t="s">
        <v>1</v>
      </c>
      <c r="H314" t="s">
        <v>78</v>
      </c>
      <c r="I314">
        <v>1</v>
      </c>
      <c r="J314" s="4">
        <v>237</v>
      </c>
      <c r="K314" s="4">
        <v>331.8</v>
      </c>
      <c r="L314" s="4">
        <f>K314-J314</f>
      </c>
      <c r="M314" s="4">
        <f>L314*16.67%</f>
      </c>
      <c r="N314" s="4">
        <v>15.3</v>
      </c>
      <c r="O314" s="4">
        <f>N314*20%</f>
      </c>
      <c r="P314" s="4">
        <v>0</v>
      </c>
      <c r="Q314" s="4">
        <f>P314*20%</f>
      </c>
      <c r="R314" s="4">
        <v>1</v>
      </c>
      <c r="S314" s="4">
        <f>Q314</f>
      </c>
      <c r="T314" s="4">
        <f>L314-M314-N314-P314-Q314-R314</f>
      </c>
      <c r="U314" s="4">
        <f>(T314-W314)/J314*100</f>
      </c>
      <c r="V314" s="4">
        <f>M314-S314</f>
      </c>
      <c r="X314" s="4">
        <f>T314-W314</f>
      </c>
      <c r="AC314" t="s">
        <v>1</v>
      </c>
    </row>
    <row r="315" spans="1:29" x14ac:dyDescent="0.25">
      <c r="A315" s="8">
        <v>46179.5</v>
      </c>
      <c r="B315" t="s">
        <v>3596</v>
      </c>
      <c r="C315" t="s">
        <v>1</v>
      </c>
      <c r="D315" s="9" t="s">
        <v>1</v>
      </c>
      <c r="E315" t="s">
        <v>1</v>
      </c>
      <c r="F315" t="s">
        <v>1</v>
      </c>
      <c r="G315" t="s">
        <v>1</v>
      </c>
      <c r="H315" t="s">
        <v>78</v>
      </c>
      <c r="I315">
        <v>1</v>
      </c>
      <c r="J315" s="4">
        <v>173</v>
      </c>
      <c r="K315" s="4">
        <v>242.2</v>
      </c>
      <c r="L315" s="4">
        <f>K315-J315</f>
      </c>
      <c r="M315" s="4">
        <f>L315*16.67%</f>
      </c>
      <c r="N315" s="4">
        <v>11.17</v>
      </c>
      <c r="O315" s="4">
        <f>N315*20%</f>
      </c>
      <c r="P315" s="4">
        <v>0</v>
      </c>
      <c r="Q315" s="4">
        <f>P315*20%</f>
      </c>
      <c r="R315" s="4">
        <v>1</v>
      </c>
      <c r="S315" s="4">
        <f>Q315</f>
      </c>
      <c r="T315" s="4">
        <f>L315-M315-N315-P315-Q315-R315</f>
      </c>
      <c r="U315" s="4">
        <f>(T315-W315)/J315*100</f>
      </c>
      <c r="V315" s="4">
        <f>M315-S315</f>
      </c>
      <c r="X315" s="4">
        <f>T315-W315</f>
      </c>
      <c r="AC315" t="s">
        <v>1</v>
      </c>
    </row>
    <row r="316" spans="1:29" x14ac:dyDescent="0.25">
      <c r="A316" s="8">
        <v>46179.5</v>
      </c>
      <c r="B316" t="s">
        <v>3597</v>
      </c>
      <c r="C316" t="s">
        <v>189</v>
      </c>
      <c r="D316" s="9" t="s">
        <v>1</v>
      </c>
      <c r="E316" t="s">
        <v>189</v>
      </c>
      <c r="F316" t="s">
        <v>1</v>
      </c>
      <c r="G316" t="s">
        <v>1</v>
      </c>
      <c r="H316" t="s">
        <v>66</v>
      </c>
      <c r="I316">
        <v>3</v>
      </c>
      <c r="J316" s="4">
        <v>10.5</v>
      </c>
      <c r="K316" s="4">
        <v>13.96</v>
      </c>
      <c r="L316" s="4">
        <f>K316-J316</f>
      </c>
      <c r="M316" s="4">
        <f>L316*16.67%</f>
      </c>
      <c r="N316" s="4">
        <v>0.64</v>
      </c>
      <c r="O316" s="4">
        <f>N316*20%</f>
      </c>
      <c r="P316" s="4">
        <v>0</v>
      </c>
      <c r="Q316" s="4">
        <f>P316*20%</f>
      </c>
      <c r="R316" s="4">
        <v>0</v>
      </c>
      <c r="S316" s="4">
        <f>Q316</f>
      </c>
      <c r="T316" s="4">
        <f>L316-M316-N316-P316-Q316-R316</f>
      </c>
      <c r="U316" s="4">
        <f>(T316-W316)/J316*100</f>
      </c>
      <c r="V316" s="4">
        <f>M316-S316</f>
      </c>
      <c r="X316" s="4">
        <f>T316-W316</f>
      </c>
      <c r="AC316" t="s">
        <v>1</v>
      </c>
    </row>
    <row r="317" spans="1:29" x14ac:dyDescent="0.25">
      <c r="A317" s="8">
        <v>46178.5</v>
      </c>
      <c r="B317" t="s">
        <v>3598</v>
      </c>
      <c r="C317" t="s">
        <v>1</v>
      </c>
      <c r="D317" s="9" t="s">
        <v>3599</v>
      </c>
      <c r="E317" t="s">
        <v>64</v>
      </c>
      <c r="F317" t="s">
        <v>59</v>
      </c>
      <c r="G317" t="s">
        <v>65</v>
      </c>
      <c r="H317" t="s">
        <v>66</v>
      </c>
      <c r="I317">
        <v>1</v>
      </c>
      <c r="J317" s="4">
        <v>236</v>
      </c>
      <c r="K317" s="4">
        <v>295</v>
      </c>
      <c r="L317" s="4">
        <f>K317-J317</f>
      </c>
      <c r="M317" s="4">
        <f>L317*16.67%</f>
      </c>
      <c r="N317" s="4">
        <v>13.6</v>
      </c>
      <c r="O317" s="4">
        <f>N317*20%</f>
      </c>
      <c r="P317" s="4">
        <v>0</v>
      </c>
      <c r="Q317" s="4">
        <f>P317*20%</f>
      </c>
      <c r="R317" s="4">
        <v>1</v>
      </c>
      <c r="S317" s="4">
        <f>Q317</f>
      </c>
      <c r="T317" s="4">
        <f>L317-M317-N317-P317-Q317-R317</f>
      </c>
      <c r="U317" s="4">
        <f>(T317-W317)/J317*100</f>
      </c>
      <c r="V317" s="4">
        <f>M317-S317</f>
      </c>
      <c r="X317" s="4">
        <f>T317-W317</f>
      </c>
      <c r="AC317" t="s">
        <v>1</v>
      </c>
    </row>
    <row r="318" spans="1:29" x14ac:dyDescent="0.25">
      <c r="A318" s="8">
        <v>46178.5</v>
      </c>
      <c r="B318" t="s">
        <v>3600</v>
      </c>
      <c r="C318" t="s">
        <v>1</v>
      </c>
      <c r="D318" s="9" t="s">
        <v>3601</v>
      </c>
      <c r="E318" t="s">
        <v>134</v>
      </c>
      <c r="F318" t="s">
        <v>70</v>
      </c>
      <c r="G318" t="s">
        <v>95</v>
      </c>
      <c r="H318" t="s">
        <v>75</v>
      </c>
      <c r="I318">
        <v>1</v>
      </c>
      <c r="J318" s="4">
        <v>133</v>
      </c>
      <c r="K318" s="4">
        <v>174.23</v>
      </c>
      <c r="L318" s="4">
        <f>K318-J318</f>
      </c>
      <c r="M318" s="4">
        <f>L318*16.67%</f>
      </c>
      <c r="N318" s="4">
        <v>8.03</v>
      </c>
      <c r="O318" s="4">
        <f>N318*20%</f>
      </c>
      <c r="P318" s="4">
        <v>0</v>
      </c>
      <c r="Q318" s="4">
        <f>P318*20%</f>
      </c>
      <c r="R318" s="4">
        <v>1</v>
      </c>
      <c r="S318" s="4">
        <f>Q318</f>
      </c>
      <c r="T318" s="4">
        <f>L318-M318-N318-P318-Q318-R318</f>
      </c>
      <c r="U318" s="4">
        <f>(T318-W318)/J318*100</f>
      </c>
      <c r="V318" s="4">
        <f>M318-S318</f>
      </c>
      <c r="X318" s="4">
        <f>T318-W318</f>
      </c>
      <c r="AC318" t="s">
        <v>1</v>
      </c>
    </row>
    <row r="319" spans="1:29" x14ac:dyDescent="0.25">
      <c r="A319" s="8">
        <v>46178.5</v>
      </c>
      <c r="B319" t="s">
        <v>3602</v>
      </c>
      <c r="C319" t="s">
        <v>1</v>
      </c>
      <c r="D319" s="9" t="s">
        <v>3603</v>
      </c>
      <c r="E319" t="s">
        <v>172</v>
      </c>
      <c r="F319" t="s">
        <v>70</v>
      </c>
      <c r="G319" t="s">
        <v>65</v>
      </c>
      <c r="H319" t="s">
        <v>61</v>
      </c>
      <c r="I319">
        <v>1</v>
      </c>
      <c r="J319" s="4">
        <v>148</v>
      </c>
      <c r="K319" s="4">
        <v>205.72</v>
      </c>
      <c r="L319" s="4">
        <f>K319-J319</f>
      </c>
      <c r="M319" s="4">
        <f>L319*16.67%</f>
      </c>
      <c r="N319" s="4">
        <v>9.48</v>
      </c>
      <c r="O319" s="4">
        <f>N319*20%</f>
      </c>
      <c r="P319" s="4">
        <v>0</v>
      </c>
      <c r="Q319" s="4">
        <f>P319*20%</f>
      </c>
      <c r="R319" s="4">
        <v>1</v>
      </c>
      <c r="S319" s="4">
        <f>Q319</f>
      </c>
      <c r="T319" s="4">
        <f>L319-M319-N319-P319-Q319-R319</f>
      </c>
      <c r="U319" s="4">
        <f>(T319-W319)/J319*100</f>
      </c>
      <c r="V319" s="4">
        <f>M319-S319</f>
      </c>
      <c r="X319" s="4">
        <f>T319-W319</f>
      </c>
      <c r="AC319" t="s">
        <v>1</v>
      </c>
    </row>
    <row r="320" spans="1:29" x14ac:dyDescent="0.25">
      <c r="A320" s="8">
        <v>46178.5</v>
      </c>
      <c r="B320" t="s">
        <v>3604</v>
      </c>
      <c r="C320" t="s">
        <v>1</v>
      </c>
      <c r="D320" s="9" t="s">
        <v>3605</v>
      </c>
      <c r="E320" t="s">
        <v>81</v>
      </c>
      <c r="F320" t="s">
        <v>59</v>
      </c>
      <c r="G320" t="s">
        <v>60</v>
      </c>
      <c r="H320" t="s">
        <v>75</v>
      </c>
      <c r="I320">
        <v>1</v>
      </c>
      <c r="J320" s="4">
        <v>540</v>
      </c>
      <c r="K320" s="4">
        <v>772.2</v>
      </c>
      <c r="L320" s="4">
        <f>K320-J320</f>
      </c>
      <c r="M320" s="4">
        <f>L320*16.67%</f>
      </c>
      <c r="N320" s="4">
        <v>35.6</v>
      </c>
      <c r="O320" s="4">
        <f>N320*20%</f>
      </c>
      <c r="P320" s="4">
        <v>0</v>
      </c>
      <c r="Q320" s="4">
        <f>P320*20%</f>
      </c>
      <c r="R320" s="4">
        <v>1</v>
      </c>
      <c r="S320" s="4">
        <f>Q320</f>
      </c>
      <c r="T320" s="4">
        <f>L320-M320-N320-P320-Q320-R320</f>
      </c>
      <c r="U320" s="4">
        <f>(T320-W320)/J320*100</f>
      </c>
      <c r="V320" s="4">
        <f>M320-S320</f>
      </c>
      <c r="X320" s="4">
        <f>T320-W320</f>
      </c>
      <c r="AC320" t="s">
        <v>1</v>
      </c>
    </row>
    <row r="321" spans="1:29" x14ac:dyDescent="0.25">
      <c r="A321" s="8">
        <v>46178.5</v>
      </c>
      <c r="B321" t="s">
        <v>3606</v>
      </c>
      <c r="C321" t="s">
        <v>1</v>
      </c>
      <c r="D321" s="9" t="s">
        <v>3607</v>
      </c>
      <c r="E321" t="s">
        <v>73</v>
      </c>
      <c r="F321" t="s">
        <v>99</v>
      </c>
      <c r="G321" t="s">
        <v>60</v>
      </c>
      <c r="H321" t="s">
        <v>75</v>
      </c>
      <c r="I321">
        <v>1</v>
      </c>
      <c r="J321" s="4">
        <v>346</v>
      </c>
      <c r="K321" s="4">
        <v>453.26</v>
      </c>
      <c r="L321" s="4">
        <f>K321-J321</f>
      </c>
      <c r="M321" s="4">
        <f>L321*16.67%</f>
      </c>
      <c r="N321" s="4">
        <v>20.9</v>
      </c>
      <c r="O321" s="4">
        <f>N321*20%</f>
      </c>
      <c r="P321" s="4">
        <v>0</v>
      </c>
      <c r="Q321" s="4">
        <f>P321*20%</f>
      </c>
      <c r="R321" s="4">
        <v>1</v>
      </c>
      <c r="S321" s="4">
        <f>Q321</f>
      </c>
      <c r="T321" s="4">
        <f>L321-M321-N321-P321-Q321-R321</f>
      </c>
      <c r="U321" s="4">
        <f>(T321-W321)/J321*100</f>
      </c>
      <c r="V321" s="4">
        <f>M321-S321</f>
      </c>
      <c r="X321" s="4">
        <f>T321-W321</f>
      </c>
      <c r="AC321" t="s">
        <v>1</v>
      </c>
    </row>
    <row r="322" spans="1:29" x14ac:dyDescent="0.25">
      <c r="A322" s="8">
        <v>46178.5</v>
      </c>
      <c r="B322" t="s">
        <v>3608</v>
      </c>
      <c r="C322" t="s">
        <v>254</v>
      </c>
      <c r="D322" s="9" t="s">
        <v>1</v>
      </c>
      <c r="E322" t="s">
        <v>254</v>
      </c>
      <c r="F322" t="s">
        <v>1</v>
      </c>
      <c r="G322" t="s">
        <v>1</v>
      </c>
      <c r="H322" t="s">
        <v>61</v>
      </c>
      <c r="I322">
        <v>3</v>
      </c>
      <c r="J322" s="4">
        <v>2.4</v>
      </c>
      <c r="K322" s="4">
        <v>2.83</v>
      </c>
      <c r="L322" s="4">
        <f>K322-J322</f>
      </c>
      <c r="M322" s="4">
        <f>L322*16.67%</f>
      </c>
      <c r="N322" s="4">
        <v>0.13</v>
      </c>
      <c r="O322" s="4">
        <f>N322*20%</f>
      </c>
      <c r="P322" s="4">
        <v>0</v>
      </c>
      <c r="Q322" s="4">
        <f>P322*20%</f>
      </c>
      <c r="R322" s="4">
        <v>0</v>
      </c>
      <c r="S322" s="4">
        <f>Q322</f>
      </c>
      <c r="T322" s="4">
        <f>L322-M322-N322-P322-Q322-R322</f>
      </c>
      <c r="U322" s="4">
        <f>(T322-W322)/J322*100</f>
      </c>
      <c r="V322" s="4">
        <f>M322-S322</f>
      </c>
      <c r="X322" s="4">
        <f>T322-W322</f>
      </c>
      <c r="AC322" t="s">
        <v>1</v>
      </c>
    </row>
    <row r="323" spans="1:29" x14ac:dyDescent="0.25">
      <c r="A323" s="8">
        <v>46178.5</v>
      </c>
      <c r="B323" t="s">
        <v>3609</v>
      </c>
      <c r="C323" t="s">
        <v>185</v>
      </c>
      <c r="D323" s="9" t="s">
        <v>1</v>
      </c>
      <c r="E323" t="s">
        <v>185</v>
      </c>
      <c r="F323" t="s">
        <v>1</v>
      </c>
      <c r="G323" t="s">
        <v>1</v>
      </c>
      <c r="H323" t="s">
        <v>102</v>
      </c>
      <c r="I323">
        <v>4</v>
      </c>
      <c r="J323" s="4">
        <v>4.8</v>
      </c>
      <c r="K323" s="4">
        <v>5.9</v>
      </c>
      <c r="L323" s="4">
        <f>K323-J323</f>
      </c>
      <c r="M323" s="4">
        <f>L323*16.67%</f>
      </c>
      <c r="N323" s="4">
        <v>0.27</v>
      </c>
      <c r="O323" s="4">
        <f>N323*20%</f>
      </c>
      <c r="P323" s="4">
        <v>0</v>
      </c>
      <c r="Q323" s="4">
        <f>P323*20%</f>
      </c>
      <c r="R323" s="4">
        <v>0</v>
      </c>
      <c r="S323" s="4">
        <f>Q323</f>
      </c>
      <c r="T323" s="4">
        <f>L323-M323-N323-P323-Q323-R323</f>
      </c>
      <c r="U323" s="4">
        <f>(T323-W323)/J323*100</f>
      </c>
      <c r="V323" s="4">
        <f>M323-S323</f>
      </c>
      <c r="X323" s="4">
        <f>T323-W323</f>
      </c>
      <c r="AC323" t="s">
        <v>1</v>
      </c>
    </row>
    <row r="324" spans="1:29" x14ac:dyDescent="0.25">
      <c r="A324" s="8">
        <v>46178.5</v>
      </c>
      <c r="B324" t="s">
        <v>3610</v>
      </c>
      <c r="C324" t="s">
        <v>185</v>
      </c>
      <c r="D324" s="9" t="s">
        <v>1</v>
      </c>
      <c r="E324" t="s">
        <v>185</v>
      </c>
      <c r="F324" t="s">
        <v>1</v>
      </c>
      <c r="G324" t="s">
        <v>1</v>
      </c>
      <c r="H324" t="s">
        <v>102</v>
      </c>
      <c r="I324">
        <v>3</v>
      </c>
      <c r="J324" s="4">
        <v>3.6</v>
      </c>
      <c r="K324" s="4">
        <v>4.14</v>
      </c>
      <c r="L324" s="4">
        <f>K324-J324</f>
      </c>
      <c r="M324" s="4">
        <f>L324*16.67%</f>
      </c>
      <c r="N324" s="4">
        <v>0.19</v>
      </c>
      <c r="O324" s="4">
        <f>N324*20%</f>
      </c>
      <c r="P324" s="4">
        <v>0</v>
      </c>
      <c r="Q324" s="4">
        <f>P324*20%</f>
      </c>
      <c r="R324" s="4">
        <v>0</v>
      </c>
      <c r="S324" s="4">
        <f>Q324</f>
      </c>
      <c r="T324" s="4">
        <f>L324-M324-N324-P324-Q324-R324</f>
      </c>
      <c r="U324" s="4">
        <f>(T324-W324)/J324*100</f>
      </c>
      <c r="V324" s="4">
        <f>M324-S324</f>
      </c>
      <c r="X324" s="4">
        <f>T324-W324</f>
      </c>
      <c r="AC324" t="s">
        <v>1</v>
      </c>
    </row>
    <row r="325" spans="1:29" x14ac:dyDescent="0.25">
      <c r="A325" s="8">
        <v>46177.5</v>
      </c>
      <c r="B325" t="s">
        <v>3611</v>
      </c>
      <c r="C325" t="s">
        <v>1</v>
      </c>
      <c r="D325" s="9" t="s">
        <v>3612</v>
      </c>
      <c r="E325" t="s">
        <v>114</v>
      </c>
      <c r="F325" t="s">
        <v>88</v>
      </c>
      <c r="G325" t="s">
        <v>95</v>
      </c>
      <c r="H325" t="s">
        <v>75</v>
      </c>
      <c r="I325">
        <v>1</v>
      </c>
      <c r="J325" s="4">
        <v>201</v>
      </c>
      <c r="K325" s="4">
        <v>263.31</v>
      </c>
      <c r="L325" s="4">
        <f>K325-J325</f>
      </c>
      <c r="M325" s="4">
        <f>L325*16.67%</f>
      </c>
      <c r="N325" s="4">
        <v>12.14</v>
      </c>
      <c r="O325" s="4">
        <f>N325*20%</f>
      </c>
      <c r="P325" s="4">
        <v>0</v>
      </c>
      <c r="Q325" s="4">
        <f>P325*20%</f>
      </c>
      <c r="R325" s="4">
        <v>1</v>
      </c>
      <c r="S325" s="4">
        <f>Q325</f>
      </c>
      <c r="T325" s="4">
        <f>L325-M325-N325-P325-Q325-R325</f>
      </c>
      <c r="U325" s="4">
        <f>(T325-W325)/J325*100</f>
      </c>
      <c r="V325" s="4">
        <f>M325-S325</f>
      </c>
      <c r="X325" s="4">
        <f>T325-W325</f>
      </c>
      <c r="AC325" t="s">
        <v>1</v>
      </c>
    </row>
    <row r="326" spans="1:29" x14ac:dyDescent="0.25">
      <c r="A326" s="8">
        <v>46177.5</v>
      </c>
      <c r="B326" t="s">
        <v>3613</v>
      </c>
      <c r="C326" t="s">
        <v>1</v>
      </c>
      <c r="D326" s="9" t="s">
        <v>3614</v>
      </c>
      <c r="E326" t="s">
        <v>98</v>
      </c>
      <c r="F326" t="s">
        <v>74</v>
      </c>
      <c r="G326" t="s">
        <v>65</v>
      </c>
      <c r="H326" t="s">
        <v>66</v>
      </c>
      <c r="I326">
        <v>1</v>
      </c>
      <c r="J326" s="4">
        <v>284</v>
      </c>
      <c r="K326" s="4">
        <v>389.08</v>
      </c>
      <c r="L326" s="4">
        <f>K326-J326</f>
      </c>
      <c r="M326" s="4">
        <f>L326*16.67%</f>
      </c>
      <c r="N326" s="4">
        <v>17.94</v>
      </c>
      <c r="O326" s="4">
        <f>N326*20%</f>
      </c>
      <c r="P326" s="4">
        <v>0</v>
      </c>
      <c r="Q326" s="4">
        <f>P326*20%</f>
      </c>
      <c r="R326" s="4">
        <v>1</v>
      </c>
      <c r="S326" s="4">
        <f>Q326</f>
      </c>
      <c r="T326" s="4">
        <f>L326-M326-N326-P326-Q326-R326</f>
      </c>
      <c r="U326" s="4">
        <f>(T326-W326)/J326*100</f>
      </c>
      <c r="V326" s="4">
        <f>M326-S326</f>
      </c>
      <c r="X326" s="4">
        <f>T326-W326</f>
      </c>
      <c r="AC326" t="s">
        <v>1</v>
      </c>
    </row>
    <row r="327" spans="1:29" x14ac:dyDescent="0.25">
      <c r="A327" s="8">
        <v>46177.5</v>
      </c>
      <c r="B327" t="s">
        <v>3615</v>
      </c>
      <c r="C327" t="s">
        <v>1</v>
      </c>
      <c r="D327" s="9" t="s">
        <v>3616</v>
      </c>
      <c r="E327" t="s">
        <v>69</v>
      </c>
      <c r="F327" t="s">
        <v>99</v>
      </c>
      <c r="G327" t="s">
        <v>60</v>
      </c>
      <c r="H327" t="s">
        <v>78</v>
      </c>
      <c r="I327">
        <v>1</v>
      </c>
      <c r="J327" s="4">
        <v>534</v>
      </c>
      <c r="K327" s="4">
        <v>614.1</v>
      </c>
      <c r="L327" s="4">
        <f>K327-J327</f>
      </c>
      <c r="M327" s="4">
        <f>L327*16.67%</f>
      </c>
      <c r="N327" s="4">
        <v>28.31</v>
      </c>
      <c r="O327" s="4">
        <f>N327*20%</f>
      </c>
      <c r="P327" s="4">
        <v>0</v>
      </c>
      <c r="Q327" s="4">
        <f>P327*20%</f>
      </c>
      <c r="R327" s="4">
        <v>1</v>
      </c>
      <c r="S327" s="4">
        <f>Q327</f>
      </c>
      <c r="T327" s="4">
        <f>L327-M327-N327-P327-Q327-R327</f>
      </c>
      <c r="U327" s="4">
        <f>(T327-W327)/J327*100</f>
      </c>
      <c r="V327" s="4">
        <f>M327-S327</f>
      </c>
      <c r="X327" s="4">
        <f>T327-W327</f>
      </c>
      <c r="AC327" t="s">
        <v>1</v>
      </c>
    </row>
    <row r="328" spans="1:29" x14ac:dyDescent="0.25">
      <c r="A328" s="8">
        <v>46177.5</v>
      </c>
      <c r="B328" t="s">
        <v>3617</v>
      </c>
      <c r="C328" t="s">
        <v>1</v>
      </c>
      <c r="D328" s="9" t="s">
        <v>3618</v>
      </c>
      <c r="E328" t="s">
        <v>114</v>
      </c>
      <c r="F328" t="s">
        <v>70</v>
      </c>
      <c r="G328" t="s">
        <v>60</v>
      </c>
      <c r="H328" t="s">
        <v>61</v>
      </c>
      <c r="I328">
        <v>1</v>
      </c>
      <c r="J328" s="4">
        <v>221</v>
      </c>
      <c r="K328" s="4">
        <v>289.51</v>
      </c>
      <c r="L328" s="4">
        <f>K328-J328</f>
      </c>
      <c r="M328" s="4">
        <f>L328*16.67%</f>
      </c>
      <c r="N328" s="4">
        <v>13.35</v>
      </c>
      <c r="O328" s="4">
        <f>N328*20%</f>
      </c>
      <c r="P328" s="4">
        <v>0</v>
      </c>
      <c r="Q328" s="4">
        <f>P328*20%</f>
      </c>
      <c r="R328" s="4">
        <v>1</v>
      </c>
      <c r="S328" s="4">
        <f>Q328</f>
      </c>
      <c r="T328" s="4">
        <f>L328-M328-N328-P328-Q328-R328</f>
      </c>
      <c r="U328" s="4">
        <f>(T328-W328)/J328*100</f>
      </c>
      <c r="V328" s="4">
        <f>M328-S328</f>
      </c>
      <c r="X328" s="4">
        <f>T328-W328</f>
      </c>
      <c r="AC328" t="s">
        <v>1</v>
      </c>
    </row>
    <row r="329" spans="1:29" x14ac:dyDescent="0.25">
      <c r="A329" s="8">
        <v>46177.5</v>
      </c>
      <c r="B329" t="s">
        <v>3619</v>
      </c>
      <c r="C329" t="s">
        <v>185</v>
      </c>
      <c r="D329" s="9" t="s">
        <v>1</v>
      </c>
      <c r="E329" t="s">
        <v>185</v>
      </c>
      <c r="F329" t="s">
        <v>1</v>
      </c>
      <c r="G329" t="s">
        <v>1</v>
      </c>
      <c r="H329" t="s">
        <v>102</v>
      </c>
      <c r="I329">
        <v>2</v>
      </c>
      <c r="J329" s="4">
        <v>2.4</v>
      </c>
      <c r="K329" s="4">
        <v>2.81</v>
      </c>
      <c r="L329" s="4">
        <f>K329-J329</f>
      </c>
      <c r="M329" s="4">
        <f>L329*16.67%</f>
      </c>
      <c r="N329" s="4">
        <v>0.13</v>
      </c>
      <c r="O329" s="4">
        <f>N329*20%</f>
      </c>
      <c r="P329" s="4">
        <v>0</v>
      </c>
      <c r="Q329" s="4">
        <f>P329*20%</f>
      </c>
      <c r="R329" s="4">
        <v>0</v>
      </c>
      <c r="S329" s="4">
        <f>Q329</f>
      </c>
      <c r="T329" s="4">
        <f>L329-M329-N329-P329-Q329-R329</f>
      </c>
      <c r="U329" s="4">
        <f>(T329-W329)/J329*100</f>
      </c>
      <c r="V329" s="4">
        <f>M329-S329</f>
      </c>
      <c r="X329" s="4">
        <f>T329-W329</f>
      </c>
      <c r="AC329" t="s">
        <v>1</v>
      </c>
    </row>
    <row r="330" spans="1:29" x14ac:dyDescent="0.25">
      <c r="A330" s="8">
        <v>46176.5</v>
      </c>
      <c r="B330" t="s">
        <v>3620</v>
      </c>
      <c r="C330" t="s">
        <v>1</v>
      </c>
      <c r="D330" s="9" t="s">
        <v>3621</v>
      </c>
      <c r="E330" t="s">
        <v>131</v>
      </c>
      <c r="F330" t="s">
        <v>85</v>
      </c>
      <c r="G330" t="s">
        <v>60</v>
      </c>
      <c r="H330" t="s">
        <v>75</v>
      </c>
      <c r="I330">
        <v>1</v>
      </c>
      <c r="J330" s="4">
        <v>339</v>
      </c>
      <c r="K330" s="4">
        <v>430.53</v>
      </c>
      <c r="L330" s="4">
        <f>K330-J330</f>
      </c>
      <c r="M330" s="4">
        <f>L330*16.67%</f>
      </c>
      <c r="N330" s="4">
        <v>19.85</v>
      </c>
      <c r="O330" s="4">
        <f>N330*20%</f>
      </c>
      <c r="P330" s="4">
        <v>0</v>
      </c>
      <c r="Q330" s="4">
        <f>P330*20%</f>
      </c>
      <c r="R330" s="4">
        <v>1</v>
      </c>
      <c r="S330" s="4">
        <f>Q330</f>
      </c>
      <c r="T330" s="4">
        <f>L330-M330-N330-P330-Q330-R330</f>
      </c>
      <c r="U330" s="4">
        <f>(T330-W330)/J330*100</f>
      </c>
      <c r="V330" s="4">
        <f>M330-S330</f>
      </c>
      <c r="X330" s="4">
        <f>T330-W330</f>
      </c>
      <c r="AC330" t="s">
        <v>1</v>
      </c>
    </row>
    <row r="331" spans="1:29" x14ac:dyDescent="0.25">
      <c r="A331" s="8">
        <v>46176.5</v>
      </c>
      <c r="B331" t="s">
        <v>3622</v>
      </c>
      <c r="C331" t="s">
        <v>1</v>
      </c>
      <c r="D331" s="9" t="s">
        <v>3623</v>
      </c>
      <c r="E331" t="s">
        <v>64</v>
      </c>
      <c r="F331" t="s">
        <v>88</v>
      </c>
      <c r="G331" t="s">
        <v>65</v>
      </c>
      <c r="H331" t="s">
        <v>66</v>
      </c>
      <c r="I331">
        <v>1</v>
      </c>
      <c r="J331" s="4">
        <v>229</v>
      </c>
      <c r="K331" s="4">
        <v>313.73</v>
      </c>
      <c r="L331" s="4">
        <f>K331-J331</f>
      </c>
      <c r="M331" s="4">
        <f>L331*16.67%</f>
      </c>
      <c r="N331" s="4">
        <v>14.46</v>
      </c>
      <c r="O331" s="4">
        <f>N331*20%</f>
      </c>
      <c r="P331" s="4">
        <v>0</v>
      </c>
      <c r="Q331" s="4">
        <f>P331*20%</f>
      </c>
      <c r="R331" s="4">
        <v>1</v>
      </c>
      <c r="S331" s="4">
        <f>Q331</f>
      </c>
      <c r="T331" s="4">
        <f>L331-M331-N331-P331-Q331-R331</f>
      </c>
      <c r="U331" s="4">
        <f>(T331-W331)/J331*100</f>
      </c>
      <c r="V331" s="4">
        <f>M331-S331</f>
      </c>
      <c r="X331" s="4">
        <f>T331-W331</f>
      </c>
      <c r="AC331" t="s">
        <v>1</v>
      </c>
    </row>
    <row r="332" spans="1:29" x14ac:dyDescent="0.25">
      <c r="A332" s="8">
        <v>46175.5</v>
      </c>
      <c r="B332" t="s">
        <v>3624</v>
      </c>
      <c r="C332" t="s">
        <v>1</v>
      </c>
      <c r="D332" s="9" t="s">
        <v>3625</v>
      </c>
      <c r="E332" t="s">
        <v>58</v>
      </c>
      <c r="F332" t="s">
        <v>85</v>
      </c>
      <c r="G332" t="s">
        <v>60</v>
      </c>
      <c r="H332" t="s">
        <v>61</v>
      </c>
      <c r="I332">
        <v>1</v>
      </c>
      <c r="J332" s="4">
        <v>477</v>
      </c>
      <c r="K332" s="4">
        <v>691.65</v>
      </c>
      <c r="L332" s="4">
        <f>K332-J332</f>
      </c>
      <c r="M332" s="4">
        <f>L332*16.67%</f>
      </c>
      <c r="N332" s="4">
        <v>31.89</v>
      </c>
      <c r="O332" s="4">
        <f>N332*20%</f>
      </c>
      <c r="P332" s="4">
        <v>0</v>
      </c>
      <c r="Q332" s="4">
        <f>P332*20%</f>
      </c>
      <c r="R332" s="4">
        <v>1</v>
      </c>
      <c r="S332" s="4">
        <f>Q332</f>
      </c>
      <c r="T332" s="4">
        <f>L332-M332-N332-P332-Q332-R332</f>
      </c>
      <c r="U332" s="4">
        <f>(T332-W332)/J332*100</f>
      </c>
      <c r="V332" s="4">
        <f>M332-S332</f>
      </c>
      <c r="X332" s="4">
        <f>T332-W332</f>
      </c>
      <c r="AC332" t="s">
        <v>1</v>
      </c>
    </row>
    <row r="333" spans="1:29" x14ac:dyDescent="0.25">
      <c r="A333" s="8">
        <v>46175.5</v>
      </c>
      <c r="B333" t="s">
        <v>3626</v>
      </c>
      <c r="C333" t="s">
        <v>1</v>
      </c>
      <c r="D333" s="9" t="s">
        <v>3627</v>
      </c>
      <c r="E333" t="s">
        <v>172</v>
      </c>
      <c r="F333" t="s">
        <v>74</v>
      </c>
      <c r="G333" t="s">
        <v>65</v>
      </c>
      <c r="H333" t="s">
        <v>78</v>
      </c>
      <c r="I333">
        <v>1</v>
      </c>
      <c r="J333" s="4">
        <v>146</v>
      </c>
      <c r="K333" s="4">
        <v>179.58</v>
      </c>
      <c r="L333" s="4">
        <f>K333-J333</f>
      </c>
      <c r="M333" s="4">
        <f>L333*16.67%</f>
      </c>
      <c r="N333" s="4">
        <v>8.28</v>
      </c>
      <c r="O333" s="4">
        <f>N333*20%</f>
      </c>
      <c r="P333" s="4">
        <v>0</v>
      </c>
      <c r="Q333" s="4">
        <f>P333*20%</f>
      </c>
      <c r="R333" s="4">
        <v>1</v>
      </c>
      <c r="S333" s="4">
        <f>Q333</f>
      </c>
      <c r="T333" s="4">
        <f>L333-M333-N333-P333-Q333-R333</f>
      </c>
      <c r="U333" s="4">
        <f>(T333-W333)/J333*100</f>
      </c>
      <c r="V333" s="4">
        <f>M333-S333</f>
      </c>
      <c r="X333" s="4">
        <f>T333-W333</f>
      </c>
      <c r="AC333" t="s">
        <v>1</v>
      </c>
    </row>
    <row r="334" spans="1:29" x14ac:dyDescent="0.25">
      <c r="A334" s="8">
        <v>46175.5</v>
      </c>
      <c r="B334" t="s">
        <v>3628</v>
      </c>
      <c r="C334" t="s">
        <v>1</v>
      </c>
      <c r="D334" s="9" t="s">
        <v>3629</v>
      </c>
      <c r="E334" t="s">
        <v>131</v>
      </c>
      <c r="F334" t="s">
        <v>99</v>
      </c>
      <c r="G334" t="s">
        <v>60</v>
      </c>
      <c r="H334" t="s">
        <v>102</v>
      </c>
      <c r="I334">
        <v>1</v>
      </c>
      <c r="J334" s="4">
        <v>292</v>
      </c>
      <c r="K334" s="4">
        <v>376.68</v>
      </c>
      <c r="L334" s="4">
        <f>K334-J334</f>
      </c>
      <c r="M334" s="4">
        <f>L334*16.67%</f>
      </c>
      <c r="N334" s="4">
        <v>17.36</v>
      </c>
      <c r="O334" s="4">
        <f>N334*20%</f>
      </c>
      <c r="P334" s="4">
        <v>0</v>
      </c>
      <c r="Q334" s="4">
        <f>P334*20%</f>
      </c>
      <c r="R334" s="4">
        <v>1</v>
      </c>
      <c r="S334" s="4">
        <f>Q334</f>
      </c>
      <c r="T334" s="4">
        <f>L334-M334-N334-P334-Q334-R334</f>
      </c>
      <c r="U334" s="4">
        <f>(T334-W334)/J334*100</f>
      </c>
      <c r="V334" s="4">
        <f>M334-S334</f>
      </c>
      <c r="X334" s="4">
        <f>T334-W334</f>
      </c>
      <c r="AC334" t="s">
        <v>1</v>
      </c>
    </row>
    <row r="335" spans="1:29" x14ac:dyDescent="0.25">
      <c r="A335" s="8">
        <v>46175.5</v>
      </c>
      <c r="B335" t="s">
        <v>3630</v>
      </c>
      <c r="C335" t="s">
        <v>1</v>
      </c>
      <c r="D335" s="9" t="s">
        <v>3631</v>
      </c>
      <c r="E335" t="s">
        <v>134</v>
      </c>
      <c r="F335" t="s">
        <v>99</v>
      </c>
      <c r="G335" t="s">
        <v>65</v>
      </c>
      <c r="H335" t="s">
        <v>102</v>
      </c>
      <c r="I335">
        <v>1</v>
      </c>
      <c r="J335" s="4">
        <v>125</v>
      </c>
      <c r="K335" s="4">
        <v>172.5</v>
      </c>
      <c r="L335" s="4">
        <f>K335-J335</f>
      </c>
      <c r="M335" s="4">
        <f>L335*16.67%</f>
      </c>
      <c r="N335" s="4">
        <v>7.95</v>
      </c>
      <c r="O335" s="4">
        <f>N335*20%</f>
      </c>
      <c r="P335" s="4">
        <v>0</v>
      </c>
      <c r="Q335" s="4">
        <f>P335*20%</f>
      </c>
      <c r="R335" s="4">
        <v>1</v>
      </c>
      <c r="S335" s="4">
        <f>Q335</f>
      </c>
      <c r="T335" s="4">
        <f>L335-M335-N335-P335-Q335-R335</f>
      </c>
      <c r="U335" s="4">
        <f>(T335-W335)/J335*100</f>
      </c>
      <c r="V335" s="4">
        <f>M335-S335</f>
      </c>
      <c r="X335" s="4">
        <f>T335-W335</f>
      </c>
      <c r="AC335" t="s">
        <v>1</v>
      </c>
    </row>
    <row r="336" spans="1:29" x14ac:dyDescent="0.25">
      <c r="A336" s="8">
        <v>46175.5</v>
      </c>
      <c r="B336" t="s">
        <v>3632</v>
      </c>
      <c r="C336" t="s">
        <v>1</v>
      </c>
      <c r="D336" s="9" t="s">
        <v>3633</v>
      </c>
      <c r="E336" t="s">
        <v>172</v>
      </c>
      <c r="F336" t="s">
        <v>85</v>
      </c>
      <c r="G336" t="s">
        <v>65</v>
      </c>
      <c r="H336" t="s">
        <v>78</v>
      </c>
      <c r="I336">
        <v>1</v>
      </c>
      <c r="J336" s="4">
        <v>154</v>
      </c>
      <c r="K336" s="4">
        <v>217.14</v>
      </c>
      <c r="L336" s="4">
        <f>K336-J336</f>
      </c>
      <c r="M336" s="4">
        <f>L336*16.67%</f>
      </c>
      <c r="N336" s="4">
        <v>10.01</v>
      </c>
      <c r="O336" s="4">
        <f>N336*20%</f>
      </c>
      <c r="P336" s="4">
        <v>0</v>
      </c>
      <c r="Q336" s="4">
        <f>P336*20%</f>
      </c>
      <c r="R336" s="4">
        <v>1</v>
      </c>
      <c r="S336" s="4">
        <f>Q336</f>
      </c>
      <c r="T336" s="4">
        <f>L336-M336-N336-P336-Q336-R336</f>
      </c>
      <c r="U336" s="4">
        <f>(T336-W336)/J336*100</f>
      </c>
      <c r="V336" s="4">
        <f>M336-S336</f>
      </c>
      <c r="X336" s="4">
        <f>T336-W336</f>
      </c>
      <c r="AC336" t="s">
        <v>1</v>
      </c>
    </row>
    <row r="337" spans="1:29" x14ac:dyDescent="0.25">
      <c r="A337" s="8">
        <v>46175.5</v>
      </c>
      <c r="B337" t="s">
        <v>3634</v>
      </c>
      <c r="C337" t="s">
        <v>182</v>
      </c>
      <c r="D337" s="9" t="s">
        <v>1</v>
      </c>
      <c r="E337" t="s">
        <v>182</v>
      </c>
      <c r="F337" t="s">
        <v>1</v>
      </c>
      <c r="G337" t="s">
        <v>1</v>
      </c>
      <c r="H337" t="s">
        <v>75</v>
      </c>
      <c r="I337">
        <v>1</v>
      </c>
      <c r="J337" s="4">
        <v>1.9</v>
      </c>
      <c r="K337" s="4">
        <v>2.74</v>
      </c>
      <c r="L337" s="4">
        <f>K337-J337</f>
      </c>
      <c r="M337" s="4">
        <f>L337*16.67%</f>
      </c>
      <c r="N337" s="4">
        <v>0.13</v>
      </c>
      <c r="O337" s="4">
        <f>N337*20%</f>
      </c>
      <c r="P337" s="4">
        <v>0</v>
      </c>
      <c r="Q337" s="4">
        <f>P337*20%</f>
      </c>
      <c r="R337" s="4">
        <v>0</v>
      </c>
      <c r="S337" s="4">
        <f>Q337</f>
      </c>
      <c r="T337" s="4">
        <f>L337-M337-N337-P337-Q337-R337</f>
      </c>
      <c r="U337" s="4">
        <f>(T337-W337)/J337*100</f>
      </c>
      <c r="V337" s="4">
        <f>M337-S337</f>
      </c>
      <c r="X337" s="4">
        <f>T337-W337</f>
      </c>
      <c r="AC337" t="s">
        <v>1</v>
      </c>
    </row>
    <row r="338" spans="1:29" x14ac:dyDescent="0.25">
      <c r="A338" s="8">
        <v>46175.5</v>
      </c>
      <c r="B338" t="s">
        <v>3635</v>
      </c>
      <c r="C338" t="s">
        <v>177</v>
      </c>
      <c r="D338" s="9" t="s">
        <v>1</v>
      </c>
      <c r="E338" t="s">
        <v>177</v>
      </c>
      <c r="F338" t="s">
        <v>1</v>
      </c>
      <c r="G338" t="s">
        <v>1</v>
      </c>
      <c r="H338" t="s">
        <v>78</v>
      </c>
      <c r="I338">
        <v>2</v>
      </c>
      <c r="J338" s="4">
        <v>0.3</v>
      </c>
      <c r="K338" s="4">
        <v>0.43</v>
      </c>
      <c r="L338" s="4">
        <f>K338-J338</f>
      </c>
      <c r="M338" s="4">
        <f>L338*16.67%</f>
      </c>
      <c r="N338" s="4">
        <v>0.02</v>
      </c>
      <c r="O338" s="4">
        <f>N338*20%</f>
      </c>
      <c r="P338" s="4">
        <v>0</v>
      </c>
      <c r="Q338" s="4">
        <f>P338*20%</f>
      </c>
      <c r="R338" s="4">
        <v>0</v>
      </c>
      <c r="S338" s="4">
        <f>Q338</f>
      </c>
      <c r="T338" s="4">
        <f>L338-M338-N338-P338-Q338-R338</f>
      </c>
      <c r="U338" s="4">
        <f>(T338-W338)/J338*100</f>
      </c>
      <c r="V338" s="4">
        <f>M338-S338</f>
      </c>
      <c r="X338" s="4">
        <f>T338-W338</f>
      </c>
      <c r="AC338" t="s">
        <v>1</v>
      </c>
    </row>
    <row r="339" spans="1:29" x14ac:dyDescent="0.25">
      <c r="A339" s="8">
        <v>46174.5</v>
      </c>
      <c r="B339" t="s">
        <v>3636</v>
      </c>
      <c r="C339" t="s">
        <v>1</v>
      </c>
      <c r="D339" s="9" t="s">
        <v>3637</v>
      </c>
      <c r="E339" t="s">
        <v>134</v>
      </c>
      <c r="F339" t="s">
        <v>59</v>
      </c>
      <c r="G339" t="s">
        <v>65</v>
      </c>
      <c r="H339" t="s">
        <v>78</v>
      </c>
      <c r="I339">
        <v>1</v>
      </c>
      <c r="J339" s="4">
        <v>125</v>
      </c>
      <c r="K339" s="4">
        <v>148.75</v>
      </c>
      <c r="L339" s="4">
        <f>K339-J339</f>
      </c>
      <c r="M339" s="4">
        <f>L339*16.67%</f>
      </c>
      <c r="N339" s="4">
        <v>6.86</v>
      </c>
      <c r="O339" s="4">
        <f>N339*20%</f>
      </c>
      <c r="P339" s="4">
        <v>0</v>
      </c>
      <c r="Q339" s="4">
        <f>P339*20%</f>
      </c>
      <c r="R339" s="4">
        <v>1</v>
      </c>
      <c r="S339" s="4">
        <f>Q339</f>
      </c>
      <c r="T339" s="4">
        <f>L339-M339-N339-P339-Q339-R339</f>
      </c>
      <c r="U339" s="4">
        <f>(T339-W339)/J339*100</f>
      </c>
      <c r="V339" s="4">
        <f>M339-S339</f>
      </c>
      <c r="X339" s="4">
        <f>T339-W339</f>
      </c>
      <c r="AC339" t="s">
        <v>1</v>
      </c>
    </row>
    <row r="340" spans="1:29" x14ac:dyDescent="0.25">
      <c r="A340" s="8">
        <v>46174.5</v>
      </c>
      <c r="B340" t="s">
        <v>3638</v>
      </c>
      <c r="C340" t="s">
        <v>1</v>
      </c>
      <c r="D340" s="9" t="s">
        <v>3639</v>
      </c>
      <c r="E340" t="s">
        <v>58</v>
      </c>
      <c r="F340" t="s">
        <v>74</v>
      </c>
      <c r="G340" t="s">
        <v>60</v>
      </c>
      <c r="H340" t="s">
        <v>78</v>
      </c>
      <c r="I340">
        <v>1</v>
      </c>
      <c r="J340" s="4">
        <v>436</v>
      </c>
      <c r="K340" s="4">
        <v>592.96</v>
      </c>
      <c r="L340" s="4">
        <f>K340-J340</f>
      </c>
      <c r="M340" s="4">
        <f>L340*16.67%</f>
      </c>
      <c r="N340" s="4">
        <v>27.34</v>
      </c>
      <c r="O340" s="4">
        <f>N340*20%</f>
      </c>
      <c r="P340" s="4">
        <v>0</v>
      </c>
      <c r="Q340" s="4">
        <f>P340*20%</f>
      </c>
      <c r="R340" s="4">
        <v>1</v>
      </c>
      <c r="S340" s="4">
        <f>Q340</f>
      </c>
      <c r="T340" s="4">
        <f>L340-M340-N340-P340-Q340-R340</f>
      </c>
      <c r="U340" s="4">
        <f>(T340-W340)/J340*100</f>
      </c>
      <c r="V340" s="4">
        <f>M340-S340</f>
      </c>
      <c r="X340" s="4">
        <f>T340-W340</f>
      </c>
      <c r="AC340" t="s">
        <v>1</v>
      </c>
    </row>
    <row r="341" spans="1:29" x14ac:dyDescent="0.25">
      <c r="A341" s="8">
        <v>46174.5</v>
      </c>
      <c r="B341" t="s">
        <v>3640</v>
      </c>
      <c r="C341" t="s">
        <v>1</v>
      </c>
      <c r="D341" s="9" t="s">
        <v>3641</v>
      </c>
      <c r="E341" t="s">
        <v>81</v>
      </c>
      <c r="F341" t="s">
        <v>74</v>
      </c>
      <c r="G341" t="s">
        <v>65</v>
      </c>
      <c r="H341" t="s">
        <v>75</v>
      </c>
      <c r="I341">
        <v>1</v>
      </c>
      <c r="J341" s="4">
        <v>587</v>
      </c>
      <c r="K341" s="4">
        <v>680.92</v>
      </c>
      <c r="L341" s="4">
        <f>K341-J341</f>
      </c>
      <c r="M341" s="4">
        <f>L341*16.67%</f>
      </c>
      <c r="N341" s="4">
        <v>31.39</v>
      </c>
      <c r="O341" s="4">
        <f>N341*20%</f>
      </c>
      <c r="P341" s="4">
        <v>0</v>
      </c>
      <c r="Q341" s="4">
        <f>P341*20%</f>
      </c>
      <c r="R341" s="4">
        <v>1</v>
      </c>
      <c r="S341" s="4">
        <f>Q341</f>
      </c>
      <c r="T341" s="4">
        <f>L341-M341-N341-P341-Q341-R341</f>
      </c>
      <c r="U341" s="4">
        <f>(T341-W341)/J341*100</f>
      </c>
      <c r="V341" s="4">
        <f>M341-S341</f>
      </c>
      <c r="X341" s="4">
        <f>T341-W341</f>
      </c>
      <c r="AC341" t="s">
        <v>1</v>
      </c>
    </row>
    <row r="342" spans="1:29" x14ac:dyDescent="0.25">
      <c r="A342" s="8">
        <v>46174.5</v>
      </c>
      <c r="B342" t="s">
        <v>3642</v>
      </c>
      <c r="C342" t="s">
        <v>1</v>
      </c>
      <c r="D342" s="9" t="s">
        <v>3643</v>
      </c>
      <c r="E342" t="s">
        <v>58</v>
      </c>
      <c r="F342" t="s">
        <v>99</v>
      </c>
      <c r="G342" t="s">
        <v>60</v>
      </c>
      <c r="H342" t="s">
        <v>66</v>
      </c>
      <c r="I342">
        <v>1</v>
      </c>
      <c r="J342" s="4">
        <v>427</v>
      </c>
      <c r="K342" s="4">
        <v>499.59</v>
      </c>
      <c r="L342" s="4">
        <f>K342-J342</f>
      </c>
      <c r="M342" s="4">
        <f>L342*16.67%</f>
      </c>
      <c r="N342" s="4">
        <v>23.03</v>
      </c>
      <c r="O342" s="4">
        <f>N342*20%</f>
      </c>
      <c r="P342" s="4">
        <v>0</v>
      </c>
      <c r="Q342" s="4">
        <f>P342*20%</f>
      </c>
      <c r="R342" s="4">
        <v>1</v>
      </c>
      <c r="S342" s="4">
        <f>Q342</f>
      </c>
      <c r="T342" s="4">
        <f>L342-M342-N342-P342-Q342-R342</f>
      </c>
      <c r="U342" s="4">
        <f>(T342-W342)/J342*100</f>
      </c>
      <c r="V342" s="4">
        <f>M342-S342</f>
      </c>
      <c r="X342" s="4">
        <f>T342-W342</f>
      </c>
      <c r="AC342" t="s">
        <v>1</v>
      </c>
    </row>
    <row r="343" spans="1:29" x14ac:dyDescent="0.25">
      <c r="A343" s="8">
        <v>46174.5</v>
      </c>
      <c r="B343" t="s">
        <v>3644</v>
      </c>
      <c r="C343" t="s">
        <v>182</v>
      </c>
      <c r="D343" s="9" t="s">
        <v>1</v>
      </c>
      <c r="E343" t="s">
        <v>182</v>
      </c>
      <c r="F343" t="s">
        <v>1</v>
      </c>
      <c r="G343" t="s">
        <v>1</v>
      </c>
      <c r="H343" t="s">
        <v>75</v>
      </c>
      <c r="I343">
        <v>3</v>
      </c>
      <c r="J343" s="4">
        <v>5.7</v>
      </c>
      <c r="K343" s="4">
        <v>7.41</v>
      </c>
      <c r="L343" s="4">
        <f>K343-J343</f>
      </c>
      <c r="M343" s="4">
        <f>L343*16.67%</f>
      </c>
      <c r="N343" s="4">
        <v>0.34</v>
      </c>
      <c r="O343" s="4">
        <f>N343*20%</f>
      </c>
      <c r="P343" s="4">
        <v>0</v>
      </c>
      <c r="Q343" s="4">
        <f>P343*20%</f>
      </c>
      <c r="R343" s="4">
        <v>0</v>
      </c>
      <c r="S343" s="4">
        <f>Q343</f>
      </c>
      <c r="T343" s="4">
        <f>L343-M343-N343-P343-Q343-R343</f>
      </c>
      <c r="U343" s="4">
        <f>(T343-W343)/J343*100</f>
      </c>
      <c r="V343" s="4">
        <f>M343-S343</f>
      </c>
      <c r="X343" s="4">
        <f>T343-W343</f>
      </c>
      <c r="AC343" t="s">
        <v>1</v>
      </c>
    </row>
    <row r="344" spans="1:29" x14ac:dyDescent="0.25">
      <c r="A344" s="8">
        <v>46174.5</v>
      </c>
      <c r="B344" t="s">
        <v>3645</v>
      </c>
      <c r="C344" t="s">
        <v>1</v>
      </c>
      <c r="D344" s="9" t="s">
        <v>1</v>
      </c>
      <c r="E344" t="s">
        <v>1</v>
      </c>
      <c r="F344" t="s">
        <v>1</v>
      </c>
      <c r="G344" t="s">
        <v>1</v>
      </c>
      <c r="H344" t="s">
        <v>102</v>
      </c>
      <c r="I344">
        <v>1</v>
      </c>
      <c r="J344" s="4">
        <v>698</v>
      </c>
      <c r="K344" s="4">
        <v>844.58</v>
      </c>
      <c r="L344" s="4">
        <f>K344-J344</f>
      </c>
      <c r="M344" s="4">
        <f>L344*16.67%</f>
      </c>
      <c r="N344" s="4">
        <v>38.94</v>
      </c>
      <c r="O344" s="4">
        <f>N344*20%</f>
      </c>
      <c r="P344" s="4">
        <v>0</v>
      </c>
      <c r="Q344" s="4">
        <f>P344*20%</f>
      </c>
      <c r="R344" s="4">
        <v>1</v>
      </c>
      <c r="S344" s="4">
        <f>Q344</f>
      </c>
      <c r="T344" s="4">
        <f>L344-M344-N344-P344-Q344-R344</f>
      </c>
      <c r="U344" s="4">
        <f>(T344-W344)/J344*100</f>
      </c>
      <c r="V344" s="4">
        <f>M344-S344</f>
      </c>
      <c r="X344" s="4">
        <f>T344-W344</f>
      </c>
      <c r="AC344" t="s">
        <v>1</v>
      </c>
    </row>
    <row r="345" spans="1:29" x14ac:dyDescent="0.25">
      <c r="A345" s="8">
        <v>46174.5</v>
      </c>
      <c r="B345" t="s">
        <v>3646</v>
      </c>
      <c r="C345" t="s">
        <v>177</v>
      </c>
      <c r="D345" s="9" t="s">
        <v>1</v>
      </c>
      <c r="E345" t="s">
        <v>177</v>
      </c>
      <c r="F345" t="s">
        <v>1</v>
      </c>
      <c r="G345" t="s">
        <v>1</v>
      </c>
      <c r="H345" t="s">
        <v>78</v>
      </c>
      <c r="I345">
        <v>3</v>
      </c>
      <c r="J345" s="4">
        <v>0.45</v>
      </c>
      <c r="K345" s="4">
        <v>0.63</v>
      </c>
      <c r="L345" s="4">
        <f>K345-J345</f>
      </c>
      <c r="M345" s="4">
        <f>L345*16.67%</f>
      </c>
      <c r="N345" s="4">
        <v>0.03</v>
      </c>
      <c r="O345" s="4">
        <f>N345*20%</f>
      </c>
      <c r="P345" s="4">
        <v>0</v>
      </c>
      <c r="Q345" s="4">
        <f>P345*20%</f>
      </c>
      <c r="R345" s="4">
        <v>0</v>
      </c>
      <c r="S345" s="4">
        <f>Q345</f>
      </c>
      <c r="T345" s="4">
        <f>L345-M345-N345-P345-Q345-R345</f>
      </c>
      <c r="U345" s="4">
        <f>(T345-W345)/J345*100</f>
      </c>
      <c r="V345" s="4">
        <f>M345-S345</f>
      </c>
      <c r="X345" s="4">
        <f>T345-W345</f>
      </c>
      <c r="AC345" t="s">
        <v>1</v>
      </c>
    </row>
    <row r="346" spans="1:29" x14ac:dyDescent="0.25">
      <c r="A346" s="8">
        <v>46173.5</v>
      </c>
      <c r="B346" t="s">
        <v>3647</v>
      </c>
      <c r="C346" t="s">
        <v>1</v>
      </c>
      <c r="D346" s="9" t="s">
        <v>3648</v>
      </c>
      <c r="E346" t="s">
        <v>114</v>
      </c>
      <c r="F346" t="s">
        <v>105</v>
      </c>
      <c r="G346" t="s">
        <v>60</v>
      </c>
      <c r="H346" t="s">
        <v>102</v>
      </c>
      <c r="I346">
        <v>1</v>
      </c>
      <c r="J346" s="4">
        <v>257</v>
      </c>
      <c r="K346" s="4">
        <v>354.66</v>
      </c>
      <c r="L346" s="4">
        <f>K346-J346</f>
      </c>
      <c r="M346" s="4">
        <f>L346*16.67%</f>
      </c>
      <c r="N346" s="4">
        <v>16.35</v>
      </c>
      <c r="O346" s="4">
        <f>N346*20%</f>
      </c>
      <c r="P346" s="4">
        <v>0</v>
      </c>
      <c r="Q346" s="4">
        <f>P346*20%</f>
      </c>
      <c r="R346" s="4">
        <v>1</v>
      </c>
      <c r="S346" s="4">
        <f>Q346</f>
      </c>
      <c r="T346" s="4">
        <f>L346-M346-N346-P346-Q346-R346</f>
      </c>
      <c r="U346" s="4">
        <f>(T346-W346)/J346*100</f>
      </c>
      <c r="V346" s="4">
        <f>M346-S346</f>
      </c>
      <c r="X346" s="4">
        <f>T346-W346</f>
      </c>
      <c r="AC346" t="s">
        <v>1</v>
      </c>
    </row>
    <row r="347" spans="1:29" x14ac:dyDescent="0.25">
      <c r="A347" s="8">
        <v>46173.5</v>
      </c>
      <c r="B347" t="s">
        <v>3649</v>
      </c>
      <c r="C347" t="s">
        <v>1</v>
      </c>
      <c r="D347" s="9" t="s">
        <v>3650</v>
      </c>
      <c r="E347" t="s">
        <v>125</v>
      </c>
      <c r="F347" t="s">
        <v>85</v>
      </c>
      <c r="G347" t="s">
        <v>126</v>
      </c>
      <c r="H347" t="s">
        <v>75</v>
      </c>
      <c r="I347">
        <v>1</v>
      </c>
      <c r="J347" s="4">
        <v>280</v>
      </c>
      <c r="K347" s="4">
        <v>394.8</v>
      </c>
      <c r="L347" s="4">
        <f>K347-J347</f>
      </c>
      <c r="M347" s="4">
        <f>L347*16.67%</f>
      </c>
      <c r="N347" s="4">
        <v>18.2</v>
      </c>
      <c r="O347" s="4">
        <f>N347*20%</f>
      </c>
      <c r="P347" s="4">
        <v>0</v>
      </c>
      <c r="Q347" s="4">
        <f>P347*20%</f>
      </c>
      <c r="R347" s="4">
        <v>1</v>
      </c>
      <c r="S347" s="4">
        <f>Q347</f>
      </c>
      <c r="T347" s="4">
        <f>L347-M347-N347-P347-Q347-R347</f>
      </c>
      <c r="U347" s="4">
        <f>(T347-W347)/J347*100</f>
      </c>
      <c r="V347" s="4">
        <f>M347-S347</f>
      </c>
      <c r="X347" s="4">
        <f>T347-W347</f>
      </c>
      <c r="AC347" t="s">
        <v>1</v>
      </c>
    </row>
    <row r="348" spans="1:29" x14ac:dyDescent="0.25">
      <c r="A348" s="8">
        <v>46173.5</v>
      </c>
      <c r="B348" t="s">
        <v>3651</v>
      </c>
      <c r="C348" t="s">
        <v>1</v>
      </c>
      <c r="D348" s="9" t="s">
        <v>3652</v>
      </c>
      <c r="E348" t="s">
        <v>131</v>
      </c>
      <c r="F348" t="s">
        <v>59</v>
      </c>
      <c r="G348" t="s">
        <v>65</v>
      </c>
      <c r="H348" t="s">
        <v>102</v>
      </c>
      <c r="I348">
        <v>1</v>
      </c>
      <c r="J348" s="4">
        <v>309</v>
      </c>
      <c r="K348" s="4">
        <v>404.79</v>
      </c>
      <c r="L348" s="4">
        <f>K348-J348</f>
      </c>
      <c r="M348" s="4">
        <f>L348*16.67%</f>
      </c>
      <c r="N348" s="4">
        <v>18.66</v>
      </c>
      <c r="O348" s="4">
        <f>N348*20%</f>
      </c>
      <c r="P348" s="4">
        <v>0</v>
      </c>
      <c r="Q348" s="4">
        <f>P348*20%</f>
      </c>
      <c r="R348" s="4">
        <v>1</v>
      </c>
      <c r="S348" s="4">
        <f>Q348</f>
      </c>
      <c r="T348" s="4">
        <f>L348-M348-N348-P348-Q348-R348</f>
      </c>
      <c r="U348" s="4">
        <f>(T348-W348)/J348*100</f>
      </c>
      <c r="V348" s="4">
        <f>M348-S348</f>
      </c>
      <c r="X348" s="4">
        <f>T348-W348</f>
      </c>
      <c r="AC348" t="s">
        <v>1</v>
      </c>
    </row>
    <row r="349" spans="1:29" x14ac:dyDescent="0.25">
      <c r="A349" s="8">
        <v>46172.5</v>
      </c>
      <c r="B349" t="s">
        <v>3653</v>
      </c>
      <c r="C349" t="s">
        <v>1</v>
      </c>
      <c r="D349" s="9" t="s">
        <v>3654</v>
      </c>
      <c r="E349" t="s">
        <v>98</v>
      </c>
      <c r="F349" t="s">
        <v>70</v>
      </c>
      <c r="G349" t="s">
        <v>60</v>
      </c>
      <c r="H349" t="s">
        <v>66</v>
      </c>
      <c r="I349">
        <v>1</v>
      </c>
      <c r="J349" s="4">
        <v>318</v>
      </c>
      <c r="K349" s="4">
        <v>454.74</v>
      </c>
      <c r="L349" s="4">
        <f>K349-J349</f>
      </c>
      <c r="M349" s="4">
        <f>L349*16.67%</f>
      </c>
      <c r="N349" s="4">
        <v>20.96</v>
      </c>
      <c r="O349" s="4">
        <f>N349*20%</f>
      </c>
      <c r="P349" s="4">
        <v>0</v>
      </c>
      <c r="Q349" s="4">
        <f>P349*20%</f>
      </c>
      <c r="R349" s="4">
        <v>1</v>
      </c>
      <c r="S349" s="4">
        <f>Q349</f>
      </c>
      <c r="T349" s="4">
        <f>L349-M349-N349-P349-Q349-R349</f>
      </c>
      <c r="U349" s="4">
        <f>(T349-W349)/J349*100</f>
      </c>
      <c r="V349" s="4">
        <f>M349-S349</f>
      </c>
      <c r="X349" s="4">
        <f>T349-W349</f>
      </c>
      <c r="AC349" t="s">
        <v>1</v>
      </c>
    </row>
    <row r="350" spans="1:29" x14ac:dyDescent="0.25">
      <c r="A350" s="8">
        <v>46172.5</v>
      </c>
      <c r="B350" t="s">
        <v>3655</v>
      </c>
      <c r="C350" t="s">
        <v>1</v>
      </c>
      <c r="D350" s="9" t="s">
        <v>3656</v>
      </c>
      <c r="E350" t="s">
        <v>91</v>
      </c>
      <c r="F350" t="s">
        <v>70</v>
      </c>
      <c r="G350" t="s">
        <v>95</v>
      </c>
      <c r="H350" t="s">
        <v>102</v>
      </c>
      <c r="I350">
        <v>1</v>
      </c>
      <c r="J350" s="4">
        <v>134</v>
      </c>
      <c r="K350" s="4">
        <v>164.82</v>
      </c>
      <c r="L350" s="4">
        <f>K350-J350</f>
      </c>
      <c r="M350" s="4">
        <f>L350*16.67%</f>
      </c>
      <c r="N350" s="4">
        <v>7.6</v>
      </c>
      <c r="O350" s="4">
        <f>N350*20%</f>
      </c>
      <c r="P350" s="4">
        <v>0</v>
      </c>
      <c r="Q350" s="4">
        <f>P350*20%</f>
      </c>
      <c r="R350" s="4">
        <v>1</v>
      </c>
      <c r="S350" s="4">
        <f>Q350</f>
      </c>
      <c r="T350" s="4">
        <f>L350-M350-N350-P350-Q350-R350</f>
      </c>
      <c r="U350" s="4">
        <f>(T350-W350)/J350*100</f>
      </c>
      <c r="V350" s="4">
        <f>M350-S350</f>
      </c>
      <c r="X350" s="4">
        <f>T350-W350</f>
      </c>
      <c r="AC350" t="s">
        <v>1</v>
      </c>
    </row>
    <row r="351" spans="1:29" x14ac:dyDescent="0.25">
      <c r="A351" s="8">
        <v>46172.5</v>
      </c>
      <c r="B351" t="s">
        <v>3657</v>
      </c>
      <c r="C351" t="s">
        <v>1</v>
      </c>
      <c r="D351" s="9" t="s">
        <v>3658</v>
      </c>
      <c r="E351" t="s">
        <v>172</v>
      </c>
      <c r="F351" t="s">
        <v>99</v>
      </c>
      <c r="G351" t="s">
        <v>65</v>
      </c>
      <c r="H351" t="s">
        <v>75</v>
      </c>
      <c r="I351">
        <v>1</v>
      </c>
      <c r="J351" s="4">
        <v>162</v>
      </c>
      <c r="K351" s="4">
        <v>230.04</v>
      </c>
      <c r="L351" s="4">
        <f>K351-J351</f>
      </c>
      <c r="M351" s="4">
        <f>L351*16.67%</f>
      </c>
      <c r="N351" s="4">
        <v>10.6</v>
      </c>
      <c r="O351" s="4">
        <f>N351*20%</f>
      </c>
      <c r="P351" s="4">
        <v>0</v>
      </c>
      <c r="Q351" s="4">
        <f>P351*20%</f>
      </c>
      <c r="R351" s="4">
        <v>1</v>
      </c>
      <c r="S351" s="4">
        <f>Q351</f>
      </c>
      <c r="T351" s="4">
        <f>L351-M351-N351-P351-Q351-R351</f>
      </c>
      <c r="U351" s="4">
        <f>(T351-W351)/J351*100</f>
      </c>
      <c r="V351" s="4">
        <f>M351-S351</f>
      </c>
      <c r="X351" s="4">
        <f>T351-W351</f>
      </c>
      <c r="AC351" t="s">
        <v>1</v>
      </c>
    </row>
    <row r="352" spans="1:29" x14ac:dyDescent="0.25">
      <c r="A352" s="8">
        <v>46172.5</v>
      </c>
      <c r="B352" t="s">
        <v>3659</v>
      </c>
      <c r="C352" t="s">
        <v>189</v>
      </c>
      <c r="D352" s="9" t="s">
        <v>1</v>
      </c>
      <c r="E352" t="s">
        <v>189</v>
      </c>
      <c r="F352" t="s">
        <v>1</v>
      </c>
      <c r="G352" t="s">
        <v>1</v>
      </c>
      <c r="H352" t="s">
        <v>66</v>
      </c>
      <c r="I352">
        <v>1</v>
      </c>
      <c r="J352" s="4">
        <v>3.5</v>
      </c>
      <c r="K352" s="4">
        <v>4.97</v>
      </c>
      <c r="L352" s="4">
        <f>K352-J352</f>
      </c>
      <c r="M352" s="4">
        <f>L352*16.67%</f>
      </c>
      <c r="N352" s="4">
        <v>0.23</v>
      </c>
      <c r="O352" s="4">
        <f>N352*20%</f>
      </c>
      <c r="P352" s="4">
        <v>0</v>
      </c>
      <c r="Q352" s="4">
        <f>P352*20%</f>
      </c>
      <c r="R352" s="4">
        <v>0</v>
      </c>
      <c r="S352" s="4">
        <f>Q352</f>
      </c>
      <c r="T352" s="4">
        <f>L352-M352-N352-P352-Q352-R352</f>
      </c>
      <c r="U352" s="4">
        <f>(T352-W352)/J352*100</f>
      </c>
      <c r="V352" s="4">
        <f>M352-S352</f>
      </c>
      <c r="X352" s="4">
        <f>T352-W352</f>
      </c>
      <c r="AC352" t="s">
        <v>1</v>
      </c>
    </row>
    <row r="353" spans="1:29" x14ac:dyDescent="0.25">
      <c r="A353" s="8">
        <v>46171.5</v>
      </c>
      <c r="B353" t="s">
        <v>3660</v>
      </c>
      <c r="C353" t="s">
        <v>1</v>
      </c>
      <c r="D353" s="9" t="s">
        <v>3661</v>
      </c>
      <c r="E353" t="s">
        <v>81</v>
      </c>
      <c r="F353" t="s">
        <v>74</v>
      </c>
      <c r="G353" t="s">
        <v>60</v>
      </c>
      <c r="H353" t="s">
        <v>102</v>
      </c>
      <c r="I353">
        <v>1</v>
      </c>
      <c r="J353" s="4">
        <v>610</v>
      </c>
      <c r="K353" s="4">
        <v>756.4</v>
      </c>
      <c r="L353" s="4">
        <f>K353-J353</f>
      </c>
      <c r="M353" s="4">
        <f>L353*16.67%</f>
      </c>
      <c r="N353" s="4">
        <v>34.87</v>
      </c>
      <c r="O353" s="4">
        <f>N353*20%</f>
      </c>
      <c r="P353" s="4">
        <v>0</v>
      </c>
      <c r="Q353" s="4">
        <f>P353*20%</f>
      </c>
      <c r="R353" s="4">
        <v>1</v>
      </c>
      <c r="S353" s="4">
        <f>Q353</f>
      </c>
      <c r="T353" s="4">
        <f>L353-M353-N353-P353-Q353-R353</f>
      </c>
      <c r="U353" s="4">
        <f>(T353-W353)/J353*100</f>
      </c>
      <c r="V353" s="4">
        <f>M353-S353</f>
      </c>
      <c r="X353" s="4">
        <f>T353-W353</f>
      </c>
      <c r="AC353" t="s">
        <v>1</v>
      </c>
    </row>
    <row r="354" spans="1:29" x14ac:dyDescent="0.25">
      <c r="A354" s="8">
        <v>46171.5</v>
      </c>
      <c r="B354" t="s">
        <v>3662</v>
      </c>
      <c r="C354" t="s">
        <v>1</v>
      </c>
      <c r="D354" s="9" t="s">
        <v>3663</v>
      </c>
      <c r="E354" t="s">
        <v>292</v>
      </c>
      <c r="F354" t="s">
        <v>88</v>
      </c>
      <c r="G354" t="s">
        <v>126</v>
      </c>
      <c r="H354" t="s">
        <v>102</v>
      </c>
      <c r="I354">
        <v>1</v>
      </c>
      <c r="J354" s="4">
        <v>199</v>
      </c>
      <c r="K354" s="4">
        <v>256.71</v>
      </c>
      <c r="L354" s="4">
        <f>K354-J354</f>
      </c>
      <c r="M354" s="4">
        <f>L354*16.67%</f>
      </c>
      <c r="N354" s="4">
        <v>11.83</v>
      </c>
      <c r="O354" s="4">
        <f>N354*20%</f>
      </c>
      <c r="P354" s="4">
        <v>0</v>
      </c>
      <c r="Q354" s="4">
        <f>P354*20%</f>
      </c>
      <c r="R354" s="4">
        <v>1</v>
      </c>
      <c r="S354" s="4">
        <f>Q354</f>
      </c>
      <c r="T354" s="4">
        <f>L354-M354-N354-P354-Q354-R354</f>
      </c>
      <c r="U354" s="4">
        <f>(T354-W354)/J354*100</f>
      </c>
      <c r="V354" s="4">
        <f>M354-S354</f>
      </c>
      <c r="X354" s="4">
        <f>T354-W354</f>
      </c>
      <c r="AC354" t="s">
        <v>1</v>
      </c>
    </row>
    <row r="355" spans="1:29" x14ac:dyDescent="0.25">
      <c r="A355" s="8">
        <v>46171.5</v>
      </c>
      <c r="B355" t="s">
        <v>3664</v>
      </c>
      <c r="C355" t="s">
        <v>1</v>
      </c>
      <c r="D355" s="9" t="s">
        <v>3665</v>
      </c>
      <c r="E355" t="s">
        <v>234</v>
      </c>
      <c r="F355" t="s">
        <v>88</v>
      </c>
      <c r="G355" t="s">
        <v>65</v>
      </c>
      <c r="H355" t="s">
        <v>102</v>
      </c>
      <c r="I355">
        <v>1</v>
      </c>
      <c r="J355" s="4">
        <v>165</v>
      </c>
      <c r="K355" s="4">
        <v>212.85</v>
      </c>
      <c r="L355" s="4">
        <f>K355-J355</f>
      </c>
      <c r="M355" s="4">
        <f>L355*16.67%</f>
      </c>
      <c r="N355" s="4">
        <v>9.81</v>
      </c>
      <c r="O355" s="4">
        <f>N355*20%</f>
      </c>
      <c r="P355" s="4">
        <v>0</v>
      </c>
      <c r="Q355" s="4">
        <f>P355*20%</f>
      </c>
      <c r="R355" s="4">
        <v>1</v>
      </c>
      <c r="S355" s="4">
        <f>Q355</f>
      </c>
      <c r="T355" s="4">
        <f>L355-M355-N355-P355-Q355-R355</f>
      </c>
      <c r="U355" s="4">
        <f>(T355-W355)/J355*100</f>
      </c>
      <c r="V355" s="4">
        <f>M355-S355</f>
      </c>
      <c r="X355" s="4">
        <f>T355-W355</f>
      </c>
      <c r="AC355" t="s">
        <v>1</v>
      </c>
    </row>
    <row r="356" spans="1:29" x14ac:dyDescent="0.25">
      <c r="A356" s="8">
        <v>46171.5</v>
      </c>
      <c r="B356" t="s">
        <v>3666</v>
      </c>
      <c r="C356" t="s">
        <v>182</v>
      </c>
      <c r="D356" s="9" t="s">
        <v>1</v>
      </c>
      <c r="E356" t="s">
        <v>182</v>
      </c>
      <c r="F356" t="s">
        <v>1</v>
      </c>
      <c r="G356" t="s">
        <v>1</v>
      </c>
      <c r="H356" t="s">
        <v>75</v>
      </c>
      <c r="I356">
        <v>3</v>
      </c>
      <c r="J356" s="4">
        <v>5.7</v>
      </c>
      <c r="K356" s="4">
        <v>7.75</v>
      </c>
      <c r="L356" s="4">
        <f>K356-J356</f>
      </c>
      <c r="M356" s="4">
        <f>L356*16.67%</f>
      </c>
      <c r="N356" s="4">
        <v>0.36</v>
      </c>
      <c r="O356" s="4">
        <f>N356*20%</f>
      </c>
      <c r="P356" s="4">
        <v>0</v>
      </c>
      <c r="Q356" s="4">
        <f>P356*20%</f>
      </c>
      <c r="R356" s="4">
        <v>0</v>
      </c>
      <c r="S356" s="4">
        <f>Q356</f>
      </c>
      <c r="T356" s="4">
        <f>L356-M356-N356-P356-Q356-R356</f>
      </c>
      <c r="U356" s="4">
        <f>(T356-W356)/J356*100</f>
      </c>
      <c r="V356" s="4">
        <f>M356-S356</f>
      </c>
      <c r="X356" s="4">
        <f>T356-W356</f>
      </c>
      <c r="AC356" t="s">
        <v>1</v>
      </c>
    </row>
    <row r="357" spans="1:29" x14ac:dyDescent="0.25">
      <c r="A357" s="8">
        <v>46171.5</v>
      </c>
      <c r="B357" t="s">
        <v>3667</v>
      </c>
      <c r="C357" t="s">
        <v>185</v>
      </c>
      <c r="D357" s="9" t="s">
        <v>1</v>
      </c>
      <c r="E357" t="s">
        <v>185</v>
      </c>
      <c r="F357" t="s">
        <v>1</v>
      </c>
      <c r="G357" t="s">
        <v>1</v>
      </c>
      <c r="H357" t="s">
        <v>102</v>
      </c>
      <c r="I357">
        <v>3</v>
      </c>
      <c r="J357" s="4">
        <v>3.6</v>
      </c>
      <c r="K357" s="4">
        <v>4.28</v>
      </c>
      <c r="L357" s="4">
        <f>K357-J357</f>
      </c>
      <c r="M357" s="4">
        <f>L357*16.67%</f>
      </c>
      <c r="N357" s="4">
        <v>0.2</v>
      </c>
      <c r="O357" s="4">
        <f>N357*20%</f>
      </c>
      <c r="P357" s="4">
        <v>0</v>
      </c>
      <c r="Q357" s="4">
        <f>P357*20%</f>
      </c>
      <c r="R357" s="4">
        <v>0</v>
      </c>
      <c r="S357" s="4">
        <f>Q357</f>
      </c>
      <c r="T357" s="4">
        <f>L357-M357-N357-P357-Q357-R357</f>
      </c>
      <c r="U357" s="4">
        <f>(T357-W357)/J357*100</f>
      </c>
      <c r="V357" s="4">
        <f>M357-S357</f>
      </c>
      <c r="X357" s="4">
        <f>T357-W357</f>
      </c>
      <c r="AC357" t="s">
        <v>1</v>
      </c>
    </row>
    <row r="358" spans="1:29" x14ac:dyDescent="0.25">
      <c r="A358" s="8">
        <v>46171.5</v>
      </c>
      <c r="B358" t="s">
        <v>3668</v>
      </c>
      <c r="C358" t="s">
        <v>174</v>
      </c>
      <c r="D358" s="9" t="s">
        <v>1</v>
      </c>
      <c r="E358" t="s">
        <v>174</v>
      </c>
      <c r="F358" t="s">
        <v>1</v>
      </c>
      <c r="G358" t="s">
        <v>1</v>
      </c>
      <c r="H358" t="s">
        <v>66</v>
      </c>
      <c r="I358">
        <v>3</v>
      </c>
      <c r="J358" s="4">
        <v>12.75</v>
      </c>
      <c r="K358" s="4">
        <v>17.59</v>
      </c>
      <c r="L358" s="4">
        <f>K358-J358</f>
      </c>
      <c r="M358" s="4">
        <f>L358*16.67%</f>
      </c>
      <c r="N358" s="4">
        <v>0.81</v>
      </c>
      <c r="O358" s="4">
        <f>N358*20%</f>
      </c>
      <c r="P358" s="4">
        <v>0</v>
      </c>
      <c r="Q358" s="4">
        <f>P358*20%</f>
      </c>
      <c r="R358" s="4">
        <v>0</v>
      </c>
      <c r="S358" s="4">
        <f>Q358</f>
      </c>
      <c r="T358" s="4">
        <f>L358-M358-N358-P358-Q358-R358</f>
      </c>
      <c r="U358" s="4">
        <f>(T358-W358)/J358*100</f>
      </c>
      <c r="V358" s="4">
        <f>M358-S358</f>
      </c>
      <c r="X358" s="4">
        <f>T358-W358</f>
      </c>
      <c r="AC358" t="s">
        <v>1</v>
      </c>
    </row>
    <row r="359" spans="1:29" x14ac:dyDescent="0.25">
      <c r="A359" s="8">
        <v>46170.5</v>
      </c>
      <c r="B359" t="s">
        <v>3669</v>
      </c>
      <c r="C359" t="s">
        <v>1</v>
      </c>
      <c r="D359" s="9" t="s">
        <v>3670</v>
      </c>
      <c r="E359" t="s">
        <v>58</v>
      </c>
      <c r="F359" t="s">
        <v>99</v>
      </c>
      <c r="G359" t="s">
        <v>60</v>
      </c>
      <c r="H359" t="s">
        <v>78</v>
      </c>
      <c r="I359">
        <v>1</v>
      </c>
      <c r="J359" s="4">
        <v>442</v>
      </c>
      <c r="K359" s="4">
        <v>627.64</v>
      </c>
      <c r="L359" s="4">
        <f>K359-J359</f>
      </c>
      <c r="M359" s="4">
        <f>L359*16.67%</f>
      </c>
      <c r="N359" s="4">
        <v>28.93</v>
      </c>
      <c r="O359" s="4">
        <f>N359*20%</f>
      </c>
      <c r="P359" s="4">
        <v>0</v>
      </c>
      <c r="Q359" s="4">
        <f>P359*20%</f>
      </c>
      <c r="R359" s="4">
        <v>1</v>
      </c>
      <c r="S359" s="4">
        <f>Q359</f>
      </c>
      <c r="T359" s="4">
        <f>L359-M359-N359-P359-Q359-R359</f>
      </c>
      <c r="U359" s="4">
        <f>(T359-W359)/J359*100</f>
      </c>
      <c r="V359" s="4">
        <f>M359-S359</f>
      </c>
      <c r="X359" s="4">
        <f>T359-W359</f>
      </c>
      <c r="AC359" t="s">
        <v>1</v>
      </c>
    </row>
    <row r="360" spans="1:29" x14ac:dyDescent="0.25">
      <c r="A360" s="8">
        <v>46170.5</v>
      </c>
      <c r="B360" t="s">
        <v>3671</v>
      </c>
      <c r="C360" t="s">
        <v>1</v>
      </c>
      <c r="D360" s="9" t="s">
        <v>3672</v>
      </c>
      <c r="E360" t="s">
        <v>94</v>
      </c>
      <c r="F360" t="s">
        <v>59</v>
      </c>
      <c r="G360" t="s">
        <v>95</v>
      </c>
      <c r="H360" t="s">
        <v>66</v>
      </c>
      <c r="I360">
        <v>1</v>
      </c>
      <c r="J360" s="4">
        <v>63</v>
      </c>
      <c r="K360" s="4">
        <v>86.31</v>
      </c>
      <c r="L360" s="4">
        <f>K360-J360</f>
      </c>
      <c r="M360" s="4">
        <f>L360*16.67%</f>
      </c>
      <c r="N360" s="4">
        <v>3.98</v>
      </c>
      <c r="O360" s="4">
        <f>N360*20%</f>
      </c>
      <c r="P360" s="4">
        <v>0</v>
      </c>
      <c r="Q360" s="4">
        <f>P360*20%</f>
      </c>
      <c r="R360" s="4">
        <v>1</v>
      </c>
      <c r="S360" s="4">
        <f>Q360</f>
      </c>
      <c r="T360" s="4">
        <f>L360-M360-N360-P360-Q360-R360</f>
      </c>
      <c r="U360" s="4">
        <f>(T360-W360)/J360*100</f>
      </c>
      <c r="V360" s="4">
        <f>M360-S360</f>
      </c>
      <c r="X360" s="4">
        <f>T360-W360</f>
      </c>
      <c r="AC360" t="s">
        <v>1</v>
      </c>
    </row>
    <row r="361" spans="1:29" x14ac:dyDescent="0.25">
      <c r="A361" s="8">
        <v>46169.5</v>
      </c>
      <c r="B361" t="s">
        <v>3673</v>
      </c>
      <c r="C361" t="s">
        <v>1</v>
      </c>
      <c r="D361" s="9" t="s">
        <v>3674</v>
      </c>
      <c r="E361" t="s">
        <v>134</v>
      </c>
      <c r="F361" t="s">
        <v>85</v>
      </c>
      <c r="G361" t="s">
        <v>95</v>
      </c>
      <c r="H361" t="s">
        <v>61</v>
      </c>
      <c r="I361">
        <v>1</v>
      </c>
      <c r="J361" s="4">
        <v>105</v>
      </c>
      <c r="K361" s="4">
        <v>145.95</v>
      </c>
      <c r="L361" s="4">
        <f>K361-J361</f>
      </c>
      <c r="M361" s="4">
        <f>L361*16.67%</f>
      </c>
      <c r="N361" s="4">
        <v>6.73</v>
      </c>
      <c r="O361" s="4">
        <f>N361*20%</f>
      </c>
      <c r="P361" s="4">
        <v>0</v>
      </c>
      <c r="Q361" s="4">
        <f>P361*20%</f>
      </c>
      <c r="R361" s="4">
        <v>1</v>
      </c>
      <c r="S361" s="4">
        <f>Q361</f>
      </c>
      <c r="T361" s="4">
        <f>L361-M361-N361-P361-Q361-R361</f>
      </c>
      <c r="U361" s="4">
        <f>(T361-W361)/J361*100</f>
      </c>
      <c r="V361" s="4">
        <f>M361-S361</f>
      </c>
      <c r="X361" s="4">
        <f>T361-W361</f>
      </c>
      <c r="AC361" t="s">
        <v>1</v>
      </c>
    </row>
    <row r="362" spans="1:29" x14ac:dyDescent="0.25">
      <c r="A362" s="8">
        <v>46169.5</v>
      </c>
      <c r="B362" t="s">
        <v>3675</v>
      </c>
      <c r="C362" t="s">
        <v>1</v>
      </c>
      <c r="D362" s="9" t="s">
        <v>3676</v>
      </c>
      <c r="E362" t="s">
        <v>84</v>
      </c>
      <c r="F362" t="s">
        <v>59</v>
      </c>
      <c r="G362" t="s">
        <v>60</v>
      </c>
      <c r="H362" t="s">
        <v>75</v>
      </c>
      <c r="I362">
        <v>1</v>
      </c>
      <c r="J362" s="4">
        <v>726</v>
      </c>
      <c r="K362" s="4">
        <v>878.46</v>
      </c>
      <c r="L362" s="4">
        <f>K362-J362</f>
      </c>
      <c r="M362" s="4">
        <f>L362*16.67%</f>
      </c>
      <c r="N362" s="4">
        <v>40.5</v>
      </c>
      <c r="O362" s="4">
        <f>N362*20%</f>
      </c>
      <c r="P362" s="4">
        <v>0</v>
      </c>
      <c r="Q362" s="4">
        <f>P362*20%</f>
      </c>
      <c r="R362" s="4">
        <v>1</v>
      </c>
      <c r="S362" s="4">
        <f>Q362</f>
      </c>
      <c r="T362" s="4">
        <f>L362-M362-N362-P362-Q362-R362</f>
      </c>
      <c r="U362" s="4">
        <f>(T362-W362)/J362*100</f>
      </c>
      <c r="V362" s="4">
        <f>M362-S362</f>
      </c>
      <c r="X362" s="4">
        <f>T362-W362</f>
      </c>
      <c r="AC362" t="s">
        <v>1</v>
      </c>
    </row>
    <row r="363" spans="1:29" x14ac:dyDescent="0.25">
      <c r="A363" s="8">
        <v>46169.5</v>
      </c>
      <c r="B363" t="s">
        <v>3677</v>
      </c>
      <c r="C363" t="s">
        <v>189</v>
      </c>
      <c r="D363" s="9" t="s">
        <v>1</v>
      </c>
      <c r="E363" t="s">
        <v>189</v>
      </c>
      <c r="F363" t="s">
        <v>1</v>
      </c>
      <c r="G363" t="s">
        <v>1</v>
      </c>
      <c r="H363" t="s">
        <v>66</v>
      </c>
      <c r="I363">
        <v>3</v>
      </c>
      <c r="J363" s="4">
        <v>10.5</v>
      </c>
      <c r="K363" s="4">
        <v>14.39</v>
      </c>
      <c r="L363" s="4">
        <f>K363-J363</f>
      </c>
      <c r="M363" s="4">
        <f>L363*16.67%</f>
      </c>
      <c r="N363" s="4">
        <v>0.66</v>
      </c>
      <c r="O363" s="4">
        <f>N363*20%</f>
      </c>
      <c r="P363" s="4">
        <v>0</v>
      </c>
      <c r="Q363" s="4">
        <f>P363*20%</f>
      </c>
      <c r="R363" s="4">
        <v>0</v>
      </c>
      <c r="S363" s="4">
        <f>Q363</f>
      </c>
      <c r="T363" s="4">
        <f>L363-M363-N363-P363-Q363-R363</f>
      </c>
      <c r="U363" s="4">
        <f>(T363-W363)/J363*100</f>
      </c>
      <c r="V363" s="4">
        <f>M363-S363</f>
      </c>
      <c r="X363" s="4">
        <f>T363-W363</f>
      </c>
      <c r="AC363" t="s">
        <v>1</v>
      </c>
    </row>
    <row r="364" spans="1:29" x14ac:dyDescent="0.25">
      <c r="A364" s="8">
        <v>46169.5</v>
      </c>
      <c r="B364" t="s">
        <v>3678</v>
      </c>
      <c r="C364" t="s">
        <v>254</v>
      </c>
      <c r="D364" s="9" t="s">
        <v>1</v>
      </c>
      <c r="E364" t="s">
        <v>254</v>
      </c>
      <c r="F364" t="s">
        <v>1</v>
      </c>
      <c r="G364" t="s">
        <v>1</v>
      </c>
      <c r="H364" t="s">
        <v>61</v>
      </c>
      <c r="I364">
        <v>2</v>
      </c>
      <c r="J364" s="4">
        <v>1.6</v>
      </c>
      <c r="K364" s="4">
        <v>1.92</v>
      </c>
      <c r="L364" s="4">
        <f>K364-J364</f>
      </c>
      <c r="M364" s="4">
        <f>L364*16.67%</f>
      </c>
      <c r="N364" s="4">
        <v>0.09</v>
      </c>
      <c r="O364" s="4">
        <f>N364*20%</f>
      </c>
      <c r="P364" s="4">
        <v>0</v>
      </c>
      <c r="Q364" s="4">
        <f>P364*20%</f>
      </c>
      <c r="R364" s="4">
        <v>0</v>
      </c>
      <c r="S364" s="4">
        <f>Q364</f>
      </c>
      <c r="T364" s="4">
        <f>L364-M364-N364-P364-Q364-R364</f>
      </c>
      <c r="U364" s="4">
        <f>(T364-W364)/J364*100</f>
      </c>
      <c r="V364" s="4">
        <f>M364-S364</f>
      </c>
      <c r="X364" s="4">
        <f>T364-W364</f>
      </c>
      <c r="AC364" t="s">
        <v>1</v>
      </c>
    </row>
    <row r="365" spans="1:29" x14ac:dyDescent="0.25">
      <c r="A365" s="8">
        <v>46169.5</v>
      </c>
      <c r="B365" t="s">
        <v>3679</v>
      </c>
      <c r="C365" t="s">
        <v>185</v>
      </c>
      <c r="D365" s="9" t="s">
        <v>1</v>
      </c>
      <c r="E365" t="s">
        <v>185</v>
      </c>
      <c r="F365" t="s">
        <v>1</v>
      </c>
      <c r="G365" t="s">
        <v>1</v>
      </c>
      <c r="H365" t="s">
        <v>102</v>
      </c>
      <c r="I365">
        <v>4</v>
      </c>
      <c r="J365" s="4">
        <v>4.8</v>
      </c>
      <c r="K365" s="4">
        <v>5.81</v>
      </c>
      <c r="L365" s="4">
        <f>K365-J365</f>
      </c>
      <c r="M365" s="4">
        <f>L365*16.67%</f>
      </c>
      <c r="N365" s="4">
        <v>0.27</v>
      </c>
      <c r="O365" s="4">
        <f>N365*20%</f>
      </c>
      <c r="P365" s="4">
        <v>0</v>
      </c>
      <c r="Q365" s="4">
        <f>P365*20%</f>
      </c>
      <c r="R365" s="4">
        <v>0</v>
      </c>
      <c r="S365" s="4">
        <f>Q365</f>
      </c>
      <c r="T365" s="4">
        <f>L365-M365-N365-P365-Q365-R365</f>
      </c>
      <c r="U365" s="4">
        <f>(T365-W365)/J365*100</f>
      </c>
      <c r="V365" s="4">
        <f>M365-S365</f>
      </c>
      <c r="X365" s="4">
        <f>T365-W365</f>
      </c>
      <c r="AC365" t="s">
        <v>1</v>
      </c>
    </row>
    <row r="366" spans="1:29" x14ac:dyDescent="0.25">
      <c r="A366" s="8">
        <v>46168.5</v>
      </c>
      <c r="B366" t="s">
        <v>3680</v>
      </c>
      <c r="C366" t="s">
        <v>1</v>
      </c>
      <c r="D366" s="9" t="s">
        <v>3681</v>
      </c>
      <c r="E366" t="s">
        <v>234</v>
      </c>
      <c r="F366" t="s">
        <v>70</v>
      </c>
      <c r="G366" t="s">
        <v>65</v>
      </c>
      <c r="H366" t="s">
        <v>61</v>
      </c>
      <c r="I366">
        <v>1</v>
      </c>
      <c r="J366" s="4">
        <v>165</v>
      </c>
      <c r="K366" s="4">
        <v>237.6</v>
      </c>
      <c r="L366" s="4">
        <f>K366-J366</f>
      </c>
      <c r="M366" s="4">
        <f>L366*16.67%</f>
      </c>
      <c r="N366" s="4">
        <v>10.95</v>
      </c>
      <c r="O366" s="4">
        <f>N366*20%</f>
      </c>
      <c r="P366" s="4">
        <v>0</v>
      </c>
      <c r="Q366" s="4">
        <f>P366*20%</f>
      </c>
      <c r="R366" s="4">
        <v>1</v>
      </c>
      <c r="S366" s="4">
        <f>Q366</f>
      </c>
      <c r="T366" s="4">
        <f>L366-M366-N366-P366-Q366-R366</f>
      </c>
      <c r="U366" s="4">
        <f>(T366-W366)/J366*100</f>
      </c>
      <c r="V366" s="4">
        <f>M366-S366</f>
      </c>
      <c r="X366" s="4">
        <f>T366-W366</f>
      </c>
      <c r="AC366" t="s">
        <v>1</v>
      </c>
    </row>
    <row r="367" spans="1:29" x14ac:dyDescent="0.25">
      <c r="A367" s="8">
        <v>46168.5</v>
      </c>
      <c r="B367" t="s">
        <v>3682</v>
      </c>
      <c r="C367" t="s">
        <v>1</v>
      </c>
      <c r="D367" s="9" t="s">
        <v>3683</v>
      </c>
      <c r="E367" t="s">
        <v>94</v>
      </c>
      <c r="F367" t="s">
        <v>74</v>
      </c>
      <c r="G367" t="s">
        <v>95</v>
      </c>
      <c r="H367" t="s">
        <v>75</v>
      </c>
      <c r="I367">
        <v>1</v>
      </c>
      <c r="J367" s="4">
        <v>88</v>
      </c>
      <c r="K367" s="4">
        <v>101.2</v>
      </c>
      <c r="L367" s="4">
        <f>K367-J367</f>
      </c>
      <c r="M367" s="4">
        <f>L367*16.67%</f>
      </c>
      <c r="N367" s="4">
        <v>4.67</v>
      </c>
      <c r="O367" s="4">
        <f>N367*20%</f>
      </c>
      <c r="P367" s="4">
        <v>0</v>
      </c>
      <c r="Q367" s="4">
        <f>P367*20%</f>
      </c>
      <c r="R367" s="4">
        <v>1</v>
      </c>
      <c r="S367" s="4">
        <f>Q367</f>
      </c>
      <c r="T367" s="4">
        <f>L367-M367-N367-P367-Q367-R367</f>
      </c>
      <c r="U367" s="4">
        <f>(T367-W367)/J367*100</f>
      </c>
      <c r="V367" s="4">
        <f>M367-S367</f>
      </c>
      <c r="X367" s="4">
        <f>T367-W367</f>
      </c>
      <c r="AC367" t="s">
        <v>1</v>
      </c>
    </row>
    <row r="368" spans="1:29" x14ac:dyDescent="0.25">
      <c r="A368" s="8">
        <v>46168.5</v>
      </c>
      <c r="B368" t="s">
        <v>3684</v>
      </c>
      <c r="C368" t="s">
        <v>1</v>
      </c>
      <c r="D368" s="9" t="s">
        <v>3685</v>
      </c>
      <c r="E368" t="s">
        <v>172</v>
      </c>
      <c r="F368" t="s">
        <v>105</v>
      </c>
      <c r="G368" t="s">
        <v>65</v>
      </c>
      <c r="H368" t="s">
        <v>78</v>
      </c>
      <c r="I368">
        <v>1</v>
      </c>
      <c r="J368" s="4">
        <v>163</v>
      </c>
      <c r="K368" s="4">
        <v>200.49</v>
      </c>
      <c r="L368" s="4">
        <f>K368-J368</f>
      </c>
      <c r="M368" s="4">
        <f>L368*16.67%</f>
      </c>
      <c r="N368" s="4">
        <v>9.24</v>
      </c>
      <c r="O368" s="4">
        <f>N368*20%</f>
      </c>
      <c r="P368" s="4">
        <v>0</v>
      </c>
      <c r="Q368" s="4">
        <f>P368*20%</f>
      </c>
      <c r="R368" s="4">
        <v>1</v>
      </c>
      <c r="S368" s="4">
        <f>Q368</f>
      </c>
      <c r="T368" s="4">
        <f>L368-M368-N368-P368-Q368-R368</f>
      </c>
      <c r="U368" s="4">
        <f>(T368-W368)/J368*100</f>
      </c>
      <c r="V368" s="4">
        <f>M368-S368</f>
      </c>
      <c r="X368" s="4">
        <f>T368-W368</f>
      </c>
      <c r="AC368" t="s">
        <v>1</v>
      </c>
    </row>
    <row r="369" spans="1:29" x14ac:dyDescent="0.25">
      <c r="A369" s="8">
        <v>46167.5</v>
      </c>
      <c r="B369" t="s">
        <v>3686</v>
      </c>
      <c r="C369" t="s">
        <v>1</v>
      </c>
      <c r="D369" s="9" t="s">
        <v>3687</v>
      </c>
      <c r="E369" t="s">
        <v>84</v>
      </c>
      <c r="F369" t="s">
        <v>59</v>
      </c>
      <c r="G369" t="s">
        <v>60</v>
      </c>
      <c r="H369" t="s">
        <v>102</v>
      </c>
      <c r="I369">
        <v>1</v>
      </c>
      <c r="J369" s="4">
        <v>766</v>
      </c>
      <c r="K369" s="4">
        <v>1026.44</v>
      </c>
      <c r="L369" s="4">
        <f>K369-J369</f>
      </c>
      <c r="M369" s="4">
        <f>L369*16.67%</f>
      </c>
      <c r="N369" s="4">
        <v>47.32</v>
      </c>
      <c r="O369" s="4">
        <f>N369*20%</f>
      </c>
      <c r="P369" s="4">
        <v>0</v>
      </c>
      <c r="Q369" s="4">
        <f>P369*20%</f>
      </c>
      <c r="R369" s="4">
        <v>1</v>
      </c>
      <c r="S369" s="4">
        <f>Q369</f>
      </c>
      <c r="T369" s="4">
        <f>L369-M369-N369-P369-Q369-R369</f>
      </c>
      <c r="U369" s="4">
        <f>(T369-W369)/J369*100</f>
      </c>
      <c r="V369" s="4">
        <f>M369-S369</f>
      </c>
      <c r="X369" s="4">
        <f>T369-W369</f>
      </c>
      <c r="AC369" t="s">
        <v>1</v>
      </c>
    </row>
    <row r="370" spans="1:29" x14ac:dyDescent="0.25">
      <c r="A370" s="8">
        <v>46166.5</v>
      </c>
      <c r="B370" t="s">
        <v>3688</v>
      </c>
      <c r="C370" t="s">
        <v>1</v>
      </c>
      <c r="D370" s="9" t="s">
        <v>3689</v>
      </c>
      <c r="E370" t="s">
        <v>69</v>
      </c>
      <c r="F370" t="s">
        <v>70</v>
      </c>
      <c r="G370" t="s">
        <v>60</v>
      </c>
      <c r="H370" t="s">
        <v>102</v>
      </c>
      <c r="I370">
        <v>1</v>
      </c>
      <c r="J370" s="4">
        <v>483</v>
      </c>
      <c r="K370" s="4">
        <v>685.86</v>
      </c>
      <c r="L370" s="4">
        <f>K370-J370</f>
      </c>
      <c r="M370" s="4">
        <f>L370*16.67%</f>
      </c>
      <c r="N370" s="4">
        <v>31.62</v>
      </c>
      <c r="O370" s="4">
        <f>N370*20%</f>
      </c>
      <c r="P370" s="4">
        <v>0</v>
      </c>
      <c r="Q370" s="4">
        <f>P370*20%</f>
      </c>
      <c r="R370" s="4">
        <v>1</v>
      </c>
      <c r="S370" s="4">
        <f>Q370</f>
      </c>
      <c r="T370" s="4">
        <f>L370-M370-N370-P370-Q370-R370</f>
      </c>
      <c r="U370" s="4">
        <f>(T370-W370)/J370*100</f>
      </c>
      <c r="V370" s="4">
        <f>M370-S370</f>
      </c>
      <c r="X370" s="4">
        <f>T370-W370</f>
      </c>
      <c r="AC370" t="s">
        <v>1</v>
      </c>
    </row>
    <row r="371" spans="1:29" x14ac:dyDescent="0.25">
      <c r="A371" s="8">
        <v>46166.5</v>
      </c>
      <c r="B371" t="s">
        <v>3690</v>
      </c>
      <c r="C371" t="s">
        <v>1</v>
      </c>
      <c r="D371" s="9" t="s">
        <v>3691</v>
      </c>
      <c r="E371" t="s">
        <v>73</v>
      </c>
      <c r="F371" t="s">
        <v>99</v>
      </c>
      <c r="G371" t="s">
        <v>60</v>
      </c>
      <c r="H371" t="s">
        <v>102</v>
      </c>
      <c r="I371">
        <v>1</v>
      </c>
      <c r="J371" s="4">
        <v>321</v>
      </c>
      <c r="K371" s="4">
        <v>452.61</v>
      </c>
      <c r="L371" s="4">
        <f>K371-J371</f>
      </c>
      <c r="M371" s="4">
        <f>L371*16.67%</f>
      </c>
      <c r="N371" s="4">
        <v>20.87</v>
      </c>
      <c r="O371" s="4">
        <f>N371*20%</f>
      </c>
      <c r="P371" s="4">
        <v>0</v>
      </c>
      <c r="Q371" s="4">
        <f>P371*20%</f>
      </c>
      <c r="R371" s="4">
        <v>1</v>
      </c>
      <c r="S371" s="4">
        <f>Q371</f>
      </c>
      <c r="T371" s="4">
        <f>L371-M371-N371-P371-Q371-R371</f>
      </c>
      <c r="U371" s="4">
        <f>(T371-W371)/J371*100</f>
      </c>
      <c r="V371" s="4">
        <f>M371-S371</f>
      </c>
      <c r="X371" s="4">
        <f>T371-W371</f>
      </c>
      <c r="AC371" t="s">
        <v>1</v>
      </c>
    </row>
    <row r="372" spans="1:29" x14ac:dyDescent="0.25">
      <c r="A372" s="8">
        <v>46166.5</v>
      </c>
      <c r="B372" t="s">
        <v>3692</v>
      </c>
      <c r="C372" t="s">
        <v>189</v>
      </c>
      <c r="D372" s="9" t="s">
        <v>1</v>
      </c>
      <c r="E372" t="s">
        <v>189</v>
      </c>
      <c r="F372" t="s">
        <v>1</v>
      </c>
      <c r="G372" t="s">
        <v>1</v>
      </c>
      <c r="H372" t="s">
        <v>66</v>
      </c>
      <c r="I372">
        <v>1</v>
      </c>
      <c r="J372" s="4">
        <v>3.5</v>
      </c>
      <c r="K372" s="4">
        <v>4.13</v>
      </c>
      <c r="L372" s="4">
        <f>K372-J372</f>
      </c>
      <c r="M372" s="4">
        <f>L372*16.67%</f>
      </c>
      <c r="N372" s="4">
        <v>0.19</v>
      </c>
      <c r="O372" s="4">
        <f>N372*20%</f>
      </c>
      <c r="P372" s="4">
        <v>0</v>
      </c>
      <c r="Q372" s="4">
        <f>P372*20%</f>
      </c>
      <c r="R372" s="4">
        <v>0</v>
      </c>
      <c r="S372" s="4">
        <f>Q372</f>
      </c>
      <c r="T372" s="4">
        <f>L372-M372-N372-P372-Q372-R372</f>
      </c>
      <c r="U372" s="4">
        <f>(T372-W372)/J372*100</f>
      </c>
      <c r="V372" s="4">
        <f>M372-S372</f>
      </c>
      <c r="X372" s="4">
        <f>T372-W372</f>
      </c>
      <c r="AC372" t="s">
        <v>1</v>
      </c>
    </row>
    <row r="373" spans="1:29" x14ac:dyDescent="0.25">
      <c r="A373" s="8">
        <v>46166.5</v>
      </c>
      <c r="B373" t="s">
        <v>3693</v>
      </c>
      <c r="C373" t="s">
        <v>189</v>
      </c>
      <c r="D373" s="9" t="s">
        <v>1</v>
      </c>
      <c r="E373" t="s">
        <v>189</v>
      </c>
      <c r="F373" t="s">
        <v>1</v>
      </c>
      <c r="G373" t="s">
        <v>1</v>
      </c>
      <c r="H373" t="s">
        <v>66</v>
      </c>
      <c r="I373">
        <v>3</v>
      </c>
      <c r="J373" s="4">
        <v>10.5</v>
      </c>
      <c r="K373" s="4">
        <v>14.91</v>
      </c>
      <c r="L373" s="4">
        <f>K373-J373</f>
      </c>
      <c r="M373" s="4">
        <f>L373*16.67%</f>
      </c>
      <c r="N373" s="4">
        <v>0.69</v>
      </c>
      <c r="O373" s="4">
        <f>N373*20%</f>
      </c>
      <c r="P373" s="4">
        <v>0</v>
      </c>
      <c r="Q373" s="4">
        <f>P373*20%</f>
      </c>
      <c r="R373" s="4">
        <v>0</v>
      </c>
      <c r="S373" s="4">
        <f>Q373</f>
      </c>
      <c r="T373" s="4">
        <f>L373-M373-N373-P373-Q373-R373</f>
      </c>
      <c r="U373" s="4">
        <f>(T373-W373)/J373*100</f>
      </c>
      <c r="V373" s="4">
        <f>M373-S373</f>
      </c>
      <c r="X373" s="4">
        <f>T373-W373</f>
      </c>
      <c r="AC373" t="s">
        <v>1</v>
      </c>
    </row>
    <row r="374" spans="1:29" x14ac:dyDescent="0.25">
      <c r="A374" s="8">
        <v>46166.5</v>
      </c>
      <c r="B374" t="s">
        <v>3694</v>
      </c>
      <c r="C374" t="s">
        <v>177</v>
      </c>
      <c r="D374" s="9" t="s">
        <v>1</v>
      </c>
      <c r="E374" t="s">
        <v>177</v>
      </c>
      <c r="F374" t="s">
        <v>1</v>
      </c>
      <c r="G374" t="s">
        <v>1</v>
      </c>
      <c r="H374" t="s">
        <v>78</v>
      </c>
      <c r="I374">
        <v>1</v>
      </c>
      <c r="J374" s="4">
        <v>0.15</v>
      </c>
      <c r="K374" s="4">
        <v>0.19</v>
      </c>
      <c r="L374" s="4">
        <f>K374-J374</f>
      </c>
      <c r="M374" s="4">
        <f>L374*16.67%</f>
      </c>
      <c r="N374" s="4">
        <v>0.01</v>
      </c>
      <c r="O374" s="4">
        <f>N374*20%</f>
      </c>
      <c r="P374" s="4">
        <v>0</v>
      </c>
      <c r="Q374" s="4">
        <f>P374*20%</f>
      </c>
      <c r="R374" s="4">
        <v>0</v>
      </c>
      <c r="S374" s="4">
        <f>Q374</f>
      </c>
      <c r="T374" s="4">
        <f>L374-M374-N374-P374-Q374-R374</f>
      </c>
      <c r="U374" s="4">
        <f>(T374-W374)/J374*100</f>
      </c>
      <c r="V374" s="4">
        <f>M374-S374</f>
      </c>
      <c r="X374" s="4">
        <f>T374-W374</f>
      </c>
      <c r="AC374" t="s">
        <v>1</v>
      </c>
    </row>
    <row r="375" spans="1:29" x14ac:dyDescent="0.25">
      <c r="A375" s="8">
        <v>46165.5</v>
      </c>
      <c r="B375" t="s">
        <v>3695</v>
      </c>
      <c r="C375" t="s">
        <v>1</v>
      </c>
      <c r="D375" s="9" t="s">
        <v>3696</v>
      </c>
      <c r="E375" t="s">
        <v>139</v>
      </c>
      <c r="F375" t="s">
        <v>59</v>
      </c>
      <c r="G375" t="s">
        <v>60</v>
      </c>
      <c r="H375" t="s">
        <v>78</v>
      </c>
      <c r="I375">
        <v>1</v>
      </c>
      <c r="J375" s="4">
        <v>307</v>
      </c>
      <c r="K375" s="4">
        <v>408.31</v>
      </c>
      <c r="L375" s="4">
        <f>K375-J375</f>
      </c>
      <c r="M375" s="4">
        <f>L375*16.67%</f>
      </c>
      <c r="N375" s="4">
        <v>18.82</v>
      </c>
      <c r="O375" s="4">
        <f>N375*20%</f>
      </c>
      <c r="P375" s="4">
        <v>0</v>
      </c>
      <c r="Q375" s="4">
        <f>P375*20%</f>
      </c>
      <c r="R375" s="4">
        <v>1</v>
      </c>
      <c r="S375" s="4">
        <f>Q375</f>
      </c>
      <c r="T375" s="4">
        <f>L375-M375-N375-P375-Q375-R375</f>
      </c>
      <c r="U375" s="4">
        <f>(T375-W375)/J375*100</f>
      </c>
      <c r="V375" s="4">
        <f>M375-S375</f>
      </c>
      <c r="X375" s="4">
        <f>T375-W375</f>
      </c>
      <c r="AC375" t="s">
        <v>1</v>
      </c>
    </row>
    <row r="376" spans="1:29" x14ac:dyDescent="0.25">
      <c r="A376" s="8">
        <v>46165.5</v>
      </c>
      <c r="B376" t="s">
        <v>3697</v>
      </c>
      <c r="C376" t="s">
        <v>1</v>
      </c>
      <c r="D376" s="9" t="s">
        <v>3698</v>
      </c>
      <c r="E376" t="s">
        <v>139</v>
      </c>
      <c r="F376" t="s">
        <v>70</v>
      </c>
      <c r="G376" t="s">
        <v>60</v>
      </c>
      <c r="H376" t="s">
        <v>75</v>
      </c>
      <c r="I376">
        <v>1</v>
      </c>
      <c r="J376" s="4">
        <v>309</v>
      </c>
      <c r="K376" s="4">
        <v>355.35</v>
      </c>
      <c r="L376" s="4">
        <f>K376-J376</f>
      </c>
      <c r="M376" s="4">
        <f>L376*16.67%</f>
      </c>
      <c r="N376" s="4">
        <v>16.38</v>
      </c>
      <c r="O376" s="4">
        <f>N376*20%</f>
      </c>
      <c r="P376" s="4">
        <v>0</v>
      </c>
      <c r="Q376" s="4">
        <f>P376*20%</f>
      </c>
      <c r="R376" s="4">
        <v>1</v>
      </c>
      <c r="S376" s="4">
        <f>Q376</f>
      </c>
      <c r="T376" s="4">
        <f>L376-M376-N376-P376-Q376-R376</f>
      </c>
      <c r="U376" s="4">
        <f>(T376-W376)/J376*100</f>
      </c>
      <c r="V376" s="4">
        <f>M376-S376</f>
      </c>
      <c r="X376" s="4">
        <f>T376-W376</f>
      </c>
      <c r="AC376" t="s">
        <v>1</v>
      </c>
    </row>
    <row r="377" spans="1:29" x14ac:dyDescent="0.25">
      <c r="A377" s="8">
        <v>46165.5</v>
      </c>
      <c r="B377" t="s">
        <v>3699</v>
      </c>
      <c r="C377" t="s">
        <v>1</v>
      </c>
      <c r="D377" s="9" t="s">
        <v>3700</v>
      </c>
      <c r="E377" t="s">
        <v>234</v>
      </c>
      <c r="F377" t="s">
        <v>88</v>
      </c>
      <c r="G377" t="s">
        <v>65</v>
      </c>
      <c r="H377" t="s">
        <v>78</v>
      </c>
      <c r="I377">
        <v>1</v>
      </c>
      <c r="J377" s="4">
        <v>183</v>
      </c>
      <c r="K377" s="4">
        <v>250.71</v>
      </c>
      <c r="L377" s="4">
        <f>K377-J377</f>
      </c>
      <c r="M377" s="4">
        <f>L377*16.67%</f>
      </c>
      <c r="N377" s="4">
        <v>11.56</v>
      </c>
      <c r="O377" s="4">
        <f>N377*20%</f>
      </c>
      <c r="P377" s="4">
        <v>0</v>
      </c>
      <c r="Q377" s="4">
        <f>P377*20%</f>
      </c>
      <c r="R377" s="4">
        <v>1</v>
      </c>
      <c r="S377" s="4">
        <f>Q377</f>
      </c>
      <c r="T377" s="4">
        <f>L377-M377-N377-P377-Q377-R377</f>
      </c>
      <c r="U377" s="4">
        <f>(T377-W377)/J377*100</f>
      </c>
      <c r="V377" s="4">
        <f>M377-S377</f>
      </c>
      <c r="X377" s="4">
        <f>T377-W377</f>
      </c>
      <c r="AC377" t="s">
        <v>1</v>
      </c>
    </row>
    <row r="378" spans="1:29" x14ac:dyDescent="0.25">
      <c r="A378" s="8">
        <v>46165.5</v>
      </c>
      <c r="B378" t="s">
        <v>3701</v>
      </c>
      <c r="C378" t="s">
        <v>1</v>
      </c>
      <c r="D378" s="9" t="s">
        <v>3702</v>
      </c>
      <c r="E378" t="s">
        <v>292</v>
      </c>
      <c r="F378" t="s">
        <v>88</v>
      </c>
      <c r="G378" t="s">
        <v>126</v>
      </c>
      <c r="H378" t="s">
        <v>75</v>
      </c>
      <c r="I378">
        <v>1</v>
      </c>
      <c r="J378" s="4">
        <v>184</v>
      </c>
      <c r="K378" s="4">
        <v>228.16</v>
      </c>
      <c r="L378" s="4">
        <f>K378-J378</f>
      </c>
      <c r="M378" s="4">
        <f>L378*16.67%</f>
      </c>
      <c r="N378" s="4">
        <v>10.52</v>
      </c>
      <c r="O378" s="4">
        <f>N378*20%</f>
      </c>
      <c r="P378" s="4">
        <v>0</v>
      </c>
      <c r="Q378" s="4">
        <f>P378*20%</f>
      </c>
      <c r="R378" s="4">
        <v>1</v>
      </c>
      <c r="S378" s="4">
        <f>Q378</f>
      </c>
      <c r="T378" s="4">
        <f>L378-M378-N378-P378-Q378-R378</f>
      </c>
      <c r="U378" s="4">
        <f>(T378-W378)/J378*100</f>
      </c>
      <c r="V378" s="4">
        <f>M378-S378</f>
      </c>
      <c r="X378" s="4">
        <f>T378-W378</f>
      </c>
      <c r="AC378" t="s">
        <v>1</v>
      </c>
    </row>
    <row r="379" spans="1:29" x14ac:dyDescent="0.25">
      <c r="A379" s="8">
        <v>46164.5</v>
      </c>
      <c r="B379" t="s">
        <v>3703</v>
      </c>
      <c r="C379" t="s">
        <v>1</v>
      </c>
      <c r="D379" s="9" t="s">
        <v>3704</v>
      </c>
      <c r="E379" t="s">
        <v>84</v>
      </c>
      <c r="F379" t="s">
        <v>88</v>
      </c>
      <c r="G379" t="s">
        <v>60</v>
      </c>
      <c r="H379" t="s">
        <v>78</v>
      </c>
      <c r="I379">
        <v>1</v>
      </c>
      <c r="J379" s="4">
        <v>766</v>
      </c>
      <c r="K379" s="4">
        <v>1041.76</v>
      </c>
      <c r="L379" s="4">
        <f>K379-J379</f>
      </c>
      <c r="M379" s="4">
        <f>L379*16.67%</f>
      </c>
      <c r="N379" s="4">
        <v>48.03</v>
      </c>
      <c r="O379" s="4">
        <f>N379*20%</f>
      </c>
      <c r="P379" s="4">
        <v>0</v>
      </c>
      <c r="Q379" s="4">
        <f>P379*20%</f>
      </c>
      <c r="R379" s="4">
        <v>1</v>
      </c>
      <c r="S379" s="4">
        <f>Q379</f>
      </c>
      <c r="T379" s="4">
        <f>L379-M379-N379-P379-Q379-R379</f>
      </c>
      <c r="U379" s="4">
        <f>(T379-W379)/J379*100</f>
      </c>
      <c r="V379" s="4">
        <f>M379-S379</f>
      </c>
      <c r="X379" s="4">
        <f>T379-W379</f>
      </c>
      <c r="AC379" t="s">
        <v>1</v>
      </c>
    </row>
    <row r="380" spans="1:29" x14ac:dyDescent="0.25">
      <c r="A380" s="8">
        <v>46164.5</v>
      </c>
      <c r="B380" t="s">
        <v>3705</v>
      </c>
      <c r="C380" t="s">
        <v>1</v>
      </c>
      <c r="D380" s="9" t="s">
        <v>3706</v>
      </c>
      <c r="E380" t="s">
        <v>292</v>
      </c>
      <c r="F380" t="s">
        <v>99</v>
      </c>
      <c r="G380" t="s">
        <v>126</v>
      </c>
      <c r="H380" t="s">
        <v>75</v>
      </c>
      <c r="I380">
        <v>1</v>
      </c>
      <c r="J380" s="4">
        <v>173</v>
      </c>
      <c r="K380" s="4">
        <v>238.74</v>
      </c>
      <c r="L380" s="4">
        <f>K380-J380</f>
      </c>
      <c r="M380" s="4">
        <f>L380*16.67%</f>
      </c>
      <c r="N380" s="4">
        <v>11.01</v>
      </c>
      <c r="O380" s="4">
        <f>N380*20%</f>
      </c>
      <c r="P380" s="4">
        <v>0</v>
      </c>
      <c r="Q380" s="4">
        <f>P380*20%</f>
      </c>
      <c r="R380" s="4">
        <v>1</v>
      </c>
      <c r="S380" s="4">
        <f>Q380</f>
      </c>
      <c r="T380" s="4">
        <f>L380-M380-N380-P380-Q380-R380</f>
      </c>
      <c r="U380" s="4">
        <f>(T380-W380)/J380*100</f>
      </c>
      <c r="V380" s="4">
        <f>M380-S380</f>
      </c>
      <c r="X380" s="4">
        <f>T380-W380</f>
      </c>
      <c r="AC380" t="s">
        <v>1</v>
      </c>
    </row>
    <row r="381" spans="1:29" x14ac:dyDescent="0.25">
      <c r="A381" s="8">
        <v>46164.5</v>
      </c>
      <c r="B381" t="s">
        <v>3707</v>
      </c>
      <c r="C381" t="s">
        <v>1</v>
      </c>
      <c r="D381" s="9" t="s">
        <v>3708</v>
      </c>
      <c r="E381" t="s">
        <v>73</v>
      </c>
      <c r="F381" t="s">
        <v>88</v>
      </c>
      <c r="G381" t="s">
        <v>60</v>
      </c>
      <c r="H381" t="s">
        <v>78</v>
      </c>
      <c r="I381">
        <v>1</v>
      </c>
      <c r="J381" s="4">
        <v>358</v>
      </c>
      <c r="K381" s="4">
        <v>483.3</v>
      </c>
      <c r="L381" s="4">
        <f>K381-J381</f>
      </c>
      <c r="M381" s="4">
        <f>L381*16.67%</f>
      </c>
      <c r="N381" s="4">
        <v>22.28</v>
      </c>
      <c r="O381" s="4">
        <f>N381*20%</f>
      </c>
      <c r="P381" s="4">
        <v>0</v>
      </c>
      <c r="Q381" s="4">
        <f>P381*20%</f>
      </c>
      <c r="R381" s="4">
        <v>1</v>
      </c>
      <c r="S381" s="4">
        <f>Q381</f>
      </c>
      <c r="T381" s="4">
        <f>L381-M381-N381-P381-Q381-R381</f>
      </c>
      <c r="U381" s="4">
        <f>(T381-W381)/J381*100</f>
      </c>
      <c r="V381" s="4">
        <f>M381-S381</f>
      </c>
      <c r="X381" s="4">
        <f>T381-W381</f>
      </c>
      <c r="AC381" t="s">
        <v>1</v>
      </c>
    </row>
    <row r="382" spans="1:29" x14ac:dyDescent="0.25">
      <c r="A382" s="8">
        <v>46164.5</v>
      </c>
      <c r="B382" t="s">
        <v>3709</v>
      </c>
      <c r="C382" t="s">
        <v>1</v>
      </c>
      <c r="D382" s="9" t="s">
        <v>3710</v>
      </c>
      <c r="E382" t="s">
        <v>94</v>
      </c>
      <c r="F382" t="s">
        <v>70</v>
      </c>
      <c r="G382" t="s">
        <v>95</v>
      </c>
      <c r="H382" t="s">
        <v>78</v>
      </c>
      <c r="I382">
        <v>1</v>
      </c>
      <c r="J382" s="4">
        <v>65</v>
      </c>
      <c r="K382" s="4">
        <v>82.55</v>
      </c>
      <c r="L382" s="4">
        <f>K382-J382</f>
      </c>
      <c r="M382" s="4">
        <f>L382*16.67%</f>
      </c>
      <c r="N382" s="4">
        <v>3.81</v>
      </c>
      <c r="O382" s="4">
        <f>N382*20%</f>
      </c>
      <c r="P382" s="4">
        <v>0</v>
      </c>
      <c r="Q382" s="4">
        <f>P382*20%</f>
      </c>
      <c r="R382" s="4">
        <v>1</v>
      </c>
      <c r="S382" s="4">
        <f>Q382</f>
      </c>
      <c r="T382" s="4">
        <f>L382-M382-N382-P382-Q382-R382</f>
      </c>
      <c r="U382" s="4">
        <f>(T382-W382)/J382*100</f>
      </c>
      <c r="V382" s="4">
        <f>M382-S382</f>
      </c>
      <c r="X382" s="4">
        <f>T382-W382</f>
      </c>
      <c r="AC382" t="s">
        <v>1</v>
      </c>
    </row>
    <row r="383" spans="1:29" x14ac:dyDescent="0.25">
      <c r="A383" s="8">
        <v>46164.5</v>
      </c>
      <c r="B383" t="s">
        <v>3711</v>
      </c>
      <c r="C383" t="s">
        <v>189</v>
      </c>
      <c r="D383" s="9" t="s">
        <v>1</v>
      </c>
      <c r="E383" t="s">
        <v>189</v>
      </c>
      <c r="F383" t="s">
        <v>1</v>
      </c>
      <c r="G383" t="s">
        <v>1</v>
      </c>
      <c r="H383" t="s">
        <v>66</v>
      </c>
      <c r="I383">
        <v>4</v>
      </c>
      <c r="J383" s="4">
        <v>14</v>
      </c>
      <c r="K383" s="4">
        <v>19.32</v>
      </c>
      <c r="L383" s="4">
        <f>K383-J383</f>
      </c>
      <c r="M383" s="4">
        <f>L383*16.67%</f>
      </c>
      <c r="N383" s="4">
        <v>0.89</v>
      </c>
      <c r="O383" s="4">
        <f>N383*20%</f>
      </c>
      <c r="P383" s="4">
        <v>0</v>
      </c>
      <c r="Q383" s="4">
        <f>P383*20%</f>
      </c>
      <c r="R383" s="4">
        <v>0</v>
      </c>
      <c r="S383" s="4">
        <f>Q383</f>
      </c>
      <c r="T383" s="4">
        <f>L383-M383-N383-P383-Q383-R383</f>
      </c>
      <c r="U383" s="4">
        <f>(T383-W383)/J383*100</f>
      </c>
      <c r="V383" s="4">
        <f>M383-S383</f>
      </c>
      <c r="X383" s="4">
        <f>T383-W383</f>
      </c>
      <c r="AC383" t="s">
        <v>1</v>
      </c>
    </row>
    <row r="384" spans="1:29" x14ac:dyDescent="0.25">
      <c r="A384" s="8">
        <v>46164.5</v>
      </c>
      <c r="B384" t="s">
        <v>3712</v>
      </c>
      <c r="C384" t="s">
        <v>174</v>
      </c>
      <c r="D384" s="9" t="s">
        <v>1</v>
      </c>
      <c r="E384" t="s">
        <v>174</v>
      </c>
      <c r="F384" t="s">
        <v>1</v>
      </c>
      <c r="G384" t="s">
        <v>1</v>
      </c>
      <c r="H384" t="s">
        <v>66</v>
      </c>
      <c r="I384">
        <v>4</v>
      </c>
      <c r="J384" s="4">
        <v>17</v>
      </c>
      <c r="K384" s="4">
        <v>21.59</v>
      </c>
      <c r="L384" s="4">
        <f>K384-J384</f>
      </c>
      <c r="M384" s="4">
        <f>L384*16.67%</f>
      </c>
      <c r="N384" s="4">
        <v>1</v>
      </c>
      <c r="O384" s="4">
        <f>N384*20%</f>
      </c>
      <c r="P384" s="4">
        <v>0</v>
      </c>
      <c r="Q384" s="4">
        <f>P384*20%</f>
      </c>
      <c r="R384" s="4">
        <v>0</v>
      </c>
      <c r="S384" s="4">
        <f>Q384</f>
      </c>
      <c r="T384" s="4">
        <f>L384-M384-N384-P384-Q384-R384</f>
      </c>
      <c r="U384" s="4">
        <f>(T384-W384)/J384*100</f>
      </c>
      <c r="V384" s="4">
        <f>M384-S384</f>
      </c>
      <c r="X384" s="4">
        <f>T384-W384</f>
      </c>
      <c r="AC384" t="s">
        <v>1</v>
      </c>
    </row>
    <row r="385" spans="1:29" x14ac:dyDescent="0.25">
      <c r="A385" s="8">
        <v>46163.5</v>
      </c>
      <c r="B385" t="s">
        <v>3713</v>
      </c>
      <c r="C385" t="s">
        <v>1</v>
      </c>
      <c r="D385" s="9" t="s">
        <v>3714</v>
      </c>
      <c r="E385" t="s">
        <v>131</v>
      </c>
      <c r="F385" t="s">
        <v>59</v>
      </c>
      <c r="G385" t="s">
        <v>65</v>
      </c>
      <c r="H385" t="s">
        <v>78</v>
      </c>
      <c r="I385">
        <v>1</v>
      </c>
      <c r="J385" s="4">
        <v>280</v>
      </c>
      <c r="K385" s="4">
        <v>406</v>
      </c>
      <c r="L385" s="4">
        <f>K385-J385</f>
      </c>
      <c r="M385" s="4">
        <f>L385*16.67%</f>
      </c>
      <c r="N385" s="4">
        <v>18.72</v>
      </c>
      <c r="O385" s="4">
        <f>N385*20%</f>
      </c>
      <c r="P385" s="4">
        <v>0</v>
      </c>
      <c r="Q385" s="4">
        <f>P385*20%</f>
      </c>
      <c r="R385" s="4">
        <v>1</v>
      </c>
      <c r="S385" s="4">
        <f>Q385</f>
      </c>
      <c r="T385" s="4">
        <f>L385-M385-N385-P385-Q385-R385</f>
      </c>
      <c r="U385" s="4">
        <f>(T385-W385)/J385*100</f>
      </c>
      <c r="V385" s="4">
        <f>M385-S385</f>
      </c>
      <c r="X385" s="4">
        <f>T385-W385</f>
      </c>
      <c r="AC385" t="s">
        <v>1</v>
      </c>
    </row>
    <row r="386" spans="1:29" x14ac:dyDescent="0.25">
      <c r="A386" s="8">
        <v>46163.5</v>
      </c>
      <c r="B386" t="s">
        <v>3715</v>
      </c>
      <c r="C386" t="s">
        <v>189</v>
      </c>
      <c r="D386" s="9" t="s">
        <v>1</v>
      </c>
      <c r="E386" t="s">
        <v>189</v>
      </c>
      <c r="F386" t="s">
        <v>1</v>
      </c>
      <c r="G386" t="s">
        <v>1</v>
      </c>
      <c r="H386" t="s">
        <v>66</v>
      </c>
      <c r="I386">
        <v>3</v>
      </c>
      <c r="J386" s="4">
        <v>10.5</v>
      </c>
      <c r="K386" s="4">
        <v>13.23</v>
      </c>
      <c r="L386" s="4">
        <f>K386-J386</f>
      </c>
      <c r="M386" s="4">
        <f>L386*16.67%</f>
      </c>
      <c r="N386" s="4">
        <v>0.61</v>
      </c>
      <c r="O386" s="4">
        <f>N386*20%</f>
      </c>
      <c r="P386" s="4">
        <v>0</v>
      </c>
      <c r="Q386" s="4">
        <f>P386*20%</f>
      </c>
      <c r="R386" s="4">
        <v>0</v>
      </c>
      <c r="S386" s="4">
        <f>Q386</f>
      </c>
      <c r="T386" s="4">
        <f>L386-M386-N386-P386-Q386-R386</f>
      </c>
      <c r="U386" s="4">
        <f>(T386-W386)/J386*100</f>
      </c>
      <c r="V386" s="4">
        <f>M386-S386</f>
      </c>
      <c r="X386" s="4">
        <f>T386-W386</f>
      </c>
      <c r="AC386" t="s">
        <v>1</v>
      </c>
    </row>
    <row r="387" spans="1:29" x14ac:dyDescent="0.25">
      <c r="A387" s="8">
        <v>46162.5</v>
      </c>
      <c r="B387" t="s">
        <v>3716</v>
      </c>
      <c r="C387" t="s">
        <v>1</v>
      </c>
      <c r="D387" s="9" t="s">
        <v>3717</v>
      </c>
      <c r="E387" t="s">
        <v>94</v>
      </c>
      <c r="F387" t="s">
        <v>99</v>
      </c>
      <c r="G387" t="s">
        <v>95</v>
      </c>
      <c r="H387" t="s">
        <v>66</v>
      </c>
      <c r="I387">
        <v>1</v>
      </c>
      <c r="J387" s="4">
        <v>78</v>
      </c>
      <c r="K387" s="4">
        <v>105.3</v>
      </c>
      <c r="L387" s="4">
        <f>K387-J387</f>
      </c>
      <c r="M387" s="4">
        <f>L387*16.67%</f>
      </c>
      <c r="N387" s="4">
        <v>4.85</v>
      </c>
      <c r="O387" s="4">
        <f>N387*20%</f>
      </c>
      <c r="P387" s="4">
        <v>0</v>
      </c>
      <c r="Q387" s="4">
        <f>P387*20%</f>
      </c>
      <c r="R387" s="4">
        <v>1</v>
      </c>
      <c r="S387" s="4">
        <f>Q387</f>
      </c>
      <c r="T387" s="4">
        <f>L387-M387-N387-P387-Q387-R387</f>
      </c>
      <c r="U387" s="4">
        <f>(T387-W387)/J387*100</f>
      </c>
      <c r="V387" s="4">
        <f>M387-S387</f>
      </c>
      <c r="X387" s="4">
        <f>T387-W387</f>
      </c>
      <c r="AC387" t="s">
        <v>1</v>
      </c>
    </row>
    <row r="388" spans="1:29" x14ac:dyDescent="0.25">
      <c r="A388" s="8">
        <v>46162.5</v>
      </c>
      <c r="B388" t="s">
        <v>3718</v>
      </c>
      <c r="C388" t="s">
        <v>1</v>
      </c>
      <c r="D388" s="9" t="s">
        <v>3719</v>
      </c>
      <c r="E388" t="s">
        <v>58</v>
      </c>
      <c r="F388" t="s">
        <v>85</v>
      </c>
      <c r="G388" t="s">
        <v>60</v>
      </c>
      <c r="H388" t="s">
        <v>102</v>
      </c>
      <c r="I388">
        <v>1</v>
      </c>
      <c r="J388" s="4">
        <v>477</v>
      </c>
      <c r="K388" s="4">
        <v>586.71</v>
      </c>
      <c r="L388" s="4">
        <f>K388-J388</f>
      </c>
      <c r="M388" s="4">
        <f>L388*16.67%</f>
      </c>
      <c r="N388" s="4">
        <v>27.05</v>
      </c>
      <c r="O388" s="4">
        <f>N388*20%</f>
      </c>
      <c r="P388" s="4">
        <v>0</v>
      </c>
      <c r="Q388" s="4">
        <f>P388*20%</f>
      </c>
      <c r="R388" s="4">
        <v>1</v>
      </c>
      <c r="S388" s="4">
        <f>Q388</f>
      </c>
      <c r="T388" s="4">
        <f>L388-M388-N388-P388-Q388-R388</f>
      </c>
      <c r="U388" s="4">
        <f>(T388-W388)/J388*100</f>
      </c>
      <c r="V388" s="4">
        <f>M388-S388</f>
      </c>
      <c r="X388" s="4">
        <f>T388-W388</f>
      </c>
      <c r="AC388" t="s">
        <v>1</v>
      </c>
    </row>
    <row r="389" spans="1:29" x14ac:dyDescent="0.25">
      <c r="A389" s="8">
        <v>46162.5</v>
      </c>
      <c r="B389" t="s">
        <v>3720</v>
      </c>
      <c r="C389" t="s">
        <v>1</v>
      </c>
      <c r="D389" s="9" t="s">
        <v>3721</v>
      </c>
      <c r="E389" t="s">
        <v>58</v>
      </c>
      <c r="F389" t="s">
        <v>74</v>
      </c>
      <c r="G389" t="s">
        <v>60</v>
      </c>
      <c r="H389" t="s">
        <v>78</v>
      </c>
      <c r="I389">
        <v>1</v>
      </c>
      <c r="J389" s="4">
        <v>459</v>
      </c>
      <c r="K389" s="4">
        <v>582.93</v>
      </c>
      <c r="L389" s="4">
        <f>K389-J389</f>
      </c>
      <c r="M389" s="4">
        <f>L389*16.67%</f>
      </c>
      <c r="N389" s="4">
        <v>26.87</v>
      </c>
      <c r="O389" s="4">
        <f>N389*20%</f>
      </c>
      <c r="P389" s="4">
        <v>0</v>
      </c>
      <c r="Q389" s="4">
        <f>P389*20%</f>
      </c>
      <c r="R389" s="4">
        <v>1</v>
      </c>
      <c r="S389" s="4">
        <f>Q389</f>
      </c>
      <c r="T389" s="4">
        <f>L389-M389-N389-P389-Q389-R389</f>
      </c>
      <c r="U389" s="4">
        <f>(T389-W389)/J389*100</f>
      </c>
      <c r="V389" s="4">
        <f>M389-S389</f>
      </c>
      <c r="X389" s="4">
        <f>T389-W389</f>
      </c>
      <c r="AC389" t="s">
        <v>1</v>
      </c>
    </row>
    <row r="390" spans="1:29" x14ac:dyDescent="0.25">
      <c r="A390" s="8">
        <v>46162.5</v>
      </c>
      <c r="B390" t="s">
        <v>3722</v>
      </c>
      <c r="C390" t="s">
        <v>174</v>
      </c>
      <c r="D390" s="9" t="s">
        <v>1</v>
      </c>
      <c r="E390" t="s">
        <v>174</v>
      </c>
      <c r="F390" t="s">
        <v>1</v>
      </c>
      <c r="G390" t="s">
        <v>1</v>
      </c>
      <c r="H390" t="s">
        <v>66</v>
      </c>
      <c r="I390">
        <v>2</v>
      </c>
      <c r="J390" s="4">
        <v>8.5</v>
      </c>
      <c r="K390" s="4">
        <v>12.15</v>
      </c>
      <c r="L390" s="4">
        <f>K390-J390</f>
      </c>
      <c r="M390" s="4">
        <f>L390*16.67%</f>
      </c>
      <c r="N390" s="4">
        <v>0.56</v>
      </c>
      <c r="O390" s="4">
        <f>N390*20%</f>
      </c>
      <c r="P390" s="4">
        <v>0</v>
      </c>
      <c r="Q390" s="4">
        <f>P390*20%</f>
      </c>
      <c r="R390" s="4">
        <v>0</v>
      </c>
      <c r="S390" s="4">
        <f>Q390</f>
      </c>
      <c r="T390" s="4">
        <f>L390-M390-N390-P390-Q390-R390</f>
      </c>
      <c r="U390" s="4">
        <f>(T390-W390)/J390*100</f>
      </c>
      <c r="V390" s="4">
        <f>M390-S390</f>
      </c>
      <c r="X390" s="4">
        <f>T390-W390</f>
      </c>
      <c r="AC390" t="s">
        <v>1</v>
      </c>
    </row>
    <row r="391" spans="1:29" x14ac:dyDescent="0.25">
      <c r="A391" s="8">
        <v>46161.5</v>
      </c>
      <c r="B391" t="s">
        <v>3723</v>
      </c>
      <c r="C391" t="s">
        <v>1</v>
      </c>
      <c r="D391" s="9" t="s">
        <v>3724</v>
      </c>
      <c r="E391" t="s">
        <v>139</v>
      </c>
      <c r="F391" t="s">
        <v>70</v>
      </c>
      <c r="G391" t="s">
        <v>65</v>
      </c>
      <c r="H391" t="s">
        <v>66</v>
      </c>
      <c r="I391">
        <v>1</v>
      </c>
      <c r="J391" s="4">
        <v>372</v>
      </c>
      <c r="K391" s="4">
        <v>535.68</v>
      </c>
      <c r="L391" s="4">
        <f>K391-J391</f>
      </c>
      <c r="M391" s="4">
        <f>L391*16.67%</f>
      </c>
      <c r="N391" s="4">
        <v>24.69</v>
      </c>
      <c r="O391" s="4">
        <f>N391*20%</f>
      </c>
      <c r="P391" s="4">
        <v>0</v>
      </c>
      <c r="Q391" s="4">
        <f>P391*20%</f>
      </c>
      <c r="R391" s="4">
        <v>1</v>
      </c>
      <c r="S391" s="4">
        <f>Q391</f>
      </c>
      <c r="T391" s="4">
        <f>L391-M391-N391-P391-Q391-R391</f>
      </c>
      <c r="U391" s="4">
        <f>(T391-W391)/J391*100</f>
      </c>
      <c r="V391" s="4">
        <f>M391-S391</f>
      </c>
      <c r="X391" s="4">
        <f>T391-W391</f>
      </c>
      <c r="AC391" t="s">
        <v>1</v>
      </c>
    </row>
    <row r="392" spans="1:29" x14ac:dyDescent="0.25">
      <c r="A392" s="8">
        <v>46161.5</v>
      </c>
      <c r="B392" t="s">
        <v>3725</v>
      </c>
      <c r="C392" t="s">
        <v>1</v>
      </c>
      <c r="D392" s="9" t="s">
        <v>3726</v>
      </c>
      <c r="E392" t="s">
        <v>94</v>
      </c>
      <c r="F392" t="s">
        <v>105</v>
      </c>
      <c r="G392" t="s">
        <v>95</v>
      </c>
      <c r="H392" t="s">
        <v>66</v>
      </c>
      <c r="I392">
        <v>1</v>
      </c>
      <c r="J392" s="4">
        <v>60</v>
      </c>
      <c r="K392" s="4">
        <v>79.2</v>
      </c>
      <c r="L392" s="4">
        <f>K392-J392</f>
      </c>
      <c r="M392" s="4">
        <f>L392*16.67%</f>
      </c>
      <c r="N392" s="4">
        <v>3.65</v>
      </c>
      <c r="O392" s="4">
        <f>N392*20%</f>
      </c>
      <c r="P392" s="4">
        <v>0</v>
      </c>
      <c r="Q392" s="4">
        <f>P392*20%</f>
      </c>
      <c r="R392" s="4">
        <v>1</v>
      </c>
      <c r="S392" s="4">
        <f>Q392</f>
      </c>
      <c r="T392" s="4">
        <f>L392-M392-N392-P392-Q392-R392</f>
      </c>
      <c r="U392" s="4">
        <f>(T392-W392)/J392*100</f>
      </c>
      <c r="V392" s="4">
        <f>M392-S392</f>
      </c>
      <c r="X392" s="4">
        <f>T392-W392</f>
      </c>
      <c r="AC392" t="s">
        <v>1</v>
      </c>
    </row>
    <row r="393" spans="1:29" x14ac:dyDescent="0.25">
      <c r="A393" s="8">
        <v>46161.5</v>
      </c>
      <c r="B393" t="s">
        <v>3727</v>
      </c>
      <c r="C393" t="s">
        <v>1</v>
      </c>
      <c r="D393" s="9" t="s">
        <v>3728</v>
      </c>
      <c r="E393" t="s">
        <v>58</v>
      </c>
      <c r="F393" t="s">
        <v>88</v>
      </c>
      <c r="G393" t="s">
        <v>60</v>
      </c>
      <c r="H393" t="s">
        <v>75</v>
      </c>
      <c r="I393">
        <v>1</v>
      </c>
      <c r="J393" s="4">
        <v>441</v>
      </c>
      <c r="K393" s="4">
        <v>577.71</v>
      </c>
      <c r="L393" s="4">
        <f>K393-J393</f>
      </c>
      <c r="M393" s="4">
        <f>L393*16.67%</f>
      </c>
      <c r="N393" s="4">
        <v>26.63</v>
      </c>
      <c r="O393" s="4">
        <f>N393*20%</f>
      </c>
      <c r="P393" s="4">
        <v>0</v>
      </c>
      <c r="Q393" s="4">
        <f>P393*20%</f>
      </c>
      <c r="R393" s="4">
        <v>1</v>
      </c>
      <c r="S393" s="4">
        <f>Q393</f>
      </c>
      <c r="T393" s="4">
        <f>L393-M393-N393-P393-Q393-R393</f>
      </c>
      <c r="U393" s="4">
        <f>(T393-W393)/J393*100</f>
      </c>
      <c r="V393" s="4">
        <f>M393-S393</f>
      </c>
      <c r="X393" s="4">
        <f>T393-W393</f>
      </c>
      <c r="AC393" t="s">
        <v>1</v>
      </c>
    </row>
    <row r="394" spans="1:29" x14ac:dyDescent="0.25">
      <c r="A394" s="8">
        <v>46161.5</v>
      </c>
      <c r="B394" t="s">
        <v>3729</v>
      </c>
      <c r="C394" t="s">
        <v>254</v>
      </c>
      <c r="D394" s="9" t="s">
        <v>1</v>
      </c>
      <c r="E394" t="s">
        <v>254</v>
      </c>
      <c r="F394" t="s">
        <v>1</v>
      </c>
      <c r="G394" t="s">
        <v>1</v>
      </c>
      <c r="H394" t="s">
        <v>61</v>
      </c>
      <c r="I394">
        <v>2</v>
      </c>
      <c r="J394" s="4">
        <v>1.6</v>
      </c>
      <c r="K394" s="4">
        <v>2.21</v>
      </c>
      <c r="L394" s="4">
        <f>K394-J394</f>
      </c>
      <c r="M394" s="4">
        <f>L394*16.67%</f>
      </c>
      <c r="N394" s="4">
        <v>0.1</v>
      </c>
      <c r="O394" s="4">
        <f>N394*20%</f>
      </c>
      <c r="P394" s="4">
        <v>0</v>
      </c>
      <c r="Q394" s="4">
        <f>P394*20%</f>
      </c>
      <c r="R394" s="4">
        <v>0</v>
      </c>
      <c r="S394" s="4">
        <f>Q394</f>
      </c>
      <c r="T394" s="4">
        <f>L394-M394-N394-P394-Q394-R394</f>
      </c>
      <c r="U394" s="4">
        <f>(T394-W394)/J394*100</f>
      </c>
      <c r="V394" s="4">
        <f>M394-S394</f>
      </c>
      <c r="X394" s="4">
        <f>T394-W394</f>
      </c>
      <c r="AC394" t="s">
        <v>1</v>
      </c>
    </row>
    <row r="395" spans="1:29" x14ac:dyDescent="0.25">
      <c r="A395" s="8">
        <v>46161.5</v>
      </c>
      <c r="B395" t="s">
        <v>3730</v>
      </c>
      <c r="C395" t="s">
        <v>182</v>
      </c>
      <c r="D395" s="9" t="s">
        <v>1</v>
      </c>
      <c r="E395" t="s">
        <v>182</v>
      </c>
      <c r="F395" t="s">
        <v>1</v>
      </c>
      <c r="G395" t="s">
        <v>1</v>
      </c>
      <c r="H395" t="s">
        <v>75</v>
      </c>
      <c r="I395">
        <v>4</v>
      </c>
      <c r="J395" s="4">
        <v>7.6</v>
      </c>
      <c r="K395" s="4">
        <v>10.87</v>
      </c>
      <c r="L395" s="4">
        <f>K395-J395</f>
      </c>
      <c r="M395" s="4">
        <f>L395*16.67%</f>
      </c>
      <c r="N395" s="4">
        <v>0.5</v>
      </c>
      <c r="O395" s="4">
        <f>N395*20%</f>
      </c>
      <c r="P395" s="4">
        <v>0</v>
      </c>
      <c r="Q395" s="4">
        <f>P395*20%</f>
      </c>
      <c r="R395" s="4">
        <v>0</v>
      </c>
      <c r="S395" s="4">
        <f>Q395</f>
      </c>
      <c r="T395" s="4">
        <f>L395-M395-N395-P395-Q395-R395</f>
      </c>
      <c r="U395" s="4">
        <f>(T395-W395)/J395*100</f>
      </c>
      <c r="V395" s="4">
        <f>M395-S395</f>
      </c>
      <c r="X395" s="4">
        <f>T395-W395</f>
      </c>
      <c r="AC395" t="s">
        <v>1</v>
      </c>
    </row>
    <row r="396" spans="1:29" x14ac:dyDescent="0.25">
      <c r="A396" s="8">
        <v>46160.5</v>
      </c>
      <c r="B396" t="s">
        <v>3731</v>
      </c>
      <c r="C396" t="s">
        <v>1</v>
      </c>
      <c r="D396" s="9" t="s">
        <v>3732</v>
      </c>
      <c r="E396" t="s">
        <v>125</v>
      </c>
      <c r="F396" t="s">
        <v>88</v>
      </c>
      <c r="G396" t="s">
        <v>126</v>
      </c>
      <c r="H396" t="s">
        <v>66</v>
      </c>
      <c r="I396">
        <v>1</v>
      </c>
      <c r="J396" s="4">
        <v>236</v>
      </c>
      <c r="K396" s="4">
        <v>316.24</v>
      </c>
      <c r="L396" s="4">
        <f>K396-J396</f>
      </c>
      <c r="M396" s="4">
        <f>L396*16.67%</f>
      </c>
      <c r="N396" s="4">
        <v>14.58</v>
      </c>
      <c r="O396" s="4">
        <f>N396*20%</f>
      </c>
      <c r="P396" s="4">
        <v>0</v>
      </c>
      <c r="Q396" s="4">
        <f>P396*20%</f>
      </c>
      <c r="R396" s="4">
        <v>1</v>
      </c>
      <c r="S396" s="4">
        <f>Q396</f>
      </c>
      <c r="T396" s="4">
        <f>L396-M396-N396-P396-Q396-R396</f>
      </c>
      <c r="U396" s="4">
        <f>(T396-W396)/J396*100</f>
      </c>
      <c r="V396" s="4">
        <f>M396-S396</f>
      </c>
      <c r="X396" s="4">
        <f>T396-W396</f>
      </c>
      <c r="AC396" t="s">
        <v>1</v>
      </c>
    </row>
    <row r="397" spans="1:29" x14ac:dyDescent="0.25">
      <c r="A397" s="8">
        <v>46160.5</v>
      </c>
      <c r="B397" t="s">
        <v>3733</v>
      </c>
      <c r="C397" t="s">
        <v>1</v>
      </c>
      <c r="D397" s="9" t="s">
        <v>3734</v>
      </c>
      <c r="E397" t="s">
        <v>131</v>
      </c>
      <c r="F397" t="s">
        <v>88</v>
      </c>
      <c r="G397" t="s">
        <v>65</v>
      </c>
      <c r="H397" t="s">
        <v>61</v>
      </c>
      <c r="I397">
        <v>1</v>
      </c>
      <c r="J397" s="4">
        <v>290</v>
      </c>
      <c r="K397" s="4">
        <v>400.2</v>
      </c>
      <c r="L397" s="4">
        <f>K397-J397</f>
      </c>
      <c r="M397" s="4">
        <f>L397*16.67%</f>
      </c>
      <c r="N397" s="4">
        <v>18.45</v>
      </c>
      <c r="O397" s="4">
        <f>N397*20%</f>
      </c>
      <c r="P397" s="4">
        <v>0</v>
      </c>
      <c r="Q397" s="4">
        <f>P397*20%</f>
      </c>
      <c r="R397" s="4">
        <v>1</v>
      </c>
      <c r="S397" s="4">
        <f>Q397</f>
      </c>
      <c r="T397" s="4">
        <f>L397-M397-N397-P397-Q397-R397</f>
      </c>
      <c r="U397" s="4">
        <f>(T397-W397)/J397*100</f>
      </c>
      <c r="V397" s="4">
        <f>M397-S397</f>
      </c>
      <c r="X397" s="4">
        <f>T397-W397</f>
      </c>
      <c r="AC397" t="s">
        <v>1</v>
      </c>
    </row>
    <row r="398" spans="1:29" x14ac:dyDescent="0.25">
      <c r="A398" s="8">
        <v>46160.5</v>
      </c>
      <c r="B398" t="s">
        <v>3735</v>
      </c>
      <c r="C398" t="s">
        <v>1</v>
      </c>
      <c r="D398" s="9" t="s">
        <v>3736</v>
      </c>
      <c r="E398" t="s">
        <v>58</v>
      </c>
      <c r="F398" t="s">
        <v>59</v>
      </c>
      <c r="G398" t="s">
        <v>60</v>
      </c>
      <c r="H398" t="s">
        <v>61</v>
      </c>
      <c r="I398">
        <v>1</v>
      </c>
      <c r="J398" s="4">
        <v>453</v>
      </c>
      <c r="K398" s="4">
        <v>588.9</v>
      </c>
      <c r="L398" s="4">
        <f>K398-J398</f>
      </c>
      <c r="M398" s="4">
        <f>L398*16.67%</f>
      </c>
      <c r="N398" s="4">
        <v>27.15</v>
      </c>
      <c r="O398" s="4">
        <f>N398*20%</f>
      </c>
      <c r="P398" s="4">
        <v>0</v>
      </c>
      <c r="Q398" s="4">
        <f>P398*20%</f>
      </c>
      <c r="R398" s="4">
        <v>1</v>
      </c>
      <c r="S398" s="4">
        <f>Q398</f>
      </c>
      <c r="T398" s="4">
        <f>L398-M398-N398-P398-Q398-R398</f>
      </c>
      <c r="U398" s="4">
        <f>(T398-W398)/J398*100</f>
      </c>
      <c r="V398" s="4">
        <f>M398-S398</f>
      </c>
      <c r="X398" s="4">
        <f>T398-W398</f>
      </c>
      <c r="AC398" t="s">
        <v>1</v>
      </c>
    </row>
    <row r="399" spans="1:29" x14ac:dyDescent="0.25">
      <c r="A399" s="8">
        <v>46160.5</v>
      </c>
      <c r="B399" t="s">
        <v>3737</v>
      </c>
      <c r="C399" t="s">
        <v>1</v>
      </c>
      <c r="D399" s="9" t="s">
        <v>3738</v>
      </c>
      <c r="E399" t="s">
        <v>64</v>
      </c>
      <c r="F399" t="s">
        <v>88</v>
      </c>
      <c r="G399" t="s">
        <v>65</v>
      </c>
      <c r="H399" t="s">
        <v>61</v>
      </c>
      <c r="I399">
        <v>1</v>
      </c>
      <c r="J399" s="4">
        <v>235</v>
      </c>
      <c r="K399" s="4">
        <v>333.7</v>
      </c>
      <c r="L399" s="4">
        <f>K399-J399</f>
      </c>
      <c r="M399" s="4">
        <f>L399*16.67%</f>
      </c>
      <c r="N399" s="4">
        <v>15.38</v>
      </c>
      <c r="O399" s="4">
        <f>N399*20%</f>
      </c>
      <c r="P399" s="4">
        <v>0</v>
      </c>
      <c r="Q399" s="4">
        <f>P399*20%</f>
      </c>
      <c r="R399" s="4">
        <v>1</v>
      </c>
      <c r="S399" s="4">
        <f>Q399</f>
      </c>
      <c r="T399" s="4">
        <f>L399-M399-N399-P399-Q399-R399</f>
      </c>
      <c r="U399" s="4">
        <f>(T399-W399)/J399*100</f>
      </c>
      <c r="V399" s="4">
        <f>M399-S399</f>
      </c>
      <c r="X399" s="4">
        <f>T399-W399</f>
      </c>
      <c r="AC399" t="s">
        <v>1</v>
      </c>
    </row>
    <row r="400" spans="1:29" x14ac:dyDescent="0.25">
      <c r="A400" s="8">
        <v>46160.5</v>
      </c>
      <c r="B400" t="s">
        <v>3739</v>
      </c>
      <c r="C400" t="s">
        <v>174</v>
      </c>
      <c r="D400" s="9" t="s">
        <v>1</v>
      </c>
      <c r="E400" t="s">
        <v>174</v>
      </c>
      <c r="F400" t="s">
        <v>1</v>
      </c>
      <c r="G400" t="s">
        <v>1</v>
      </c>
      <c r="H400" t="s">
        <v>66</v>
      </c>
      <c r="I400">
        <v>2</v>
      </c>
      <c r="J400" s="4">
        <v>8.5</v>
      </c>
      <c r="K400" s="4">
        <v>10.2</v>
      </c>
      <c r="L400" s="4">
        <f>K400-J400</f>
      </c>
      <c r="M400" s="4">
        <f>L400*16.67%</f>
      </c>
      <c r="N400" s="4">
        <v>0.47</v>
      </c>
      <c r="O400" s="4">
        <f>N400*20%</f>
      </c>
      <c r="P400" s="4">
        <v>0</v>
      </c>
      <c r="Q400" s="4">
        <f>P400*20%</f>
      </c>
      <c r="R400" s="4">
        <v>0</v>
      </c>
      <c r="S400" s="4">
        <f>Q400</f>
      </c>
      <c r="T400" s="4">
        <f>L400-M400-N400-P400-Q400-R400</f>
      </c>
      <c r="U400" s="4">
        <f>(T400-W400)/J400*100</f>
      </c>
      <c r="V400" s="4">
        <f>M400-S400</f>
      </c>
      <c r="X400" s="4">
        <f>T400-W400</f>
      </c>
      <c r="AC400" t="s">
        <v>1</v>
      </c>
    </row>
    <row r="401" spans="1:29" x14ac:dyDescent="0.25">
      <c r="A401" s="8">
        <v>46160.5</v>
      </c>
      <c r="B401" t="s">
        <v>3740</v>
      </c>
      <c r="C401" t="s">
        <v>254</v>
      </c>
      <c r="D401" s="9" t="s">
        <v>1</v>
      </c>
      <c r="E401" t="s">
        <v>254</v>
      </c>
      <c r="F401" t="s">
        <v>1</v>
      </c>
      <c r="G401" t="s">
        <v>1</v>
      </c>
      <c r="H401" t="s">
        <v>61</v>
      </c>
      <c r="I401">
        <v>3</v>
      </c>
      <c r="J401" s="4">
        <v>2.4</v>
      </c>
      <c r="K401" s="4">
        <v>3.05</v>
      </c>
      <c r="L401" s="4">
        <f>K401-J401</f>
      </c>
      <c r="M401" s="4">
        <f>L401*16.67%</f>
      </c>
      <c r="N401" s="4">
        <v>0.14</v>
      </c>
      <c r="O401" s="4">
        <f>N401*20%</f>
      </c>
      <c r="P401" s="4">
        <v>0</v>
      </c>
      <c r="Q401" s="4">
        <f>P401*20%</f>
      </c>
      <c r="R401" s="4">
        <v>0</v>
      </c>
      <c r="S401" s="4">
        <f>Q401</f>
      </c>
      <c r="T401" s="4">
        <f>L401-M401-N401-P401-Q401-R401</f>
      </c>
      <c r="U401" s="4">
        <f>(T401-W401)/J401*100</f>
      </c>
      <c r="V401" s="4">
        <f>M401-S401</f>
      </c>
      <c r="X401" s="4">
        <f>T401-W401</f>
      </c>
      <c r="AC401" t="s">
        <v>1</v>
      </c>
    </row>
    <row r="402" spans="1:29" x14ac:dyDescent="0.25">
      <c r="A402" s="8">
        <v>46159.5</v>
      </c>
      <c r="B402" t="s">
        <v>3741</v>
      </c>
      <c r="C402" t="s">
        <v>1</v>
      </c>
      <c r="D402" s="9" t="s">
        <v>3742</v>
      </c>
      <c r="E402" t="s">
        <v>131</v>
      </c>
      <c r="F402" t="s">
        <v>105</v>
      </c>
      <c r="G402" t="s">
        <v>65</v>
      </c>
      <c r="H402" t="s">
        <v>102</v>
      </c>
      <c r="I402">
        <v>1</v>
      </c>
      <c r="J402" s="4">
        <v>266</v>
      </c>
      <c r="K402" s="4">
        <v>356.44</v>
      </c>
      <c r="L402" s="4">
        <f>K402-J402</f>
      </c>
      <c r="M402" s="4">
        <f>L402*16.67%</f>
      </c>
      <c r="N402" s="4">
        <v>16.43</v>
      </c>
      <c r="O402" s="4">
        <f>N402*20%</f>
      </c>
      <c r="P402" s="4">
        <v>0</v>
      </c>
      <c r="Q402" s="4">
        <f>P402*20%</f>
      </c>
      <c r="R402" s="4">
        <v>1</v>
      </c>
      <c r="S402" s="4">
        <f>Q402</f>
      </c>
      <c r="T402" s="4">
        <f>L402-M402-N402-P402-Q402-R402</f>
      </c>
      <c r="U402" s="4">
        <f>(T402-W402)/J402*100</f>
      </c>
      <c r="V402" s="4">
        <f>M402-S402</f>
      </c>
      <c r="X402" s="4">
        <f>T402-W402</f>
      </c>
      <c r="AC402" t="s">
        <v>1</v>
      </c>
    </row>
    <row r="403" spans="1:29" x14ac:dyDescent="0.25">
      <c r="A403" s="8">
        <v>46159.5</v>
      </c>
      <c r="B403" t="s">
        <v>3743</v>
      </c>
      <c r="C403" t="s">
        <v>1</v>
      </c>
      <c r="D403" s="9" t="s">
        <v>3744</v>
      </c>
      <c r="E403" t="s">
        <v>94</v>
      </c>
      <c r="F403" t="s">
        <v>59</v>
      </c>
      <c r="G403" t="s">
        <v>95</v>
      </c>
      <c r="H403" t="s">
        <v>75</v>
      </c>
      <c r="I403">
        <v>1</v>
      </c>
      <c r="J403" s="4">
        <v>81</v>
      </c>
      <c r="K403" s="4">
        <v>98.01</v>
      </c>
      <c r="L403" s="4">
        <f>K403-J403</f>
      </c>
      <c r="M403" s="4">
        <f>L403*16.67%</f>
      </c>
      <c r="N403" s="4">
        <v>4.52</v>
      </c>
      <c r="O403" s="4">
        <f>N403*20%</f>
      </c>
      <c r="P403" s="4">
        <v>0</v>
      </c>
      <c r="Q403" s="4">
        <f>P403*20%</f>
      </c>
      <c r="R403" s="4">
        <v>1</v>
      </c>
      <c r="S403" s="4">
        <f>Q403</f>
      </c>
      <c r="T403" s="4">
        <f>L403-M403-N403-P403-Q403-R403</f>
      </c>
      <c r="U403" s="4">
        <f>(T403-W403)/J403*100</f>
      </c>
      <c r="V403" s="4">
        <f>M403-S403</f>
      </c>
      <c r="X403" s="4">
        <f>T403-W403</f>
      </c>
      <c r="AC403" t="s">
        <v>1</v>
      </c>
    </row>
    <row r="404" spans="1:29" x14ac:dyDescent="0.25">
      <c r="A404" s="8">
        <v>46159.5</v>
      </c>
      <c r="B404" t="s">
        <v>3745</v>
      </c>
      <c r="C404" t="s">
        <v>174</v>
      </c>
      <c r="D404" s="9" t="s">
        <v>1</v>
      </c>
      <c r="E404" t="s">
        <v>174</v>
      </c>
      <c r="F404" t="s">
        <v>1</v>
      </c>
      <c r="G404" t="s">
        <v>1</v>
      </c>
      <c r="H404" t="s">
        <v>66</v>
      </c>
      <c r="I404">
        <v>3</v>
      </c>
      <c r="J404" s="4">
        <v>12.75</v>
      </c>
      <c r="K404" s="4">
        <v>16.7</v>
      </c>
      <c r="L404" s="4">
        <f>K404-J404</f>
      </c>
      <c r="M404" s="4">
        <f>L404*16.67%</f>
      </c>
      <c r="N404" s="4">
        <v>0.77</v>
      </c>
      <c r="O404" s="4">
        <f>N404*20%</f>
      </c>
      <c r="P404" s="4">
        <v>0</v>
      </c>
      <c r="Q404" s="4">
        <f>P404*20%</f>
      </c>
      <c r="R404" s="4">
        <v>0</v>
      </c>
      <c r="S404" s="4">
        <f>Q404</f>
      </c>
      <c r="T404" s="4">
        <f>L404-M404-N404-P404-Q404-R404</f>
      </c>
      <c r="U404" s="4">
        <f>(T404-W404)/J404*100</f>
      </c>
      <c r="V404" s="4">
        <f>M404-S404</f>
      </c>
      <c r="X404" s="4">
        <f>T404-W404</f>
      </c>
      <c r="AC404" t="s">
        <v>1</v>
      </c>
    </row>
    <row r="405" spans="1:29" x14ac:dyDescent="0.25">
      <c r="A405" s="8">
        <v>46158.5</v>
      </c>
      <c r="B405" t="s">
        <v>3746</v>
      </c>
      <c r="C405" t="s">
        <v>1</v>
      </c>
      <c r="D405" s="9" t="s">
        <v>3747</v>
      </c>
      <c r="E405" t="s">
        <v>131</v>
      </c>
      <c r="F405" t="s">
        <v>99</v>
      </c>
      <c r="G405" t="s">
        <v>65</v>
      </c>
      <c r="H405" t="s">
        <v>75</v>
      </c>
      <c r="I405">
        <v>1</v>
      </c>
      <c r="J405" s="4">
        <v>261</v>
      </c>
      <c r="K405" s="4">
        <v>344.52</v>
      </c>
      <c r="L405" s="4">
        <f>K405-J405</f>
      </c>
      <c r="M405" s="4">
        <f>L405*16.67%</f>
      </c>
      <c r="N405" s="4">
        <v>15.88</v>
      </c>
      <c r="O405" s="4">
        <f>N405*20%</f>
      </c>
      <c r="P405" s="4">
        <v>0</v>
      </c>
      <c r="Q405" s="4">
        <f>P405*20%</f>
      </c>
      <c r="R405" s="4">
        <v>1</v>
      </c>
      <c r="S405" s="4">
        <f>Q405</f>
      </c>
      <c r="T405" s="4">
        <f>L405-M405-N405-P405-Q405-R405</f>
      </c>
      <c r="U405" s="4">
        <f>(T405-W405)/J405*100</f>
      </c>
      <c r="V405" s="4">
        <f>M405-S405</f>
      </c>
      <c r="X405" s="4">
        <f>T405-W405</f>
      </c>
      <c r="AC405" t="s">
        <v>1</v>
      </c>
    </row>
    <row r="406" spans="1:29" x14ac:dyDescent="0.25">
      <c r="A406" s="8">
        <v>46158.5</v>
      </c>
      <c r="B406" t="s">
        <v>3748</v>
      </c>
      <c r="C406" t="s">
        <v>1</v>
      </c>
      <c r="D406" s="9" t="s">
        <v>3749</v>
      </c>
      <c r="E406" t="s">
        <v>125</v>
      </c>
      <c r="F406" t="s">
        <v>59</v>
      </c>
      <c r="G406" t="s">
        <v>126</v>
      </c>
      <c r="H406" t="s">
        <v>102</v>
      </c>
      <c r="I406">
        <v>1</v>
      </c>
      <c r="J406" s="4">
        <v>284</v>
      </c>
      <c r="K406" s="4">
        <v>397.6</v>
      </c>
      <c r="L406" s="4">
        <f>K406-J406</f>
      </c>
      <c r="M406" s="4">
        <f>L406*16.67%</f>
      </c>
      <c r="N406" s="4">
        <v>18.33</v>
      </c>
      <c r="O406" s="4">
        <f>N406*20%</f>
      </c>
      <c r="P406" s="4">
        <v>0</v>
      </c>
      <c r="Q406" s="4">
        <f>P406*20%</f>
      </c>
      <c r="R406" s="4">
        <v>1</v>
      </c>
      <c r="S406" s="4">
        <f>Q406</f>
      </c>
      <c r="T406" s="4">
        <f>L406-M406-N406-P406-Q406-R406</f>
      </c>
      <c r="U406" s="4">
        <f>(T406-W406)/J406*100</f>
      </c>
      <c r="V406" s="4">
        <f>M406-S406</f>
      </c>
      <c r="X406" s="4">
        <f>T406-W406</f>
      </c>
      <c r="AC406" t="s">
        <v>1</v>
      </c>
    </row>
    <row r="407" spans="1:29" x14ac:dyDescent="0.25">
      <c r="A407" s="8">
        <v>46157.5</v>
      </c>
      <c r="B407" t="s">
        <v>3750</v>
      </c>
      <c r="C407" t="s">
        <v>1</v>
      </c>
      <c r="D407" s="9" t="s">
        <v>3751</v>
      </c>
      <c r="E407" t="s">
        <v>98</v>
      </c>
      <c r="F407" t="s">
        <v>85</v>
      </c>
      <c r="G407" t="s">
        <v>65</v>
      </c>
      <c r="H407" t="s">
        <v>78</v>
      </c>
      <c r="I407">
        <v>1</v>
      </c>
      <c r="J407" s="4">
        <v>313</v>
      </c>
      <c r="K407" s="4">
        <v>372.47</v>
      </c>
      <c r="L407" s="4">
        <f>K407-J407</f>
      </c>
      <c r="M407" s="4">
        <f>L407*16.67%</f>
      </c>
      <c r="N407" s="4">
        <v>17.17</v>
      </c>
      <c r="O407" s="4">
        <f>N407*20%</f>
      </c>
      <c r="P407" s="4">
        <v>0</v>
      </c>
      <c r="Q407" s="4">
        <f>P407*20%</f>
      </c>
      <c r="R407" s="4">
        <v>1</v>
      </c>
      <c r="S407" s="4">
        <f>Q407</f>
      </c>
      <c r="T407" s="4">
        <f>L407-M407-N407-P407-Q407-R407</f>
      </c>
      <c r="U407" s="4">
        <f>(T407-W407)/J407*100</f>
      </c>
      <c r="V407" s="4">
        <f>M407-S407</f>
      </c>
      <c r="X407" s="4">
        <f>T407-W407</f>
      </c>
      <c r="AC407" t="s">
        <v>1</v>
      </c>
    </row>
    <row r="408" spans="1:29" x14ac:dyDescent="0.25">
      <c r="A408" s="8">
        <v>46157.5</v>
      </c>
      <c r="B408" t="s">
        <v>3752</v>
      </c>
      <c r="C408" t="s">
        <v>1</v>
      </c>
      <c r="D408" s="9" t="s">
        <v>3753</v>
      </c>
      <c r="E408" t="s">
        <v>131</v>
      </c>
      <c r="F408" t="s">
        <v>88</v>
      </c>
      <c r="G408" t="s">
        <v>65</v>
      </c>
      <c r="H408" t="s">
        <v>75</v>
      </c>
      <c r="I408">
        <v>1</v>
      </c>
      <c r="J408" s="4">
        <v>264</v>
      </c>
      <c r="K408" s="4">
        <v>372.24</v>
      </c>
      <c r="L408" s="4">
        <f>K408-J408</f>
      </c>
      <c r="M408" s="4">
        <f>L408*16.67%</f>
      </c>
      <c r="N408" s="4">
        <v>17.16</v>
      </c>
      <c r="O408" s="4">
        <f>N408*20%</f>
      </c>
      <c r="P408" s="4">
        <v>0</v>
      </c>
      <c r="Q408" s="4">
        <f>P408*20%</f>
      </c>
      <c r="R408" s="4">
        <v>1</v>
      </c>
      <c r="S408" s="4">
        <f>Q408</f>
      </c>
      <c r="T408" s="4">
        <f>L408-M408-N408-P408-Q408-R408</f>
      </c>
      <c r="U408" s="4">
        <f>(T408-W408)/J408*100</f>
      </c>
      <c r="V408" s="4">
        <f>M408-S408</f>
      </c>
      <c r="X408" s="4">
        <f>T408-W408</f>
      </c>
      <c r="AC408" t="s">
        <v>1</v>
      </c>
    </row>
    <row r="409" spans="1:29" x14ac:dyDescent="0.25">
      <c r="A409" s="8">
        <v>46157.5</v>
      </c>
      <c r="B409" t="s">
        <v>3754</v>
      </c>
      <c r="C409" t="s">
        <v>1</v>
      </c>
      <c r="D409" s="9" t="s">
        <v>1</v>
      </c>
      <c r="E409" t="s">
        <v>1</v>
      </c>
      <c r="F409" t="s">
        <v>1</v>
      </c>
      <c r="G409" t="s">
        <v>1</v>
      </c>
      <c r="H409" t="s">
        <v>78</v>
      </c>
      <c r="I409">
        <v>1</v>
      </c>
      <c r="J409" s="4">
        <v>422</v>
      </c>
      <c r="K409" s="4">
        <v>565.48</v>
      </c>
      <c r="L409" s="4">
        <f>K409-J409</f>
      </c>
      <c r="M409" s="4">
        <f>L409*16.67%</f>
      </c>
      <c r="N409" s="4">
        <v>26.07</v>
      </c>
      <c r="O409" s="4">
        <f>N409*20%</f>
      </c>
      <c r="P409" s="4">
        <v>0</v>
      </c>
      <c r="Q409" s="4">
        <f>P409*20%</f>
      </c>
      <c r="R409" s="4">
        <v>1</v>
      </c>
      <c r="S409" s="4">
        <f>Q409</f>
      </c>
      <c r="T409" s="4">
        <f>L409-M409-N409-P409-Q409-R409</f>
      </c>
      <c r="U409" s="4">
        <f>(T409-W409)/J409*100</f>
      </c>
      <c r="V409" s="4">
        <f>M409-S409</f>
      </c>
      <c r="X409" s="4">
        <f>T409-W409</f>
      </c>
      <c r="AC409" t="s">
        <v>1</v>
      </c>
    </row>
    <row r="410" spans="1:29" x14ac:dyDescent="0.25">
      <c r="A410" s="8">
        <v>46157.5</v>
      </c>
      <c r="B410" t="s">
        <v>3755</v>
      </c>
      <c r="C410" t="s">
        <v>174</v>
      </c>
      <c r="D410" s="9" t="s">
        <v>1</v>
      </c>
      <c r="E410" t="s">
        <v>174</v>
      </c>
      <c r="F410" t="s">
        <v>1</v>
      </c>
      <c r="G410" t="s">
        <v>1</v>
      </c>
      <c r="H410" t="s">
        <v>66</v>
      </c>
      <c r="I410">
        <v>1</v>
      </c>
      <c r="J410" s="4">
        <v>4.25</v>
      </c>
      <c r="K410" s="4">
        <v>5.74</v>
      </c>
      <c r="L410" s="4">
        <f>K410-J410</f>
      </c>
      <c r="M410" s="4">
        <f>L410*16.67%</f>
      </c>
      <c r="N410" s="4">
        <v>0.26</v>
      </c>
      <c r="O410" s="4">
        <f>N410*20%</f>
      </c>
      <c r="P410" s="4">
        <v>0</v>
      </c>
      <c r="Q410" s="4">
        <f>P410*20%</f>
      </c>
      <c r="R410" s="4">
        <v>0</v>
      </c>
      <c r="S410" s="4">
        <f>Q410</f>
      </c>
      <c r="T410" s="4">
        <f>L410-M410-N410-P410-Q410-R410</f>
      </c>
      <c r="U410" s="4">
        <f>(T410-W410)/J410*100</f>
      </c>
      <c r="V410" s="4">
        <f>M410-S410</f>
      </c>
      <c r="X410" s="4">
        <f>T410-W410</f>
      </c>
      <c r="AC410" t="s">
        <v>1</v>
      </c>
    </row>
    <row r="411" spans="1:29" x14ac:dyDescent="0.25">
      <c r="A411" s="8">
        <v>46156.5</v>
      </c>
      <c r="B411" t="s">
        <v>3756</v>
      </c>
      <c r="C411" t="s">
        <v>1</v>
      </c>
      <c r="D411" s="9" t="s">
        <v>3757</v>
      </c>
      <c r="E411" t="s">
        <v>84</v>
      </c>
      <c r="F411" t="s">
        <v>74</v>
      </c>
      <c r="G411" t="s">
        <v>60</v>
      </c>
      <c r="H411" t="s">
        <v>75</v>
      </c>
      <c r="I411">
        <v>1</v>
      </c>
      <c r="J411" s="4">
        <v>733</v>
      </c>
      <c r="K411" s="4">
        <v>857.61</v>
      </c>
      <c r="L411" s="4">
        <f>K411-J411</f>
      </c>
      <c r="M411" s="4">
        <f>L411*16.67%</f>
      </c>
      <c r="N411" s="4">
        <v>39.54</v>
      </c>
      <c r="O411" s="4">
        <f>N411*20%</f>
      </c>
      <c r="P411" s="4">
        <v>0</v>
      </c>
      <c r="Q411" s="4">
        <f>P411*20%</f>
      </c>
      <c r="R411" s="4">
        <v>1</v>
      </c>
      <c r="S411" s="4">
        <f>Q411</f>
      </c>
      <c r="T411" s="4">
        <f>L411-M411-N411-P411-Q411-R411</f>
      </c>
      <c r="U411" s="4">
        <f>(T411-W411)/J411*100</f>
      </c>
      <c r="V411" s="4">
        <f>M411-S411</f>
      </c>
      <c r="X411" s="4">
        <f>T411-W411</f>
      </c>
      <c r="AC411" t="s">
        <v>1</v>
      </c>
    </row>
    <row r="412" spans="1:29" x14ac:dyDescent="0.25">
      <c r="A412" s="8">
        <v>46156.5</v>
      </c>
      <c r="B412" t="s">
        <v>3758</v>
      </c>
      <c r="C412" t="s">
        <v>189</v>
      </c>
      <c r="D412" s="9" t="s">
        <v>1</v>
      </c>
      <c r="E412" t="s">
        <v>189</v>
      </c>
      <c r="F412" t="s">
        <v>1</v>
      </c>
      <c r="G412" t="s">
        <v>1</v>
      </c>
      <c r="H412" t="s">
        <v>66</v>
      </c>
      <c r="I412">
        <v>1</v>
      </c>
      <c r="J412" s="4">
        <v>3.5</v>
      </c>
      <c r="K412" s="4">
        <v>4.76</v>
      </c>
      <c r="L412" s="4">
        <f>K412-J412</f>
      </c>
      <c r="M412" s="4">
        <f>L412*16.67%</f>
      </c>
      <c r="N412" s="4">
        <v>0.22</v>
      </c>
      <c r="O412" s="4">
        <f>N412*20%</f>
      </c>
      <c r="P412" s="4">
        <v>0</v>
      </c>
      <c r="Q412" s="4">
        <f>P412*20%</f>
      </c>
      <c r="R412" s="4">
        <v>0</v>
      </c>
      <c r="S412" s="4">
        <f>Q412</f>
      </c>
      <c r="T412" s="4">
        <f>L412-M412-N412-P412-Q412-R412</f>
      </c>
      <c r="U412" s="4">
        <f>(T412-W412)/J412*100</f>
      </c>
      <c r="V412" s="4">
        <f>M412-S412</f>
      </c>
      <c r="X412" s="4">
        <f>T412-W412</f>
      </c>
      <c r="AC412" t="s">
        <v>1</v>
      </c>
    </row>
    <row r="413" spans="1:29" x14ac:dyDescent="0.25">
      <c r="A413" s="8">
        <v>46155.5</v>
      </c>
      <c r="B413" t="s">
        <v>3759</v>
      </c>
      <c r="C413" t="s">
        <v>1</v>
      </c>
      <c r="D413" s="9" t="s">
        <v>3760</v>
      </c>
      <c r="E413" t="s">
        <v>91</v>
      </c>
      <c r="F413" t="s">
        <v>59</v>
      </c>
      <c r="G413" t="s">
        <v>95</v>
      </c>
      <c r="H413" t="s">
        <v>66</v>
      </c>
      <c r="I413">
        <v>1</v>
      </c>
      <c r="J413" s="4">
        <v>110</v>
      </c>
      <c r="K413" s="4">
        <v>147.4</v>
      </c>
      <c r="L413" s="4">
        <f>K413-J413</f>
      </c>
      <c r="M413" s="4">
        <f>L413*16.67%</f>
      </c>
      <c r="N413" s="4">
        <v>6.8</v>
      </c>
      <c r="O413" s="4">
        <f>N413*20%</f>
      </c>
      <c r="P413" s="4">
        <v>0</v>
      </c>
      <c r="Q413" s="4">
        <f>P413*20%</f>
      </c>
      <c r="R413" s="4">
        <v>1</v>
      </c>
      <c r="S413" s="4">
        <f>Q413</f>
      </c>
      <c r="T413" s="4">
        <f>L413-M413-N413-P413-Q413-R413</f>
      </c>
      <c r="U413" s="4">
        <f>(T413-W413)/J413*100</f>
      </c>
      <c r="V413" s="4">
        <f>M413-S413</f>
      </c>
      <c r="X413" s="4">
        <f>T413-W413</f>
      </c>
      <c r="AC413" t="s">
        <v>1</v>
      </c>
    </row>
    <row r="414" spans="1:29" x14ac:dyDescent="0.25">
      <c r="A414" s="8">
        <v>46155.5</v>
      </c>
      <c r="B414" t="s">
        <v>3761</v>
      </c>
      <c r="C414" t="s">
        <v>1</v>
      </c>
      <c r="D414" s="9" t="s">
        <v>3762</v>
      </c>
      <c r="E414" t="s">
        <v>234</v>
      </c>
      <c r="F414" t="s">
        <v>70</v>
      </c>
      <c r="G414" t="s">
        <v>65</v>
      </c>
      <c r="H414" t="s">
        <v>75</v>
      </c>
      <c r="I414">
        <v>1</v>
      </c>
      <c r="J414" s="4">
        <v>187</v>
      </c>
      <c r="K414" s="4">
        <v>235.62</v>
      </c>
      <c r="L414" s="4">
        <f>K414-J414</f>
      </c>
      <c r="M414" s="4">
        <f>L414*16.67%</f>
      </c>
      <c r="N414" s="4">
        <v>10.86</v>
      </c>
      <c r="O414" s="4">
        <f>N414*20%</f>
      </c>
      <c r="P414" s="4">
        <v>0</v>
      </c>
      <c r="Q414" s="4">
        <f>P414*20%</f>
      </c>
      <c r="R414" s="4">
        <v>1</v>
      </c>
      <c r="S414" s="4">
        <f>Q414</f>
      </c>
      <c r="T414" s="4">
        <f>L414-M414-N414-P414-Q414-R414</f>
      </c>
      <c r="U414" s="4">
        <f>(T414-W414)/J414*100</f>
      </c>
      <c r="V414" s="4">
        <f>M414-S414</f>
      </c>
      <c r="X414" s="4">
        <f>T414-W414</f>
      </c>
      <c r="AC414" t="s">
        <v>1</v>
      </c>
    </row>
    <row r="415" spans="1:29" x14ac:dyDescent="0.25">
      <c r="A415" s="8">
        <v>46155.5</v>
      </c>
      <c r="B415" t="s">
        <v>3763</v>
      </c>
      <c r="C415" t="s">
        <v>1</v>
      </c>
      <c r="D415" s="9" t="s">
        <v>3764</v>
      </c>
      <c r="E415" t="s">
        <v>73</v>
      </c>
      <c r="F415" t="s">
        <v>99</v>
      </c>
      <c r="G415" t="s">
        <v>60</v>
      </c>
      <c r="H415" t="s">
        <v>66</v>
      </c>
      <c r="I415">
        <v>1</v>
      </c>
      <c r="J415" s="4">
        <v>336</v>
      </c>
      <c r="K415" s="4">
        <v>416.64</v>
      </c>
      <c r="L415" s="4">
        <f>K415-J415</f>
      </c>
      <c r="M415" s="4">
        <f>L415*16.67%</f>
      </c>
      <c r="N415" s="4">
        <v>19.21</v>
      </c>
      <c r="O415" s="4">
        <f>N415*20%</f>
      </c>
      <c r="P415" s="4">
        <v>0</v>
      </c>
      <c r="Q415" s="4">
        <f>P415*20%</f>
      </c>
      <c r="R415" s="4">
        <v>1</v>
      </c>
      <c r="S415" s="4">
        <f>Q415</f>
      </c>
      <c r="T415" s="4">
        <f>L415-M415-N415-P415-Q415-R415</f>
      </c>
      <c r="U415" s="4">
        <f>(T415-W415)/J415*100</f>
      </c>
      <c r="V415" s="4">
        <f>M415-S415</f>
      </c>
      <c r="X415" s="4">
        <f>T415-W415</f>
      </c>
      <c r="AC415" t="s">
        <v>1</v>
      </c>
    </row>
    <row r="416" spans="1:29" x14ac:dyDescent="0.25">
      <c r="A416" s="8">
        <v>46155.5</v>
      </c>
      <c r="B416" t="s">
        <v>3765</v>
      </c>
      <c r="C416" t="s">
        <v>1</v>
      </c>
      <c r="D416" s="9" t="s">
        <v>3766</v>
      </c>
      <c r="E416" t="s">
        <v>84</v>
      </c>
      <c r="F416" t="s">
        <v>59</v>
      </c>
      <c r="G416" t="s">
        <v>60</v>
      </c>
      <c r="H416" t="s">
        <v>75</v>
      </c>
      <c r="I416">
        <v>1</v>
      </c>
      <c r="J416" s="4">
        <v>664</v>
      </c>
      <c r="K416" s="4">
        <v>962.8</v>
      </c>
      <c r="L416" s="4">
        <f>K416-J416</f>
      </c>
      <c r="M416" s="4">
        <f>L416*16.67%</f>
      </c>
      <c r="N416" s="4">
        <v>44.39</v>
      </c>
      <c r="O416" s="4">
        <f>N416*20%</f>
      </c>
      <c r="P416" s="4">
        <v>0</v>
      </c>
      <c r="Q416" s="4">
        <f>P416*20%</f>
      </c>
      <c r="R416" s="4">
        <v>1</v>
      </c>
      <c r="S416" s="4">
        <f>Q416</f>
      </c>
      <c r="T416" s="4">
        <f>L416-M416-N416-P416-Q416-R416</f>
      </c>
      <c r="U416" s="4">
        <f>(T416-W416)/J416*100</f>
      </c>
      <c r="V416" s="4">
        <f>M416-S416</f>
      </c>
      <c r="X416" s="4">
        <f>T416-W416</f>
      </c>
      <c r="AC416" t="s">
        <v>1</v>
      </c>
    </row>
    <row r="417" spans="1:29" x14ac:dyDescent="0.25">
      <c r="A417" s="8">
        <v>46155.5</v>
      </c>
      <c r="B417" t="s">
        <v>3767</v>
      </c>
      <c r="C417" t="s">
        <v>1</v>
      </c>
      <c r="D417" s="9" t="s">
        <v>3768</v>
      </c>
      <c r="E417" t="s">
        <v>69</v>
      </c>
      <c r="F417" t="s">
        <v>70</v>
      </c>
      <c r="G417" t="s">
        <v>60</v>
      </c>
      <c r="H417" t="s">
        <v>102</v>
      </c>
      <c r="I417">
        <v>1</v>
      </c>
      <c r="J417" s="4">
        <v>492</v>
      </c>
      <c r="K417" s="4">
        <v>678.96</v>
      </c>
      <c r="L417" s="4">
        <f>K417-J417</f>
      </c>
      <c r="M417" s="4">
        <f>L417*16.67%</f>
      </c>
      <c r="N417" s="4">
        <v>31.3</v>
      </c>
      <c r="O417" s="4">
        <f>N417*20%</f>
      </c>
      <c r="P417" s="4">
        <v>0</v>
      </c>
      <c r="Q417" s="4">
        <f>P417*20%</f>
      </c>
      <c r="R417" s="4">
        <v>1</v>
      </c>
      <c r="S417" s="4">
        <f>Q417</f>
      </c>
      <c r="T417" s="4">
        <f>L417-M417-N417-P417-Q417-R417</f>
      </c>
      <c r="U417" s="4">
        <f>(T417-W417)/J417*100</f>
      </c>
      <c r="V417" s="4">
        <f>M417-S417</f>
      </c>
      <c r="X417" s="4">
        <f>T417-W417</f>
      </c>
      <c r="AC417" t="s">
        <v>1</v>
      </c>
    </row>
    <row r="418" spans="1:29" x14ac:dyDescent="0.25">
      <c r="A418" s="8">
        <v>46155.5</v>
      </c>
      <c r="B418" t="s">
        <v>3769</v>
      </c>
      <c r="C418" t="s">
        <v>1</v>
      </c>
      <c r="D418" s="9" t="s">
        <v>3770</v>
      </c>
      <c r="E418" t="s">
        <v>58</v>
      </c>
      <c r="F418" t="s">
        <v>105</v>
      </c>
      <c r="G418" t="s">
        <v>60</v>
      </c>
      <c r="H418" t="s">
        <v>78</v>
      </c>
      <c r="I418">
        <v>1</v>
      </c>
      <c r="J418" s="4">
        <v>461</v>
      </c>
      <c r="K418" s="4">
        <v>534.76</v>
      </c>
      <c r="L418" s="4">
        <f>K418-J418</f>
      </c>
      <c r="M418" s="4">
        <f>L418*16.67%</f>
      </c>
      <c r="N418" s="4">
        <v>24.65</v>
      </c>
      <c r="O418" s="4">
        <f>N418*20%</f>
      </c>
      <c r="P418" s="4">
        <v>0</v>
      </c>
      <c r="Q418" s="4">
        <f>P418*20%</f>
      </c>
      <c r="R418" s="4">
        <v>1</v>
      </c>
      <c r="S418" s="4">
        <f>Q418</f>
      </c>
      <c r="T418" s="4">
        <f>L418-M418-N418-P418-Q418-R418</f>
      </c>
      <c r="U418" s="4">
        <f>(T418-W418)/J418*100</f>
      </c>
      <c r="V418" s="4">
        <f>M418-S418</f>
      </c>
      <c r="X418" s="4">
        <f>T418-W418</f>
      </c>
      <c r="AC418" t="s">
        <v>1</v>
      </c>
    </row>
    <row r="419" spans="1:29" x14ac:dyDescent="0.25">
      <c r="A419" s="8">
        <v>46155.5</v>
      </c>
      <c r="B419" t="s">
        <v>3771</v>
      </c>
      <c r="C419" t="s">
        <v>189</v>
      </c>
      <c r="D419" s="9" t="s">
        <v>1</v>
      </c>
      <c r="E419" t="s">
        <v>189</v>
      </c>
      <c r="F419" t="s">
        <v>1</v>
      </c>
      <c r="G419" t="s">
        <v>1</v>
      </c>
      <c r="H419" t="s">
        <v>66</v>
      </c>
      <c r="I419">
        <v>1</v>
      </c>
      <c r="J419" s="4">
        <v>3.5</v>
      </c>
      <c r="K419" s="4">
        <v>4.55</v>
      </c>
      <c r="L419" s="4">
        <f>K419-J419</f>
      </c>
      <c r="M419" s="4">
        <f>L419*16.67%</f>
      </c>
      <c r="N419" s="4">
        <v>0.21</v>
      </c>
      <c r="O419" s="4">
        <f>N419*20%</f>
      </c>
      <c r="P419" s="4">
        <v>0</v>
      </c>
      <c r="Q419" s="4">
        <f>P419*20%</f>
      </c>
      <c r="R419" s="4">
        <v>0</v>
      </c>
      <c r="S419" s="4">
        <f>Q419</f>
      </c>
      <c r="T419" s="4">
        <f>L419-M419-N419-P419-Q419-R419</f>
      </c>
      <c r="U419" s="4">
        <f>(T419-W419)/J419*100</f>
      </c>
      <c r="V419" s="4">
        <f>M419-S419</f>
      </c>
      <c r="X419" s="4">
        <f>T419-W419</f>
      </c>
      <c r="AC419" t="s">
        <v>1</v>
      </c>
    </row>
    <row r="420" spans="1:29" x14ac:dyDescent="0.25">
      <c r="A420" s="8">
        <v>46155.5</v>
      </c>
      <c r="B420" t="s">
        <v>3772</v>
      </c>
      <c r="C420" t="s">
        <v>177</v>
      </c>
      <c r="D420" s="9" t="s">
        <v>1</v>
      </c>
      <c r="E420" t="s">
        <v>177</v>
      </c>
      <c r="F420" t="s">
        <v>1</v>
      </c>
      <c r="G420" t="s">
        <v>1</v>
      </c>
      <c r="H420" t="s">
        <v>78</v>
      </c>
      <c r="I420">
        <v>4</v>
      </c>
      <c r="J420" s="4">
        <v>0.6</v>
      </c>
      <c r="K420" s="4">
        <v>0.7</v>
      </c>
      <c r="L420" s="4">
        <f>K420-J420</f>
      </c>
      <c r="M420" s="4">
        <f>L420*16.67%</f>
      </c>
      <c r="N420" s="4">
        <v>0.03</v>
      </c>
      <c r="O420" s="4">
        <f>N420*20%</f>
      </c>
      <c r="P420" s="4">
        <v>0</v>
      </c>
      <c r="Q420" s="4">
        <f>P420*20%</f>
      </c>
      <c r="R420" s="4">
        <v>0</v>
      </c>
      <c r="S420" s="4">
        <f>Q420</f>
      </c>
      <c r="T420" s="4">
        <f>L420-M420-N420-P420-Q420-R420</f>
      </c>
      <c r="U420" s="4">
        <f>(T420-W420)/J420*100</f>
      </c>
      <c r="V420" s="4">
        <f>M420-S420</f>
      </c>
      <c r="X420" s="4">
        <f>T420-W420</f>
      </c>
      <c r="AC420" t="s">
        <v>1</v>
      </c>
    </row>
    <row r="421" spans="1:29" x14ac:dyDescent="0.25">
      <c r="A421" s="8">
        <v>46154.5</v>
      </c>
      <c r="B421" t="s">
        <v>3773</v>
      </c>
      <c r="C421" t="s">
        <v>1</v>
      </c>
      <c r="D421" s="9" t="s">
        <v>1</v>
      </c>
      <c r="E421" t="s">
        <v>1</v>
      </c>
      <c r="F421" t="s">
        <v>1</v>
      </c>
      <c r="G421" t="s">
        <v>1</v>
      </c>
      <c r="H421" t="s">
        <v>78</v>
      </c>
      <c r="I421">
        <v>1</v>
      </c>
      <c r="J421" s="4">
        <v>179</v>
      </c>
      <c r="K421" s="4">
        <v>250.6</v>
      </c>
      <c r="L421" s="4">
        <f>K421-J421</f>
      </c>
      <c r="M421" s="4">
        <f>L421*16.67%</f>
      </c>
      <c r="N421" s="4">
        <v>11.55</v>
      </c>
      <c r="O421" s="4">
        <f>N421*20%</f>
      </c>
      <c r="P421" s="4">
        <v>0</v>
      </c>
      <c r="Q421" s="4">
        <f>P421*20%</f>
      </c>
      <c r="R421" s="4">
        <v>1</v>
      </c>
      <c r="S421" s="4">
        <f>Q421</f>
      </c>
      <c r="T421" s="4">
        <f>L421-M421-N421-P421-Q421-R421</f>
      </c>
      <c r="U421" s="4">
        <f>(T421-W421)/J421*100</f>
      </c>
      <c r="V421" s="4">
        <f>M421-S421</f>
      </c>
      <c r="X421" s="4">
        <f>T421-W421</f>
      </c>
      <c r="AC421" t="s">
        <v>1</v>
      </c>
    </row>
    <row r="422" spans="1:29" x14ac:dyDescent="0.25">
      <c r="A422" s="8">
        <v>46154.5</v>
      </c>
      <c r="B422" t="s">
        <v>3774</v>
      </c>
      <c r="C422" t="s">
        <v>254</v>
      </c>
      <c r="D422" s="9" t="s">
        <v>1</v>
      </c>
      <c r="E422" t="s">
        <v>254</v>
      </c>
      <c r="F422" t="s">
        <v>1</v>
      </c>
      <c r="G422" t="s">
        <v>1</v>
      </c>
      <c r="H422" t="s">
        <v>61</v>
      </c>
      <c r="I422">
        <v>3</v>
      </c>
      <c r="J422" s="4">
        <v>2.4</v>
      </c>
      <c r="K422" s="4">
        <v>3.34</v>
      </c>
      <c r="L422" s="4">
        <f>K422-J422</f>
      </c>
      <c r="M422" s="4">
        <f>L422*16.67%</f>
      </c>
      <c r="N422" s="4">
        <v>0.15</v>
      </c>
      <c r="O422" s="4">
        <f>N422*20%</f>
      </c>
      <c r="P422" s="4">
        <v>0</v>
      </c>
      <c r="Q422" s="4">
        <f>P422*20%</f>
      </c>
      <c r="R422" s="4">
        <v>0</v>
      </c>
      <c r="S422" s="4">
        <f>Q422</f>
      </c>
      <c r="T422" s="4">
        <f>L422-M422-N422-P422-Q422-R422</f>
      </c>
      <c r="U422" s="4">
        <f>(T422-W422)/J422*100</f>
      </c>
      <c r="V422" s="4">
        <f>M422-S422</f>
      </c>
      <c r="X422" s="4">
        <f>T422-W422</f>
      </c>
      <c r="AC422" t="s">
        <v>1</v>
      </c>
    </row>
    <row r="423" spans="1:29" x14ac:dyDescent="0.25">
      <c r="A423" s="8">
        <v>46154.5</v>
      </c>
      <c r="B423" t="s">
        <v>3775</v>
      </c>
      <c r="C423" t="s">
        <v>185</v>
      </c>
      <c r="D423" s="9" t="s">
        <v>1</v>
      </c>
      <c r="E423" t="s">
        <v>185</v>
      </c>
      <c r="F423" t="s">
        <v>1</v>
      </c>
      <c r="G423" t="s">
        <v>1</v>
      </c>
      <c r="H423" t="s">
        <v>102</v>
      </c>
      <c r="I423">
        <v>2</v>
      </c>
      <c r="J423" s="4">
        <v>2.4</v>
      </c>
      <c r="K423" s="4">
        <v>3.43</v>
      </c>
      <c r="L423" s="4">
        <f>K423-J423</f>
      </c>
      <c r="M423" s="4">
        <f>L423*16.67%</f>
      </c>
      <c r="N423" s="4">
        <v>0.16</v>
      </c>
      <c r="O423" s="4">
        <f>N423*20%</f>
      </c>
      <c r="P423" s="4">
        <v>0</v>
      </c>
      <c r="Q423" s="4">
        <f>P423*20%</f>
      </c>
      <c r="R423" s="4">
        <v>0</v>
      </c>
      <c r="S423" s="4">
        <f>Q423</f>
      </c>
      <c r="T423" s="4">
        <f>L423-M423-N423-P423-Q423-R423</f>
      </c>
      <c r="U423" s="4">
        <f>(T423-W423)/J423*100</f>
      </c>
      <c r="V423" s="4">
        <f>M423-S423</f>
      </c>
      <c r="X423" s="4">
        <f>T423-W423</f>
      </c>
      <c r="AC423" t="s">
        <v>1</v>
      </c>
    </row>
    <row r="424" spans="1:29" x14ac:dyDescent="0.25">
      <c r="A424" s="8">
        <v>46153.5</v>
      </c>
      <c r="B424" t="s">
        <v>3776</v>
      </c>
      <c r="C424" t="s">
        <v>1</v>
      </c>
      <c r="D424" s="9" t="s">
        <v>3777</v>
      </c>
      <c r="E424" t="s">
        <v>94</v>
      </c>
      <c r="F424" t="s">
        <v>74</v>
      </c>
      <c r="G424" t="s">
        <v>95</v>
      </c>
      <c r="H424" t="s">
        <v>61</v>
      </c>
      <c r="I424">
        <v>1</v>
      </c>
      <c r="J424" s="4">
        <v>86</v>
      </c>
      <c r="K424" s="4">
        <v>99.76</v>
      </c>
      <c r="L424" s="4">
        <f>K424-J424</f>
      </c>
      <c r="M424" s="4">
        <f>L424*16.67%</f>
      </c>
      <c r="N424" s="4">
        <v>4.6</v>
      </c>
      <c r="O424" s="4">
        <f>N424*20%</f>
      </c>
      <c r="P424" s="4">
        <v>0</v>
      </c>
      <c r="Q424" s="4">
        <f>P424*20%</f>
      </c>
      <c r="R424" s="4">
        <v>1</v>
      </c>
      <c r="S424" s="4">
        <f>Q424</f>
      </c>
      <c r="T424" s="4">
        <f>L424-M424-N424-P424-Q424-R424</f>
      </c>
      <c r="U424" s="4">
        <f>(T424-W424)/J424*100</f>
      </c>
      <c r="V424" s="4">
        <f>M424-S424</f>
      </c>
      <c r="X424" s="4">
        <f>T424-W424</f>
      </c>
      <c r="AC424" t="s">
        <v>1</v>
      </c>
    </row>
    <row r="425" spans="1:29" x14ac:dyDescent="0.25">
      <c r="A425" s="8">
        <v>46153.5</v>
      </c>
      <c r="B425" t="s">
        <v>3778</v>
      </c>
      <c r="C425" t="s">
        <v>177</v>
      </c>
      <c r="D425" s="9" t="s">
        <v>1</v>
      </c>
      <c r="E425" t="s">
        <v>177</v>
      </c>
      <c r="F425" t="s">
        <v>1</v>
      </c>
      <c r="G425" t="s">
        <v>1</v>
      </c>
      <c r="H425" t="s">
        <v>78</v>
      </c>
      <c r="I425">
        <v>1</v>
      </c>
      <c r="J425" s="4">
        <v>0.15</v>
      </c>
      <c r="K425" s="4">
        <v>0.21</v>
      </c>
      <c r="L425" s="4">
        <f>K425-J425</f>
      </c>
      <c r="M425" s="4">
        <f>L425*16.67%</f>
      </c>
      <c r="N425" s="4">
        <v>0.01</v>
      </c>
      <c r="O425" s="4">
        <f>N425*20%</f>
      </c>
      <c r="P425" s="4">
        <v>0</v>
      </c>
      <c r="Q425" s="4">
        <f>P425*20%</f>
      </c>
      <c r="R425" s="4">
        <v>0</v>
      </c>
      <c r="S425" s="4">
        <f>Q425</f>
      </c>
      <c r="T425" s="4">
        <f>L425-M425-N425-P425-Q425-R425</f>
      </c>
      <c r="U425" s="4">
        <f>(T425-W425)/J425*100</f>
      </c>
      <c r="V425" s="4">
        <f>M425-S425</f>
      </c>
      <c r="X425" s="4">
        <f>T425-W425</f>
      </c>
      <c r="AC425" t="s">
        <v>1</v>
      </c>
    </row>
    <row r="426" spans="1:29" x14ac:dyDescent="0.25">
      <c r="A426" s="8">
        <v>46152.5</v>
      </c>
      <c r="B426" t="s">
        <v>3779</v>
      </c>
      <c r="C426" t="s">
        <v>1</v>
      </c>
      <c r="D426" s="9" t="s">
        <v>3780</v>
      </c>
      <c r="E426" t="s">
        <v>69</v>
      </c>
      <c r="F426" t="s">
        <v>70</v>
      </c>
      <c r="G426" t="s">
        <v>60</v>
      </c>
      <c r="H426" t="s">
        <v>78</v>
      </c>
      <c r="I426">
        <v>1</v>
      </c>
      <c r="J426" s="4">
        <v>515</v>
      </c>
      <c r="K426" s="4">
        <v>679.8</v>
      </c>
      <c r="L426" s="4">
        <f>K426-J426</f>
      </c>
      <c r="M426" s="4">
        <f>L426*16.67%</f>
      </c>
      <c r="N426" s="4">
        <v>31.34</v>
      </c>
      <c r="O426" s="4">
        <f>N426*20%</f>
      </c>
      <c r="P426" s="4">
        <v>0</v>
      </c>
      <c r="Q426" s="4">
        <f>P426*20%</f>
      </c>
      <c r="R426" s="4">
        <v>1</v>
      </c>
      <c r="S426" s="4">
        <f>Q426</f>
      </c>
      <c r="T426" s="4">
        <f>L426-M426-N426-P426-Q426-R426</f>
      </c>
      <c r="U426" s="4">
        <f>(T426-W426)/J426*100</f>
      </c>
      <c r="V426" s="4">
        <f>M426-S426</f>
      </c>
      <c r="X426" s="4">
        <f>T426-W426</f>
      </c>
      <c r="AC426" t="s">
        <v>1</v>
      </c>
    </row>
    <row r="427" spans="1:29" x14ac:dyDescent="0.25">
      <c r="A427" s="8">
        <v>46152.5</v>
      </c>
      <c r="B427" t="s">
        <v>3781</v>
      </c>
      <c r="C427" t="s">
        <v>1</v>
      </c>
      <c r="D427" s="9" t="s">
        <v>3782</v>
      </c>
      <c r="E427" t="s">
        <v>73</v>
      </c>
      <c r="F427" t="s">
        <v>59</v>
      </c>
      <c r="G427" t="s">
        <v>60</v>
      </c>
      <c r="H427" t="s">
        <v>102</v>
      </c>
      <c r="I427">
        <v>1</v>
      </c>
      <c r="J427" s="4">
        <v>325</v>
      </c>
      <c r="K427" s="4">
        <v>409.5</v>
      </c>
      <c r="L427" s="4">
        <f>K427-J427</f>
      </c>
      <c r="M427" s="4">
        <f>L427*16.67%</f>
      </c>
      <c r="N427" s="4">
        <v>18.88</v>
      </c>
      <c r="O427" s="4">
        <f>N427*20%</f>
      </c>
      <c r="P427" s="4">
        <v>0</v>
      </c>
      <c r="Q427" s="4">
        <f>P427*20%</f>
      </c>
      <c r="R427" s="4">
        <v>1</v>
      </c>
      <c r="S427" s="4">
        <f>Q427</f>
      </c>
      <c r="T427" s="4">
        <f>L427-M427-N427-P427-Q427-R427</f>
      </c>
      <c r="U427" s="4">
        <f>(T427-W427)/J427*100</f>
      </c>
      <c r="V427" s="4">
        <f>M427-S427</f>
      </c>
      <c r="X427" s="4">
        <f>T427-W427</f>
      </c>
      <c r="AC427" t="s">
        <v>1</v>
      </c>
    </row>
    <row r="428" spans="1:29" x14ac:dyDescent="0.25">
      <c r="A428" s="8">
        <v>46152.5</v>
      </c>
      <c r="B428" t="s">
        <v>3783</v>
      </c>
      <c r="C428" t="s">
        <v>177</v>
      </c>
      <c r="D428" s="9" t="s">
        <v>1</v>
      </c>
      <c r="E428" t="s">
        <v>177</v>
      </c>
      <c r="F428" t="s">
        <v>1</v>
      </c>
      <c r="G428" t="s">
        <v>1</v>
      </c>
      <c r="H428" t="s">
        <v>78</v>
      </c>
      <c r="I428">
        <v>1</v>
      </c>
      <c r="J428" s="4">
        <v>0.15</v>
      </c>
      <c r="K428" s="4">
        <v>0.21</v>
      </c>
      <c r="L428" s="4">
        <f>K428-J428</f>
      </c>
      <c r="M428" s="4">
        <f>L428*16.67%</f>
      </c>
      <c r="N428" s="4">
        <v>0.01</v>
      </c>
      <c r="O428" s="4">
        <f>N428*20%</f>
      </c>
      <c r="P428" s="4">
        <v>0</v>
      </c>
      <c r="Q428" s="4">
        <f>P428*20%</f>
      </c>
      <c r="R428" s="4">
        <v>0</v>
      </c>
      <c r="S428" s="4">
        <f>Q428</f>
      </c>
      <c r="T428" s="4">
        <f>L428-M428-N428-P428-Q428-R428</f>
      </c>
      <c r="U428" s="4">
        <f>(T428-W428)/J428*100</f>
      </c>
      <c r="V428" s="4">
        <f>M428-S428</f>
      </c>
      <c r="X428" s="4">
        <f>T428-W428</f>
      </c>
      <c r="AC428" t="s">
        <v>1</v>
      </c>
    </row>
    <row r="429" spans="1:29" x14ac:dyDescent="0.25">
      <c r="A429" s="8">
        <v>46151.5</v>
      </c>
      <c r="B429" t="s">
        <v>3784</v>
      </c>
      <c r="C429" t="s">
        <v>1</v>
      </c>
      <c r="D429" s="9" t="s">
        <v>3785</v>
      </c>
      <c r="E429" t="s">
        <v>69</v>
      </c>
      <c r="F429" t="s">
        <v>70</v>
      </c>
      <c r="G429" t="s">
        <v>60</v>
      </c>
      <c r="H429" t="s">
        <v>102</v>
      </c>
      <c r="I429">
        <v>1</v>
      </c>
      <c r="J429" s="4">
        <v>519</v>
      </c>
      <c r="K429" s="4">
        <v>742.17</v>
      </c>
      <c r="L429" s="4">
        <f>K429-J429</f>
      </c>
      <c r="M429" s="4">
        <f>L429*16.67%</f>
      </c>
      <c r="N429" s="4">
        <v>34.21</v>
      </c>
      <c r="O429" s="4">
        <f>N429*20%</f>
      </c>
      <c r="P429" s="4">
        <v>0</v>
      </c>
      <c r="Q429" s="4">
        <f>P429*20%</f>
      </c>
      <c r="R429" s="4">
        <v>1</v>
      </c>
      <c r="S429" s="4">
        <f>Q429</f>
      </c>
      <c r="T429" s="4">
        <f>L429-M429-N429-P429-Q429-R429</f>
      </c>
      <c r="U429" s="4">
        <f>(T429-W429)/J429*100</f>
      </c>
      <c r="V429" s="4">
        <f>M429-S429</f>
      </c>
      <c r="X429" s="4">
        <f>T429-W429</f>
      </c>
      <c r="AC429" t="s">
        <v>1</v>
      </c>
    </row>
    <row r="430" spans="1:29" x14ac:dyDescent="0.25">
      <c r="A430" s="8">
        <v>46151.5</v>
      </c>
      <c r="B430" t="s">
        <v>3786</v>
      </c>
      <c r="C430" t="s">
        <v>1</v>
      </c>
      <c r="D430" s="9" t="s">
        <v>3787</v>
      </c>
      <c r="E430" t="s">
        <v>125</v>
      </c>
      <c r="F430" t="s">
        <v>59</v>
      </c>
      <c r="G430" t="s">
        <v>126</v>
      </c>
      <c r="H430" t="s">
        <v>66</v>
      </c>
      <c r="I430">
        <v>1</v>
      </c>
      <c r="J430" s="4">
        <v>248</v>
      </c>
      <c r="K430" s="4">
        <v>300.08</v>
      </c>
      <c r="L430" s="4">
        <f>K430-J430</f>
      </c>
      <c r="M430" s="4">
        <f>L430*16.67%</f>
      </c>
      <c r="N430" s="4">
        <v>13.83</v>
      </c>
      <c r="O430" s="4">
        <f>N430*20%</f>
      </c>
      <c r="P430" s="4">
        <v>0</v>
      </c>
      <c r="Q430" s="4">
        <f>P430*20%</f>
      </c>
      <c r="R430" s="4">
        <v>1</v>
      </c>
      <c r="S430" s="4">
        <f>Q430</f>
      </c>
      <c r="T430" s="4">
        <f>L430-M430-N430-P430-Q430-R430</f>
      </c>
      <c r="U430" s="4">
        <f>(T430-W430)/J430*100</f>
      </c>
      <c r="V430" s="4">
        <f>M430-S430</f>
      </c>
      <c r="X430" s="4">
        <f>T430-W430</f>
      </c>
      <c r="AC430" t="s">
        <v>1</v>
      </c>
    </row>
    <row r="431" spans="1:29" x14ac:dyDescent="0.25">
      <c r="A431" s="8">
        <v>46151.5</v>
      </c>
      <c r="B431" t="s">
        <v>3788</v>
      </c>
      <c r="C431" t="s">
        <v>189</v>
      </c>
      <c r="D431" s="9" t="s">
        <v>1</v>
      </c>
      <c r="E431" t="s">
        <v>189</v>
      </c>
      <c r="F431" t="s">
        <v>1</v>
      </c>
      <c r="G431" t="s">
        <v>1</v>
      </c>
      <c r="H431" t="s">
        <v>66</v>
      </c>
      <c r="I431">
        <v>2</v>
      </c>
      <c r="J431" s="4">
        <v>7</v>
      </c>
      <c r="K431" s="4">
        <v>8.82</v>
      </c>
      <c r="L431" s="4">
        <f>K431-J431</f>
      </c>
      <c r="M431" s="4">
        <f>L431*16.67%</f>
      </c>
      <c r="N431" s="4">
        <v>0.41</v>
      </c>
      <c r="O431" s="4">
        <f>N431*20%</f>
      </c>
      <c r="P431" s="4">
        <v>0</v>
      </c>
      <c r="Q431" s="4">
        <f>P431*20%</f>
      </c>
      <c r="R431" s="4">
        <v>0</v>
      </c>
      <c r="S431" s="4">
        <f>Q431</f>
      </c>
      <c r="T431" s="4">
        <f>L431-M431-N431-P431-Q431-R431</f>
      </c>
      <c r="U431" s="4">
        <f>(T431-W431)/J431*100</f>
      </c>
      <c r="V431" s="4">
        <f>M431-S431</f>
      </c>
      <c r="X431" s="4">
        <f>T431-W431</f>
      </c>
      <c r="AC431" t="s">
        <v>1</v>
      </c>
    </row>
    <row r="432" spans="1:29" x14ac:dyDescent="0.25">
      <c r="A432" s="8">
        <v>46150.5</v>
      </c>
      <c r="B432" t="s">
        <v>3789</v>
      </c>
      <c r="C432" t="s">
        <v>1</v>
      </c>
      <c r="D432" s="9" t="s">
        <v>3790</v>
      </c>
      <c r="E432" t="s">
        <v>114</v>
      </c>
      <c r="F432" t="s">
        <v>59</v>
      </c>
      <c r="G432" t="s">
        <v>95</v>
      </c>
      <c r="H432" t="s">
        <v>78</v>
      </c>
      <c r="I432">
        <v>1</v>
      </c>
      <c r="J432" s="4">
        <v>237</v>
      </c>
      <c r="K432" s="4">
        <v>298.62</v>
      </c>
      <c r="L432" s="4">
        <f>K432-J432</f>
      </c>
      <c r="M432" s="4">
        <f>L432*16.67%</f>
      </c>
      <c r="N432" s="4">
        <v>13.77</v>
      </c>
      <c r="O432" s="4">
        <f>N432*20%</f>
      </c>
      <c r="P432" s="4">
        <v>0</v>
      </c>
      <c r="Q432" s="4">
        <f>P432*20%</f>
      </c>
      <c r="R432" s="4">
        <v>1</v>
      </c>
      <c r="S432" s="4">
        <f>Q432</f>
      </c>
      <c r="T432" s="4">
        <f>L432-M432-N432-P432-Q432-R432</f>
      </c>
      <c r="U432" s="4">
        <f>(T432-W432)/J432*100</f>
      </c>
      <c r="V432" s="4">
        <f>M432-S432</f>
      </c>
      <c r="X432" s="4">
        <f>T432-W432</f>
      </c>
      <c r="AC432" t="s">
        <v>1</v>
      </c>
    </row>
    <row r="433" spans="1:29" x14ac:dyDescent="0.25">
      <c r="A433" s="8">
        <v>46149.5</v>
      </c>
      <c r="B433" t="s">
        <v>3791</v>
      </c>
      <c r="C433" t="s">
        <v>1</v>
      </c>
      <c r="D433" s="9" t="s">
        <v>3792</v>
      </c>
      <c r="E433" t="s">
        <v>131</v>
      </c>
      <c r="F433" t="s">
        <v>105</v>
      </c>
      <c r="G433" t="s">
        <v>65</v>
      </c>
      <c r="H433" t="s">
        <v>75</v>
      </c>
      <c r="I433">
        <v>1</v>
      </c>
      <c r="J433" s="4">
        <v>309</v>
      </c>
      <c r="K433" s="4">
        <v>355.35</v>
      </c>
      <c r="L433" s="4">
        <f>K433-J433</f>
      </c>
      <c r="M433" s="4">
        <f>L433*16.67%</f>
      </c>
      <c r="N433" s="4">
        <v>16.38</v>
      </c>
      <c r="O433" s="4">
        <f>N433*20%</f>
      </c>
      <c r="P433" s="4">
        <v>0</v>
      </c>
      <c r="Q433" s="4">
        <f>P433*20%</f>
      </c>
      <c r="R433" s="4">
        <v>1</v>
      </c>
      <c r="S433" s="4">
        <f>Q433</f>
      </c>
      <c r="T433" s="4">
        <f>L433-M433-N433-P433-Q433-R433</f>
      </c>
      <c r="U433" s="4">
        <f>(T433-W433)/J433*100</f>
      </c>
      <c r="V433" s="4">
        <f>M433-S433</f>
      </c>
      <c r="X433" s="4">
        <f>T433-W433</f>
      </c>
      <c r="AC433" t="s">
        <v>1</v>
      </c>
    </row>
    <row r="434" spans="1:29" x14ac:dyDescent="0.25">
      <c r="A434" s="8">
        <v>46149.5</v>
      </c>
      <c r="B434" t="s">
        <v>3793</v>
      </c>
      <c r="C434" t="s">
        <v>174</v>
      </c>
      <c r="D434" s="9" t="s">
        <v>1</v>
      </c>
      <c r="E434" t="s">
        <v>174</v>
      </c>
      <c r="F434" t="s">
        <v>1</v>
      </c>
      <c r="G434" t="s">
        <v>1</v>
      </c>
      <c r="H434" t="s">
        <v>66</v>
      </c>
      <c r="I434">
        <v>4</v>
      </c>
      <c r="J434" s="4">
        <v>17</v>
      </c>
      <c r="K434" s="4">
        <v>20.4</v>
      </c>
      <c r="L434" s="4">
        <f>K434-J434</f>
      </c>
      <c r="M434" s="4">
        <f>L434*16.67%</f>
      </c>
      <c r="N434" s="4">
        <v>0.94</v>
      </c>
      <c r="O434" s="4">
        <f>N434*20%</f>
      </c>
      <c r="P434" s="4">
        <v>0</v>
      </c>
      <c r="Q434" s="4">
        <f>P434*20%</f>
      </c>
      <c r="R434" s="4">
        <v>0</v>
      </c>
      <c r="S434" s="4">
        <f>Q434</f>
      </c>
      <c r="T434" s="4">
        <f>L434-M434-N434-P434-Q434-R434</f>
      </c>
      <c r="U434" s="4">
        <f>(T434-W434)/J434*100</f>
      </c>
      <c r="V434" s="4">
        <f>M434-S434</f>
      </c>
      <c r="X434" s="4">
        <f>T434-W434</f>
      </c>
      <c r="AC434" t="s">
        <v>1</v>
      </c>
    </row>
    <row r="435" spans="1:29" x14ac:dyDescent="0.25">
      <c r="A435" s="8">
        <v>46149.5</v>
      </c>
      <c r="B435" t="s">
        <v>3794</v>
      </c>
      <c r="C435" t="s">
        <v>182</v>
      </c>
      <c r="D435" s="9" t="s">
        <v>1</v>
      </c>
      <c r="E435" t="s">
        <v>182</v>
      </c>
      <c r="F435" t="s">
        <v>1</v>
      </c>
      <c r="G435" t="s">
        <v>1</v>
      </c>
      <c r="H435" t="s">
        <v>75</v>
      </c>
      <c r="I435">
        <v>1</v>
      </c>
      <c r="J435" s="4">
        <v>1.9</v>
      </c>
      <c r="K435" s="4">
        <v>2.72</v>
      </c>
      <c r="L435" s="4">
        <f>K435-J435</f>
      </c>
      <c r="M435" s="4">
        <f>L435*16.67%</f>
      </c>
      <c r="N435" s="4">
        <v>0.13</v>
      </c>
      <c r="O435" s="4">
        <f>N435*20%</f>
      </c>
      <c r="P435" s="4">
        <v>0</v>
      </c>
      <c r="Q435" s="4">
        <f>P435*20%</f>
      </c>
      <c r="R435" s="4">
        <v>0</v>
      </c>
      <c r="S435" s="4">
        <f>Q435</f>
      </c>
      <c r="T435" s="4">
        <f>L435-M435-N435-P435-Q435-R435</f>
      </c>
      <c r="U435" s="4">
        <f>(T435-W435)/J435*100</f>
      </c>
      <c r="V435" s="4">
        <f>M435-S435</f>
      </c>
      <c r="X435" s="4">
        <f>T435-W435</f>
      </c>
      <c r="AC435" t="s">
        <v>1</v>
      </c>
    </row>
    <row r="436" spans="1:29" x14ac:dyDescent="0.25">
      <c r="A436" s="8">
        <v>46149.5</v>
      </c>
      <c r="B436" t="s">
        <v>3795</v>
      </c>
      <c r="C436" t="s">
        <v>185</v>
      </c>
      <c r="D436" s="9" t="s">
        <v>1</v>
      </c>
      <c r="E436" t="s">
        <v>185</v>
      </c>
      <c r="F436" t="s">
        <v>1</v>
      </c>
      <c r="G436" t="s">
        <v>1</v>
      </c>
      <c r="H436" t="s">
        <v>102</v>
      </c>
      <c r="I436">
        <v>3</v>
      </c>
      <c r="J436" s="4">
        <v>3.6</v>
      </c>
      <c r="K436" s="4">
        <v>4.79</v>
      </c>
      <c r="L436" s="4">
        <f>K436-J436</f>
      </c>
      <c r="M436" s="4">
        <f>L436*16.67%</f>
      </c>
      <c r="N436" s="4">
        <v>0.22</v>
      </c>
      <c r="O436" s="4">
        <f>N436*20%</f>
      </c>
      <c r="P436" s="4">
        <v>0</v>
      </c>
      <c r="Q436" s="4">
        <f>P436*20%</f>
      </c>
      <c r="R436" s="4">
        <v>0</v>
      </c>
      <c r="S436" s="4">
        <f>Q436</f>
      </c>
      <c r="T436" s="4">
        <f>L436-M436-N436-P436-Q436-R436</f>
      </c>
      <c r="U436" s="4">
        <f>(T436-W436)/J436*100</f>
      </c>
      <c r="V436" s="4">
        <f>M436-S436</f>
      </c>
      <c r="X436" s="4">
        <f>T436-W436</f>
      </c>
      <c r="AC436" t="s">
        <v>1</v>
      </c>
    </row>
    <row r="437" spans="1:29" x14ac:dyDescent="0.25">
      <c r="A437" s="8">
        <v>46148.5</v>
      </c>
      <c r="B437" t="s">
        <v>3796</v>
      </c>
      <c r="C437" t="s">
        <v>1</v>
      </c>
      <c r="D437" s="9" t="s">
        <v>3797</v>
      </c>
      <c r="E437" t="s">
        <v>64</v>
      </c>
      <c r="F437" t="s">
        <v>59</v>
      </c>
      <c r="G437" t="s">
        <v>65</v>
      </c>
      <c r="H437" t="s">
        <v>102</v>
      </c>
      <c r="I437">
        <v>1</v>
      </c>
      <c r="J437" s="4">
        <v>243</v>
      </c>
      <c r="K437" s="4">
        <v>289.17</v>
      </c>
      <c r="L437" s="4">
        <f>K437-J437</f>
      </c>
      <c r="M437" s="4">
        <f>L437*16.67%</f>
      </c>
      <c r="N437" s="4">
        <v>13.33</v>
      </c>
      <c r="O437" s="4">
        <f>N437*20%</f>
      </c>
      <c r="P437" s="4">
        <v>0</v>
      </c>
      <c r="Q437" s="4">
        <f>P437*20%</f>
      </c>
      <c r="R437" s="4">
        <v>1</v>
      </c>
      <c r="S437" s="4">
        <f>Q437</f>
      </c>
      <c r="T437" s="4">
        <f>L437-M437-N437-P437-Q437-R437</f>
      </c>
      <c r="U437" s="4">
        <f>(T437-W437)/J437*100</f>
      </c>
      <c r="V437" s="4">
        <f>M437-S437</f>
      </c>
      <c r="X437" s="4">
        <f>T437-W437</f>
      </c>
      <c r="AC437" t="s">
        <v>1</v>
      </c>
    </row>
    <row r="438" spans="1:29" x14ac:dyDescent="0.25">
      <c r="A438" s="8">
        <v>46148.5</v>
      </c>
      <c r="B438" t="s">
        <v>3798</v>
      </c>
      <c r="C438" t="s">
        <v>182</v>
      </c>
      <c r="D438" s="9" t="s">
        <v>1</v>
      </c>
      <c r="E438" t="s">
        <v>182</v>
      </c>
      <c r="F438" t="s">
        <v>1</v>
      </c>
      <c r="G438" t="s">
        <v>1</v>
      </c>
      <c r="H438" t="s">
        <v>75</v>
      </c>
      <c r="I438">
        <v>3</v>
      </c>
      <c r="J438" s="4">
        <v>5.7</v>
      </c>
      <c r="K438" s="4">
        <v>7.52</v>
      </c>
      <c r="L438" s="4">
        <f>K438-J438</f>
      </c>
      <c r="M438" s="4">
        <f>L438*16.67%</f>
      </c>
      <c r="N438" s="4">
        <v>0.35</v>
      </c>
      <c r="O438" s="4">
        <f>N438*20%</f>
      </c>
      <c r="P438" s="4">
        <v>0</v>
      </c>
      <c r="Q438" s="4">
        <f>P438*20%</f>
      </c>
      <c r="R438" s="4">
        <v>0</v>
      </c>
      <c r="S438" s="4">
        <f>Q438</f>
      </c>
      <c r="T438" s="4">
        <f>L438-M438-N438-P438-Q438-R438</f>
      </c>
      <c r="U438" s="4">
        <f>(T438-W438)/J438*100</f>
      </c>
      <c r="V438" s="4">
        <f>M438-S438</f>
      </c>
      <c r="X438" s="4">
        <f>T438-W438</f>
      </c>
      <c r="AC438" t="s">
        <v>1</v>
      </c>
    </row>
    <row r="439" spans="1:29" x14ac:dyDescent="0.25">
      <c r="A439" s="8">
        <v>46146.5</v>
      </c>
      <c r="B439" t="s">
        <v>3799</v>
      </c>
      <c r="C439" t="s">
        <v>254</v>
      </c>
      <c r="D439" s="9" t="s">
        <v>1</v>
      </c>
      <c r="E439" t="s">
        <v>254</v>
      </c>
      <c r="F439" t="s">
        <v>1</v>
      </c>
      <c r="G439" t="s">
        <v>1</v>
      </c>
      <c r="H439" t="s">
        <v>61</v>
      </c>
      <c r="I439">
        <v>1</v>
      </c>
      <c r="J439" s="4">
        <v>0.8</v>
      </c>
      <c r="K439" s="4">
        <v>1.02</v>
      </c>
      <c r="L439" s="4">
        <f>K439-J439</f>
      </c>
      <c r="M439" s="4">
        <f>L439*16.67%</f>
      </c>
      <c r="N439" s="4">
        <v>0.05</v>
      </c>
      <c r="O439" s="4">
        <f>N439*20%</f>
      </c>
      <c r="P439" s="4">
        <v>0</v>
      </c>
      <c r="Q439" s="4">
        <f>P439*20%</f>
      </c>
      <c r="R439" s="4">
        <v>0</v>
      </c>
      <c r="S439" s="4">
        <f>Q439</f>
      </c>
      <c r="T439" s="4">
        <f>L439-M439-N439-P439-Q439-R439</f>
      </c>
      <c r="U439" s="4">
        <f>(T439-W439)/J439*100</f>
      </c>
      <c r="V439" s="4">
        <f>M439-S439</f>
      </c>
      <c r="X439" s="4">
        <f>T439-W439</f>
      </c>
      <c r="AC439" t="s">
        <v>1</v>
      </c>
    </row>
    <row r="440" spans="1:29" x14ac:dyDescent="0.25">
      <c r="A440" s="8">
        <v>46146.5</v>
      </c>
      <c r="B440" t="s">
        <v>3800</v>
      </c>
      <c r="C440" t="s">
        <v>185</v>
      </c>
      <c r="D440" s="9" t="s">
        <v>1</v>
      </c>
      <c r="E440" t="s">
        <v>185</v>
      </c>
      <c r="F440" t="s">
        <v>1</v>
      </c>
      <c r="G440" t="s">
        <v>1</v>
      </c>
      <c r="H440" t="s">
        <v>102</v>
      </c>
      <c r="I440">
        <v>3</v>
      </c>
      <c r="J440" s="4">
        <v>3.6</v>
      </c>
      <c r="K440" s="4">
        <v>4.97</v>
      </c>
      <c r="L440" s="4">
        <f>K440-J440</f>
      </c>
      <c r="M440" s="4">
        <f>L440*16.67%</f>
      </c>
      <c r="N440" s="4">
        <v>0.23</v>
      </c>
      <c r="O440" s="4">
        <f>N440*20%</f>
      </c>
      <c r="P440" s="4">
        <v>0</v>
      </c>
      <c r="Q440" s="4">
        <f>P440*20%</f>
      </c>
      <c r="R440" s="4">
        <v>0</v>
      </c>
      <c r="S440" s="4">
        <f>Q440</f>
      </c>
      <c r="T440" s="4">
        <f>L440-M440-N440-P440-Q440-R440</f>
      </c>
      <c r="U440" s="4">
        <f>(T440-W440)/J440*100</f>
      </c>
      <c r="V440" s="4">
        <f>M440-S440</f>
      </c>
      <c r="X440" s="4">
        <f>T440-W440</f>
      </c>
      <c r="AC440" t="s">
        <v>1</v>
      </c>
    </row>
    <row r="441" spans="1:29" x14ac:dyDescent="0.25">
      <c r="A441" s="10">
        <v>46144.5</v>
      </c>
      <c r="B441" s="11" t="s">
        <v>3801</v>
      </c>
      <c r="C441" s="11" t="s">
        <v>1</v>
      </c>
      <c r="D441" s="12" t="s">
        <v>3802</v>
      </c>
      <c r="E441" s="11" t="s">
        <v>94</v>
      </c>
      <c r="F441" s="11" t="s">
        <v>88</v>
      </c>
      <c r="G441" s="11" t="s">
        <v>95</v>
      </c>
      <c r="H441" s="11" t="s">
        <v>102</v>
      </c>
      <c r="I441" s="11">
        <v>1</v>
      </c>
      <c r="J441" s="13">
        <v>81</v>
      </c>
      <c r="K441" s="13">
        <v>107.73</v>
      </c>
      <c r="L441" s="13">
        <f>K441-J441</f>
      </c>
      <c r="M441" s="13">
        <f>L441*16.67%</f>
      </c>
      <c r="N441" s="13">
        <v>4.97</v>
      </c>
      <c r="O441" s="13">
        <f>N441*20%</f>
      </c>
      <c r="P441" s="13">
        <v>0</v>
      </c>
      <c r="Q441" s="13">
        <f>P441*20%</f>
      </c>
      <c r="R441" s="13">
        <v>1</v>
      </c>
      <c r="S441" s="13">
        <f>Q441</f>
      </c>
      <c r="T441" s="13">
        <f>L441-M441-N441-P441-Q441-R441</f>
      </c>
      <c r="U441" s="13">
        <f>(T441-W441)/J441*100</f>
      </c>
      <c r="V441" s="13">
        <f>M441-S441</f>
      </c>
      <c r="W441" s="11"/>
      <c r="X441" s="13">
        <f>T441-W441</f>
      </c>
      <c r="Y441" s="10">
        <v>46241.5</v>
      </c>
      <c r="Z441" s="11" t="s">
        <v>3803</v>
      </c>
      <c r="AA441" s="11">
        <v>3</v>
      </c>
      <c r="AB441" s="11" t="s">
        <v>3804</v>
      </c>
      <c r="AC441" s="11" t="s">
        <v>1</v>
      </c>
    </row>
    <row r="442" spans="1:29" x14ac:dyDescent="0.25">
      <c r="A442" s="8">
        <v>46144.5</v>
      </c>
      <c r="B442" t="s">
        <v>3805</v>
      </c>
      <c r="C442" t="s">
        <v>174</v>
      </c>
      <c r="D442" s="9" t="s">
        <v>1</v>
      </c>
      <c r="E442" t="s">
        <v>174</v>
      </c>
      <c r="F442" t="s">
        <v>1</v>
      </c>
      <c r="G442" t="s">
        <v>1</v>
      </c>
      <c r="H442" t="s">
        <v>66</v>
      </c>
      <c r="I442">
        <v>2</v>
      </c>
      <c r="J442" s="4">
        <v>8.5</v>
      </c>
      <c r="K442" s="4">
        <v>12.32</v>
      </c>
      <c r="L442" s="4">
        <f>K442-J442</f>
      </c>
      <c r="M442" s="4">
        <f>L442*16.67%</f>
      </c>
      <c r="N442" s="4">
        <v>0.57</v>
      </c>
      <c r="O442" s="4">
        <f>N442*20%</f>
      </c>
      <c r="P442" s="4">
        <v>0</v>
      </c>
      <c r="Q442" s="4">
        <f>P442*20%</f>
      </c>
      <c r="R442" s="4">
        <v>0</v>
      </c>
      <c r="S442" s="4">
        <f>Q442</f>
      </c>
      <c r="T442" s="4">
        <f>L442-M442-N442-P442-Q442-R442</f>
      </c>
      <c r="U442" s="4">
        <f>(T442-W442)/J442*100</f>
      </c>
      <c r="V442" s="4">
        <f>M442-S442</f>
      </c>
      <c r="X442" s="4">
        <f>T442-W442</f>
      </c>
      <c r="AC442" t="s">
        <v>1</v>
      </c>
    </row>
    <row r="443" spans="1:29" x14ac:dyDescent="0.25">
      <c r="A443" s="8">
        <v>46144.5</v>
      </c>
      <c r="B443" t="s">
        <v>3806</v>
      </c>
      <c r="C443" t="s">
        <v>254</v>
      </c>
      <c r="D443" s="9" t="s">
        <v>1</v>
      </c>
      <c r="E443" t="s">
        <v>254</v>
      </c>
      <c r="F443" t="s">
        <v>1</v>
      </c>
      <c r="G443" t="s">
        <v>1</v>
      </c>
      <c r="H443" t="s">
        <v>61</v>
      </c>
      <c r="I443">
        <v>1</v>
      </c>
      <c r="J443" s="4">
        <v>0.8</v>
      </c>
      <c r="K443" s="4">
        <v>0.94</v>
      </c>
      <c r="L443" s="4">
        <f>K443-J443</f>
      </c>
      <c r="M443" s="4">
        <f>L443*16.67%</f>
      </c>
      <c r="N443" s="4">
        <v>0.04</v>
      </c>
      <c r="O443" s="4">
        <f>N443*20%</f>
      </c>
      <c r="P443" s="4">
        <v>0</v>
      </c>
      <c r="Q443" s="4">
        <f>P443*20%</f>
      </c>
      <c r="R443" s="4">
        <v>0</v>
      </c>
      <c r="S443" s="4">
        <f>Q443</f>
      </c>
      <c r="T443" s="4">
        <f>L443-M443-N443-P443-Q443-R443</f>
      </c>
      <c r="U443" s="4">
        <f>(T443-W443)/J443*100</f>
      </c>
      <c r="V443" s="4">
        <f>M443-S443</f>
      </c>
      <c r="X443" s="4">
        <f>T443-W443</f>
      </c>
      <c r="AC443" t="s">
        <v>1</v>
      </c>
    </row>
    <row r="444" spans="1:29" x14ac:dyDescent="0.25">
      <c r="A444" s="8">
        <v>46144.5</v>
      </c>
      <c r="B444" t="s">
        <v>3807</v>
      </c>
      <c r="C444" t="s">
        <v>254</v>
      </c>
      <c r="D444" s="9" t="s">
        <v>1</v>
      </c>
      <c r="E444" t="s">
        <v>254</v>
      </c>
      <c r="F444" t="s">
        <v>1</v>
      </c>
      <c r="G444" t="s">
        <v>1</v>
      </c>
      <c r="H444" t="s">
        <v>61</v>
      </c>
      <c r="I444">
        <v>3</v>
      </c>
      <c r="J444" s="4">
        <v>2.4</v>
      </c>
      <c r="K444" s="4">
        <v>3.36</v>
      </c>
      <c r="L444" s="4">
        <f>K444-J444</f>
      </c>
      <c r="M444" s="4">
        <f>L444*16.67%</f>
      </c>
      <c r="N444" s="4">
        <v>0.15</v>
      </c>
      <c r="O444" s="4">
        <f>N444*20%</f>
      </c>
      <c r="P444" s="4">
        <v>0</v>
      </c>
      <c r="Q444" s="4">
        <f>P444*20%</f>
      </c>
      <c r="R444" s="4">
        <v>0</v>
      </c>
      <c r="S444" s="4">
        <f>Q444</f>
      </c>
      <c r="T444" s="4">
        <f>L444-M444-N444-P444-Q444-R444</f>
      </c>
      <c r="U444" s="4">
        <f>(T444-W444)/J444*100</f>
      </c>
      <c r="V444" s="4">
        <f>M444-S444</f>
      </c>
      <c r="X444" s="4">
        <f>T444-W444</f>
      </c>
      <c r="AC444" t="s">
        <v>1</v>
      </c>
    </row>
    <row r="445" spans="1:29" x14ac:dyDescent="0.25">
      <c r="A445" s="8">
        <v>46142.5</v>
      </c>
      <c r="B445" t="s">
        <v>3808</v>
      </c>
      <c r="C445" t="s">
        <v>174</v>
      </c>
      <c r="D445" s="9" t="s">
        <v>1</v>
      </c>
      <c r="E445" t="s">
        <v>174</v>
      </c>
      <c r="F445" t="s">
        <v>1</v>
      </c>
      <c r="G445" t="s">
        <v>1</v>
      </c>
      <c r="H445" t="s">
        <v>66</v>
      </c>
      <c r="I445">
        <v>2</v>
      </c>
      <c r="J445" s="4">
        <v>8.5</v>
      </c>
      <c r="K445" s="4">
        <v>11.48</v>
      </c>
      <c r="L445" s="4">
        <f>K445-J445</f>
      </c>
      <c r="M445" s="4">
        <f>L445*16.67%</f>
      </c>
      <c r="N445" s="4">
        <v>0.53</v>
      </c>
      <c r="O445" s="4">
        <f>N445*20%</f>
      </c>
      <c r="P445" s="4">
        <v>0</v>
      </c>
      <c r="Q445" s="4">
        <f>P445*20%</f>
      </c>
      <c r="R445" s="4">
        <v>0</v>
      </c>
      <c r="S445" s="4">
        <f>Q445</f>
      </c>
      <c r="T445" s="4">
        <f>L445-M445-N445-P445-Q445-R445</f>
      </c>
      <c r="U445" s="4">
        <f>(T445-W445)/J445*100</f>
      </c>
      <c r="V445" s="4">
        <f>M445-S445</f>
      </c>
      <c r="X445" s="4">
        <f>T445-W445</f>
      </c>
      <c r="AC445" t="s">
        <v>1</v>
      </c>
    </row>
    <row r="446" spans="1:29" x14ac:dyDescent="0.25">
      <c r="A446" s="8">
        <v>46142.5</v>
      </c>
      <c r="B446" t="s">
        <v>3809</v>
      </c>
      <c r="C446" t="s">
        <v>254</v>
      </c>
      <c r="D446" s="9" t="s">
        <v>1</v>
      </c>
      <c r="E446" t="s">
        <v>254</v>
      </c>
      <c r="F446" t="s">
        <v>1</v>
      </c>
      <c r="G446" t="s">
        <v>1</v>
      </c>
      <c r="H446" t="s">
        <v>61</v>
      </c>
      <c r="I446">
        <v>1</v>
      </c>
      <c r="J446" s="4">
        <v>0.8</v>
      </c>
      <c r="K446" s="4">
        <v>1.16</v>
      </c>
      <c r="L446" s="4">
        <f>K446-J446</f>
      </c>
      <c r="M446" s="4">
        <f>L446*16.67%</f>
      </c>
      <c r="N446" s="4">
        <v>0.05</v>
      </c>
      <c r="O446" s="4">
        <f>N446*20%</f>
      </c>
      <c r="P446" s="4">
        <v>0</v>
      </c>
      <c r="Q446" s="4">
        <f>P446*20%</f>
      </c>
      <c r="R446" s="4">
        <v>0</v>
      </c>
      <c r="S446" s="4">
        <f>Q446</f>
      </c>
      <c r="T446" s="4">
        <f>L446-M446-N446-P446-Q446-R446</f>
      </c>
      <c r="U446" s="4">
        <f>(T446-W446)/J446*100</f>
      </c>
      <c r="V446" s="4">
        <f>M446-S446</f>
      </c>
      <c r="X446" s="4">
        <f>T446-W446</f>
      </c>
      <c r="AC446" t="s">
        <v>1</v>
      </c>
    </row>
    <row r="447" spans="1:29" x14ac:dyDescent="0.25">
      <c r="A447" s="8"/>
      <c r="D447" s="9"/>
      <c r="J447" s="4"/>
      <c r="K447" s="4"/>
      <c r="L447" s="4">
        <f>IF($K447="","",K447-J447)</f>
      </c>
      <c r="M447" s="4">
        <f>IF($K447="","",L447*16.67%)</f>
      </c>
      <c r="N447" s="4"/>
      <c r="O447" s="4">
        <f>IF($K447="","",N447*20%)</f>
      </c>
      <c r="P447" s="4"/>
      <c r="Q447" s="4">
        <f>IF($K447="","",P447*20%)</f>
      </c>
      <c r="R447" s="4">
        <v>1</v>
      </c>
      <c r="S447" s="4">
        <f>IF($K447="","",Q447)</f>
      </c>
      <c r="T447" s="4">
        <f>IF($K447="","",L447-M447-N447-P447-Q447-R447)</f>
      </c>
      <c r="U447" s="4">
        <f>IF($K447="","",(T447-W447)/J447*100)</f>
      </c>
      <c r="V447" s="4">
        <f>IF($K447="","",M447-S447)</f>
      </c>
      <c r="X447" s="4">
        <f>IF($K447="","",T447-W447)</f>
      </c>
    </row>
    <row r="448" spans="1:29" x14ac:dyDescent="0.25">
      <c r="A448" s="8"/>
      <c r="D448" s="9"/>
      <c r="J448" s="4"/>
      <c r="K448" s="4"/>
      <c r="L448" s="4">
        <f>IF($K448="","",K448-J448)</f>
      </c>
      <c r="M448" s="4">
        <f>IF($K448="","",L448*16.67%)</f>
      </c>
      <c r="N448" s="4"/>
      <c r="O448" s="4">
        <f>IF($K448="","",N448*20%)</f>
      </c>
      <c r="P448" s="4"/>
      <c r="Q448" s="4">
        <f>IF($K448="","",P448*20%)</f>
      </c>
      <c r="R448" s="4">
        <v>1</v>
      </c>
      <c r="S448" s="4">
        <f>IF($K448="","",Q448)</f>
      </c>
      <c r="T448" s="4">
        <f>IF($K448="","",L448-M448-N448-P448-Q448-R448)</f>
      </c>
      <c r="U448" s="4">
        <f>IF($K448="","",(T448-W448)/J448*100)</f>
      </c>
      <c r="V448" s="4">
        <f>IF($K448="","",M448-S448)</f>
      </c>
      <c r="X448" s="4">
        <f>IF($K448="","",T448-W448)</f>
      </c>
    </row>
    <row r="449" spans="1:29" x14ac:dyDescent="0.25">
      <c r="A449" s="8"/>
      <c r="D449" s="9"/>
      <c r="J449" s="4"/>
      <c r="K449" s="4"/>
      <c r="L449" s="4">
        <f>IF($K449="","",K449-J449)</f>
      </c>
      <c r="M449" s="4">
        <f>IF($K449="","",L449*16.67%)</f>
      </c>
      <c r="N449" s="4"/>
      <c r="O449" s="4">
        <f>IF($K449="","",N449*20%)</f>
      </c>
      <c r="P449" s="4"/>
      <c r="Q449" s="4">
        <f>IF($K449="","",P449*20%)</f>
      </c>
      <c r="R449" s="4">
        <v>1</v>
      </c>
      <c r="S449" s="4">
        <f>IF($K449="","",Q449)</f>
      </c>
      <c r="T449" s="4">
        <f>IF($K449="","",L449-M449-N449-P449-Q449-R449)</f>
      </c>
      <c r="U449" s="4">
        <f>IF($K449="","",(T449-W449)/J449*100)</f>
      </c>
      <c r="V449" s="4">
        <f>IF($K449="","",M449-S449)</f>
      </c>
      <c r="X449" s="4">
        <f>IF($K449="","",T449-W449)</f>
      </c>
    </row>
    <row r="450" spans="1:29" x14ac:dyDescent="0.25">
      <c r="A450" s="8"/>
      <c r="D450" s="9"/>
      <c r="J450" s="4"/>
      <c r="K450" s="4"/>
      <c r="L450" s="4">
        <f>IF($K450="","",K450-J450)</f>
      </c>
      <c r="M450" s="4">
        <f>IF($K450="","",L450*16.67%)</f>
      </c>
      <c r="N450" s="4"/>
      <c r="O450" s="4">
        <f>IF($K450="","",N450*20%)</f>
      </c>
      <c r="P450" s="4"/>
      <c r="Q450" s="4">
        <f>IF($K450="","",P450*20%)</f>
      </c>
      <c r="R450" s="4">
        <v>1</v>
      </c>
      <c r="S450" s="4">
        <f>IF($K450="","",Q450)</f>
      </c>
      <c r="T450" s="4">
        <f>IF($K450="","",L450-M450-N450-P450-Q450-R450)</f>
      </c>
      <c r="U450" s="4">
        <f>IF($K450="","",(T450-W450)/J450*100)</f>
      </c>
      <c r="V450" s="4">
        <f>IF($K450="","",M450-S450)</f>
      </c>
      <c r="X450" s="4">
        <f>IF($K450="","",T450-W450)</f>
      </c>
    </row>
    <row r="451" spans="1:29" x14ac:dyDescent="0.25">
      <c r="A451" s="8"/>
      <c r="D451" s="9"/>
      <c r="J451" s="4"/>
      <c r="K451" s="4"/>
      <c r="L451" s="4">
        <f>IF($K451="","",K451-J451)</f>
      </c>
      <c r="M451" s="4">
        <f>IF($K451="","",L451*16.67%)</f>
      </c>
      <c r="N451" s="4"/>
      <c r="O451" s="4">
        <f>IF($K451="","",N451*20%)</f>
      </c>
      <c r="P451" s="4"/>
      <c r="Q451" s="4">
        <f>IF($K451="","",P451*20%)</f>
      </c>
      <c r="R451" s="4">
        <v>1</v>
      </c>
      <c r="S451" s="4">
        <f>IF($K451="","",Q451)</f>
      </c>
      <c r="T451" s="4">
        <f>IF($K451="","",L451-M451-N451-P451-Q451-R451)</f>
      </c>
      <c r="U451" s="4">
        <f>IF($K451="","",(T451-W451)/J451*100)</f>
      </c>
      <c r="V451" s="4">
        <f>IF($K451="","",M451-S451)</f>
      </c>
      <c r="X451" s="4">
        <f>IF($K451="","",T451-W451)</f>
      </c>
    </row>
    <row r="452" spans="1:29" x14ac:dyDescent="0.25">
      <c r="A452" s="8"/>
      <c r="D452" s="9"/>
      <c r="J452" s="4"/>
      <c r="K452" s="4"/>
      <c r="L452" s="4">
        <f>IF($K452="","",K452-J452)</f>
      </c>
      <c r="M452" s="4">
        <f>IF($K452="","",L452*16.67%)</f>
      </c>
      <c r="N452" s="4"/>
      <c r="O452" s="4">
        <f>IF($K452="","",N452*20%)</f>
      </c>
      <c r="P452" s="4"/>
      <c r="Q452" s="4">
        <f>IF($K452="","",P452*20%)</f>
      </c>
      <c r="R452" s="4">
        <v>1</v>
      </c>
      <c r="S452" s="4">
        <f>IF($K452="","",Q452)</f>
      </c>
      <c r="T452" s="4">
        <f>IF($K452="","",L452-M452-N452-P452-Q452-R452)</f>
      </c>
      <c r="U452" s="4">
        <f>IF($K452="","",(T452-W452)/J452*100)</f>
      </c>
      <c r="V452" s="4">
        <f>IF($K452="","",M452-S452)</f>
      </c>
      <c r="X452" s="4">
        <f>IF($K452="","",T452-W452)</f>
      </c>
    </row>
    <row r="453" spans="1:29" x14ac:dyDescent="0.25">
      <c r="A453" s="8"/>
      <c r="D453" s="9"/>
      <c r="J453" s="4"/>
      <c r="K453" s="4"/>
      <c r="L453" s="4">
        <f>IF($K453="","",K453-J453)</f>
      </c>
      <c r="M453" s="4">
        <f>IF($K453="","",L453*16.67%)</f>
      </c>
      <c r="N453" s="4"/>
      <c r="O453" s="4">
        <f>IF($K453="","",N453*20%)</f>
      </c>
      <c r="P453" s="4"/>
      <c r="Q453" s="4">
        <f>IF($K453="","",P453*20%)</f>
      </c>
      <c r="R453" s="4">
        <v>1</v>
      </c>
      <c r="S453" s="4">
        <f>IF($K453="","",Q453)</f>
      </c>
      <c r="T453" s="4">
        <f>IF($K453="","",L453-M453-N453-P453-Q453-R453)</f>
      </c>
      <c r="U453" s="4">
        <f>IF($K453="","",(T453-W453)/J453*100)</f>
      </c>
      <c r="V453" s="4">
        <f>IF($K453="","",M453-S453)</f>
      </c>
      <c r="X453" s="4">
        <f>IF($K453="","",T453-W453)</f>
      </c>
    </row>
    <row r="454" spans="1:29" x14ac:dyDescent="0.25">
      <c r="A454" s="8"/>
      <c r="D454" s="9"/>
      <c r="J454" s="4"/>
      <c r="K454" s="4"/>
      <c r="L454" s="4">
        <f>IF($K454="","",K454-J454)</f>
      </c>
      <c r="M454" s="4">
        <f>IF($K454="","",L454*16.67%)</f>
      </c>
      <c r="N454" s="4"/>
      <c r="O454" s="4">
        <f>IF($K454="","",N454*20%)</f>
      </c>
      <c r="P454" s="4"/>
      <c r="Q454" s="4">
        <f>IF($K454="","",P454*20%)</f>
      </c>
      <c r="R454" s="4">
        <v>1</v>
      </c>
      <c r="S454" s="4">
        <f>IF($K454="","",Q454)</f>
      </c>
      <c r="T454" s="4">
        <f>IF($K454="","",L454-M454-N454-P454-Q454-R454)</f>
      </c>
      <c r="U454" s="4">
        <f>IF($K454="","",(T454-W454)/J454*100)</f>
      </c>
      <c r="V454" s="4">
        <f>IF($K454="","",M454-S454)</f>
      </c>
      <c r="X454" s="4">
        <f>IF($K454="","",T454-W454)</f>
      </c>
    </row>
    <row r="455" spans="1:29" x14ac:dyDescent="0.25">
      <c r="A455" s="8"/>
      <c r="D455" s="9"/>
      <c r="J455" s="4"/>
      <c r="K455" s="4"/>
      <c r="L455" s="4">
        <f>IF($K455="","",K455-J455)</f>
      </c>
      <c r="M455" s="4">
        <f>IF($K455="","",L455*16.67%)</f>
      </c>
      <c r="N455" s="4"/>
      <c r="O455" s="4">
        <f>IF($K455="","",N455*20%)</f>
      </c>
      <c r="P455" s="4"/>
      <c r="Q455" s="4">
        <f>IF($K455="","",P455*20%)</f>
      </c>
      <c r="R455" s="4">
        <v>1</v>
      </c>
      <c r="S455" s="4">
        <f>IF($K455="","",Q455)</f>
      </c>
      <c r="T455" s="4">
        <f>IF($K455="","",L455-M455-N455-P455-Q455-R455)</f>
      </c>
      <c r="U455" s="4">
        <f>IF($K455="","",(T455-W455)/J455*100)</f>
      </c>
      <c r="V455" s="4">
        <f>IF($K455="","",M455-S455)</f>
      </c>
      <c r="X455" s="4">
        <f>IF($K455="","",T455-W455)</f>
      </c>
    </row>
    <row r="456" spans="1:29" x14ac:dyDescent="0.25">
      <c r="A456" s="8"/>
      <c r="D456" s="9"/>
      <c r="J456" s="4"/>
      <c r="K456" s="4"/>
      <c r="L456" s="4">
        <f>IF($K456="","",K456-J456)</f>
      </c>
      <c r="M456" s="4">
        <f>IF($K456="","",L456*16.67%)</f>
      </c>
      <c r="N456" s="4"/>
      <c r="O456" s="4">
        <f>IF($K456="","",N456*20%)</f>
      </c>
      <c r="P456" s="4"/>
      <c r="Q456" s="4">
        <f>IF($K456="","",P456*20%)</f>
      </c>
      <c r="R456" s="4">
        <v>1</v>
      </c>
      <c r="S456" s="4">
        <f>IF($K456="","",Q456)</f>
      </c>
      <c r="T456" s="4">
        <f>IF($K456="","",L456-M456-N456-P456-Q456-R456)</f>
      </c>
      <c r="U456" s="4">
        <f>IF($K456="","",(T456-W456)/J456*100)</f>
      </c>
      <c r="V456" s="4">
        <f>IF($K456="","",M456-S456)</f>
      </c>
      <c r="X456" s="4">
        <f>IF($K456="","",T456-W456)</f>
      </c>
    </row>
    <row r="457" spans="1:29" x14ac:dyDescent="0.25">
      <c r="A457" s="8"/>
      <c r="D457" s="9"/>
      <c r="J457" s="4"/>
      <c r="K457" s="4"/>
      <c r="L457" s="4">
        <f>IF($K457="","",K457-J457)</f>
      </c>
      <c r="M457" s="4">
        <f>IF($K457="","",L457*16.67%)</f>
      </c>
      <c r="N457" s="4"/>
      <c r="O457" s="4">
        <f>IF($K457="","",N457*20%)</f>
      </c>
      <c r="P457" s="4"/>
      <c r="Q457" s="4">
        <f>IF($K457="","",P457*20%)</f>
      </c>
      <c r="R457" s="4">
        <v>1</v>
      </c>
      <c r="S457" s="4">
        <f>IF($K457="","",Q457)</f>
      </c>
      <c r="T457" s="4">
        <f>IF($K457="","",L457-M457-N457-P457-Q457-R457)</f>
      </c>
      <c r="U457" s="4">
        <f>IF($K457="","",(T457-W457)/J457*100)</f>
      </c>
      <c r="V457" s="4">
        <f>IF($K457="","",M457-S457)</f>
      </c>
      <c r="X457" s="4">
        <f>IF($K457="","",T457-W457)</f>
      </c>
    </row>
    <row r="458" spans="1:29" x14ac:dyDescent="0.25">
      <c r="A458" s="8"/>
      <c r="D458" s="9"/>
      <c r="J458" s="4"/>
      <c r="K458" s="4"/>
      <c r="L458" s="4">
        <f>IF($K458="","",K458-J458)</f>
      </c>
      <c r="M458" s="4">
        <f>IF($K458="","",L458*16.67%)</f>
      </c>
      <c r="N458" s="4"/>
      <c r="O458" s="4">
        <f>IF($K458="","",N458*20%)</f>
      </c>
      <c r="P458" s="4"/>
      <c r="Q458" s="4">
        <f>IF($K458="","",P458*20%)</f>
      </c>
      <c r="R458" s="4">
        <v>1</v>
      </c>
      <c r="S458" s="4">
        <f>IF($K458="","",Q458)</f>
      </c>
      <c r="T458" s="4">
        <f>IF($K458="","",L458-M458-N458-P458-Q458-R458)</f>
      </c>
      <c r="U458" s="4">
        <f>IF($K458="","",(T458-W458)/J458*100)</f>
      </c>
      <c r="V458" s="4">
        <f>IF($K458="","",M458-S458)</f>
      </c>
      <c r="X458" s="4">
        <f>IF($K458="","",T458-W458)</f>
      </c>
    </row>
    <row r="459" spans="1:29" x14ac:dyDescent="0.25">
      <c r="A459" s="8"/>
      <c r="D459" s="9"/>
      <c r="J459" s="4"/>
      <c r="K459" s="4"/>
      <c r="L459" s="4">
        <f>IF($K459="","",K459-J459)</f>
      </c>
      <c r="M459" s="4">
        <f>IF($K459="","",L459*16.67%)</f>
      </c>
      <c r="N459" s="4"/>
      <c r="O459" s="4">
        <f>IF($K459="","",N459*20%)</f>
      </c>
      <c r="P459" s="4"/>
      <c r="Q459" s="4">
        <f>IF($K459="","",P459*20%)</f>
      </c>
      <c r="R459" s="4">
        <v>1</v>
      </c>
      <c r="S459" s="4">
        <f>IF($K459="","",Q459)</f>
      </c>
      <c r="T459" s="4">
        <f>IF($K459="","",L459-M459-N459-P459-Q459-R459)</f>
      </c>
      <c r="U459" s="4">
        <f>IF($K459="","",(T459-W459)/J459*100)</f>
      </c>
      <c r="V459" s="4">
        <f>IF($K459="","",M459-S459)</f>
      </c>
      <c r="X459" s="4">
        <f>IF($K459="","",T459-W459)</f>
      </c>
    </row>
    <row r="460" spans="1:29" x14ac:dyDescent="0.25">
      <c r="A460" s="8"/>
      <c r="D460" s="9"/>
      <c r="J460" s="4"/>
      <c r="K460" s="4"/>
      <c r="L460" s="4">
        <f>IF($K460="","",K460-J460)</f>
      </c>
      <c r="M460" s="4">
        <f>IF($K460="","",L460*16.67%)</f>
      </c>
      <c r="N460" s="4"/>
      <c r="O460" s="4">
        <f>IF($K460="","",N460*20%)</f>
      </c>
      <c r="P460" s="4"/>
      <c r="Q460" s="4">
        <f>IF($K460="","",P460*20%)</f>
      </c>
      <c r="R460" s="4">
        <v>1</v>
      </c>
      <c r="S460" s="4">
        <f>IF($K460="","",Q460)</f>
      </c>
      <c r="T460" s="4">
        <f>IF($K460="","",L460-M460-N460-P460-Q460-R460)</f>
      </c>
      <c r="U460" s="4">
        <f>IF($K460="","",(T460-W460)/J460*100)</f>
      </c>
      <c r="V460" s="4">
        <f>IF($K460="","",M460-S460)</f>
      </c>
      <c r="X460" s="4">
        <f>IF($K460="","",T460-W460)</f>
      </c>
    </row>
    <row r="461" spans="1:29" x14ac:dyDescent="0.25">
      <c r="A461" s="8"/>
      <c r="D461" s="9"/>
      <c r="J461" s="4"/>
      <c r="K461" s="4"/>
      <c r="L461" s="4">
        <f>IF($K461="","",K461-J461)</f>
      </c>
      <c r="M461" s="4">
        <f>IF($K461="","",L461*16.67%)</f>
      </c>
      <c r="N461" s="4"/>
      <c r="O461" s="4">
        <f>IF($K461="","",N461*20%)</f>
      </c>
      <c r="P461" s="4"/>
      <c r="Q461" s="4">
        <f>IF($K461="","",P461*20%)</f>
      </c>
      <c r="R461" s="4">
        <v>1</v>
      </c>
      <c r="S461" s="4">
        <f>IF($K461="","",Q461)</f>
      </c>
      <c r="T461" s="4">
        <f>IF($K461="","",L461-M461-N461-P461-Q461-R461)</f>
      </c>
      <c r="U461" s="4">
        <f>IF($K461="","",(T461-W461)/J461*100)</f>
      </c>
      <c r="V461" s="4">
        <f>IF($K461="","",M461-S461)</f>
      </c>
      <c r="X461" s="4">
        <f>IF($K461="","",T461-W461)</f>
      </c>
    </row>
    <row r="462" spans="1:29" x14ac:dyDescent="0.25">
      <c r="A462" s="8"/>
      <c r="D462" s="9"/>
      <c r="J462" s="4"/>
      <c r="K462" s="4"/>
      <c r="L462" s="4">
        <f>IF($K462="","",K462-J462)</f>
      </c>
      <c r="M462" s="4">
        <f>IF($K462="","",L462*16.67%)</f>
      </c>
      <c r="N462" s="4"/>
      <c r="O462" s="4">
        <f>IF($K462="","",N462*20%)</f>
      </c>
      <c r="P462" s="4"/>
      <c r="Q462" s="4">
        <f>IF($K462="","",P462*20%)</f>
      </c>
      <c r="R462" s="4">
        <v>1</v>
      </c>
      <c r="S462" s="4">
        <f>IF($K462="","",Q462)</f>
      </c>
      <c r="T462" s="4">
        <f>IF($K462="","",L462-M462-N462-P462-Q462-R462)</f>
      </c>
      <c r="U462" s="4">
        <f>IF($K462="","",(T462-W462)/J462*100)</f>
      </c>
      <c r="V462" s="4">
        <f>IF($K462="","",M462-S462)</f>
      </c>
      <c r="X462" s="4">
        <f>IF($K462="","",T462-W462)</f>
      </c>
    </row>
    <row r="463" spans="1:29" x14ac:dyDescent="0.25">
      <c r="A463" s="8"/>
      <c r="D463" s="9"/>
      <c r="J463" s="4"/>
      <c r="K463" s="4"/>
      <c r="L463" s="4">
        <f>IF($K463="","",K463-J463)</f>
      </c>
      <c r="M463" s="4">
        <f>IF($K463="","",L463*16.67%)</f>
      </c>
      <c r="N463" s="4"/>
      <c r="O463" s="4">
        <f>IF($K463="","",N463*20%)</f>
      </c>
      <c r="P463" s="4"/>
      <c r="Q463" s="4">
        <f>IF($K463="","",P463*20%)</f>
      </c>
      <c r="R463" s="4">
        <v>1</v>
      </c>
      <c r="S463" s="4">
        <f>IF($K463="","",Q463)</f>
      </c>
      <c r="T463" s="4">
        <f>IF($K463="","",L463-M463-N463-P463-Q463-R463)</f>
      </c>
      <c r="U463" s="4">
        <f>IF($K463="","",(T463-W463)/J463*100)</f>
      </c>
      <c r="V463" s="4">
        <f>IF($K463="","",M463-S463)</f>
      </c>
      <c r="X463" s="4">
        <f>IF($K463="","",T463-W463)</f>
      </c>
    </row>
    <row r="464" spans="1:29" x14ac:dyDescent="0.25">
      <c r="A464" s="8"/>
      <c r="D464" s="9"/>
      <c r="J464" s="4"/>
      <c r="K464" s="4"/>
      <c r="L464" s="4">
        <f>IF($K464="","",K464-J464)</f>
      </c>
      <c r="M464" s="4">
        <f>IF($K464="","",L464*16.67%)</f>
      </c>
      <c r="N464" s="4"/>
      <c r="O464" s="4">
        <f>IF($K464="","",N464*20%)</f>
      </c>
      <c r="P464" s="4"/>
      <c r="Q464" s="4">
        <f>IF($K464="","",P464*20%)</f>
      </c>
      <c r="R464" s="4">
        <v>1</v>
      </c>
      <c r="S464" s="4">
        <f>IF($K464="","",Q464)</f>
      </c>
      <c r="T464" s="4">
        <f>IF($K464="","",L464-M464-N464-P464-Q464-R464)</f>
      </c>
      <c r="U464" s="4">
        <f>IF($K464="","",(T464-W464)/J464*100)</f>
      </c>
      <c r="V464" s="4">
        <f>IF($K464="","",M464-S464)</f>
      </c>
      <c r="X464" s="4">
        <f>IF($K464="","",T464-W464)</f>
      </c>
    </row>
    <row r="465" spans="1:29" x14ac:dyDescent="0.25">
      <c r="A465" s="8"/>
      <c r="D465" s="9"/>
      <c r="J465" s="4"/>
      <c r="K465" s="4"/>
      <c r="L465" s="4">
        <f>IF($K465="","",K465-J465)</f>
      </c>
      <c r="M465" s="4">
        <f>IF($K465="","",L465*16.67%)</f>
      </c>
      <c r="N465" s="4"/>
      <c r="O465" s="4">
        <f>IF($K465="","",N465*20%)</f>
      </c>
      <c r="P465" s="4"/>
      <c r="Q465" s="4">
        <f>IF($K465="","",P465*20%)</f>
      </c>
      <c r="R465" s="4">
        <v>1</v>
      </c>
      <c r="S465" s="4">
        <f>IF($K465="","",Q465)</f>
      </c>
      <c r="T465" s="4">
        <f>IF($K465="","",L465-M465-N465-P465-Q465-R465)</f>
      </c>
      <c r="U465" s="4">
        <f>IF($K465="","",(T465-W465)/J465*100)</f>
      </c>
      <c r="V465" s="4">
        <f>IF($K465="","",M465-S465)</f>
      </c>
      <c r="X465" s="4">
        <f>IF($K465="","",T465-W465)</f>
      </c>
    </row>
    <row r="466" spans="1:29" x14ac:dyDescent="0.25">
      <c r="A466" s="8"/>
      <c r="D466" s="9"/>
      <c r="J466" s="4"/>
      <c r="K466" s="4"/>
      <c r="L466" s="4">
        <f>IF($K466="","",K466-J466)</f>
      </c>
      <c r="M466" s="4">
        <f>IF($K466="","",L466*16.67%)</f>
      </c>
      <c r="N466" s="4"/>
      <c r="O466" s="4">
        <f>IF($K466="","",N466*20%)</f>
      </c>
      <c r="P466" s="4"/>
      <c r="Q466" s="4">
        <f>IF($K466="","",P466*20%)</f>
      </c>
      <c r="R466" s="4">
        <v>1</v>
      </c>
      <c r="S466" s="4">
        <f>IF($K466="","",Q466)</f>
      </c>
      <c r="T466" s="4">
        <f>IF($K466="","",L466-M466-N466-P466-Q466-R466)</f>
      </c>
      <c r="U466" s="4">
        <f>IF($K466="","",(T466-W466)/J466*100)</f>
      </c>
      <c r="V466" s="4">
        <f>IF($K466="","",M466-S466)</f>
      </c>
      <c r="X466" s="4">
        <f>IF($K466="","",T466-W466)</f>
      </c>
    </row>
    <row r="467" spans="1:29" x14ac:dyDescent="0.25">
      <c r="A467" s="8"/>
      <c r="D467" s="9"/>
      <c r="J467" s="4"/>
      <c r="K467" s="4"/>
      <c r="L467" s="4">
        <f>IF($K467="","",K467-J467)</f>
      </c>
      <c r="M467" s="4">
        <f>IF($K467="","",L467*16.67%)</f>
      </c>
      <c r="N467" s="4"/>
      <c r="O467" s="4">
        <f>IF($K467="","",N467*20%)</f>
      </c>
      <c r="P467" s="4"/>
      <c r="Q467" s="4">
        <f>IF($K467="","",P467*20%)</f>
      </c>
      <c r="R467" s="4">
        <v>1</v>
      </c>
      <c r="S467" s="4">
        <f>IF($K467="","",Q467)</f>
      </c>
      <c r="T467" s="4">
        <f>IF($K467="","",L467-M467-N467-P467-Q467-R467)</f>
      </c>
      <c r="U467" s="4">
        <f>IF($K467="","",(T467-W467)/J467*100)</f>
      </c>
      <c r="V467" s="4">
        <f>IF($K467="","",M467-S467)</f>
      </c>
      <c r="X467" s="4">
        <f>IF($K467="","",T467-W467)</f>
      </c>
    </row>
    <row r="468" spans="1:29" x14ac:dyDescent="0.25">
      <c r="A468" s="8"/>
      <c r="D468" s="9"/>
      <c r="J468" s="4"/>
      <c r="K468" s="4"/>
      <c r="L468" s="4">
        <f>IF($K468="","",K468-J468)</f>
      </c>
      <c r="M468" s="4">
        <f>IF($K468="","",L468*16.67%)</f>
      </c>
      <c r="N468" s="4"/>
      <c r="O468" s="4">
        <f>IF($K468="","",N468*20%)</f>
      </c>
      <c r="P468" s="4"/>
      <c r="Q468" s="4">
        <f>IF($K468="","",P468*20%)</f>
      </c>
      <c r="R468" s="4">
        <v>1</v>
      </c>
      <c r="S468" s="4">
        <f>IF($K468="","",Q468)</f>
      </c>
      <c r="T468" s="4">
        <f>IF($K468="","",L468-M468-N468-P468-Q468-R468)</f>
      </c>
      <c r="U468" s="4">
        <f>IF($K468="","",(T468-W468)/J468*100)</f>
      </c>
      <c r="V468" s="4">
        <f>IF($K468="","",M468-S468)</f>
      </c>
      <c r="X468" s="4">
        <f>IF($K468="","",T468-W468)</f>
      </c>
    </row>
    <row r="469" spans="1:29" x14ac:dyDescent="0.25">
      <c r="A469" s="8"/>
      <c r="D469" s="9"/>
      <c r="J469" s="4"/>
      <c r="K469" s="4"/>
      <c r="L469" s="4">
        <f>IF($K469="","",K469-J469)</f>
      </c>
      <c r="M469" s="4">
        <f>IF($K469="","",L469*16.67%)</f>
      </c>
      <c r="N469" s="4"/>
      <c r="O469" s="4">
        <f>IF($K469="","",N469*20%)</f>
      </c>
      <c r="P469" s="4"/>
      <c r="Q469" s="4">
        <f>IF($K469="","",P469*20%)</f>
      </c>
      <c r="R469" s="4">
        <v>1</v>
      </c>
      <c r="S469" s="4">
        <f>IF($K469="","",Q469)</f>
      </c>
      <c r="T469" s="4">
        <f>IF($K469="","",L469-M469-N469-P469-Q469-R469)</f>
      </c>
      <c r="U469" s="4">
        <f>IF($K469="","",(T469-W469)/J469*100)</f>
      </c>
      <c r="V469" s="4">
        <f>IF($K469="","",M469-S469)</f>
      </c>
      <c r="X469" s="4">
        <f>IF($K469="","",T469-W469)</f>
      </c>
    </row>
    <row r="470" spans="1:29" x14ac:dyDescent="0.25">
      <c r="A470" s="8"/>
      <c r="D470" s="9"/>
      <c r="J470" s="4"/>
      <c r="K470" s="4"/>
      <c r="L470" s="4">
        <f>IF($K470="","",K470-J470)</f>
      </c>
      <c r="M470" s="4">
        <f>IF($K470="","",L470*16.67%)</f>
      </c>
      <c r="N470" s="4"/>
      <c r="O470" s="4">
        <f>IF($K470="","",N470*20%)</f>
      </c>
      <c r="P470" s="4"/>
      <c r="Q470" s="4">
        <f>IF($K470="","",P470*20%)</f>
      </c>
      <c r="R470" s="4">
        <v>1</v>
      </c>
      <c r="S470" s="4">
        <f>IF($K470="","",Q470)</f>
      </c>
      <c r="T470" s="4">
        <f>IF($K470="","",L470-M470-N470-P470-Q470-R470)</f>
      </c>
      <c r="U470" s="4">
        <f>IF($K470="","",(T470-W470)/J470*100)</f>
      </c>
      <c r="V470" s="4">
        <f>IF($K470="","",M470-S470)</f>
      </c>
      <c r="X470" s="4">
        <f>IF($K470="","",T470-W470)</f>
      </c>
    </row>
    <row r="471" spans="1:29" x14ac:dyDescent="0.25">
      <c r="A471" s="8"/>
      <c r="D471" s="9"/>
      <c r="J471" s="4"/>
      <c r="K471" s="4"/>
      <c r="L471" s="4">
        <f>IF($K471="","",K471-J471)</f>
      </c>
      <c r="M471" s="4">
        <f>IF($K471="","",L471*16.67%)</f>
      </c>
      <c r="N471" s="4"/>
      <c r="O471" s="4">
        <f>IF($K471="","",N471*20%)</f>
      </c>
      <c r="P471" s="4"/>
      <c r="Q471" s="4">
        <f>IF($K471="","",P471*20%)</f>
      </c>
      <c r="R471" s="4">
        <v>1</v>
      </c>
      <c r="S471" s="4">
        <f>IF($K471="","",Q471)</f>
      </c>
      <c r="T471" s="4">
        <f>IF($K471="","",L471-M471-N471-P471-Q471-R471)</f>
      </c>
      <c r="U471" s="4">
        <f>IF($K471="","",(T471-W471)/J471*100)</f>
      </c>
      <c r="V471" s="4">
        <f>IF($K471="","",M471-S471)</f>
      </c>
      <c r="X471" s="4">
        <f>IF($K471="","",T471-W471)</f>
      </c>
    </row>
    <row r="472" spans="1:29" x14ac:dyDescent="0.25">
      <c r="A472" s="8"/>
      <c r="D472" s="9"/>
      <c r="J472" s="4"/>
      <c r="K472" s="4"/>
      <c r="L472" s="4">
        <f>IF($K472="","",K472-J472)</f>
      </c>
      <c r="M472" s="4">
        <f>IF($K472="","",L472*16.67%)</f>
      </c>
      <c r="N472" s="4"/>
      <c r="O472" s="4">
        <f>IF($K472="","",N472*20%)</f>
      </c>
      <c r="P472" s="4"/>
      <c r="Q472" s="4">
        <f>IF($K472="","",P472*20%)</f>
      </c>
      <c r="R472" s="4">
        <v>1</v>
      </c>
      <c r="S472" s="4">
        <f>IF($K472="","",Q472)</f>
      </c>
      <c r="T472" s="4">
        <f>IF($K472="","",L472-M472-N472-P472-Q472-R472)</f>
      </c>
      <c r="U472" s="4">
        <f>IF($K472="","",(T472-W472)/J472*100)</f>
      </c>
      <c r="V472" s="4">
        <f>IF($K472="","",M472-S472)</f>
      </c>
      <c r="X472" s="4">
        <f>IF($K472="","",T472-W472)</f>
      </c>
    </row>
    <row r="473" spans="1:29" x14ac:dyDescent="0.25">
      <c r="A473" s="8"/>
      <c r="D473" s="9"/>
      <c r="J473" s="4"/>
      <c r="K473" s="4"/>
      <c r="L473" s="4">
        <f>IF($K473="","",K473-J473)</f>
      </c>
      <c r="M473" s="4">
        <f>IF($K473="","",L473*16.67%)</f>
      </c>
      <c r="N473" s="4"/>
      <c r="O473" s="4">
        <f>IF($K473="","",N473*20%)</f>
      </c>
      <c r="P473" s="4"/>
      <c r="Q473" s="4">
        <f>IF($K473="","",P473*20%)</f>
      </c>
      <c r="R473" s="4">
        <v>1</v>
      </c>
      <c r="S473" s="4">
        <f>IF($K473="","",Q473)</f>
      </c>
      <c r="T473" s="4">
        <f>IF($K473="","",L473-M473-N473-P473-Q473-R473)</f>
      </c>
      <c r="U473" s="4">
        <f>IF($K473="","",(T473-W473)/J473*100)</f>
      </c>
      <c r="V473" s="4">
        <f>IF($K473="","",M473-S473)</f>
      </c>
      <c r="X473" s="4">
        <f>IF($K473="","",T473-W473)</f>
      </c>
    </row>
    <row r="474" spans="1:29" x14ac:dyDescent="0.25">
      <c r="A474" s="8"/>
      <c r="D474" s="9"/>
      <c r="J474" s="4"/>
      <c r="K474" s="4"/>
      <c r="L474" s="4">
        <f>IF($K474="","",K474-J474)</f>
      </c>
      <c r="M474" s="4">
        <f>IF($K474="","",L474*16.67%)</f>
      </c>
      <c r="N474" s="4"/>
      <c r="O474" s="4">
        <f>IF($K474="","",N474*20%)</f>
      </c>
      <c r="P474" s="4"/>
      <c r="Q474" s="4">
        <f>IF($K474="","",P474*20%)</f>
      </c>
      <c r="R474" s="4">
        <v>1</v>
      </c>
      <c r="S474" s="4">
        <f>IF($K474="","",Q474)</f>
      </c>
      <c r="T474" s="4">
        <f>IF($K474="","",L474-M474-N474-P474-Q474-R474)</f>
      </c>
      <c r="U474" s="4">
        <f>IF($K474="","",(T474-W474)/J474*100)</f>
      </c>
      <c r="V474" s="4">
        <f>IF($K474="","",M474-S474)</f>
      </c>
      <c r="X474" s="4">
        <f>IF($K474="","",T474-W474)</f>
      </c>
    </row>
    <row r="475" spans="1:29" x14ac:dyDescent="0.25">
      <c r="A475" s="8"/>
      <c r="D475" s="9"/>
      <c r="J475" s="4"/>
      <c r="K475" s="4"/>
      <c r="L475" s="4">
        <f>IF($K475="","",K475-J475)</f>
      </c>
      <c r="M475" s="4">
        <f>IF($K475="","",L475*16.67%)</f>
      </c>
      <c r="N475" s="4"/>
      <c r="O475" s="4">
        <f>IF($K475="","",N475*20%)</f>
      </c>
      <c r="P475" s="4"/>
      <c r="Q475" s="4">
        <f>IF($K475="","",P475*20%)</f>
      </c>
      <c r="R475" s="4">
        <v>1</v>
      </c>
      <c r="S475" s="4">
        <f>IF($K475="","",Q475)</f>
      </c>
      <c r="T475" s="4">
        <f>IF($K475="","",L475-M475-N475-P475-Q475-R475)</f>
      </c>
      <c r="U475" s="4">
        <f>IF($K475="","",(T475-W475)/J475*100)</f>
      </c>
      <c r="V475" s="4">
        <f>IF($K475="","",M475-S475)</f>
      </c>
      <c r="X475" s="4">
        <f>IF($K475="","",T475-W475)</f>
      </c>
    </row>
    <row r="476" spans="1:29" x14ac:dyDescent="0.25">
      <c r="A476" s="8"/>
      <c r="D476" s="9"/>
      <c r="J476" s="4"/>
      <c r="K476" s="4"/>
      <c r="L476" s="4">
        <f>IF($K476="","",K476-J476)</f>
      </c>
      <c r="M476" s="4">
        <f>IF($K476="","",L476*16.67%)</f>
      </c>
      <c r="N476" s="4"/>
      <c r="O476" s="4">
        <f>IF($K476="","",N476*20%)</f>
      </c>
      <c r="P476" s="4"/>
      <c r="Q476" s="4">
        <f>IF($K476="","",P476*20%)</f>
      </c>
      <c r="R476" s="4">
        <v>1</v>
      </c>
      <c r="S476" s="4">
        <f>IF($K476="","",Q476)</f>
      </c>
      <c r="T476" s="4">
        <f>IF($K476="","",L476-M476-N476-P476-Q476-R476)</f>
      </c>
      <c r="U476" s="4">
        <f>IF($K476="","",(T476-W476)/J476*100)</f>
      </c>
      <c r="V476" s="4">
        <f>IF($K476="","",M476-S476)</f>
      </c>
      <c r="X476" s="4">
        <f>IF($K476="","",T476-W476)</f>
      </c>
    </row>
    <row r="477" spans="1:29" x14ac:dyDescent="0.25">
      <c r="A477" s="8"/>
      <c r="D477" s="9"/>
      <c r="J477" s="4"/>
      <c r="K477" s="4"/>
      <c r="L477" s="4">
        <f>IF($K477="","",K477-J477)</f>
      </c>
      <c r="M477" s="4">
        <f>IF($K477="","",L477*16.67%)</f>
      </c>
      <c r="N477" s="4"/>
      <c r="O477" s="4">
        <f>IF($K477="","",N477*20%)</f>
      </c>
      <c r="P477" s="4"/>
      <c r="Q477" s="4">
        <f>IF($K477="","",P477*20%)</f>
      </c>
      <c r="R477" s="4">
        <v>1</v>
      </c>
      <c r="S477" s="4">
        <f>IF($K477="","",Q477)</f>
      </c>
      <c r="T477" s="4">
        <f>IF($K477="","",L477-M477-N477-P477-Q477-R477)</f>
      </c>
      <c r="U477" s="4">
        <f>IF($K477="","",(T477-W477)/J477*100)</f>
      </c>
      <c r="V477" s="4">
        <f>IF($K477="","",M477-S477)</f>
      </c>
      <c r="X477" s="4">
        <f>IF($K477="","",T477-W477)</f>
      </c>
    </row>
    <row r="478" spans="1:29" x14ac:dyDescent="0.25">
      <c r="A478" s="8"/>
      <c r="D478" s="9"/>
      <c r="J478" s="4"/>
      <c r="K478" s="4"/>
      <c r="L478" s="4">
        <f>IF($K478="","",K478-J478)</f>
      </c>
      <c r="M478" s="4">
        <f>IF($K478="","",L478*16.67%)</f>
      </c>
      <c r="N478" s="4"/>
      <c r="O478" s="4">
        <f>IF($K478="","",N478*20%)</f>
      </c>
      <c r="P478" s="4"/>
      <c r="Q478" s="4">
        <f>IF($K478="","",P478*20%)</f>
      </c>
      <c r="R478" s="4">
        <v>1</v>
      </c>
      <c r="S478" s="4">
        <f>IF($K478="","",Q478)</f>
      </c>
      <c r="T478" s="4">
        <f>IF($K478="","",L478-M478-N478-P478-Q478-R478)</f>
      </c>
      <c r="U478" s="4">
        <f>IF($K478="","",(T478-W478)/J478*100)</f>
      </c>
      <c r="V478" s="4">
        <f>IF($K478="","",M478-S478)</f>
      </c>
      <c r="X478" s="4">
        <f>IF($K478="","",T478-W478)</f>
      </c>
    </row>
    <row r="479" spans="1:29" x14ac:dyDescent="0.25">
      <c r="A479" s="8"/>
      <c r="D479" s="9"/>
      <c r="J479" s="4"/>
      <c r="K479" s="4"/>
      <c r="L479" s="4">
        <f>IF($K479="","",K479-J479)</f>
      </c>
      <c r="M479" s="4">
        <f>IF($K479="","",L479*16.67%)</f>
      </c>
      <c r="N479" s="4"/>
      <c r="O479" s="4">
        <f>IF($K479="","",N479*20%)</f>
      </c>
      <c r="P479" s="4"/>
      <c r="Q479" s="4">
        <f>IF($K479="","",P479*20%)</f>
      </c>
      <c r="R479" s="4">
        <v>1</v>
      </c>
      <c r="S479" s="4">
        <f>IF($K479="","",Q479)</f>
      </c>
      <c r="T479" s="4">
        <f>IF($K479="","",L479-M479-N479-P479-Q479-R479)</f>
      </c>
      <c r="U479" s="4">
        <f>IF($K479="","",(T479-W479)/J479*100)</f>
      </c>
      <c r="V479" s="4">
        <f>IF($K479="","",M479-S479)</f>
      </c>
      <c r="X479" s="4">
        <f>IF($K479="","",T479-W479)</f>
      </c>
    </row>
    <row r="480" spans="1:29" x14ac:dyDescent="0.25">
      <c r="A480" s="8"/>
      <c r="D480" s="9"/>
      <c r="J480" s="4"/>
      <c r="K480" s="4"/>
      <c r="L480" s="4">
        <f>IF($K480="","",K480-J480)</f>
      </c>
      <c r="M480" s="4">
        <f>IF($K480="","",L480*16.67%)</f>
      </c>
      <c r="N480" s="4"/>
      <c r="O480" s="4">
        <f>IF($K480="","",N480*20%)</f>
      </c>
      <c r="P480" s="4"/>
      <c r="Q480" s="4">
        <f>IF($K480="","",P480*20%)</f>
      </c>
      <c r="R480" s="4">
        <v>1</v>
      </c>
      <c r="S480" s="4">
        <f>IF($K480="","",Q480)</f>
      </c>
      <c r="T480" s="4">
        <f>IF($K480="","",L480-M480-N480-P480-Q480-R480)</f>
      </c>
      <c r="U480" s="4">
        <f>IF($K480="","",(T480-W480)/J480*100)</f>
      </c>
      <c r="V480" s="4">
        <f>IF($K480="","",M480-S480)</f>
      </c>
      <c r="X480" s="4">
        <f>IF($K480="","",T480-W480)</f>
      </c>
    </row>
    <row r="481" spans="1:29" x14ac:dyDescent="0.25">
      <c r="A481" s="8"/>
      <c r="D481" s="9"/>
      <c r="J481" s="4"/>
      <c r="K481" s="4"/>
      <c r="L481" s="4">
        <f>IF($K481="","",K481-J481)</f>
      </c>
      <c r="M481" s="4">
        <f>IF($K481="","",L481*16.67%)</f>
      </c>
      <c r="N481" s="4"/>
      <c r="O481" s="4">
        <f>IF($K481="","",N481*20%)</f>
      </c>
      <c r="P481" s="4"/>
      <c r="Q481" s="4">
        <f>IF($K481="","",P481*20%)</f>
      </c>
      <c r="R481" s="4">
        <v>1</v>
      </c>
      <c r="S481" s="4">
        <f>IF($K481="","",Q481)</f>
      </c>
      <c r="T481" s="4">
        <f>IF($K481="","",L481-M481-N481-P481-Q481-R481)</f>
      </c>
      <c r="U481" s="4">
        <f>IF($K481="","",(T481-W481)/J481*100)</f>
      </c>
      <c r="V481" s="4">
        <f>IF($K481="","",M481-S481)</f>
      </c>
      <c r="X481" s="4">
        <f>IF($K481="","",T481-W481)</f>
      </c>
    </row>
    <row r="482" spans="1:29" x14ac:dyDescent="0.25">
      <c r="A482" s="8"/>
      <c r="D482" s="9"/>
      <c r="J482" s="4"/>
      <c r="K482" s="4"/>
      <c r="L482" s="4">
        <f>IF($K482="","",K482-J482)</f>
      </c>
      <c r="M482" s="4">
        <f>IF($K482="","",L482*16.67%)</f>
      </c>
      <c r="N482" s="4"/>
      <c r="O482" s="4">
        <f>IF($K482="","",N482*20%)</f>
      </c>
      <c r="P482" s="4"/>
      <c r="Q482" s="4">
        <f>IF($K482="","",P482*20%)</f>
      </c>
      <c r="R482" s="4">
        <v>1</v>
      </c>
      <c r="S482" s="4">
        <f>IF($K482="","",Q482)</f>
      </c>
      <c r="T482" s="4">
        <f>IF($K482="","",L482-M482-N482-P482-Q482-R482)</f>
      </c>
      <c r="U482" s="4">
        <f>IF($K482="","",(T482-W482)/J482*100)</f>
      </c>
      <c r="V482" s="4">
        <f>IF($K482="","",M482-S482)</f>
      </c>
      <c r="X482" s="4">
        <f>IF($K482="","",T482-W482)</f>
      </c>
    </row>
    <row r="483" spans="1:29" x14ac:dyDescent="0.25">
      <c r="A483" s="8"/>
      <c r="D483" s="9"/>
      <c r="J483" s="4"/>
      <c r="K483" s="4"/>
      <c r="L483" s="4">
        <f>IF($K483="","",K483-J483)</f>
      </c>
      <c r="M483" s="4">
        <f>IF($K483="","",L483*16.67%)</f>
      </c>
      <c r="N483" s="4"/>
      <c r="O483" s="4">
        <f>IF($K483="","",N483*20%)</f>
      </c>
      <c r="P483" s="4"/>
      <c r="Q483" s="4">
        <f>IF($K483="","",P483*20%)</f>
      </c>
      <c r="R483" s="4">
        <v>1</v>
      </c>
      <c r="S483" s="4">
        <f>IF($K483="","",Q483)</f>
      </c>
      <c r="T483" s="4">
        <f>IF($K483="","",L483-M483-N483-P483-Q483-R483)</f>
      </c>
      <c r="U483" s="4">
        <f>IF($K483="","",(T483-W483)/J483*100)</f>
      </c>
      <c r="V483" s="4">
        <f>IF($K483="","",M483-S483)</f>
      </c>
      <c r="X483" s="4">
        <f>IF($K483="","",T483-W483)</f>
      </c>
    </row>
    <row r="484" spans="1:29" x14ac:dyDescent="0.25">
      <c r="A484" s="8"/>
      <c r="D484" s="9"/>
      <c r="J484" s="4"/>
      <c r="K484" s="4"/>
      <c r="L484" s="4">
        <f>IF($K484="","",K484-J484)</f>
      </c>
      <c r="M484" s="4">
        <f>IF($K484="","",L484*16.67%)</f>
      </c>
      <c r="N484" s="4"/>
      <c r="O484" s="4">
        <f>IF($K484="","",N484*20%)</f>
      </c>
      <c r="P484" s="4"/>
      <c r="Q484" s="4">
        <f>IF($K484="","",P484*20%)</f>
      </c>
      <c r="R484" s="4">
        <v>1</v>
      </c>
      <c r="S484" s="4">
        <f>IF($K484="","",Q484)</f>
      </c>
      <c r="T484" s="4">
        <f>IF($K484="","",L484-M484-N484-P484-Q484-R484)</f>
      </c>
      <c r="U484" s="4">
        <f>IF($K484="","",(T484-W484)/J484*100)</f>
      </c>
      <c r="V484" s="4">
        <f>IF($K484="","",M484-S484)</f>
      </c>
      <c r="X484" s="4">
        <f>IF($K484="","",T484-W484)</f>
      </c>
    </row>
    <row r="485" spans="1:29" x14ac:dyDescent="0.25">
      <c r="A485" s="8"/>
      <c r="D485" s="9"/>
      <c r="J485" s="4"/>
      <c r="K485" s="4"/>
      <c r="L485" s="4">
        <f>IF($K485="","",K485-J485)</f>
      </c>
      <c r="M485" s="4">
        <f>IF($K485="","",L485*16.67%)</f>
      </c>
      <c r="N485" s="4"/>
      <c r="O485" s="4">
        <f>IF($K485="","",N485*20%)</f>
      </c>
      <c r="P485" s="4"/>
      <c r="Q485" s="4">
        <f>IF($K485="","",P485*20%)</f>
      </c>
      <c r="R485" s="4">
        <v>1</v>
      </c>
      <c r="S485" s="4">
        <f>IF($K485="","",Q485)</f>
      </c>
      <c r="T485" s="4">
        <f>IF($K485="","",L485-M485-N485-P485-Q485-R485)</f>
      </c>
      <c r="U485" s="4">
        <f>IF($K485="","",(T485-W485)/J485*100)</f>
      </c>
      <c r="V485" s="4">
        <f>IF($K485="","",M485-S485)</f>
      </c>
      <c r="X485" s="4">
        <f>IF($K485="","",T485-W485)</f>
      </c>
    </row>
    <row r="486" spans="1:29" x14ac:dyDescent="0.25">
      <c r="A486" s="8"/>
      <c r="D486" s="9"/>
      <c r="J486" s="4"/>
      <c r="K486" s="4"/>
      <c r="L486" s="4">
        <f>IF($K486="","",K486-J486)</f>
      </c>
      <c r="M486" s="4">
        <f>IF($K486="","",L486*16.67%)</f>
      </c>
      <c r="N486" s="4"/>
      <c r="O486" s="4">
        <f>IF($K486="","",N486*20%)</f>
      </c>
      <c r="P486" s="4"/>
      <c r="Q486" s="4">
        <f>IF($K486="","",P486*20%)</f>
      </c>
      <c r="R486" s="4">
        <v>1</v>
      </c>
      <c r="S486" s="4">
        <f>IF($K486="","",Q486)</f>
      </c>
      <c r="T486" s="4">
        <f>IF($K486="","",L486-M486-N486-P486-Q486-R486)</f>
      </c>
      <c r="U486" s="4">
        <f>IF($K486="","",(T486-W486)/J486*100)</f>
      </c>
      <c r="V486" s="4">
        <f>IF($K486="","",M486-S486)</f>
      </c>
      <c r="X486" s="4">
        <f>IF($K486="","",T486-W486)</f>
      </c>
    </row>
    <row r="487" spans="1:29" x14ac:dyDescent="0.25">
      <c r="A487" s="8"/>
      <c r="D487" s="9"/>
      <c r="J487" s="4"/>
      <c r="K487" s="4"/>
      <c r="L487" s="4">
        <f>IF($K487="","",K487-J487)</f>
      </c>
      <c r="M487" s="4">
        <f>IF($K487="","",L487*16.67%)</f>
      </c>
      <c r="N487" s="4"/>
      <c r="O487" s="4">
        <f>IF($K487="","",N487*20%)</f>
      </c>
      <c r="P487" s="4"/>
      <c r="Q487" s="4">
        <f>IF($K487="","",P487*20%)</f>
      </c>
      <c r="R487" s="4">
        <v>1</v>
      </c>
      <c r="S487" s="4">
        <f>IF($K487="","",Q487)</f>
      </c>
      <c r="T487" s="4">
        <f>IF($K487="","",L487-M487-N487-P487-Q487-R487)</f>
      </c>
      <c r="U487" s="4">
        <f>IF($K487="","",(T487-W487)/J487*100)</f>
      </c>
      <c r="V487" s="4">
        <f>IF($K487="","",M487-S487)</f>
      </c>
      <c r="X487" s="4">
        <f>IF($K487="","",T487-W487)</f>
      </c>
    </row>
    <row r="488" spans="1:29" x14ac:dyDescent="0.25">
      <c r="A488" s="8"/>
      <c r="D488" s="9"/>
      <c r="J488" s="4"/>
      <c r="K488" s="4"/>
      <c r="L488" s="4">
        <f>IF($K488="","",K488-J488)</f>
      </c>
      <c r="M488" s="4">
        <f>IF($K488="","",L488*16.67%)</f>
      </c>
      <c r="N488" s="4"/>
      <c r="O488" s="4">
        <f>IF($K488="","",N488*20%)</f>
      </c>
      <c r="P488" s="4"/>
      <c r="Q488" s="4">
        <f>IF($K488="","",P488*20%)</f>
      </c>
      <c r="R488" s="4">
        <v>1</v>
      </c>
      <c r="S488" s="4">
        <f>IF($K488="","",Q488)</f>
      </c>
      <c r="T488" s="4">
        <f>IF($K488="","",L488-M488-N488-P488-Q488-R488)</f>
      </c>
      <c r="U488" s="4">
        <f>IF($K488="","",(T488-W488)/J488*100)</f>
      </c>
      <c r="V488" s="4">
        <f>IF($K488="","",M488-S488)</f>
      </c>
      <c r="X488" s="4">
        <f>IF($K488="","",T488-W488)</f>
      </c>
    </row>
    <row r="489" spans="1:29" x14ac:dyDescent="0.25">
      <c r="A489" s="8"/>
      <c r="D489" s="9"/>
      <c r="J489" s="4"/>
      <c r="K489" s="4"/>
      <c r="L489" s="4">
        <f>IF($K489="","",K489-J489)</f>
      </c>
      <c r="M489" s="4">
        <f>IF($K489="","",L489*16.67%)</f>
      </c>
      <c r="N489" s="4"/>
      <c r="O489" s="4">
        <f>IF($K489="","",N489*20%)</f>
      </c>
      <c r="P489" s="4"/>
      <c r="Q489" s="4">
        <f>IF($K489="","",P489*20%)</f>
      </c>
      <c r="R489" s="4">
        <v>1</v>
      </c>
      <c r="S489" s="4">
        <f>IF($K489="","",Q489)</f>
      </c>
      <c r="T489" s="4">
        <f>IF($K489="","",L489-M489-N489-P489-Q489-R489)</f>
      </c>
      <c r="U489" s="4">
        <f>IF($K489="","",(T489-W489)/J489*100)</f>
      </c>
      <c r="V489" s="4">
        <f>IF($K489="","",M489-S489)</f>
      </c>
      <c r="X489" s="4">
        <f>IF($K489="","",T489-W489)</f>
      </c>
    </row>
    <row r="490" spans="1:29" x14ac:dyDescent="0.25">
      <c r="A490" s="8"/>
      <c r="D490" s="9"/>
      <c r="J490" s="4"/>
      <c r="K490" s="4"/>
      <c r="L490" s="4">
        <f>IF($K490="","",K490-J490)</f>
      </c>
      <c r="M490" s="4">
        <f>IF($K490="","",L490*16.67%)</f>
      </c>
      <c r="N490" s="4"/>
      <c r="O490" s="4">
        <f>IF($K490="","",N490*20%)</f>
      </c>
      <c r="P490" s="4"/>
      <c r="Q490" s="4">
        <f>IF($K490="","",P490*20%)</f>
      </c>
      <c r="R490" s="4">
        <v>1</v>
      </c>
      <c r="S490" s="4">
        <f>IF($K490="","",Q490)</f>
      </c>
      <c r="T490" s="4">
        <f>IF($K490="","",L490-M490-N490-P490-Q490-R490)</f>
      </c>
      <c r="U490" s="4">
        <f>IF($K490="","",(T490-W490)/J490*100)</f>
      </c>
      <c r="V490" s="4">
        <f>IF($K490="","",M490-S490)</f>
      </c>
      <c r="X490" s="4">
        <f>IF($K490="","",T490-W490)</f>
      </c>
    </row>
    <row r="491" spans="1:29" x14ac:dyDescent="0.25">
      <c r="A491" s="8"/>
      <c r="D491" s="9"/>
      <c r="J491" s="4"/>
      <c r="K491" s="4"/>
      <c r="L491" s="4">
        <f>IF($K491="","",K491-J491)</f>
      </c>
      <c r="M491" s="4">
        <f>IF($K491="","",L491*16.67%)</f>
      </c>
      <c r="N491" s="4"/>
      <c r="O491" s="4">
        <f>IF($K491="","",N491*20%)</f>
      </c>
      <c r="P491" s="4"/>
      <c r="Q491" s="4">
        <f>IF($K491="","",P491*20%)</f>
      </c>
      <c r="R491" s="4">
        <v>1</v>
      </c>
      <c r="S491" s="4">
        <f>IF($K491="","",Q491)</f>
      </c>
      <c r="T491" s="4">
        <f>IF($K491="","",L491-M491-N491-P491-Q491-R491)</f>
      </c>
      <c r="U491" s="4">
        <f>IF($K491="","",(T491-W491)/J491*100)</f>
      </c>
      <c r="V491" s="4">
        <f>IF($K491="","",M491-S491)</f>
      </c>
      <c r="X491" s="4">
        <f>IF($K491="","",T491-W491)</f>
      </c>
    </row>
    <row r="492" spans="1:29" x14ac:dyDescent="0.25">
      <c r="A492" s="8"/>
      <c r="D492" s="9"/>
      <c r="J492" s="4"/>
      <c r="K492" s="4"/>
      <c r="L492" s="4">
        <f>IF($K492="","",K492-J492)</f>
      </c>
      <c r="M492" s="4">
        <f>IF($K492="","",L492*16.67%)</f>
      </c>
      <c r="N492" s="4"/>
      <c r="O492" s="4">
        <f>IF($K492="","",N492*20%)</f>
      </c>
      <c r="P492" s="4"/>
      <c r="Q492" s="4">
        <f>IF($K492="","",P492*20%)</f>
      </c>
      <c r="R492" s="4">
        <v>1</v>
      </c>
      <c r="S492" s="4">
        <f>IF($K492="","",Q492)</f>
      </c>
      <c r="T492" s="4">
        <f>IF($K492="","",L492-M492-N492-P492-Q492-R492)</f>
      </c>
      <c r="U492" s="4">
        <f>IF($K492="","",(T492-W492)/J492*100)</f>
      </c>
      <c r="V492" s="4">
        <f>IF($K492="","",M492-S492)</f>
      </c>
      <c r="X492" s="4">
        <f>IF($K492="","",T492-W492)</f>
      </c>
    </row>
    <row r="493" spans="1:29" x14ac:dyDescent="0.25">
      <c r="A493" s="8"/>
      <c r="D493" s="9"/>
      <c r="J493" s="4"/>
      <c r="K493" s="4"/>
      <c r="L493" s="4">
        <f>IF($K493="","",K493-J493)</f>
      </c>
      <c r="M493" s="4">
        <f>IF($K493="","",L493*16.67%)</f>
      </c>
      <c r="N493" s="4"/>
      <c r="O493" s="4">
        <f>IF($K493="","",N493*20%)</f>
      </c>
      <c r="P493" s="4"/>
      <c r="Q493" s="4">
        <f>IF($K493="","",P493*20%)</f>
      </c>
      <c r="R493" s="4">
        <v>1</v>
      </c>
      <c r="S493" s="4">
        <f>IF($K493="","",Q493)</f>
      </c>
      <c r="T493" s="4">
        <f>IF($K493="","",L493-M493-N493-P493-Q493-R493)</f>
      </c>
      <c r="U493" s="4">
        <f>IF($K493="","",(T493-W493)/J493*100)</f>
      </c>
      <c r="V493" s="4">
        <f>IF($K493="","",M493-S493)</f>
      </c>
      <c r="X493" s="4">
        <f>IF($K493="","",T493-W493)</f>
      </c>
    </row>
    <row r="494" spans="1:29" x14ac:dyDescent="0.25">
      <c r="A494" s="8"/>
      <c r="D494" s="9"/>
      <c r="J494" s="4"/>
      <c r="K494" s="4"/>
      <c r="L494" s="4">
        <f>IF($K494="","",K494-J494)</f>
      </c>
      <c r="M494" s="4">
        <f>IF($K494="","",L494*16.67%)</f>
      </c>
      <c r="N494" s="4"/>
      <c r="O494" s="4">
        <f>IF($K494="","",N494*20%)</f>
      </c>
      <c r="P494" s="4"/>
      <c r="Q494" s="4">
        <f>IF($K494="","",P494*20%)</f>
      </c>
      <c r="R494" s="4">
        <v>1</v>
      </c>
      <c r="S494" s="4">
        <f>IF($K494="","",Q494)</f>
      </c>
      <c r="T494" s="4">
        <f>IF($K494="","",L494-M494-N494-P494-Q494-R494)</f>
      </c>
      <c r="U494" s="4">
        <f>IF($K494="","",(T494-W494)/J494*100)</f>
      </c>
      <c r="V494" s="4">
        <f>IF($K494="","",M494-S494)</f>
      </c>
      <c r="X494" s="4">
        <f>IF($K494="","",T494-W494)</f>
      </c>
    </row>
    <row r="495" spans="1:29" x14ac:dyDescent="0.25">
      <c r="A495" s="8"/>
      <c r="D495" s="9"/>
      <c r="J495" s="4"/>
      <c r="K495" s="4"/>
      <c r="L495" s="4">
        <f>IF($K495="","",K495-J495)</f>
      </c>
      <c r="M495" s="4">
        <f>IF($K495="","",L495*16.67%)</f>
      </c>
      <c r="N495" s="4"/>
      <c r="O495" s="4">
        <f>IF($K495="","",N495*20%)</f>
      </c>
      <c r="P495" s="4"/>
      <c r="Q495" s="4">
        <f>IF($K495="","",P495*20%)</f>
      </c>
      <c r="R495" s="4">
        <v>1</v>
      </c>
      <c r="S495" s="4">
        <f>IF($K495="","",Q495)</f>
      </c>
      <c r="T495" s="4">
        <f>IF($K495="","",L495-M495-N495-P495-Q495-R495)</f>
      </c>
      <c r="U495" s="4">
        <f>IF($K495="","",(T495-W495)/J495*100)</f>
      </c>
      <c r="V495" s="4">
        <f>IF($K495="","",M495-S495)</f>
      </c>
      <c r="X495" s="4">
        <f>IF($K495="","",T495-W495)</f>
      </c>
    </row>
    <row r="496" spans="1:29" x14ac:dyDescent="0.25">
      <c r="A496" s="8"/>
      <c r="D496" s="9"/>
      <c r="J496" s="4"/>
      <c r="K496" s="4"/>
      <c r="L496" s="4">
        <f>IF($K496="","",K496-J496)</f>
      </c>
      <c r="M496" s="4">
        <f>IF($K496="","",L496*16.67%)</f>
      </c>
      <c r="N496" s="4"/>
      <c r="O496" s="4">
        <f>IF($K496="","",N496*20%)</f>
      </c>
      <c r="P496" s="4"/>
      <c r="Q496" s="4">
        <f>IF($K496="","",P496*20%)</f>
      </c>
      <c r="R496" s="4">
        <v>1</v>
      </c>
      <c r="S496" s="4">
        <f>IF($K496="","",Q496)</f>
      </c>
      <c r="T496" s="4">
        <f>IF($K496="","",L496-M496-N496-P496-Q496-R496)</f>
      </c>
      <c r="U496" s="4">
        <f>IF($K496="","",(T496-W496)/J496*100)</f>
      </c>
      <c r="V496" s="4">
        <f>IF($K496="","",M496-S496)</f>
      </c>
      <c r="X496" s="4">
        <f>IF($K496="","",T496-W496)</f>
      </c>
    </row>
    <row r="497" spans="1:29" x14ac:dyDescent="0.25">
      <c r="A497" s="8"/>
      <c r="D497" s="9"/>
      <c r="J497" s="4"/>
      <c r="K497" s="4"/>
      <c r="L497" s="4">
        <f>IF($K497="","",K497-J497)</f>
      </c>
      <c r="M497" s="4">
        <f>IF($K497="","",L497*16.67%)</f>
      </c>
      <c r="N497" s="4"/>
      <c r="O497" s="4">
        <f>IF($K497="","",N497*20%)</f>
      </c>
      <c r="P497" s="4"/>
      <c r="Q497" s="4">
        <f>IF($K497="","",P497*20%)</f>
      </c>
      <c r="R497" s="4">
        <v>1</v>
      </c>
      <c r="S497" s="4">
        <f>IF($K497="","",Q497)</f>
      </c>
      <c r="T497" s="4">
        <f>IF($K497="","",L497-M497-N497-P497-Q497-R497)</f>
      </c>
      <c r="U497" s="4">
        <f>IF($K497="","",(T497-W497)/J497*100)</f>
      </c>
      <c r="V497" s="4">
        <f>IF($K497="","",M497-S497)</f>
      </c>
      <c r="X497" s="4">
        <f>IF($K497="","",T497-W497)</f>
      </c>
    </row>
    <row r="498" spans="1:29" x14ac:dyDescent="0.25">
      <c r="A498" s="8"/>
      <c r="D498" s="9"/>
      <c r="J498" s="4"/>
      <c r="K498" s="4"/>
      <c r="L498" s="4">
        <f>IF($K498="","",K498-J498)</f>
      </c>
      <c r="M498" s="4">
        <f>IF($K498="","",L498*16.67%)</f>
      </c>
      <c r="N498" s="4"/>
      <c r="O498" s="4">
        <f>IF($K498="","",N498*20%)</f>
      </c>
      <c r="P498" s="4"/>
      <c r="Q498" s="4">
        <f>IF($K498="","",P498*20%)</f>
      </c>
      <c r="R498" s="4">
        <v>1</v>
      </c>
      <c r="S498" s="4">
        <f>IF($K498="","",Q498)</f>
      </c>
      <c r="T498" s="4">
        <f>IF($K498="","",L498-M498-N498-P498-Q498-R498)</f>
      </c>
      <c r="U498" s="4">
        <f>IF($K498="","",(T498-W498)/J498*100)</f>
      </c>
      <c r="V498" s="4">
        <f>IF($K498="","",M498-S498)</f>
      </c>
      <c r="X498" s="4">
        <f>IF($K498="","",T498-W498)</f>
      </c>
    </row>
    <row r="499" spans="1:29" x14ac:dyDescent="0.25">
      <c r="A499" s="8"/>
      <c r="D499" s="9"/>
      <c r="J499" s="4"/>
      <c r="K499" s="4"/>
      <c r="L499" s="4">
        <f>IF($K499="","",K499-J499)</f>
      </c>
      <c r="M499" s="4">
        <f>IF($K499="","",L499*16.67%)</f>
      </c>
      <c r="N499" s="4"/>
      <c r="O499" s="4">
        <f>IF($K499="","",N499*20%)</f>
      </c>
      <c r="P499" s="4"/>
      <c r="Q499" s="4">
        <f>IF($K499="","",P499*20%)</f>
      </c>
      <c r="R499" s="4">
        <v>1</v>
      </c>
      <c r="S499" s="4">
        <f>IF($K499="","",Q499)</f>
      </c>
      <c r="T499" s="4">
        <f>IF($K499="","",L499-M499-N499-P499-Q499-R499)</f>
      </c>
      <c r="U499" s="4">
        <f>IF($K499="","",(T499-W499)/J499*100)</f>
      </c>
      <c r="V499" s="4">
        <f>IF($K499="","",M499-S499)</f>
      </c>
      <c r="X499" s="4">
        <f>IF($K499="","",T499-W499)</f>
      </c>
    </row>
    <row r="500" spans="1:29" x14ac:dyDescent="0.25">
      <c r="A500" s="8"/>
      <c r="D500" s="9"/>
      <c r="J500" s="4"/>
      <c r="K500" s="4"/>
      <c r="L500" s="4">
        <f>IF($K500="","",K500-J500)</f>
      </c>
      <c r="M500" s="4">
        <f>IF($K500="","",L500*16.67%)</f>
      </c>
      <c r="N500" s="4"/>
      <c r="O500" s="4">
        <f>IF($K500="","",N500*20%)</f>
      </c>
      <c r="P500" s="4"/>
      <c r="Q500" s="4">
        <f>IF($K500="","",P500*20%)</f>
      </c>
      <c r="R500" s="4">
        <v>1</v>
      </c>
      <c r="S500" s="4">
        <f>IF($K500="","",Q500)</f>
      </c>
      <c r="T500" s="4">
        <f>IF($K500="","",L500-M500-N500-P500-Q500-R500)</f>
      </c>
      <c r="U500" s="4">
        <f>IF($K500="","",(T500-W500)/J500*100)</f>
      </c>
      <c r="V500" s="4">
        <f>IF($K500="","",M500-S500)</f>
      </c>
      <c r="X500" s="4">
        <f>IF($K500="","",T500-W500)</f>
      </c>
    </row>
    <row r="501" spans="1:29" x14ac:dyDescent="0.25">
      <c r="A501" s="8"/>
      <c r="D501" s="9"/>
      <c r="J501" s="4"/>
      <c r="K501" s="4"/>
      <c r="L501" s="4">
        <f>IF($K501="","",K501-J501)</f>
      </c>
      <c r="M501" s="4">
        <f>IF($K501="","",L501*16.67%)</f>
      </c>
      <c r="N501" s="4"/>
      <c r="O501" s="4">
        <f>IF($K501="","",N501*20%)</f>
      </c>
      <c r="P501" s="4"/>
      <c r="Q501" s="4">
        <f>IF($K501="","",P501*20%)</f>
      </c>
      <c r="R501" s="4">
        <v>1</v>
      </c>
      <c r="S501" s="4">
        <f>IF($K501="","",Q501)</f>
      </c>
      <c r="T501" s="4">
        <f>IF($K501="","",L501-M501-N501-P501-Q501-R501)</f>
      </c>
      <c r="U501" s="4">
        <f>IF($K501="","",(T501-W501)/J501*100)</f>
      </c>
      <c r="V501" s="4">
        <f>IF($K501="","",M501-S501)</f>
      </c>
      <c r="X501" s="4">
        <f>IF($K501="","",T501-W501)</f>
      </c>
    </row>
    <row r="502" spans="1:29" x14ac:dyDescent="0.25">
      <c r="A502" s="8"/>
      <c r="D502" s="9"/>
      <c r="J502" s="4"/>
      <c r="K502" s="4"/>
      <c r="L502" s="4">
        <f>IF($K502="","",K502-J502)</f>
      </c>
      <c r="M502" s="4">
        <f>IF($K502="","",L502*16.67%)</f>
      </c>
      <c r="N502" s="4"/>
      <c r="O502" s="4">
        <f>IF($K502="","",N502*20%)</f>
      </c>
      <c r="P502" s="4"/>
      <c r="Q502" s="4">
        <f>IF($K502="","",P502*20%)</f>
      </c>
      <c r="R502" s="4">
        <v>1</v>
      </c>
      <c r="S502" s="4">
        <f>IF($K502="","",Q502)</f>
      </c>
      <c r="T502" s="4">
        <f>IF($K502="","",L502-M502-N502-P502-Q502-R502)</f>
      </c>
      <c r="U502" s="4">
        <f>IF($K502="","",(T502-W502)/J502*100)</f>
      </c>
      <c r="V502" s="4">
        <f>IF($K502="","",M502-S502)</f>
      </c>
      <c r="X502" s="4">
        <f>IF($K502="","",T502-W502)</f>
      </c>
    </row>
    <row r="503" spans="1:29" x14ac:dyDescent="0.25">
      <c r="A503" s="8"/>
      <c r="D503" s="9"/>
      <c r="J503" s="4"/>
      <c r="K503" s="4"/>
      <c r="L503" s="4">
        <f>IF($K503="","",K503-J503)</f>
      </c>
      <c r="M503" s="4">
        <f>IF($K503="","",L503*16.67%)</f>
      </c>
      <c r="N503" s="4"/>
      <c r="O503" s="4">
        <f>IF($K503="","",N503*20%)</f>
      </c>
      <c r="P503" s="4"/>
      <c r="Q503" s="4">
        <f>IF($K503="","",P503*20%)</f>
      </c>
      <c r="R503" s="4">
        <v>1</v>
      </c>
      <c r="S503" s="4">
        <f>IF($K503="","",Q503)</f>
      </c>
      <c r="T503" s="4">
        <f>IF($K503="","",L503-M503-N503-P503-Q503-R503)</f>
      </c>
      <c r="U503" s="4">
        <f>IF($K503="","",(T503-W503)/J503*100)</f>
      </c>
      <c r="V503" s="4">
        <f>IF($K503="","",M503-S503)</f>
      </c>
      <c r="X503" s="4">
        <f>IF($K503="","",T503-W503)</f>
      </c>
    </row>
    <row r="504" spans="1:29" x14ac:dyDescent="0.25">
      <c r="A504" s="8"/>
      <c r="D504" s="9"/>
      <c r="J504" s="4"/>
      <c r="K504" s="4"/>
      <c r="L504" s="4">
        <f>IF($K504="","",K504-J504)</f>
      </c>
      <c r="M504" s="4">
        <f>IF($K504="","",L504*16.67%)</f>
      </c>
      <c r="N504" s="4"/>
      <c r="O504" s="4">
        <f>IF($K504="","",N504*20%)</f>
      </c>
      <c r="P504" s="4"/>
      <c r="Q504" s="4">
        <f>IF($K504="","",P504*20%)</f>
      </c>
      <c r="R504" s="4">
        <v>1</v>
      </c>
      <c r="S504" s="4">
        <f>IF($K504="","",Q504)</f>
      </c>
      <c r="T504" s="4">
        <f>IF($K504="","",L504-M504-N504-P504-Q504-R504)</f>
      </c>
      <c r="U504" s="4">
        <f>IF($K504="","",(T504-W504)/J504*100)</f>
      </c>
      <c r="V504" s="4">
        <f>IF($K504="","",M504-S504)</f>
      </c>
      <c r="X504" s="4">
        <f>IF($K504="","",T504-W504)</f>
      </c>
    </row>
    <row r="505" spans="1:29" x14ac:dyDescent="0.25">
      <c r="A505" s="8"/>
      <c r="D505" s="9"/>
      <c r="J505" s="4"/>
      <c r="K505" s="4"/>
      <c r="L505" s="4">
        <f>IF($K505="","",K505-J505)</f>
      </c>
      <c r="M505" s="4">
        <f>IF($K505="","",L505*16.67%)</f>
      </c>
      <c r="N505" s="4"/>
      <c r="O505" s="4">
        <f>IF($K505="","",N505*20%)</f>
      </c>
      <c r="P505" s="4"/>
      <c r="Q505" s="4">
        <f>IF($K505="","",P505*20%)</f>
      </c>
      <c r="R505" s="4">
        <v>1</v>
      </c>
      <c r="S505" s="4">
        <f>IF($K505="","",Q505)</f>
      </c>
      <c r="T505" s="4">
        <f>IF($K505="","",L505-M505-N505-P505-Q505-R505)</f>
      </c>
      <c r="U505" s="4">
        <f>IF($K505="","",(T505-W505)/J505*100)</f>
      </c>
      <c r="V505" s="4">
        <f>IF($K505="","",M505-S505)</f>
      </c>
      <c r="X505" s="4">
        <f>IF($K505="","",T505-W505)</f>
      </c>
    </row>
    <row r="506" spans="1:29" x14ac:dyDescent="0.25">
      <c r="A506" s="8"/>
      <c r="D506" s="9"/>
      <c r="J506" s="4"/>
      <c r="K506" s="4"/>
      <c r="L506" s="4">
        <f>IF($K506="","",K506-J506)</f>
      </c>
      <c r="M506" s="4">
        <f>IF($K506="","",L506*16.67%)</f>
      </c>
      <c r="N506" s="4"/>
      <c r="O506" s="4">
        <f>IF($K506="","",N506*20%)</f>
      </c>
      <c r="P506" s="4"/>
      <c r="Q506" s="4">
        <f>IF($K506="","",P506*20%)</f>
      </c>
      <c r="R506" s="4">
        <v>1</v>
      </c>
      <c r="S506" s="4">
        <f>IF($K506="","",Q506)</f>
      </c>
      <c r="T506" s="4">
        <f>IF($K506="","",L506-M506-N506-P506-Q506-R506)</f>
      </c>
      <c r="U506" s="4">
        <f>IF($K506="","",(T506-W506)/J506*100)</f>
      </c>
      <c r="V506" s="4">
        <f>IF($K506="","",M506-S506)</f>
      </c>
      <c r="X506" s="4">
        <f>IF($K506="","",T506-W506)</f>
      </c>
    </row>
    <row r="507" spans="1:29" x14ac:dyDescent="0.25">
      <c r="A507" s="8"/>
      <c r="D507" s="9"/>
      <c r="J507" s="4"/>
      <c r="K507" s="4"/>
      <c r="L507" s="4">
        <f>IF($K507="","",K507-J507)</f>
      </c>
      <c r="M507" s="4">
        <f>IF($K507="","",L507*16.67%)</f>
      </c>
      <c r="N507" s="4"/>
      <c r="O507" s="4">
        <f>IF($K507="","",N507*20%)</f>
      </c>
      <c r="P507" s="4"/>
      <c r="Q507" s="4">
        <f>IF($K507="","",P507*20%)</f>
      </c>
      <c r="R507" s="4">
        <v>1</v>
      </c>
      <c r="S507" s="4">
        <f>IF($K507="","",Q507)</f>
      </c>
      <c r="T507" s="4">
        <f>IF($K507="","",L507-M507-N507-P507-Q507-R507)</f>
      </c>
      <c r="U507" s="4">
        <f>IF($K507="","",(T507-W507)/J507*100)</f>
      </c>
      <c r="V507" s="4">
        <f>IF($K507="","",M507-S507)</f>
      </c>
      <c r="X507" s="4">
        <f>IF($K507="","",T507-W507)</f>
      </c>
    </row>
    <row r="508" spans="1:29" x14ac:dyDescent="0.25">
      <c r="A508" s="8"/>
      <c r="D508" s="9"/>
      <c r="J508" s="4"/>
      <c r="K508" s="4"/>
      <c r="L508" s="4">
        <f>IF($K508="","",K508-J508)</f>
      </c>
      <c r="M508" s="4">
        <f>IF($K508="","",L508*16.67%)</f>
      </c>
      <c r="N508" s="4"/>
      <c r="O508" s="4">
        <f>IF($K508="","",N508*20%)</f>
      </c>
      <c r="P508" s="4"/>
      <c r="Q508" s="4">
        <f>IF($K508="","",P508*20%)</f>
      </c>
      <c r="R508" s="4">
        <v>1</v>
      </c>
      <c r="S508" s="4">
        <f>IF($K508="","",Q508)</f>
      </c>
      <c r="T508" s="4">
        <f>IF($K508="","",L508-M508-N508-P508-Q508-R508)</f>
      </c>
      <c r="U508" s="4">
        <f>IF($K508="","",(T508-W508)/J508*100)</f>
      </c>
      <c r="V508" s="4">
        <f>IF($K508="","",M508-S508)</f>
      </c>
      <c r="X508" s="4">
        <f>IF($K508="","",T508-W508)</f>
      </c>
    </row>
    <row r="509" spans="1:29" x14ac:dyDescent="0.25">
      <c r="A509" s="8"/>
      <c r="D509" s="9"/>
      <c r="J509" s="4"/>
      <c r="K509" s="4"/>
      <c r="L509" s="4">
        <f>IF($K509="","",K509-J509)</f>
      </c>
      <c r="M509" s="4">
        <f>IF($K509="","",L509*16.67%)</f>
      </c>
      <c r="N509" s="4"/>
      <c r="O509" s="4">
        <f>IF($K509="","",N509*20%)</f>
      </c>
      <c r="P509" s="4"/>
      <c r="Q509" s="4">
        <f>IF($K509="","",P509*20%)</f>
      </c>
      <c r="R509" s="4">
        <v>1</v>
      </c>
      <c r="S509" s="4">
        <f>IF($K509="","",Q509)</f>
      </c>
      <c r="T509" s="4">
        <f>IF($K509="","",L509-M509-N509-P509-Q509-R509)</f>
      </c>
      <c r="U509" s="4">
        <f>IF($K509="","",(T509-W509)/J509*100)</f>
      </c>
      <c r="V509" s="4">
        <f>IF($K509="","",M509-S509)</f>
      </c>
      <c r="X509" s="4">
        <f>IF($K509="","",T509-W509)</f>
      </c>
    </row>
    <row r="510" spans="1:29" x14ac:dyDescent="0.25">
      <c r="A510" s="8"/>
      <c r="D510" s="9"/>
      <c r="J510" s="4"/>
      <c r="K510" s="4"/>
      <c r="L510" s="4">
        <f>IF($K510="","",K510-J510)</f>
      </c>
      <c r="M510" s="4">
        <f>IF($K510="","",L510*16.67%)</f>
      </c>
      <c r="N510" s="4"/>
      <c r="O510" s="4">
        <f>IF($K510="","",N510*20%)</f>
      </c>
      <c r="P510" s="4"/>
      <c r="Q510" s="4">
        <f>IF($K510="","",P510*20%)</f>
      </c>
      <c r="R510" s="4">
        <v>1</v>
      </c>
      <c r="S510" s="4">
        <f>IF($K510="","",Q510)</f>
      </c>
      <c r="T510" s="4">
        <f>IF($K510="","",L510-M510-N510-P510-Q510-R510)</f>
      </c>
      <c r="U510" s="4">
        <f>IF($K510="","",(T510-W510)/J510*100)</f>
      </c>
      <c r="V510" s="4">
        <f>IF($K510="","",M510-S510)</f>
      </c>
      <c r="X510" s="4">
        <f>IF($K510="","",T510-W510)</f>
      </c>
    </row>
    <row r="511" spans="1:29" x14ac:dyDescent="0.25">
      <c r="A511" s="8"/>
      <c r="D511" s="9"/>
      <c r="J511" s="4"/>
      <c r="K511" s="4"/>
      <c r="L511" s="4">
        <f>IF($K511="","",K511-J511)</f>
      </c>
      <c r="M511" s="4">
        <f>IF($K511="","",L511*16.67%)</f>
      </c>
      <c r="N511" s="4"/>
      <c r="O511" s="4">
        <f>IF($K511="","",N511*20%)</f>
      </c>
      <c r="P511" s="4"/>
      <c r="Q511" s="4">
        <f>IF($K511="","",P511*20%)</f>
      </c>
      <c r="R511" s="4">
        <v>1</v>
      </c>
      <c r="S511" s="4">
        <f>IF($K511="","",Q511)</f>
      </c>
      <c r="T511" s="4">
        <f>IF($K511="","",L511-M511-N511-P511-Q511-R511)</f>
      </c>
      <c r="U511" s="4">
        <f>IF($K511="","",(T511-W511)/J511*100)</f>
      </c>
      <c r="V511" s="4">
        <f>IF($K511="","",M511-S511)</f>
      </c>
      <c r="X511" s="4">
        <f>IF($K511="","",T511-W511)</f>
      </c>
    </row>
    <row r="512" spans="1:29" x14ac:dyDescent="0.25">
      <c r="A512" s="8"/>
      <c r="D512" s="9"/>
      <c r="J512" s="4"/>
      <c r="K512" s="4"/>
      <c r="L512" s="4">
        <f>IF($K512="","",K512-J512)</f>
      </c>
      <c r="M512" s="4">
        <f>IF($K512="","",L512*16.67%)</f>
      </c>
      <c r="N512" s="4"/>
      <c r="O512" s="4">
        <f>IF($K512="","",N512*20%)</f>
      </c>
      <c r="P512" s="4"/>
      <c r="Q512" s="4">
        <f>IF($K512="","",P512*20%)</f>
      </c>
      <c r="R512" s="4">
        <v>1</v>
      </c>
      <c r="S512" s="4">
        <f>IF($K512="","",Q512)</f>
      </c>
      <c r="T512" s="4">
        <f>IF($K512="","",L512-M512-N512-P512-Q512-R512)</f>
      </c>
      <c r="U512" s="4">
        <f>IF($K512="","",(T512-W512)/J512*100)</f>
      </c>
      <c r="V512" s="4">
        <f>IF($K512="","",M512-S512)</f>
      </c>
      <c r="X512" s="4">
        <f>IF($K512="","",T512-W512)</f>
      </c>
    </row>
    <row r="513" spans="1:29" x14ac:dyDescent="0.25">
      <c r="A513" s="8"/>
      <c r="D513" s="9"/>
      <c r="J513" s="4"/>
      <c r="K513" s="4"/>
      <c r="L513" s="4">
        <f>IF($K513="","",K513-J513)</f>
      </c>
      <c r="M513" s="4">
        <f>IF($K513="","",L513*16.67%)</f>
      </c>
      <c r="N513" s="4"/>
      <c r="O513" s="4">
        <f>IF($K513="","",N513*20%)</f>
      </c>
      <c r="P513" s="4"/>
      <c r="Q513" s="4">
        <f>IF($K513="","",P513*20%)</f>
      </c>
      <c r="R513" s="4">
        <v>1</v>
      </c>
      <c r="S513" s="4">
        <f>IF($K513="","",Q513)</f>
      </c>
      <c r="T513" s="4">
        <f>IF($K513="","",L513-M513-N513-P513-Q513-R513)</f>
      </c>
      <c r="U513" s="4">
        <f>IF($K513="","",(T513-W513)/J513*100)</f>
      </c>
      <c r="V513" s="4">
        <f>IF($K513="","",M513-S513)</f>
      </c>
      <c r="X513" s="4">
        <f>IF($K513="","",T513-W513)</f>
      </c>
    </row>
    <row r="514" spans="1:29" x14ac:dyDescent="0.25">
      <c r="A514" s="8"/>
      <c r="D514" s="9"/>
      <c r="J514" s="4"/>
      <c r="K514" s="4"/>
      <c r="L514" s="4">
        <f>IF($K514="","",K514-J514)</f>
      </c>
      <c r="M514" s="4">
        <f>IF($K514="","",L514*16.67%)</f>
      </c>
      <c r="N514" s="4"/>
      <c r="O514" s="4">
        <f>IF($K514="","",N514*20%)</f>
      </c>
      <c r="P514" s="4"/>
      <c r="Q514" s="4">
        <f>IF($K514="","",P514*20%)</f>
      </c>
      <c r="R514" s="4">
        <v>1</v>
      </c>
      <c r="S514" s="4">
        <f>IF($K514="","",Q514)</f>
      </c>
      <c r="T514" s="4">
        <f>IF($K514="","",L514-M514-N514-P514-Q514-R514)</f>
      </c>
      <c r="U514" s="4">
        <f>IF($K514="","",(T514-W514)/J514*100)</f>
      </c>
      <c r="V514" s="4">
        <f>IF($K514="","",M514-S514)</f>
      </c>
      <c r="X514" s="4">
        <f>IF($K514="","",T514-W514)</f>
      </c>
    </row>
    <row r="515" spans="1:29" x14ac:dyDescent="0.25">
      <c r="A515" s="8"/>
      <c r="D515" s="9"/>
      <c r="J515" s="4"/>
      <c r="K515" s="4"/>
      <c r="L515" s="4">
        <f>IF($K515="","",K515-J515)</f>
      </c>
      <c r="M515" s="4">
        <f>IF($K515="","",L515*16.67%)</f>
      </c>
      <c r="N515" s="4"/>
      <c r="O515" s="4">
        <f>IF($K515="","",N515*20%)</f>
      </c>
      <c r="P515" s="4"/>
      <c r="Q515" s="4">
        <f>IF($K515="","",P515*20%)</f>
      </c>
      <c r="R515" s="4">
        <v>1</v>
      </c>
      <c r="S515" s="4">
        <f>IF($K515="","",Q515)</f>
      </c>
      <c r="T515" s="4">
        <f>IF($K515="","",L515-M515-N515-P515-Q515-R515)</f>
      </c>
      <c r="U515" s="4">
        <f>IF($K515="","",(T515-W515)/J515*100)</f>
      </c>
      <c r="V515" s="4">
        <f>IF($K515="","",M515-S515)</f>
      </c>
      <c r="X515" s="4">
        <f>IF($K515="","",T515-W515)</f>
      </c>
    </row>
    <row r="516" spans="1:29" x14ac:dyDescent="0.25">
      <c r="A516" s="8"/>
      <c r="D516" s="9"/>
      <c r="J516" s="4"/>
      <c r="K516" s="4"/>
      <c r="L516" s="4">
        <f>IF($K516="","",K516-J516)</f>
      </c>
      <c r="M516" s="4">
        <f>IF($K516="","",L516*16.67%)</f>
      </c>
      <c r="N516" s="4"/>
      <c r="O516" s="4">
        <f>IF($K516="","",N516*20%)</f>
      </c>
      <c r="P516" s="4"/>
      <c r="Q516" s="4">
        <f>IF($K516="","",P516*20%)</f>
      </c>
      <c r="R516" s="4">
        <v>1</v>
      </c>
      <c r="S516" s="4">
        <f>IF($K516="","",Q516)</f>
      </c>
      <c r="T516" s="4">
        <f>IF($K516="","",L516-M516-N516-P516-Q516-R516)</f>
      </c>
      <c r="U516" s="4">
        <f>IF($K516="","",(T516-W516)/J516*100)</f>
      </c>
      <c r="V516" s="4">
        <f>IF($K516="","",M516-S516)</f>
      </c>
      <c r="X516" s="4">
        <f>IF($K516="","",T516-W516)</f>
      </c>
    </row>
    <row r="517" spans="1:29" x14ac:dyDescent="0.25">
      <c r="A517" s="8"/>
      <c r="D517" s="9"/>
      <c r="J517" s="4"/>
      <c r="K517" s="4"/>
      <c r="L517" s="4">
        <f>IF($K517="","",K517-J517)</f>
      </c>
      <c r="M517" s="4">
        <f>IF($K517="","",L517*16.67%)</f>
      </c>
      <c r="N517" s="4"/>
      <c r="O517" s="4">
        <f>IF($K517="","",N517*20%)</f>
      </c>
      <c r="P517" s="4"/>
      <c r="Q517" s="4">
        <f>IF($K517="","",P517*20%)</f>
      </c>
      <c r="R517" s="4">
        <v>1</v>
      </c>
      <c r="S517" s="4">
        <f>IF($K517="","",Q517)</f>
      </c>
      <c r="T517" s="4">
        <f>IF($K517="","",L517-M517-N517-P517-Q517-R517)</f>
      </c>
      <c r="U517" s="4">
        <f>IF($K517="","",(T517-W517)/J517*100)</f>
      </c>
      <c r="V517" s="4">
        <f>IF($K517="","",M517-S517)</f>
      </c>
      <c r="X517" s="4">
        <f>IF($K517="","",T517-W517)</f>
      </c>
    </row>
    <row r="518" spans="1:29" x14ac:dyDescent="0.25">
      <c r="A518" s="8"/>
      <c r="D518" s="9"/>
      <c r="J518" s="4"/>
      <c r="K518" s="4"/>
      <c r="L518" s="4">
        <f>IF($K518="","",K518-J518)</f>
      </c>
      <c r="M518" s="4">
        <f>IF($K518="","",L518*16.67%)</f>
      </c>
      <c r="N518" s="4"/>
      <c r="O518" s="4">
        <f>IF($K518="","",N518*20%)</f>
      </c>
      <c r="P518" s="4"/>
      <c r="Q518" s="4">
        <f>IF($K518="","",P518*20%)</f>
      </c>
      <c r="R518" s="4">
        <v>1</v>
      </c>
      <c r="S518" s="4">
        <f>IF($K518="","",Q518)</f>
      </c>
      <c r="T518" s="4">
        <f>IF($K518="","",L518-M518-N518-P518-Q518-R518)</f>
      </c>
      <c r="U518" s="4">
        <f>IF($K518="","",(T518-W518)/J518*100)</f>
      </c>
      <c r="V518" s="4">
        <f>IF($K518="","",M518-S518)</f>
      </c>
      <c r="X518" s="4">
        <f>IF($K518="","",T518-W518)</f>
      </c>
    </row>
    <row r="519" spans="1:29" x14ac:dyDescent="0.25">
      <c r="A519" s="8"/>
      <c r="D519" s="9"/>
      <c r="J519" s="4"/>
      <c r="K519" s="4"/>
      <c r="L519" s="4">
        <f>IF($K519="","",K519-J519)</f>
      </c>
      <c r="M519" s="4">
        <f>IF($K519="","",L519*16.67%)</f>
      </c>
      <c r="N519" s="4"/>
      <c r="O519" s="4">
        <f>IF($K519="","",N519*20%)</f>
      </c>
      <c r="P519" s="4"/>
      <c r="Q519" s="4">
        <f>IF($K519="","",P519*20%)</f>
      </c>
      <c r="R519" s="4">
        <v>1</v>
      </c>
      <c r="S519" s="4">
        <f>IF($K519="","",Q519)</f>
      </c>
      <c r="T519" s="4">
        <f>IF($K519="","",L519-M519-N519-P519-Q519-R519)</f>
      </c>
      <c r="U519" s="4">
        <f>IF($K519="","",(T519-W519)/J519*100)</f>
      </c>
      <c r="V519" s="4">
        <f>IF($K519="","",M519-S519)</f>
      </c>
      <c r="X519" s="4">
        <f>IF($K519="","",T519-W519)</f>
      </c>
    </row>
    <row r="520" spans="1:29" x14ac:dyDescent="0.25">
      <c r="A520" s="8"/>
      <c r="D520" s="9"/>
      <c r="J520" s="4"/>
      <c r="K520" s="4"/>
      <c r="L520" s="4">
        <f>IF($K520="","",K520-J520)</f>
      </c>
      <c r="M520" s="4">
        <f>IF($K520="","",L520*16.67%)</f>
      </c>
      <c r="N520" s="4"/>
      <c r="O520" s="4">
        <f>IF($K520="","",N520*20%)</f>
      </c>
      <c r="P520" s="4"/>
      <c r="Q520" s="4">
        <f>IF($K520="","",P520*20%)</f>
      </c>
      <c r="R520" s="4">
        <v>1</v>
      </c>
      <c r="S520" s="4">
        <f>IF($K520="","",Q520)</f>
      </c>
      <c r="T520" s="4">
        <f>IF($K520="","",L520-M520-N520-P520-Q520-R520)</f>
      </c>
      <c r="U520" s="4">
        <f>IF($K520="","",(T520-W520)/J520*100)</f>
      </c>
      <c r="V520" s="4">
        <f>IF($K520="","",M520-S520)</f>
      </c>
      <c r="X520" s="4">
        <f>IF($K520="","",T520-W520)</f>
      </c>
    </row>
    <row r="521" spans="1:29" x14ac:dyDescent="0.25">
      <c r="A521" s="8"/>
      <c r="D521" s="9"/>
      <c r="J521" s="4"/>
      <c r="K521" s="4"/>
      <c r="L521" s="4">
        <f>IF($K521="","",K521-J521)</f>
      </c>
      <c r="M521" s="4">
        <f>IF($K521="","",L521*16.67%)</f>
      </c>
      <c r="N521" s="4"/>
      <c r="O521" s="4">
        <f>IF($K521="","",N521*20%)</f>
      </c>
      <c r="P521" s="4"/>
      <c r="Q521" s="4">
        <f>IF($K521="","",P521*20%)</f>
      </c>
      <c r="R521" s="4">
        <v>1</v>
      </c>
      <c r="S521" s="4">
        <f>IF($K521="","",Q521)</f>
      </c>
      <c r="T521" s="4">
        <f>IF($K521="","",L521-M521-N521-P521-Q521-R521)</f>
      </c>
      <c r="U521" s="4">
        <f>IF($K521="","",(T521-W521)/J521*100)</f>
      </c>
      <c r="V521" s="4">
        <f>IF($K521="","",M521-S521)</f>
      </c>
      <c r="X521" s="4">
        <f>IF($K521="","",T521-W521)</f>
      </c>
    </row>
    <row r="522" spans="1:29" x14ac:dyDescent="0.25">
      <c r="A522" s="8"/>
      <c r="D522" s="9"/>
      <c r="J522" s="4"/>
      <c r="K522" s="4"/>
      <c r="L522" s="4">
        <f>IF($K522="","",K522-J522)</f>
      </c>
      <c r="M522" s="4">
        <f>IF($K522="","",L522*16.67%)</f>
      </c>
      <c r="N522" s="4"/>
      <c r="O522" s="4">
        <f>IF($K522="","",N522*20%)</f>
      </c>
      <c r="P522" s="4"/>
      <c r="Q522" s="4">
        <f>IF($K522="","",P522*20%)</f>
      </c>
      <c r="R522" s="4">
        <v>1</v>
      </c>
      <c r="S522" s="4">
        <f>IF($K522="","",Q522)</f>
      </c>
      <c r="T522" s="4">
        <f>IF($K522="","",L522-M522-N522-P522-Q522-R522)</f>
      </c>
      <c r="U522" s="4">
        <f>IF($K522="","",(T522-W522)/J522*100)</f>
      </c>
      <c r="V522" s="4">
        <f>IF($K522="","",M522-S522)</f>
      </c>
      <c r="X522" s="4">
        <f>IF($K522="","",T522-W522)</f>
      </c>
    </row>
    <row r="523" spans="1:29" x14ac:dyDescent="0.25">
      <c r="A523" s="8"/>
      <c r="D523" s="9"/>
      <c r="J523" s="4"/>
      <c r="K523" s="4"/>
      <c r="L523" s="4">
        <f>IF($K523="","",K523-J523)</f>
      </c>
      <c r="M523" s="4">
        <f>IF($K523="","",L523*16.67%)</f>
      </c>
      <c r="N523" s="4"/>
      <c r="O523" s="4">
        <f>IF($K523="","",N523*20%)</f>
      </c>
      <c r="P523" s="4"/>
      <c r="Q523" s="4">
        <f>IF($K523="","",P523*20%)</f>
      </c>
      <c r="R523" s="4">
        <v>1</v>
      </c>
      <c r="S523" s="4">
        <f>IF($K523="","",Q523)</f>
      </c>
      <c r="T523" s="4">
        <f>IF($K523="","",L523-M523-N523-P523-Q523-R523)</f>
      </c>
      <c r="U523" s="4">
        <f>IF($K523="","",(T523-W523)/J523*100)</f>
      </c>
      <c r="V523" s="4">
        <f>IF($K523="","",M523-S523)</f>
      </c>
      <c r="X523" s="4">
        <f>IF($K523="","",T523-W523)</f>
      </c>
    </row>
    <row r="524" spans="1:29" x14ac:dyDescent="0.25">
      <c r="A524" s="8"/>
      <c r="D524" s="9"/>
      <c r="J524" s="4"/>
      <c r="K524" s="4"/>
      <c r="L524" s="4">
        <f>IF($K524="","",K524-J524)</f>
      </c>
      <c r="M524" s="4">
        <f>IF($K524="","",L524*16.67%)</f>
      </c>
      <c r="N524" s="4"/>
      <c r="O524" s="4">
        <f>IF($K524="","",N524*20%)</f>
      </c>
      <c r="P524" s="4"/>
      <c r="Q524" s="4">
        <f>IF($K524="","",P524*20%)</f>
      </c>
      <c r="R524" s="4">
        <v>1</v>
      </c>
      <c r="S524" s="4">
        <f>IF($K524="","",Q524)</f>
      </c>
      <c r="T524" s="4">
        <f>IF($K524="","",L524-M524-N524-P524-Q524-R524)</f>
      </c>
      <c r="U524" s="4">
        <f>IF($K524="","",(T524-W524)/J524*100)</f>
      </c>
      <c r="V524" s="4">
        <f>IF($K524="","",M524-S524)</f>
      </c>
      <c r="X524" s="4">
        <f>IF($K524="","",T524-W524)</f>
      </c>
    </row>
    <row r="525" spans="1:29" x14ac:dyDescent="0.25">
      <c r="A525" s="8"/>
      <c r="D525" s="9"/>
      <c r="J525" s="4"/>
      <c r="K525" s="4"/>
      <c r="L525" s="4">
        <f>IF($K525="","",K525-J525)</f>
      </c>
      <c r="M525" s="4">
        <f>IF($K525="","",L525*16.67%)</f>
      </c>
      <c r="N525" s="4"/>
      <c r="O525" s="4">
        <f>IF($K525="","",N525*20%)</f>
      </c>
      <c r="P525" s="4"/>
      <c r="Q525" s="4">
        <f>IF($K525="","",P525*20%)</f>
      </c>
      <c r="R525" s="4">
        <v>1</v>
      </c>
      <c r="S525" s="4">
        <f>IF($K525="","",Q525)</f>
      </c>
      <c r="T525" s="4">
        <f>IF($K525="","",L525-M525-N525-P525-Q525-R525)</f>
      </c>
      <c r="U525" s="4">
        <f>IF($K525="","",(T525-W525)/J525*100)</f>
      </c>
      <c r="V525" s="4">
        <f>IF($K525="","",M525-S525)</f>
      </c>
      <c r="X525" s="4">
        <f>IF($K525="","",T525-W525)</f>
      </c>
    </row>
    <row r="526" spans="1:29" x14ac:dyDescent="0.25">
      <c r="A526" s="8"/>
      <c r="D526" s="9"/>
      <c r="J526" s="4"/>
      <c r="K526" s="4"/>
      <c r="L526" s="4">
        <f>IF($K526="","",K526-J526)</f>
      </c>
      <c r="M526" s="4">
        <f>IF($K526="","",L526*16.67%)</f>
      </c>
      <c r="N526" s="4"/>
      <c r="O526" s="4">
        <f>IF($K526="","",N526*20%)</f>
      </c>
      <c r="P526" s="4"/>
      <c r="Q526" s="4">
        <f>IF($K526="","",P526*20%)</f>
      </c>
      <c r="R526" s="4">
        <v>1</v>
      </c>
      <c r="S526" s="4">
        <f>IF($K526="","",Q526)</f>
      </c>
      <c r="T526" s="4">
        <f>IF($K526="","",L526-M526-N526-P526-Q526-R526)</f>
      </c>
      <c r="U526" s="4">
        <f>IF($K526="","",(T526-W526)/J526*100)</f>
      </c>
      <c r="V526" s="4">
        <f>IF($K526="","",M526-S526)</f>
      </c>
      <c r="X526" s="4">
        <f>IF($K526="","",T526-W526)</f>
      </c>
    </row>
    <row r="527" spans="1:29" x14ac:dyDescent="0.25">
      <c r="A527" s="8"/>
      <c r="D527" s="9"/>
      <c r="J527" s="4"/>
      <c r="K527" s="4"/>
      <c r="L527" s="4">
        <f>IF($K527="","",K527-J527)</f>
      </c>
      <c r="M527" s="4">
        <f>IF($K527="","",L527*16.67%)</f>
      </c>
      <c r="N527" s="4"/>
      <c r="O527" s="4">
        <f>IF($K527="","",N527*20%)</f>
      </c>
      <c r="P527" s="4"/>
      <c r="Q527" s="4">
        <f>IF($K527="","",P527*20%)</f>
      </c>
      <c r="R527" s="4">
        <v>1</v>
      </c>
      <c r="S527" s="4">
        <f>IF($K527="","",Q527)</f>
      </c>
      <c r="T527" s="4">
        <f>IF($K527="","",L527-M527-N527-P527-Q527-R527)</f>
      </c>
      <c r="U527" s="4">
        <f>IF($K527="","",(T527-W527)/J527*100)</f>
      </c>
      <c r="V527" s="4">
        <f>IF($K527="","",M527-S527)</f>
      </c>
      <c r="X527" s="4">
        <f>IF($K527="","",T527-W527)</f>
      </c>
    </row>
    <row r="528" spans="1:29" x14ac:dyDescent="0.25">
      <c r="A528" s="8"/>
      <c r="D528" s="9"/>
      <c r="J528" s="4"/>
      <c r="K528" s="4"/>
      <c r="L528" s="4">
        <f>IF($K528="","",K528-J528)</f>
      </c>
      <c r="M528" s="4">
        <f>IF($K528="","",L528*16.67%)</f>
      </c>
      <c r="N528" s="4"/>
      <c r="O528" s="4">
        <f>IF($K528="","",N528*20%)</f>
      </c>
      <c r="P528" s="4"/>
      <c r="Q528" s="4">
        <f>IF($K528="","",P528*20%)</f>
      </c>
      <c r="R528" s="4">
        <v>1</v>
      </c>
      <c r="S528" s="4">
        <f>IF($K528="","",Q528)</f>
      </c>
      <c r="T528" s="4">
        <f>IF($K528="","",L528-M528-N528-P528-Q528-R528)</f>
      </c>
      <c r="U528" s="4">
        <f>IF($K528="","",(T528-W528)/J528*100)</f>
      </c>
      <c r="V528" s="4">
        <f>IF($K528="","",M528-S528)</f>
      </c>
      <c r="X528" s="4">
        <f>IF($K528="","",T528-W528)</f>
      </c>
    </row>
    <row r="529" spans="1:29" x14ac:dyDescent="0.25">
      <c r="A529" s="8"/>
      <c r="D529" s="9"/>
      <c r="J529" s="4"/>
      <c r="K529" s="4"/>
      <c r="L529" s="4">
        <f>IF($K529="","",K529-J529)</f>
      </c>
      <c r="M529" s="4">
        <f>IF($K529="","",L529*16.67%)</f>
      </c>
      <c r="N529" s="4"/>
      <c r="O529" s="4">
        <f>IF($K529="","",N529*20%)</f>
      </c>
      <c r="P529" s="4"/>
      <c r="Q529" s="4">
        <f>IF($K529="","",P529*20%)</f>
      </c>
      <c r="R529" s="4">
        <v>1</v>
      </c>
      <c r="S529" s="4">
        <f>IF($K529="","",Q529)</f>
      </c>
      <c r="T529" s="4">
        <f>IF($K529="","",L529-M529-N529-P529-Q529-R529)</f>
      </c>
      <c r="U529" s="4">
        <f>IF($K529="","",(T529-W529)/J529*100)</f>
      </c>
      <c r="V529" s="4">
        <f>IF($K529="","",M529-S529)</f>
      </c>
      <c r="X529" s="4">
        <f>IF($K529="","",T529-W529)</f>
      </c>
    </row>
    <row r="530" spans="1:29" x14ac:dyDescent="0.25">
      <c r="A530" s="8"/>
      <c r="D530" s="9"/>
      <c r="J530" s="4"/>
      <c r="K530" s="4"/>
      <c r="L530" s="4">
        <f>IF($K530="","",K530-J530)</f>
      </c>
      <c r="M530" s="4">
        <f>IF($K530="","",L530*16.67%)</f>
      </c>
      <c r="N530" s="4"/>
      <c r="O530" s="4">
        <f>IF($K530="","",N530*20%)</f>
      </c>
      <c r="P530" s="4"/>
      <c r="Q530" s="4">
        <f>IF($K530="","",P530*20%)</f>
      </c>
      <c r="R530" s="4">
        <v>1</v>
      </c>
      <c r="S530" s="4">
        <f>IF($K530="","",Q530)</f>
      </c>
      <c r="T530" s="4">
        <f>IF($K530="","",L530-M530-N530-P530-Q530-R530)</f>
      </c>
      <c r="U530" s="4">
        <f>IF($K530="","",(T530-W530)/J530*100)</f>
      </c>
      <c r="V530" s="4">
        <f>IF($K530="","",M530-S530)</f>
      </c>
      <c r="X530" s="4">
        <f>IF($K530="","",T530-W530)</f>
      </c>
    </row>
    <row r="531" spans="1:29" x14ac:dyDescent="0.25">
      <c r="A531" s="8"/>
      <c r="D531" s="9"/>
      <c r="J531" s="4"/>
      <c r="K531" s="4"/>
      <c r="L531" s="4">
        <f>IF($K531="","",K531-J531)</f>
      </c>
      <c r="M531" s="4">
        <f>IF($K531="","",L531*16.67%)</f>
      </c>
      <c r="N531" s="4"/>
      <c r="O531" s="4">
        <f>IF($K531="","",N531*20%)</f>
      </c>
      <c r="P531" s="4"/>
      <c r="Q531" s="4">
        <f>IF($K531="","",P531*20%)</f>
      </c>
      <c r="R531" s="4">
        <v>1</v>
      </c>
      <c r="S531" s="4">
        <f>IF($K531="","",Q531)</f>
      </c>
      <c r="T531" s="4">
        <f>IF($K531="","",L531-M531-N531-P531-Q531-R531)</f>
      </c>
      <c r="U531" s="4">
        <f>IF($K531="","",(T531-W531)/J531*100)</f>
      </c>
      <c r="V531" s="4">
        <f>IF($K531="","",M531-S531)</f>
      </c>
      <c r="X531" s="4">
        <f>IF($K531="","",T531-W531)</f>
      </c>
    </row>
    <row r="532" spans="1:29" x14ac:dyDescent="0.25">
      <c r="A532" s="8"/>
      <c r="D532" s="9"/>
      <c r="J532" s="4"/>
      <c r="K532" s="4"/>
      <c r="L532" s="4">
        <f>IF($K532="","",K532-J532)</f>
      </c>
      <c r="M532" s="4">
        <f>IF($K532="","",L532*16.67%)</f>
      </c>
      <c r="N532" s="4"/>
      <c r="O532" s="4">
        <f>IF($K532="","",N532*20%)</f>
      </c>
      <c r="P532" s="4"/>
      <c r="Q532" s="4">
        <f>IF($K532="","",P532*20%)</f>
      </c>
      <c r="R532" s="4">
        <v>1</v>
      </c>
      <c r="S532" s="4">
        <f>IF($K532="","",Q532)</f>
      </c>
      <c r="T532" s="4">
        <f>IF($K532="","",L532-M532-N532-P532-Q532-R532)</f>
      </c>
      <c r="U532" s="4">
        <f>IF($K532="","",(T532-W532)/J532*100)</f>
      </c>
      <c r="V532" s="4">
        <f>IF($K532="","",M532-S532)</f>
      </c>
      <c r="X532" s="4">
        <f>IF($K532="","",T532-W532)</f>
      </c>
    </row>
    <row r="533" spans="1:29" x14ac:dyDescent="0.25">
      <c r="A533" s="8"/>
      <c r="D533" s="9"/>
      <c r="J533" s="4"/>
      <c r="K533" s="4"/>
      <c r="L533" s="4">
        <f>IF($K533="","",K533-J533)</f>
      </c>
      <c r="M533" s="4">
        <f>IF($K533="","",L533*16.67%)</f>
      </c>
      <c r="N533" s="4"/>
      <c r="O533" s="4">
        <f>IF($K533="","",N533*20%)</f>
      </c>
      <c r="P533" s="4"/>
      <c r="Q533" s="4">
        <f>IF($K533="","",P533*20%)</f>
      </c>
      <c r="R533" s="4">
        <v>1</v>
      </c>
      <c r="S533" s="4">
        <f>IF($K533="","",Q533)</f>
      </c>
      <c r="T533" s="4">
        <f>IF($K533="","",L533-M533-N533-P533-Q533-R533)</f>
      </c>
      <c r="U533" s="4">
        <f>IF($K533="","",(T533-W533)/J533*100)</f>
      </c>
      <c r="V533" s="4">
        <f>IF($K533="","",M533-S533)</f>
      </c>
      <c r="X533" s="4">
        <f>IF($K533="","",T533-W533)</f>
      </c>
    </row>
    <row r="534" spans="1:29" x14ac:dyDescent="0.25">
      <c r="A534" s="8"/>
      <c r="D534" s="9"/>
      <c r="J534" s="4"/>
      <c r="K534" s="4"/>
      <c r="L534" s="4">
        <f>IF($K534="","",K534-J534)</f>
      </c>
      <c r="M534" s="4">
        <f>IF($K534="","",L534*16.67%)</f>
      </c>
      <c r="N534" s="4"/>
      <c r="O534" s="4">
        <f>IF($K534="","",N534*20%)</f>
      </c>
      <c r="P534" s="4"/>
      <c r="Q534" s="4">
        <f>IF($K534="","",P534*20%)</f>
      </c>
      <c r="R534" s="4">
        <v>1</v>
      </c>
      <c r="S534" s="4">
        <f>IF($K534="","",Q534)</f>
      </c>
      <c r="T534" s="4">
        <f>IF($K534="","",L534-M534-N534-P534-Q534-R534)</f>
      </c>
      <c r="U534" s="4">
        <f>IF($K534="","",(T534-W534)/J534*100)</f>
      </c>
      <c r="V534" s="4">
        <f>IF($K534="","",M534-S534)</f>
      </c>
      <c r="X534" s="4">
        <f>IF($K534="","",T534-W534)</f>
      </c>
    </row>
    <row r="535" spans="1:29" x14ac:dyDescent="0.25">
      <c r="A535" s="8"/>
      <c r="D535" s="9"/>
      <c r="J535" s="4"/>
      <c r="K535" s="4"/>
      <c r="L535" s="4">
        <f>IF($K535="","",K535-J535)</f>
      </c>
      <c r="M535" s="4">
        <f>IF($K535="","",L535*16.67%)</f>
      </c>
      <c r="N535" s="4"/>
      <c r="O535" s="4">
        <f>IF($K535="","",N535*20%)</f>
      </c>
      <c r="P535" s="4"/>
      <c r="Q535" s="4">
        <f>IF($K535="","",P535*20%)</f>
      </c>
      <c r="R535" s="4">
        <v>1</v>
      </c>
      <c r="S535" s="4">
        <f>IF($K535="","",Q535)</f>
      </c>
      <c r="T535" s="4">
        <f>IF($K535="","",L535-M535-N535-P535-Q535-R535)</f>
      </c>
      <c r="U535" s="4">
        <f>IF($K535="","",(T535-W535)/J535*100)</f>
      </c>
      <c r="V535" s="4">
        <f>IF($K535="","",M535-S535)</f>
      </c>
      <c r="X535" s="4">
        <f>IF($K535="","",T535-W535)</f>
      </c>
    </row>
    <row r="536" spans="1:29" x14ac:dyDescent="0.25">
      <c r="A536" s="8"/>
      <c r="D536" s="9"/>
      <c r="J536" s="4"/>
      <c r="K536" s="4"/>
      <c r="L536" s="4">
        <f>IF($K536="","",K536-J536)</f>
      </c>
      <c r="M536" s="4">
        <f>IF($K536="","",L536*16.67%)</f>
      </c>
      <c r="N536" s="4"/>
      <c r="O536" s="4">
        <f>IF($K536="","",N536*20%)</f>
      </c>
      <c r="P536" s="4"/>
      <c r="Q536" s="4">
        <f>IF($K536="","",P536*20%)</f>
      </c>
      <c r="R536" s="4">
        <v>1</v>
      </c>
      <c r="S536" s="4">
        <f>IF($K536="","",Q536)</f>
      </c>
      <c r="T536" s="4">
        <f>IF($K536="","",L536-M536-N536-P536-Q536-R536)</f>
      </c>
      <c r="U536" s="4">
        <f>IF($K536="","",(T536-W536)/J536*100)</f>
      </c>
      <c r="V536" s="4">
        <f>IF($K536="","",M536-S536)</f>
      </c>
      <c r="X536" s="4">
        <f>IF($K536="","",T536-W536)</f>
      </c>
    </row>
    <row r="537" spans="1:29" x14ac:dyDescent="0.25">
      <c r="A537" s="8"/>
      <c r="D537" s="9"/>
      <c r="J537" s="4"/>
      <c r="K537" s="4"/>
      <c r="L537" s="4">
        <f>IF($K537="","",K537-J537)</f>
      </c>
      <c r="M537" s="4">
        <f>IF($K537="","",L537*16.67%)</f>
      </c>
      <c r="N537" s="4"/>
      <c r="O537" s="4">
        <f>IF($K537="","",N537*20%)</f>
      </c>
      <c r="P537" s="4"/>
      <c r="Q537" s="4">
        <f>IF($K537="","",P537*20%)</f>
      </c>
      <c r="R537" s="4">
        <v>1</v>
      </c>
      <c r="S537" s="4">
        <f>IF($K537="","",Q537)</f>
      </c>
      <c r="T537" s="4">
        <f>IF($K537="","",L537-M537-N537-P537-Q537-R537)</f>
      </c>
      <c r="U537" s="4">
        <f>IF($K537="","",(T537-W537)/J537*100)</f>
      </c>
      <c r="V537" s="4">
        <f>IF($K537="","",M537-S537)</f>
      </c>
      <c r="X537" s="4">
        <f>IF($K537="","",T537-W537)</f>
      </c>
    </row>
    <row r="538" spans="1:29" x14ac:dyDescent="0.25">
      <c r="A538" s="8"/>
      <c r="D538" s="9"/>
      <c r="J538" s="4"/>
      <c r="K538" s="4"/>
      <c r="L538" s="4">
        <f>IF($K538="","",K538-J538)</f>
      </c>
      <c r="M538" s="4">
        <f>IF($K538="","",L538*16.67%)</f>
      </c>
      <c r="N538" s="4"/>
      <c r="O538" s="4">
        <f>IF($K538="","",N538*20%)</f>
      </c>
      <c r="P538" s="4"/>
      <c r="Q538" s="4">
        <f>IF($K538="","",P538*20%)</f>
      </c>
      <c r="R538" s="4">
        <v>1</v>
      </c>
      <c r="S538" s="4">
        <f>IF($K538="","",Q538)</f>
      </c>
      <c r="T538" s="4">
        <f>IF($K538="","",L538-M538-N538-P538-Q538-R538)</f>
      </c>
      <c r="U538" s="4">
        <f>IF($K538="","",(T538-W538)/J538*100)</f>
      </c>
      <c r="V538" s="4">
        <f>IF($K538="","",M538-S538)</f>
      </c>
      <c r="X538" s="4">
        <f>IF($K538="","",T538-W538)</f>
      </c>
    </row>
    <row r="539" spans="1:29" x14ac:dyDescent="0.25">
      <c r="A539" s="8"/>
      <c r="D539" s="9"/>
      <c r="J539" s="4"/>
      <c r="K539" s="4"/>
      <c r="L539" s="4">
        <f>IF($K539="","",K539-J539)</f>
      </c>
      <c r="M539" s="4">
        <f>IF($K539="","",L539*16.67%)</f>
      </c>
      <c r="N539" s="4"/>
      <c r="O539" s="4">
        <f>IF($K539="","",N539*20%)</f>
      </c>
      <c r="P539" s="4"/>
      <c r="Q539" s="4">
        <f>IF($K539="","",P539*20%)</f>
      </c>
      <c r="R539" s="4">
        <v>1</v>
      </c>
      <c r="S539" s="4">
        <f>IF($K539="","",Q539)</f>
      </c>
      <c r="T539" s="4">
        <f>IF($K539="","",L539-M539-N539-P539-Q539-R539)</f>
      </c>
      <c r="U539" s="4">
        <f>IF($K539="","",(T539-W539)/J539*100)</f>
      </c>
      <c r="V539" s="4">
        <f>IF($K539="","",M539-S539)</f>
      </c>
      <c r="X539" s="4">
        <f>IF($K539="","",T539-W539)</f>
      </c>
    </row>
    <row r="540" spans="1:29" x14ac:dyDescent="0.25">
      <c r="A540" s="8"/>
      <c r="D540" s="9"/>
      <c r="J540" s="4"/>
      <c r="K540" s="4"/>
      <c r="L540" s="4">
        <f>IF($K540="","",K540-J540)</f>
      </c>
      <c r="M540" s="4">
        <f>IF($K540="","",L540*16.67%)</f>
      </c>
      <c r="N540" s="4"/>
      <c r="O540" s="4">
        <f>IF($K540="","",N540*20%)</f>
      </c>
      <c r="P540" s="4"/>
      <c r="Q540" s="4">
        <f>IF($K540="","",P540*20%)</f>
      </c>
      <c r="R540" s="4">
        <v>1</v>
      </c>
      <c r="S540" s="4">
        <f>IF($K540="","",Q540)</f>
      </c>
      <c r="T540" s="4">
        <f>IF($K540="","",L540-M540-N540-P540-Q540-R540)</f>
      </c>
      <c r="U540" s="4">
        <f>IF($K540="","",(T540-W540)/J540*100)</f>
      </c>
      <c r="V540" s="4">
        <f>IF($K540="","",M540-S540)</f>
      </c>
      <c r="X540" s="4">
        <f>IF($K540="","",T540-W540)</f>
      </c>
    </row>
    <row r="541" spans="1:29" x14ac:dyDescent="0.25">
      <c r="A541" s="8"/>
      <c r="D541" s="9"/>
      <c r="J541" s="4"/>
      <c r="K541" s="4"/>
      <c r="L541" s="4">
        <f>IF($K541="","",K541-J541)</f>
      </c>
      <c r="M541" s="4">
        <f>IF($K541="","",L541*16.67%)</f>
      </c>
      <c r="N541" s="4"/>
      <c r="O541" s="4">
        <f>IF($K541="","",N541*20%)</f>
      </c>
      <c r="P541" s="4"/>
      <c r="Q541" s="4">
        <f>IF($K541="","",P541*20%)</f>
      </c>
      <c r="R541" s="4">
        <v>1</v>
      </c>
      <c r="S541" s="4">
        <f>IF($K541="","",Q541)</f>
      </c>
      <c r="T541" s="4">
        <f>IF($K541="","",L541-M541-N541-P541-Q541-R541)</f>
      </c>
      <c r="U541" s="4">
        <f>IF($K541="","",(T541-W541)/J541*100)</f>
      </c>
      <c r="V541" s="4">
        <f>IF($K541="","",M541-S541)</f>
      </c>
      <c r="X541" s="4">
        <f>IF($K541="","",T541-W541)</f>
      </c>
    </row>
    <row r="542" spans="1:29" x14ac:dyDescent="0.25">
      <c r="A542" s="8"/>
      <c r="D542" s="9"/>
      <c r="J542" s="4"/>
      <c r="K542" s="4"/>
      <c r="L542" s="4">
        <f>IF($K542="","",K542-J542)</f>
      </c>
      <c r="M542" s="4">
        <f>IF($K542="","",L542*16.67%)</f>
      </c>
      <c r="N542" s="4"/>
      <c r="O542" s="4">
        <f>IF($K542="","",N542*20%)</f>
      </c>
      <c r="P542" s="4"/>
      <c r="Q542" s="4">
        <f>IF($K542="","",P542*20%)</f>
      </c>
      <c r="R542" s="4">
        <v>1</v>
      </c>
      <c r="S542" s="4">
        <f>IF($K542="","",Q542)</f>
      </c>
      <c r="T542" s="4">
        <f>IF($K542="","",L542-M542-N542-P542-Q542-R542)</f>
      </c>
      <c r="U542" s="4">
        <f>IF($K542="","",(T542-W542)/J542*100)</f>
      </c>
      <c r="V542" s="4">
        <f>IF($K542="","",M542-S542)</f>
      </c>
      <c r="X542" s="4">
        <f>IF($K542="","",T542-W542)</f>
      </c>
    </row>
    <row r="543" spans="1:29" x14ac:dyDescent="0.25">
      <c r="A543" s="8"/>
      <c r="D543" s="9"/>
      <c r="J543" s="4"/>
      <c r="K543" s="4"/>
      <c r="L543" s="4">
        <f>IF($K543="","",K543-J543)</f>
      </c>
      <c r="M543" s="4">
        <f>IF($K543="","",L543*16.67%)</f>
      </c>
      <c r="N543" s="4"/>
      <c r="O543" s="4">
        <f>IF($K543="","",N543*20%)</f>
      </c>
      <c r="P543" s="4"/>
      <c r="Q543" s="4">
        <f>IF($K543="","",P543*20%)</f>
      </c>
      <c r="R543" s="4">
        <v>1</v>
      </c>
      <c r="S543" s="4">
        <f>IF($K543="","",Q543)</f>
      </c>
      <c r="T543" s="4">
        <f>IF($K543="","",L543-M543-N543-P543-Q543-R543)</f>
      </c>
      <c r="U543" s="4">
        <f>IF($K543="","",(T543-W543)/J543*100)</f>
      </c>
      <c r="V543" s="4">
        <f>IF($K543="","",M543-S543)</f>
      </c>
      <c r="X543" s="4">
        <f>IF($K543="","",T543-W543)</f>
      </c>
    </row>
    <row r="544" spans="1:29" x14ac:dyDescent="0.25">
      <c r="A544" s="8"/>
      <c r="D544" s="9"/>
      <c r="J544" s="4"/>
      <c r="K544" s="4"/>
      <c r="L544" s="4">
        <f>IF($K544="","",K544-J544)</f>
      </c>
      <c r="M544" s="4">
        <f>IF($K544="","",L544*16.67%)</f>
      </c>
      <c r="N544" s="4"/>
      <c r="O544" s="4">
        <f>IF($K544="","",N544*20%)</f>
      </c>
      <c r="P544" s="4"/>
      <c r="Q544" s="4">
        <f>IF($K544="","",P544*20%)</f>
      </c>
      <c r="R544" s="4">
        <v>1</v>
      </c>
      <c r="S544" s="4">
        <f>IF($K544="","",Q544)</f>
      </c>
      <c r="T544" s="4">
        <f>IF($K544="","",L544-M544-N544-P544-Q544-R544)</f>
      </c>
      <c r="U544" s="4">
        <f>IF($K544="","",(T544-W544)/J544*100)</f>
      </c>
      <c r="V544" s="4">
        <f>IF($K544="","",M544-S544)</f>
      </c>
      <c r="X544" s="4">
        <f>IF($K544="","",T544-W544)</f>
      </c>
    </row>
    <row r="545" spans="1:29" x14ac:dyDescent="0.25">
      <c r="A545" s="8"/>
      <c r="D545" s="9"/>
      <c r="J545" s="4"/>
      <c r="K545" s="4"/>
      <c r="L545" s="4">
        <f>IF($K545="","",K545-J545)</f>
      </c>
      <c r="M545" s="4">
        <f>IF($K545="","",L545*16.67%)</f>
      </c>
      <c r="N545" s="4"/>
      <c r="O545" s="4">
        <f>IF($K545="","",N545*20%)</f>
      </c>
      <c r="P545" s="4"/>
      <c r="Q545" s="4">
        <f>IF($K545="","",P545*20%)</f>
      </c>
      <c r="R545" s="4">
        <v>1</v>
      </c>
      <c r="S545" s="4">
        <f>IF($K545="","",Q545)</f>
      </c>
      <c r="T545" s="4">
        <f>IF($K545="","",L545-M545-N545-P545-Q545-R545)</f>
      </c>
      <c r="U545" s="4">
        <f>IF($K545="","",(T545-W545)/J545*100)</f>
      </c>
      <c r="V545" s="4">
        <f>IF($K545="","",M545-S545)</f>
      </c>
      <c r="X545" s="4">
        <f>IF($K545="","",T545-W545)</f>
      </c>
    </row>
    <row r="546" spans="1:29" x14ac:dyDescent="0.25">
      <c r="A546" s="8"/>
      <c r="D546" s="9"/>
      <c r="J546" s="4"/>
      <c r="K546" s="4"/>
      <c r="L546" s="4">
        <f>IF($K546="","",K546-J546)</f>
      </c>
      <c r="M546" s="4">
        <f>IF($K546="","",L546*16.67%)</f>
      </c>
      <c r="N546" s="4"/>
      <c r="O546" s="4">
        <f>IF($K546="","",N546*20%)</f>
      </c>
      <c r="P546" s="4"/>
      <c r="Q546" s="4">
        <f>IF($K546="","",P546*20%)</f>
      </c>
      <c r="R546" s="4">
        <v>1</v>
      </c>
      <c r="S546" s="4">
        <f>IF($K546="","",Q546)</f>
      </c>
      <c r="T546" s="4">
        <f>IF($K546="","",L546-M546-N546-P546-Q546-R546)</f>
      </c>
      <c r="U546" s="4">
        <f>IF($K546="","",(T546-W546)/J546*100)</f>
      </c>
      <c r="V546" s="4">
        <f>IF($K546="","",M546-S546)</f>
      </c>
      <c r="X546" s="4">
        <f>IF($K546="","",T546-W546)</f>
      </c>
    </row>
    <row r="547" spans="1:29" x14ac:dyDescent="0.25">
      <c r="A547" s="8"/>
      <c r="D547" s="9"/>
      <c r="J547" s="4"/>
      <c r="K547" s="4"/>
      <c r="L547" s="4">
        <f>IF($K547="","",K547-J547)</f>
      </c>
      <c r="M547" s="4">
        <f>IF($K547="","",L547*16.67%)</f>
      </c>
      <c r="N547" s="4"/>
      <c r="O547" s="4">
        <f>IF($K547="","",N547*20%)</f>
      </c>
      <c r="P547" s="4"/>
      <c r="Q547" s="4">
        <f>IF($K547="","",P547*20%)</f>
      </c>
      <c r="R547" s="4">
        <v>1</v>
      </c>
      <c r="S547" s="4">
        <f>IF($K547="","",Q547)</f>
      </c>
      <c r="T547" s="4">
        <f>IF($K547="","",L547-M547-N547-P547-Q547-R547)</f>
      </c>
      <c r="U547" s="4">
        <f>IF($K547="","",(T547-W547)/J547*100)</f>
      </c>
      <c r="V547" s="4">
        <f>IF($K547="","",M547-S547)</f>
      </c>
      <c r="X547" s="4">
        <f>IF($K547="","",T547-W547)</f>
      </c>
    </row>
    <row r="548" spans="1:29" x14ac:dyDescent="0.25">
      <c r="A548" s="8"/>
      <c r="D548" s="9"/>
      <c r="J548" s="4"/>
      <c r="K548" s="4"/>
      <c r="L548" s="4">
        <f>IF($K548="","",K548-J548)</f>
      </c>
      <c r="M548" s="4">
        <f>IF($K548="","",L548*16.67%)</f>
      </c>
      <c r="N548" s="4"/>
      <c r="O548" s="4">
        <f>IF($K548="","",N548*20%)</f>
      </c>
      <c r="P548" s="4"/>
      <c r="Q548" s="4">
        <f>IF($K548="","",P548*20%)</f>
      </c>
      <c r="R548" s="4">
        <v>1</v>
      </c>
      <c r="S548" s="4">
        <f>IF($K548="","",Q548)</f>
      </c>
      <c r="T548" s="4">
        <f>IF($K548="","",L548-M548-N548-P548-Q548-R548)</f>
      </c>
      <c r="U548" s="4">
        <f>IF($K548="","",(T548-W548)/J548*100)</f>
      </c>
      <c r="V548" s="4">
        <f>IF($K548="","",M548-S548)</f>
      </c>
      <c r="X548" s="4">
        <f>IF($K548="","",T548-W548)</f>
      </c>
    </row>
    <row r="549" spans="1:29" x14ac:dyDescent="0.25">
      <c r="A549" s="8"/>
      <c r="D549" s="9"/>
      <c r="J549" s="4"/>
      <c r="K549" s="4"/>
      <c r="L549" s="4">
        <f>IF($K549="","",K549-J549)</f>
      </c>
      <c r="M549" s="4">
        <f>IF($K549="","",L549*16.67%)</f>
      </c>
      <c r="N549" s="4"/>
      <c r="O549" s="4">
        <f>IF($K549="","",N549*20%)</f>
      </c>
      <c r="P549" s="4"/>
      <c r="Q549" s="4">
        <f>IF($K549="","",P549*20%)</f>
      </c>
      <c r="R549" s="4">
        <v>1</v>
      </c>
      <c r="S549" s="4">
        <f>IF($K549="","",Q549)</f>
      </c>
      <c r="T549" s="4">
        <f>IF($K549="","",L549-M549-N549-P549-Q549-R549)</f>
      </c>
      <c r="U549" s="4">
        <f>IF($K549="","",(T549-W549)/J549*100)</f>
      </c>
      <c r="V549" s="4">
        <f>IF($K549="","",M549-S549)</f>
      </c>
      <c r="X549" s="4">
        <f>IF($K549="","",T549-W549)</f>
      </c>
    </row>
    <row r="550" spans="1:29" x14ac:dyDescent="0.25">
      <c r="A550" s="8"/>
      <c r="D550" s="9"/>
      <c r="J550" s="4"/>
      <c r="K550" s="4"/>
      <c r="L550" s="4">
        <f>IF($K550="","",K550-J550)</f>
      </c>
      <c r="M550" s="4">
        <f>IF($K550="","",L550*16.67%)</f>
      </c>
      <c r="N550" s="4"/>
      <c r="O550" s="4">
        <f>IF($K550="","",N550*20%)</f>
      </c>
      <c r="P550" s="4"/>
      <c r="Q550" s="4">
        <f>IF($K550="","",P550*20%)</f>
      </c>
      <c r="R550" s="4">
        <v>1</v>
      </c>
      <c r="S550" s="4">
        <f>IF($K550="","",Q550)</f>
      </c>
      <c r="T550" s="4">
        <f>IF($K550="","",L550-M550-N550-P550-Q550-R550)</f>
      </c>
      <c r="U550" s="4">
        <f>IF($K550="","",(T550-W550)/J550*100)</f>
      </c>
      <c r="V550" s="4">
        <f>IF($K550="","",M550-S550)</f>
      </c>
      <c r="X550" s="4">
        <f>IF($K550="","",T550-W550)</f>
      </c>
    </row>
    <row r="551" spans="1:29" x14ac:dyDescent="0.25">
      <c r="A551" s="8"/>
      <c r="D551" s="9"/>
      <c r="J551" s="4"/>
      <c r="K551" s="4"/>
      <c r="L551" s="4">
        <f>IF($K551="","",K551-J551)</f>
      </c>
      <c r="M551" s="4">
        <f>IF($K551="","",L551*16.67%)</f>
      </c>
      <c r="N551" s="4"/>
      <c r="O551" s="4">
        <f>IF($K551="","",N551*20%)</f>
      </c>
      <c r="P551" s="4"/>
      <c r="Q551" s="4">
        <f>IF($K551="","",P551*20%)</f>
      </c>
      <c r="R551" s="4">
        <v>1</v>
      </c>
      <c r="S551" s="4">
        <f>IF($K551="","",Q551)</f>
      </c>
      <c r="T551" s="4">
        <f>IF($K551="","",L551-M551-N551-P551-Q551-R551)</f>
      </c>
      <c r="U551" s="4">
        <f>IF($K551="","",(T551-W551)/J551*100)</f>
      </c>
      <c r="V551" s="4">
        <f>IF($K551="","",M551-S551)</f>
      </c>
      <c r="X551" s="4">
        <f>IF($K551="","",T551-W551)</f>
      </c>
    </row>
    <row r="552" spans="1:29" x14ac:dyDescent="0.25">
      <c r="A552" s="8"/>
      <c r="D552" s="9"/>
      <c r="J552" s="4"/>
      <c r="K552" s="4"/>
      <c r="L552" s="4">
        <f>IF($K552="","",K552-J552)</f>
      </c>
      <c r="M552" s="4">
        <f>IF($K552="","",L552*16.67%)</f>
      </c>
      <c r="N552" s="4"/>
      <c r="O552" s="4">
        <f>IF($K552="","",N552*20%)</f>
      </c>
      <c r="P552" s="4"/>
      <c r="Q552" s="4">
        <f>IF($K552="","",P552*20%)</f>
      </c>
      <c r="R552" s="4">
        <v>1</v>
      </c>
      <c r="S552" s="4">
        <f>IF($K552="","",Q552)</f>
      </c>
      <c r="T552" s="4">
        <f>IF($K552="","",L552-M552-N552-P552-Q552-R552)</f>
      </c>
      <c r="U552" s="4">
        <f>IF($K552="","",(T552-W552)/J552*100)</f>
      </c>
      <c r="V552" s="4">
        <f>IF($K552="","",M552-S552)</f>
      </c>
      <c r="X552" s="4">
        <f>IF($K552="","",T552-W552)</f>
      </c>
    </row>
    <row r="553" spans="1:29" x14ac:dyDescent="0.25">
      <c r="A553" s="8"/>
      <c r="D553" s="9"/>
      <c r="J553" s="4"/>
      <c r="K553" s="4"/>
      <c r="L553" s="4">
        <f>IF($K553="","",K553-J553)</f>
      </c>
      <c r="M553" s="4">
        <f>IF($K553="","",L553*16.67%)</f>
      </c>
      <c r="N553" s="4"/>
      <c r="O553" s="4">
        <f>IF($K553="","",N553*20%)</f>
      </c>
      <c r="P553" s="4"/>
      <c r="Q553" s="4">
        <f>IF($K553="","",P553*20%)</f>
      </c>
      <c r="R553" s="4">
        <v>1</v>
      </c>
      <c r="S553" s="4">
        <f>IF($K553="","",Q553)</f>
      </c>
      <c r="T553" s="4">
        <f>IF($K553="","",L553-M553-N553-P553-Q553-R553)</f>
      </c>
      <c r="U553" s="4">
        <f>IF($K553="","",(T553-W553)/J553*100)</f>
      </c>
      <c r="V553" s="4">
        <f>IF($K553="","",M553-S553)</f>
      </c>
      <c r="X553" s="4">
        <f>IF($K553="","",T553-W553)</f>
      </c>
    </row>
    <row r="554" spans="1:29" x14ac:dyDescent="0.25">
      <c r="A554" s="8"/>
      <c r="D554" s="9"/>
      <c r="J554" s="4"/>
      <c r="K554" s="4"/>
      <c r="L554" s="4">
        <f>IF($K554="","",K554-J554)</f>
      </c>
      <c r="M554" s="4">
        <f>IF($K554="","",L554*16.67%)</f>
      </c>
      <c r="N554" s="4"/>
      <c r="O554" s="4">
        <f>IF($K554="","",N554*20%)</f>
      </c>
      <c r="P554" s="4"/>
      <c r="Q554" s="4">
        <f>IF($K554="","",P554*20%)</f>
      </c>
      <c r="R554" s="4">
        <v>1</v>
      </c>
      <c r="S554" s="4">
        <f>IF($K554="","",Q554)</f>
      </c>
      <c r="T554" s="4">
        <f>IF($K554="","",L554-M554-N554-P554-Q554-R554)</f>
      </c>
      <c r="U554" s="4">
        <f>IF($K554="","",(T554-W554)/J554*100)</f>
      </c>
      <c r="V554" s="4">
        <f>IF($K554="","",M554-S554)</f>
      </c>
      <c r="X554" s="4">
        <f>IF($K554="","",T554-W554)</f>
      </c>
    </row>
    <row r="555" spans="1:29" x14ac:dyDescent="0.25">
      <c r="A555" s="8"/>
      <c r="D555" s="9"/>
      <c r="J555" s="4"/>
      <c r="K555" s="4"/>
      <c r="L555" s="4">
        <f>IF($K555="","",K555-J555)</f>
      </c>
      <c r="M555" s="4">
        <f>IF($K555="","",L555*16.67%)</f>
      </c>
      <c r="N555" s="4"/>
      <c r="O555" s="4">
        <f>IF($K555="","",N555*20%)</f>
      </c>
      <c r="P555" s="4"/>
      <c r="Q555" s="4">
        <f>IF($K555="","",P555*20%)</f>
      </c>
      <c r="R555" s="4">
        <v>1</v>
      </c>
      <c r="S555" s="4">
        <f>IF($K555="","",Q555)</f>
      </c>
      <c r="T555" s="4">
        <f>IF($K555="","",L555-M555-N555-P555-Q555-R555)</f>
      </c>
      <c r="U555" s="4">
        <f>IF($K555="","",(T555-W555)/J555*100)</f>
      </c>
      <c r="V555" s="4">
        <f>IF($K555="","",M555-S555)</f>
      </c>
      <c r="X555" s="4">
        <f>IF($K555="","",T555-W555)</f>
      </c>
    </row>
    <row r="556" spans="1:29" x14ac:dyDescent="0.25">
      <c r="A556" s="8"/>
      <c r="D556" s="9"/>
      <c r="J556" s="4"/>
      <c r="K556" s="4"/>
      <c r="L556" s="4">
        <f>IF($K556="","",K556-J556)</f>
      </c>
      <c r="M556" s="4">
        <f>IF($K556="","",L556*16.67%)</f>
      </c>
      <c r="N556" s="4"/>
      <c r="O556" s="4">
        <f>IF($K556="","",N556*20%)</f>
      </c>
      <c r="P556" s="4"/>
      <c r="Q556" s="4">
        <f>IF($K556="","",P556*20%)</f>
      </c>
      <c r="R556" s="4">
        <v>1</v>
      </c>
      <c r="S556" s="4">
        <f>IF($K556="","",Q556)</f>
      </c>
      <c r="T556" s="4">
        <f>IF($K556="","",L556-M556-N556-P556-Q556-R556)</f>
      </c>
      <c r="U556" s="4">
        <f>IF($K556="","",(T556-W556)/J556*100)</f>
      </c>
      <c r="V556" s="4">
        <f>IF($K556="","",M556-S556)</f>
      </c>
      <c r="X556" s="4">
        <f>IF($K556="","",T556-W556)</f>
      </c>
    </row>
    <row r="557" spans="1:29" x14ac:dyDescent="0.25">
      <c r="A557" s="8"/>
      <c r="D557" s="9"/>
      <c r="J557" s="4"/>
      <c r="K557" s="4"/>
      <c r="L557" s="4">
        <f>IF($K557="","",K557-J557)</f>
      </c>
      <c r="M557" s="4">
        <f>IF($K557="","",L557*16.67%)</f>
      </c>
      <c r="N557" s="4"/>
      <c r="O557" s="4">
        <f>IF($K557="","",N557*20%)</f>
      </c>
      <c r="P557" s="4"/>
      <c r="Q557" s="4">
        <f>IF($K557="","",P557*20%)</f>
      </c>
      <c r="R557" s="4">
        <v>1</v>
      </c>
      <c r="S557" s="4">
        <f>IF($K557="","",Q557)</f>
      </c>
      <c r="T557" s="4">
        <f>IF($K557="","",L557-M557-N557-P557-Q557-R557)</f>
      </c>
      <c r="U557" s="4">
        <f>IF($K557="","",(T557-W557)/J557*100)</f>
      </c>
      <c r="V557" s="4">
        <f>IF($K557="","",M557-S557)</f>
      </c>
      <c r="X557" s="4">
        <f>IF($K557="","",T557-W557)</f>
      </c>
    </row>
    <row r="558" spans="1:29" x14ac:dyDescent="0.25">
      <c r="A558" s="8"/>
      <c r="D558" s="9"/>
      <c r="J558" s="4"/>
      <c r="K558" s="4"/>
      <c r="L558" s="4">
        <f>IF($K558="","",K558-J558)</f>
      </c>
      <c r="M558" s="4">
        <f>IF($K558="","",L558*16.67%)</f>
      </c>
      <c r="N558" s="4"/>
      <c r="O558" s="4">
        <f>IF($K558="","",N558*20%)</f>
      </c>
      <c r="P558" s="4"/>
      <c r="Q558" s="4">
        <f>IF($K558="","",P558*20%)</f>
      </c>
      <c r="R558" s="4">
        <v>1</v>
      </c>
      <c r="S558" s="4">
        <f>IF($K558="","",Q558)</f>
      </c>
      <c r="T558" s="4">
        <f>IF($K558="","",L558-M558-N558-P558-Q558-R558)</f>
      </c>
      <c r="U558" s="4">
        <f>IF($K558="","",(T558-W558)/J558*100)</f>
      </c>
      <c r="V558" s="4">
        <f>IF($K558="","",M558-S558)</f>
      </c>
      <c r="X558" s="4">
        <f>IF($K558="","",T558-W558)</f>
      </c>
    </row>
    <row r="559" spans="1:29" x14ac:dyDescent="0.25">
      <c r="A559" s="8"/>
      <c r="D559" s="9"/>
      <c r="J559" s="4"/>
      <c r="K559" s="4"/>
      <c r="L559" s="4">
        <f>IF($K559="","",K559-J559)</f>
      </c>
      <c r="M559" s="4">
        <f>IF($K559="","",L559*16.67%)</f>
      </c>
      <c r="N559" s="4"/>
      <c r="O559" s="4">
        <f>IF($K559="","",N559*20%)</f>
      </c>
      <c r="P559" s="4"/>
      <c r="Q559" s="4">
        <f>IF($K559="","",P559*20%)</f>
      </c>
      <c r="R559" s="4">
        <v>1</v>
      </c>
      <c r="S559" s="4">
        <f>IF($K559="","",Q559)</f>
      </c>
      <c r="T559" s="4">
        <f>IF($K559="","",L559-M559-N559-P559-Q559-R559)</f>
      </c>
      <c r="U559" s="4">
        <f>IF($K559="","",(T559-W559)/J559*100)</f>
      </c>
      <c r="V559" s="4">
        <f>IF($K559="","",M559-S559)</f>
      </c>
      <c r="X559" s="4">
        <f>IF($K559="","",T559-W559)</f>
      </c>
    </row>
    <row r="560" spans="1:29" x14ac:dyDescent="0.25">
      <c r="A560" s="8"/>
      <c r="D560" s="9"/>
      <c r="J560" s="4"/>
      <c r="K560" s="4"/>
      <c r="L560" s="4">
        <f>IF($K560="","",K560-J560)</f>
      </c>
      <c r="M560" s="4">
        <f>IF($K560="","",L560*16.67%)</f>
      </c>
      <c r="N560" s="4"/>
      <c r="O560" s="4">
        <f>IF($K560="","",N560*20%)</f>
      </c>
      <c r="P560" s="4"/>
      <c r="Q560" s="4">
        <f>IF($K560="","",P560*20%)</f>
      </c>
      <c r="R560" s="4">
        <v>1</v>
      </c>
      <c r="S560" s="4">
        <f>IF($K560="","",Q560)</f>
      </c>
      <c r="T560" s="4">
        <f>IF($K560="","",L560-M560-N560-P560-Q560-R560)</f>
      </c>
      <c r="U560" s="4">
        <f>IF($K560="","",(T560-W560)/J560*100)</f>
      </c>
      <c r="V560" s="4">
        <f>IF($K560="","",M560-S560)</f>
      </c>
      <c r="X560" s="4">
        <f>IF($K560="","",T560-W560)</f>
      </c>
    </row>
    <row r="561" spans="1:29" x14ac:dyDescent="0.25">
      <c r="A561" s="8"/>
      <c r="D561" s="9"/>
      <c r="J561" s="4"/>
      <c r="K561" s="4"/>
      <c r="L561" s="4">
        <f>IF($K561="","",K561-J561)</f>
      </c>
      <c r="M561" s="4">
        <f>IF($K561="","",L561*16.67%)</f>
      </c>
      <c r="N561" s="4"/>
      <c r="O561" s="4">
        <f>IF($K561="","",N561*20%)</f>
      </c>
      <c r="P561" s="4"/>
      <c r="Q561" s="4">
        <f>IF($K561="","",P561*20%)</f>
      </c>
      <c r="R561" s="4">
        <v>1</v>
      </c>
      <c r="S561" s="4">
        <f>IF($K561="","",Q561)</f>
      </c>
      <c r="T561" s="4">
        <f>IF($K561="","",L561-M561-N561-P561-Q561-R561)</f>
      </c>
      <c r="U561" s="4">
        <f>IF($K561="","",(T561-W561)/J561*100)</f>
      </c>
      <c r="V561" s="4">
        <f>IF($K561="","",M561-S561)</f>
      </c>
      <c r="X561" s="4">
        <f>IF($K561="","",T561-W561)</f>
      </c>
    </row>
    <row r="562" spans="1:29" x14ac:dyDescent="0.25">
      <c r="A562" s="8"/>
      <c r="D562" s="9"/>
      <c r="J562" s="4"/>
      <c r="K562" s="4"/>
      <c r="L562" s="4">
        <f>IF($K562="","",K562-J562)</f>
      </c>
      <c r="M562" s="4">
        <f>IF($K562="","",L562*16.67%)</f>
      </c>
      <c r="N562" s="4"/>
      <c r="O562" s="4">
        <f>IF($K562="","",N562*20%)</f>
      </c>
      <c r="P562" s="4"/>
      <c r="Q562" s="4">
        <f>IF($K562="","",P562*20%)</f>
      </c>
      <c r="R562" s="4">
        <v>1</v>
      </c>
      <c r="S562" s="4">
        <f>IF($K562="","",Q562)</f>
      </c>
      <c r="T562" s="4">
        <f>IF($K562="","",L562-M562-N562-P562-Q562-R562)</f>
      </c>
      <c r="U562" s="4">
        <f>IF($K562="","",(T562-W562)/J562*100)</f>
      </c>
      <c r="V562" s="4">
        <f>IF($K562="","",M562-S562)</f>
      </c>
      <c r="X562" s="4">
        <f>IF($K562="","",T562-W562)</f>
      </c>
    </row>
    <row r="563" spans="1:29" x14ac:dyDescent="0.25">
      <c r="A563" s="8"/>
      <c r="D563" s="9"/>
      <c r="J563" s="4"/>
      <c r="K563" s="4"/>
      <c r="L563" s="4">
        <f>IF($K563="","",K563-J563)</f>
      </c>
      <c r="M563" s="4">
        <f>IF($K563="","",L563*16.67%)</f>
      </c>
      <c r="N563" s="4"/>
      <c r="O563" s="4">
        <f>IF($K563="","",N563*20%)</f>
      </c>
      <c r="P563" s="4"/>
      <c r="Q563" s="4">
        <f>IF($K563="","",P563*20%)</f>
      </c>
      <c r="R563" s="4">
        <v>1</v>
      </c>
      <c r="S563" s="4">
        <f>IF($K563="","",Q563)</f>
      </c>
      <c r="T563" s="4">
        <f>IF($K563="","",L563-M563-N563-P563-Q563-R563)</f>
      </c>
      <c r="U563" s="4">
        <f>IF($K563="","",(T563-W563)/J563*100)</f>
      </c>
      <c r="V563" s="4">
        <f>IF($K563="","",M563-S563)</f>
      </c>
      <c r="X563" s="4">
        <f>IF($K563="","",T563-W563)</f>
      </c>
    </row>
    <row r="564" spans="1:29" x14ac:dyDescent="0.25">
      <c r="A564" s="8"/>
      <c r="D564" s="9"/>
      <c r="J564" s="4"/>
      <c r="K564" s="4"/>
      <c r="L564" s="4">
        <f>IF($K564="","",K564-J564)</f>
      </c>
      <c r="M564" s="4">
        <f>IF($K564="","",L564*16.67%)</f>
      </c>
      <c r="N564" s="4"/>
      <c r="O564" s="4">
        <f>IF($K564="","",N564*20%)</f>
      </c>
      <c r="P564" s="4"/>
      <c r="Q564" s="4">
        <f>IF($K564="","",P564*20%)</f>
      </c>
      <c r="R564" s="4">
        <v>1</v>
      </c>
      <c r="S564" s="4">
        <f>IF($K564="","",Q564)</f>
      </c>
      <c r="T564" s="4">
        <f>IF($K564="","",L564-M564-N564-P564-Q564-R564)</f>
      </c>
      <c r="U564" s="4">
        <f>IF($K564="","",(T564-W564)/J564*100)</f>
      </c>
      <c r="V564" s="4">
        <f>IF($K564="","",M564-S564)</f>
      </c>
      <c r="X564" s="4">
        <f>IF($K564="","",T564-W564)</f>
      </c>
    </row>
    <row r="565" spans="1:29" x14ac:dyDescent="0.25">
      <c r="A565" s="8"/>
      <c r="D565" s="9"/>
      <c r="J565" s="4"/>
      <c r="K565" s="4"/>
      <c r="L565" s="4">
        <f>IF($K565="","",K565-J565)</f>
      </c>
      <c r="M565" s="4">
        <f>IF($K565="","",L565*16.67%)</f>
      </c>
      <c r="N565" s="4"/>
      <c r="O565" s="4">
        <f>IF($K565="","",N565*20%)</f>
      </c>
      <c r="P565" s="4"/>
      <c r="Q565" s="4">
        <f>IF($K565="","",P565*20%)</f>
      </c>
      <c r="R565" s="4">
        <v>1</v>
      </c>
      <c r="S565" s="4">
        <f>IF($K565="","",Q565)</f>
      </c>
      <c r="T565" s="4">
        <f>IF($K565="","",L565-M565-N565-P565-Q565-R565)</f>
      </c>
      <c r="U565" s="4">
        <f>IF($K565="","",(T565-W565)/J565*100)</f>
      </c>
      <c r="V565" s="4">
        <f>IF($K565="","",M565-S565)</f>
      </c>
      <c r="X565" s="4">
        <f>IF($K565="","",T565-W565)</f>
      </c>
    </row>
    <row r="566" spans="1:29" x14ac:dyDescent="0.25">
      <c r="A566" s="8"/>
      <c r="D566" s="9"/>
      <c r="J566" s="4"/>
      <c r="K566" s="4"/>
      <c r="L566" s="4">
        <f>IF($K566="","",K566-J566)</f>
      </c>
      <c r="M566" s="4">
        <f>IF($K566="","",L566*16.67%)</f>
      </c>
      <c r="N566" s="4"/>
      <c r="O566" s="4">
        <f>IF($K566="","",N566*20%)</f>
      </c>
      <c r="P566" s="4"/>
      <c r="Q566" s="4">
        <f>IF($K566="","",P566*20%)</f>
      </c>
      <c r="R566" s="4">
        <v>1</v>
      </c>
      <c r="S566" s="4">
        <f>IF($K566="","",Q566)</f>
      </c>
      <c r="T566" s="4">
        <f>IF($K566="","",L566-M566-N566-P566-Q566-R566)</f>
      </c>
      <c r="U566" s="4">
        <f>IF($K566="","",(T566-W566)/J566*100)</f>
      </c>
      <c r="V566" s="4">
        <f>IF($K566="","",M566-S566)</f>
      </c>
      <c r="X566" s="4">
        <f>IF($K566="","",T566-W566)</f>
      </c>
    </row>
    <row r="567" spans="1:29" x14ac:dyDescent="0.25">
      <c r="A567" s="8"/>
      <c r="D567" s="9"/>
      <c r="J567" s="4"/>
      <c r="K567" s="4"/>
      <c r="L567" s="4">
        <f>IF($K567="","",K567-J567)</f>
      </c>
      <c r="M567" s="4">
        <f>IF($K567="","",L567*16.67%)</f>
      </c>
      <c r="N567" s="4"/>
      <c r="O567" s="4">
        <f>IF($K567="","",N567*20%)</f>
      </c>
      <c r="P567" s="4"/>
      <c r="Q567" s="4">
        <f>IF($K567="","",P567*20%)</f>
      </c>
      <c r="R567" s="4">
        <v>1</v>
      </c>
      <c r="S567" s="4">
        <f>IF($K567="","",Q567)</f>
      </c>
      <c r="T567" s="4">
        <f>IF($K567="","",L567-M567-N567-P567-Q567-R567)</f>
      </c>
      <c r="U567" s="4">
        <f>IF($K567="","",(T567-W567)/J567*100)</f>
      </c>
      <c r="V567" s="4">
        <f>IF($K567="","",M567-S567)</f>
      </c>
      <c r="X567" s="4">
        <f>IF($K567="","",T567-W567)</f>
      </c>
    </row>
    <row r="568" spans="1:29" x14ac:dyDescent="0.25">
      <c r="A568" s="8"/>
      <c r="D568" s="9"/>
      <c r="J568" s="4"/>
      <c r="K568" s="4"/>
      <c r="L568" s="4">
        <f>IF($K568="","",K568-J568)</f>
      </c>
      <c r="M568" s="4">
        <f>IF($K568="","",L568*16.67%)</f>
      </c>
      <c r="N568" s="4"/>
      <c r="O568" s="4">
        <f>IF($K568="","",N568*20%)</f>
      </c>
      <c r="P568" s="4"/>
      <c r="Q568" s="4">
        <f>IF($K568="","",P568*20%)</f>
      </c>
      <c r="R568" s="4">
        <v>1</v>
      </c>
      <c r="S568" s="4">
        <f>IF($K568="","",Q568)</f>
      </c>
      <c r="T568" s="4">
        <f>IF($K568="","",L568-M568-N568-P568-Q568-R568)</f>
      </c>
      <c r="U568" s="4">
        <f>IF($K568="","",(T568-W568)/J568*100)</f>
      </c>
      <c r="V568" s="4">
        <f>IF($K568="","",M568-S568)</f>
      </c>
      <c r="X568" s="4">
        <f>IF($K568="","",T568-W568)</f>
      </c>
    </row>
    <row r="569" spans="1:29" x14ac:dyDescent="0.25">
      <c r="A569" s="8"/>
      <c r="D569" s="9"/>
      <c r="J569" s="4"/>
      <c r="K569" s="4"/>
      <c r="L569" s="4">
        <f>IF($K569="","",K569-J569)</f>
      </c>
      <c r="M569" s="4">
        <f>IF($K569="","",L569*16.67%)</f>
      </c>
      <c r="N569" s="4"/>
      <c r="O569" s="4">
        <f>IF($K569="","",N569*20%)</f>
      </c>
      <c r="P569" s="4"/>
      <c r="Q569" s="4">
        <f>IF($K569="","",P569*20%)</f>
      </c>
      <c r="R569" s="4">
        <v>1</v>
      </c>
      <c r="S569" s="4">
        <f>IF($K569="","",Q569)</f>
      </c>
      <c r="T569" s="4">
        <f>IF($K569="","",L569-M569-N569-P569-Q569-R569)</f>
      </c>
      <c r="U569" s="4">
        <f>IF($K569="","",(T569-W569)/J569*100)</f>
      </c>
      <c r="V569" s="4">
        <f>IF($K569="","",M569-S569)</f>
      </c>
      <c r="X569" s="4">
        <f>IF($K569="","",T569-W569)</f>
      </c>
    </row>
    <row r="570" spans="1:29" x14ac:dyDescent="0.25">
      <c r="A570" s="8"/>
      <c r="D570" s="9"/>
      <c r="J570" s="4"/>
      <c r="K570" s="4"/>
      <c r="L570" s="4">
        <f>IF($K570="","",K570-J570)</f>
      </c>
      <c r="M570" s="4">
        <f>IF($K570="","",L570*16.67%)</f>
      </c>
      <c r="N570" s="4"/>
      <c r="O570" s="4">
        <f>IF($K570="","",N570*20%)</f>
      </c>
      <c r="P570" s="4"/>
      <c r="Q570" s="4">
        <f>IF($K570="","",P570*20%)</f>
      </c>
      <c r="R570" s="4">
        <v>1</v>
      </c>
      <c r="S570" s="4">
        <f>IF($K570="","",Q570)</f>
      </c>
      <c r="T570" s="4">
        <f>IF($K570="","",L570-M570-N570-P570-Q570-R570)</f>
      </c>
      <c r="U570" s="4">
        <f>IF($K570="","",(T570-W570)/J570*100)</f>
      </c>
      <c r="V570" s="4">
        <f>IF($K570="","",M570-S570)</f>
      </c>
      <c r="X570" s="4">
        <f>IF($K570="","",T570-W570)</f>
      </c>
    </row>
    <row r="571" spans="1:29" x14ac:dyDescent="0.25">
      <c r="A571" s="8"/>
      <c r="D571" s="9"/>
      <c r="J571" s="4"/>
      <c r="K571" s="4"/>
      <c r="L571" s="4">
        <f>IF($K571="","",K571-J571)</f>
      </c>
      <c r="M571" s="4">
        <f>IF($K571="","",L571*16.67%)</f>
      </c>
      <c r="N571" s="4"/>
      <c r="O571" s="4">
        <f>IF($K571="","",N571*20%)</f>
      </c>
      <c r="P571" s="4"/>
      <c r="Q571" s="4">
        <f>IF($K571="","",P571*20%)</f>
      </c>
      <c r="R571" s="4">
        <v>1</v>
      </c>
      <c r="S571" s="4">
        <f>IF($K571="","",Q571)</f>
      </c>
      <c r="T571" s="4">
        <f>IF($K571="","",L571-M571-N571-P571-Q571-R571)</f>
      </c>
      <c r="U571" s="4">
        <f>IF($K571="","",(T571-W571)/J571*100)</f>
      </c>
      <c r="V571" s="4">
        <f>IF($K571="","",M571-S571)</f>
      </c>
      <c r="X571" s="4">
        <f>IF($K571="","",T571-W571)</f>
      </c>
    </row>
    <row r="572" spans="1:29" x14ac:dyDescent="0.25">
      <c r="A572" s="8"/>
      <c r="D572" s="9"/>
      <c r="J572" s="4"/>
      <c r="K572" s="4"/>
      <c r="L572" s="4">
        <f>IF($K572="","",K572-J572)</f>
      </c>
      <c r="M572" s="4">
        <f>IF($K572="","",L572*16.67%)</f>
      </c>
      <c r="N572" s="4"/>
      <c r="O572" s="4">
        <f>IF($K572="","",N572*20%)</f>
      </c>
      <c r="P572" s="4"/>
      <c r="Q572" s="4">
        <f>IF($K572="","",P572*20%)</f>
      </c>
      <c r="R572" s="4">
        <v>1</v>
      </c>
      <c r="S572" s="4">
        <f>IF($K572="","",Q572)</f>
      </c>
      <c r="T572" s="4">
        <f>IF($K572="","",L572-M572-N572-P572-Q572-R572)</f>
      </c>
      <c r="U572" s="4">
        <f>IF($K572="","",(T572-W572)/J572*100)</f>
      </c>
      <c r="V572" s="4">
        <f>IF($K572="","",M572-S572)</f>
      </c>
      <c r="X572" s="4">
        <f>IF($K572="","",T572-W572)</f>
      </c>
    </row>
    <row r="573" spans="1:29" x14ac:dyDescent="0.25">
      <c r="A573" s="8"/>
      <c r="D573" s="9"/>
      <c r="J573" s="4"/>
      <c r="K573" s="4"/>
      <c r="L573" s="4">
        <f>IF($K573="","",K573-J573)</f>
      </c>
      <c r="M573" s="4">
        <f>IF($K573="","",L573*16.67%)</f>
      </c>
      <c r="N573" s="4"/>
      <c r="O573" s="4">
        <f>IF($K573="","",N573*20%)</f>
      </c>
      <c r="P573" s="4"/>
      <c r="Q573" s="4">
        <f>IF($K573="","",P573*20%)</f>
      </c>
      <c r="R573" s="4">
        <v>1</v>
      </c>
      <c r="S573" s="4">
        <f>IF($K573="","",Q573)</f>
      </c>
      <c r="T573" s="4">
        <f>IF($K573="","",L573-M573-N573-P573-Q573-R573)</f>
      </c>
      <c r="U573" s="4">
        <f>IF($K573="","",(T573-W573)/J573*100)</f>
      </c>
      <c r="V573" s="4">
        <f>IF($K573="","",M573-S573)</f>
      </c>
      <c r="X573" s="4">
        <f>IF($K573="","",T573-W573)</f>
      </c>
    </row>
    <row r="574" spans="1:29" x14ac:dyDescent="0.25">
      <c r="A574" s="8"/>
      <c r="D574" s="9"/>
      <c r="J574" s="4"/>
      <c r="K574" s="4"/>
      <c r="L574" s="4">
        <f>IF($K574="","",K574-J574)</f>
      </c>
      <c r="M574" s="4">
        <f>IF($K574="","",L574*16.67%)</f>
      </c>
      <c r="N574" s="4"/>
      <c r="O574" s="4">
        <f>IF($K574="","",N574*20%)</f>
      </c>
      <c r="P574" s="4"/>
      <c r="Q574" s="4">
        <f>IF($K574="","",P574*20%)</f>
      </c>
      <c r="R574" s="4">
        <v>1</v>
      </c>
      <c r="S574" s="4">
        <f>IF($K574="","",Q574)</f>
      </c>
      <c r="T574" s="4">
        <f>IF($K574="","",L574-M574-N574-P574-Q574-R574)</f>
      </c>
      <c r="U574" s="4">
        <f>IF($K574="","",(T574-W574)/J574*100)</f>
      </c>
      <c r="V574" s="4">
        <f>IF($K574="","",M574-S574)</f>
      </c>
      <c r="X574" s="4">
        <f>IF($K574="","",T574-W574)</f>
      </c>
    </row>
    <row r="575" spans="1:29" x14ac:dyDescent="0.25">
      <c r="A575" s="8"/>
      <c r="D575" s="9"/>
      <c r="J575" s="4"/>
      <c r="K575" s="4"/>
      <c r="L575" s="4">
        <f>IF($K575="","",K575-J575)</f>
      </c>
      <c r="M575" s="4">
        <f>IF($K575="","",L575*16.67%)</f>
      </c>
      <c r="N575" s="4"/>
      <c r="O575" s="4">
        <f>IF($K575="","",N575*20%)</f>
      </c>
      <c r="P575" s="4"/>
      <c r="Q575" s="4">
        <f>IF($K575="","",P575*20%)</f>
      </c>
      <c r="R575" s="4">
        <v>1</v>
      </c>
      <c r="S575" s="4">
        <f>IF($K575="","",Q575)</f>
      </c>
      <c r="T575" s="4">
        <f>IF($K575="","",L575-M575-N575-P575-Q575-R575)</f>
      </c>
      <c r="U575" s="4">
        <f>IF($K575="","",(T575-W575)/J575*100)</f>
      </c>
      <c r="V575" s="4">
        <f>IF($K575="","",M575-S575)</f>
      </c>
      <c r="X575" s="4">
        <f>IF($K575="","",T575-W575)</f>
      </c>
    </row>
    <row r="576" spans="1:29" x14ac:dyDescent="0.25">
      <c r="A576" s="8"/>
      <c r="D576" s="9"/>
      <c r="J576" s="4"/>
      <c r="K576" s="4"/>
      <c r="L576" s="4">
        <f>IF($K576="","",K576-J576)</f>
      </c>
      <c r="M576" s="4">
        <f>IF($K576="","",L576*16.67%)</f>
      </c>
      <c r="N576" s="4"/>
      <c r="O576" s="4">
        <f>IF($K576="","",N576*20%)</f>
      </c>
      <c r="P576" s="4"/>
      <c r="Q576" s="4">
        <f>IF($K576="","",P576*20%)</f>
      </c>
      <c r="R576" s="4">
        <v>1</v>
      </c>
      <c r="S576" s="4">
        <f>IF($K576="","",Q576)</f>
      </c>
      <c r="T576" s="4">
        <f>IF($K576="","",L576-M576-N576-P576-Q576-R576)</f>
      </c>
      <c r="U576" s="4">
        <f>IF($K576="","",(T576-W576)/J576*100)</f>
      </c>
      <c r="V576" s="4">
        <f>IF($K576="","",M576-S576)</f>
      </c>
      <c r="X576" s="4">
        <f>IF($K576="","",T576-W576)</f>
      </c>
    </row>
    <row r="577" spans="1:29" x14ac:dyDescent="0.25">
      <c r="A577" s="8"/>
      <c r="D577" s="9"/>
      <c r="J577" s="4"/>
      <c r="K577" s="4"/>
      <c r="L577" s="4">
        <f>IF($K577="","",K577-J577)</f>
      </c>
      <c r="M577" s="4">
        <f>IF($K577="","",L577*16.67%)</f>
      </c>
      <c r="N577" s="4"/>
      <c r="O577" s="4">
        <f>IF($K577="","",N577*20%)</f>
      </c>
      <c r="P577" s="4"/>
      <c r="Q577" s="4">
        <f>IF($K577="","",P577*20%)</f>
      </c>
      <c r="R577" s="4">
        <v>1</v>
      </c>
      <c r="S577" s="4">
        <f>IF($K577="","",Q577)</f>
      </c>
      <c r="T577" s="4">
        <f>IF($K577="","",L577-M577-N577-P577-Q577-R577)</f>
      </c>
      <c r="U577" s="4">
        <f>IF($K577="","",(T577-W577)/J577*100)</f>
      </c>
      <c r="V577" s="4">
        <f>IF($K577="","",M577-S577)</f>
      </c>
      <c r="X577" s="4">
        <f>IF($K577="","",T577-W577)</f>
      </c>
    </row>
    <row r="578" spans="1:29" x14ac:dyDescent="0.25">
      <c r="A578" s="8"/>
      <c r="D578" s="9"/>
      <c r="J578" s="4"/>
      <c r="K578" s="4"/>
      <c r="L578" s="4">
        <f>IF($K578="","",K578-J578)</f>
      </c>
      <c r="M578" s="4">
        <f>IF($K578="","",L578*16.67%)</f>
      </c>
      <c r="N578" s="4"/>
      <c r="O578" s="4">
        <f>IF($K578="","",N578*20%)</f>
      </c>
      <c r="P578" s="4"/>
      <c r="Q578" s="4">
        <f>IF($K578="","",P578*20%)</f>
      </c>
      <c r="R578" s="4">
        <v>1</v>
      </c>
      <c r="S578" s="4">
        <f>IF($K578="","",Q578)</f>
      </c>
      <c r="T578" s="4">
        <f>IF($K578="","",L578-M578-N578-P578-Q578-R578)</f>
      </c>
      <c r="U578" s="4">
        <f>IF($K578="","",(T578-W578)/J578*100)</f>
      </c>
      <c r="V578" s="4">
        <f>IF($K578="","",M578-S578)</f>
      </c>
      <c r="X578" s="4">
        <f>IF($K578="","",T578-W578)</f>
      </c>
    </row>
    <row r="579" spans="1:29" x14ac:dyDescent="0.25">
      <c r="A579" s="8"/>
      <c r="D579" s="9"/>
      <c r="J579" s="4"/>
      <c r="K579" s="4"/>
      <c r="L579" s="4">
        <f>IF($K579="","",K579-J579)</f>
      </c>
      <c r="M579" s="4">
        <f>IF($K579="","",L579*16.67%)</f>
      </c>
      <c r="N579" s="4"/>
      <c r="O579" s="4">
        <f>IF($K579="","",N579*20%)</f>
      </c>
      <c r="P579" s="4"/>
      <c r="Q579" s="4">
        <f>IF($K579="","",P579*20%)</f>
      </c>
      <c r="R579" s="4">
        <v>1</v>
      </c>
      <c r="S579" s="4">
        <f>IF($K579="","",Q579)</f>
      </c>
      <c r="T579" s="4">
        <f>IF($K579="","",L579-M579-N579-P579-Q579-R579)</f>
      </c>
      <c r="U579" s="4">
        <f>IF($K579="","",(T579-W579)/J579*100)</f>
      </c>
      <c r="V579" s="4">
        <f>IF($K579="","",M579-S579)</f>
      </c>
      <c r="X579" s="4">
        <f>IF($K579="","",T579-W579)</f>
      </c>
    </row>
    <row r="580" spans="1:29" x14ac:dyDescent="0.25">
      <c r="A580" s="8"/>
      <c r="D580" s="9"/>
      <c r="J580" s="4"/>
      <c r="K580" s="4"/>
      <c r="L580" s="4">
        <f>IF($K580="","",K580-J580)</f>
      </c>
      <c r="M580" s="4">
        <f>IF($K580="","",L580*16.67%)</f>
      </c>
      <c r="N580" s="4"/>
      <c r="O580" s="4">
        <f>IF($K580="","",N580*20%)</f>
      </c>
      <c r="P580" s="4"/>
      <c r="Q580" s="4">
        <f>IF($K580="","",P580*20%)</f>
      </c>
      <c r="R580" s="4">
        <v>1</v>
      </c>
      <c r="S580" s="4">
        <f>IF($K580="","",Q580)</f>
      </c>
      <c r="T580" s="4">
        <f>IF($K580="","",L580-M580-N580-P580-Q580-R580)</f>
      </c>
      <c r="U580" s="4">
        <f>IF($K580="","",(T580-W580)/J580*100)</f>
      </c>
      <c r="V580" s="4">
        <f>IF($K580="","",M580-S580)</f>
      </c>
      <c r="X580" s="4">
        <f>IF($K580="","",T580-W580)</f>
      </c>
    </row>
    <row r="581" spans="1:29" x14ac:dyDescent="0.25">
      <c r="A581" s="8"/>
      <c r="D581" s="9"/>
      <c r="J581" s="4"/>
      <c r="K581" s="4"/>
      <c r="L581" s="4">
        <f>IF($K581="","",K581-J581)</f>
      </c>
      <c r="M581" s="4">
        <f>IF($K581="","",L581*16.67%)</f>
      </c>
      <c r="N581" s="4"/>
      <c r="O581" s="4">
        <f>IF($K581="","",N581*20%)</f>
      </c>
      <c r="P581" s="4"/>
      <c r="Q581" s="4">
        <f>IF($K581="","",P581*20%)</f>
      </c>
      <c r="R581" s="4">
        <v>1</v>
      </c>
      <c r="S581" s="4">
        <f>IF($K581="","",Q581)</f>
      </c>
      <c r="T581" s="4">
        <f>IF($K581="","",L581-M581-N581-P581-Q581-R581)</f>
      </c>
      <c r="U581" s="4">
        <f>IF($K581="","",(T581-W581)/J581*100)</f>
      </c>
      <c r="V581" s="4">
        <f>IF($K581="","",M581-S581)</f>
      </c>
      <c r="X581" s="4">
        <f>IF($K581="","",T581-W581)</f>
      </c>
    </row>
    <row r="582" spans="1:29" x14ac:dyDescent="0.25">
      <c r="A582" s="8"/>
      <c r="D582" s="9"/>
      <c r="J582" s="4"/>
      <c r="K582" s="4"/>
      <c r="L582" s="4">
        <f>IF($K582="","",K582-J582)</f>
      </c>
      <c r="M582" s="4">
        <f>IF($K582="","",L582*16.67%)</f>
      </c>
      <c r="N582" s="4"/>
      <c r="O582" s="4">
        <f>IF($K582="","",N582*20%)</f>
      </c>
      <c r="P582" s="4"/>
      <c r="Q582" s="4">
        <f>IF($K582="","",P582*20%)</f>
      </c>
      <c r="R582" s="4">
        <v>1</v>
      </c>
      <c r="S582" s="4">
        <f>IF($K582="","",Q582)</f>
      </c>
      <c r="T582" s="4">
        <f>IF($K582="","",L582-M582-N582-P582-Q582-R582)</f>
      </c>
      <c r="U582" s="4">
        <f>IF($K582="","",(T582-W582)/J582*100)</f>
      </c>
      <c r="V582" s="4">
        <f>IF($K582="","",M582-S582)</f>
      </c>
      <c r="X582" s="4">
        <f>IF($K582="","",T582-W582)</f>
      </c>
    </row>
    <row r="583" spans="1:29" x14ac:dyDescent="0.25">
      <c r="A583" s="8"/>
      <c r="D583" s="9"/>
      <c r="J583" s="4"/>
      <c r="K583" s="4"/>
      <c r="L583" s="4">
        <f>IF($K583="","",K583-J583)</f>
      </c>
      <c r="M583" s="4">
        <f>IF($K583="","",L583*16.67%)</f>
      </c>
      <c r="N583" s="4"/>
      <c r="O583" s="4">
        <f>IF($K583="","",N583*20%)</f>
      </c>
      <c r="P583" s="4"/>
      <c r="Q583" s="4">
        <f>IF($K583="","",P583*20%)</f>
      </c>
      <c r="R583" s="4">
        <v>1</v>
      </c>
      <c r="S583" s="4">
        <f>IF($K583="","",Q583)</f>
      </c>
      <c r="T583" s="4">
        <f>IF($K583="","",L583-M583-N583-P583-Q583-R583)</f>
      </c>
      <c r="U583" s="4">
        <f>IF($K583="","",(T583-W583)/J583*100)</f>
      </c>
      <c r="V583" s="4">
        <f>IF($K583="","",M583-S583)</f>
      </c>
      <c r="X583" s="4">
        <f>IF($K583="","",T583-W583)</f>
      </c>
    </row>
    <row r="584" spans="1:29" x14ac:dyDescent="0.25">
      <c r="A584" s="8"/>
      <c r="D584" s="9"/>
      <c r="J584" s="4"/>
      <c r="K584" s="4"/>
      <c r="L584" s="4">
        <f>IF($K584="","",K584-J584)</f>
      </c>
      <c r="M584" s="4">
        <f>IF($K584="","",L584*16.67%)</f>
      </c>
      <c r="N584" s="4"/>
      <c r="O584" s="4">
        <f>IF($K584="","",N584*20%)</f>
      </c>
      <c r="P584" s="4"/>
      <c r="Q584" s="4">
        <f>IF($K584="","",P584*20%)</f>
      </c>
      <c r="R584" s="4">
        <v>1</v>
      </c>
      <c r="S584" s="4">
        <f>IF($K584="","",Q584)</f>
      </c>
      <c r="T584" s="4">
        <f>IF($K584="","",L584-M584-N584-P584-Q584-R584)</f>
      </c>
      <c r="U584" s="4">
        <f>IF($K584="","",(T584-W584)/J584*100)</f>
      </c>
      <c r="V584" s="4">
        <f>IF($K584="","",M584-S584)</f>
      </c>
      <c r="X584" s="4">
        <f>IF($K584="","",T584-W584)</f>
      </c>
    </row>
    <row r="585" spans="1:29" x14ac:dyDescent="0.25">
      <c r="A585" s="8"/>
      <c r="D585" s="9"/>
      <c r="J585" s="4"/>
      <c r="K585" s="4"/>
      <c r="L585" s="4">
        <f>IF($K585="","",K585-J585)</f>
      </c>
      <c r="M585" s="4">
        <f>IF($K585="","",L585*16.67%)</f>
      </c>
      <c r="N585" s="4"/>
      <c r="O585" s="4">
        <f>IF($K585="","",N585*20%)</f>
      </c>
      <c r="P585" s="4"/>
      <c r="Q585" s="4">
        <f>IF($K585="","",P585*20%)</f>
      </c>
      <c r="R585" s="4">
        <v>1</v>
      </c>
      <c r="S585" s="4">
        <f>IF($K585="","",Q585)</f>
      </c>
      <c r="T585" s="4">
        <f>IF($K585="","",L585-M585-N585-P585-Q585-R585)</f>
      </c>
      <c r="U585" s="4">
        <f>IF($K585="","",(T585-W585)/J585*100)</f>
      </c>
      <c r="V585" s="4">
        <f>IF($K585="","",M585-S585)</f>
      </c>
      <c r="X585" s="4">
        <f>IF($K585="","",T585-W585)</f>
      </c>
    </row>
    <row r="586" spans="1:29" x14ac:dyDescent="0.25">
      <c r="A586" s="8"/>
      <c r="D586" s="9"/>
      <c r="J586" s="4"/>
      <c r="K586" s="4"/>
      <c r="L586" s="4">
        <f>IF($K586="","",K586-J586)</f>
      </c>
      <c r="M586" s="4">
        <f>IF($K586="","",L586*16.67%)</f>
      </c>
      <c r="N586" s="4"/>
      <c r="O586" s="4">
        <f>IF($K586="","",N586*20%)</f>
      </c>
      <c r="P586" s="4"/>
      <c r="Q586" s="4">
        <f>IF($K586="","",P586*20%)</f>
      </c>
      <c r="R586" s="4">
        <v>1</v>
      </c>
      <c r="S586" s="4">
        <f>IF($K586="","",Q586)</f>
      </c>
      <c r="T586" s="4">
        <f>IF($K586="","",L586-M586-N586-P586-Q586-R586)</f>
      </c>
      <c r="U586" s="4">
        <f>IF($K586="","",(T586-W586)/J586*100)</f>
      </c>
      <c r="V586" s="4">
        <f>IF($K586="","",M586-S586)</f>
      </c>
      <c r="X586" s="4">
        <f>IF($K586="","",T586-W586)</f>
      </c>
    </row>
    <row r="587" spans="1:29" x14ac:dyDescent="0.25">
      <c r="A587" s="8"/>
      <c r="D587" s="9"/>
      <c r="J587" s="4"/>
      <c r="K587" s="4"/>
      <c r="L587" s="4">
        <f>IF($K587="","",K587-J587)</f>
      </c>
      <c r="M587" s="4">
        <f>IF($K587="","",L587*16.67%)</f>
      </c>
      <c r="N587" s="4"/>
      <c r="O587" s="4">
        <f>IF($K587="","",N587*20%)</f>
      </c>
      <c r="P587" s="4"/>
      <c r="Q587" s="4">
        <f>IF($K587="","",P587*20%)</f>
      </c>
      <c r="R587" s="4">
        <v>1</v>
      </c>
      <c r="S587" s="4">
        <f>IF($K587="","",Q587)</f>
      </c>
      <c r="T587" s="4">
        <f>IF($K587="","",L587-M587-N587-P587-Q587-R587)</f>
      </c>
      <c r="U587" s="4">
        <f>IF($K587="","",(T587-W587)/J587*100)</f>
      </c>
      <c r="V587" s="4">
        <f>IF($K587="","",M587-S587)</f>
      </c>
      <c r="X587" s="4">
        <f>IF($K587="","",T587-W587)</f>
      </c>
    </row>
    <row r="588" spans="1:29" x14ac:dyDescent="0.25">
      <c r="A588" s="8"/>
      <c r="D588" s="9"/>
      <c r="J588" s="4"/>
      <c r="K588" s="4"/>
      <c r="L588" s="4">
        <f>IF($K588="","",K588-J588)</f>
      </c>
      <c r="M588" s="4">
        <f>IF($K588="","",L588*16.67%)</f>
      </c>
      <c r="N588" s="4"/>
      <c r="O588" s="4">
        <f>IF($K588="","",N588*20%)</f>
      </c>
      <c r="P588" s="4"/>
      <c r="Q588" s="4">
        <f>IF($K588="","",P588*20%)</f>
      </c>
      <c r="R588" s="4">
        <v>1</v>
      </c>
      <c r="S588" s="4">
        <f>IF($K588="","",Q588)</f>
      </c>
      <c r="T588" s="4">
        <f>IF($K588="","",L588-M588-N588-P588-Q588-R588)</f>
      </c>
      <c r="U588" s="4">
        <f>IF($K588="","",(T588-W588)/J588*100)</f>
      </c>
      <c r="V588" s="4">
        <f>IF($K588="","",M588-S588)</f>
      </c>
      <c r="X588" s="4">
        <f>IF($K588="","",T588-W588)</f>
      </c>
    </row>
    <row r="589" spans="1:29" x14ac:dyDescent="0.25">
      <c r="A589" s="8"/>
      <c r="D589" s="9"/>
      <c r="J589" s="4"/>
      <c r="K589" s="4"/>
      <c r="L589" s="4">
        <f>IF($K589="","",K589-J589)</f>
      </c>
      <c r="M589" s="4">
        <f>IF($K589="","",L589*16.67%)</f>
      </c>
      <c r="N589" s="4"/>
      <c r="O589" s="4">
        <f>IF($K589="","",N589*20%)</f>
      </c>
      <c r="P589" s="4"/>
      <c r="Q589" s="4">
        <f>IF($K589="","",P589*20%)</f>
      </c>
      <c r="R589" s="4">
        <v>1</v>
      </c>
      <c r="S589" s="4">
        <f>IF($K589="","",Q589)</f>
      </c>
      <c r="T589" s="4">
        <f>IF($K589="","",L589-M589-N589-P589-Q589-R589)</f>
      </c>
      <c r="U589" s="4">
        <f>IF($K589="","",(T589-W589)/J589*100)</f>
      </c>
      <c r="V589" s="4">
        <f>IF($K589="","",M589-S589)</f>
      </c>
      <c r="X589" s="4">
        <f>IF($K589="","",T589-W589)</f>
      </c>
    </row>
    <row r="590" spans="1:29" x14ac:dyDescent="0.25">
      <c r="A590" s="8"/>
      <c r="D590" s="9"/>
      <c r="J590" s="4"/>
      <c r="K590" s="4"/>
      <c r="L590" s="4">
        <f>IF($K590="","",K590-J590)</f>
      </c>
      <c r="M590" s="4">
        <f>IF($K590="","",L590*16.67%)</f>
      </c>
      <c r="N590" s="4"/>
      <c r="O590" s="4">
        <f>IF($K590="","",N590*20%)</f>
      </c>
      <c r="P590" s="4"/>
      <c r="Q590" s="4">
        <f>IF($K590="","",P590*20%)</f>
      </c>
      <c r="R590" s="4">
        <v>1</v>
      </c>
      <c r="S590" s="4">
        <f>IF($K590="","",Q590)</f>
      </c>
      <c r="T590" s="4">
        <f>IF($K590="","",L590-M590-N590-P590-Q590-R590)</f>
      </c>
      <c r="U590" s="4">
        <f>IF($K590="","",(T590-W590)/J590*100)</f>
      </c>
      <c r="V590" s="4">
        <f>IF($K590="","",M590-S590)</f>
      </c>
      <c r="X590" s="4">
        <f>IF($K590="","",T590-W590)</f>
      </c>
    </row>
    <row r="591" spans="1:29" x14ac:dyDescent="0.25">
      <c r="A591" s="8"/>
      <c r="D591" s="9"/>
      <c r="J591" s="4"/>
      <c r="K591" s="4"/>
      <c r="L591" s="4">
        <f>IF($K591="","",K591-J591)</f>
      </c>
      <c r="M591" s="4">
        <f>IF($K591="","",L591*16.67%)</f>
      </c>
      <c r="N591" s="4"/>
      <c r="O591" s="4">
        <f>IF($K591="","",N591*20%)</f>
      </c>
      <c r="P591" s="4"/>
      <c r="Q591" s="4">
        <f>IF($K591="","",P591*20%)</f>
      </c>
      <c r="R591" s="4">
        <v>1</v>
      </c>
      <c r="S591" s="4">
        <f>IF($K591="","",Q591)</f>
      </c>
      <c r="T591" s="4">
        <f>IF($K591="","",L591-M591-N591-P591-Q591-R591)</f>
      </c>
      <c r="U591" s="4">
        <f>IF($K591="","",(T591-W591)/J591*100)</f>
      </c>
      <c r="V591" s="4">
        <f>IF($K591="","",M591-S591)</f>
      </c>
      <c r="X591" s="4">
        <f>IF($K591="","",T591-W591)</f>
      </c>
    </row>
    <row r="592" spans="1:29" x14ac:dyDescent="0.25">
      <c r="A592" s="8"/>
      <c r="D592" s="9"/>
      <c r="J592" s="4"/>
      <c r="K592" s="4"/>
      <c r="L592" s="4">
        <f>IF($K592="","",K592-J592)</f>
      </c>
      <c r="M592" s="4">
        <f>IF($K592="","",L592*16.67%)</f>
      </c>
      <c r="N592" s="4"/>
      <c r="O592" s="4">
        <f>IF($K592="","",N592*20%)</f>
      </c>
      <c r="P592" s="4"/>
      <c r="Q592" s="4">
        <f>IF($K592="","",P592*20%)</f>
      </c>
      <c r="R592" s="4">
        <v>1</v>
      </c>
      <c r="S592" s="4">
        <f>IF($K592="","",Q592)</f>
      </c>
      <c r="T592" s="4">
        <f>IF($K592="","",L592-M592-N592-P592-Q592-R592)</f>
      </c>
      <c r="U592" s="4">
        <f>IF($K592="","",(T592-W592)/J592*100)</f>
      </c>
      <c r="V592" s="4">
        <f>IF($K592="","",M592-S592)</f>
      </c>
      <c r="X592" s="4">
        <f>IF($K592="","",T592-W592)</f>
      </c>
    </row>
    <row r="593" spans="1:29" x14ac:dyDescent="0.25">
      <c r="A593" s="8"/>
      <c r="D593" s="9"/>
      <c r="J593" s="4"/>
      <c r="K593" s="4"/>
      <c r="L593" s="4">
        <f>IF($K593="","",K593-J593)</f>
      </c>
      <c r="M593" s="4">
        <f>IF($K593="","",L593*16.67%)</f>
      </c>
      <c r="N593" s="4"/>
      <c r="O593" s="4">
        <f>IF($K593="","",N593*20%)</f>
      </c>
      <c r="P593" s="4"/>
      <c r="Q593" s="4">
        <f>IF($K593="","",P593*20%)</f>
      </c>
      <c r="R593" s="4">
        <v>1</v>
      </c>
      <c r="S593" s="4">
        <f>IF($K593="","",Q593)</f>
      </c>
      <c r="T593" s="4">
        <f>IF($K593="","",L593-M593-N593-P593-Q593-R593)</f>
      </c>
      <c r="U593" s="4">
        <f>IF($K593="","",(T593-W593)/J593*100)</f>
      </c>
      <c r="V593" s="4">
        <f>IF($K593="","",M593-S593)</f>
      </c>
      <c r="X593" s="4">
        <f>IF($K593="","",T593-W593)</f>
      </c>
    </row>
    <row r="594" spans="1:29" x14ac:dyDescent="0.25">
      <c r="A594" s="8"/>
      <c r="D594" s="9"/>
      <c r="J594" s="4"/>
      <c r="K594" s="4"/>
      <c r="L594" s="4">
        <f>IF($K594="","",K594-J594)</f>
      </c>
      <c r="M594" s="4">
        <f>IF($K594="","",L594*16.67%)</f>
      </c>
      <c r="N594" s="4"/>
      <c r="O594" s="4">
        <f>IF($K594="","",N594*20%)</f>
      </c>
      <c r="P594" s="4"/>
      <c r="Q594" s="4">
        <f>IF($K594="","",P594*20%)</f>
      </c>
      <c r="R594" s="4">
        <v>1</v>
      </c>
      <c r="S594" s="4">
        <f>IF($K594="","",Q594)</f>
      </c>
      <c r="T594" s="4">
        <f>IF($K594="","",L594-M594-N594-P594-Q594-R594)</f>
      </c>
      <c r="U594" s="4">
        <f>IF($K594="","",(T594-W594)/J594*100)</f>
      </c>
      <c r="V594" s="4">
        <f>IF($K594="","",M594-S594)</f>
      </c>
      <c r="X594" s="4">
        <f>IF($K594="","",T594-W594)</f>
      </c>
    </row>
    <row r="595" spans="1:29" x14ac:dyDescent="0.25">
      <c r="A595" s="8"/>
      <c r="D595" s="9"/>
      <c r="J595" s="4"/>
      <c r="K595" s="4"/>
      <c r="L595" s="4">
        <f>IF($K595="","",K595-J595)</f>
      </c>
      <c r="M595" s="4">
        <f>IF($K595="","",L595*16.67%)</f>
      </c>
      <c r="N595" s="4"/>
      <c r="O595" s="4">
        <f>IF($K595="","",N595*20%)</f>
      </c>
      <c r="P595" s="4"/>
      <c r="Q595" s="4">
        <f>IF($K595="","",P595*20%)</f>
      </c>
      <c r="R595" s="4">
        <v>1</v>
      </c>
      <c r="S595" s="4">
        <f>IF($K595="","",Q595)</f>
      </c>
      <c r="T595" s="4">
        <f>IF($K595="","",L595-M595-N595-P595-Q595-R595)</f>
      </c>
      <c r="U595" s="4">
        <f>IF($K595="","",(T595-W595)/J595*100)</f>
      </c>
      <c r="V595" s="4">
        <f>IF($K595="","",M595-S595)</f>
      </c>
      <c r="X595" s="4">
        <f>IF($K595="","",T595-W595)</f>
      </c>
    </row>
    <row r="596" spans="1:29" x14ac:dyDescent="0.25">
      <c r="A596" s="8"/>
      <c r="D596" s="9"/>
      <c r="J596" s="4"/>
      <c r="K596" s="4"/>
      <c r="L596" s="4">
        <f>IF($K596="","",K596-J596)</f>
      </c>
      <c r="M596" s="4">
        <f>IF($K596="","",L596*16.67%)</f>
      </c>
      <c r="N596" s="4"/>
      <c r="O596" s="4">
        <f>IF($K596="","",N596*20%)</f>
      </c>
      <c r="P596" s="4"/>
      <c r="Q596" s="4">
        <f>IF($K596="","",P596*20%)</f>
      </c>
      <c r="R596" s="4">
        <v>1</v>
      </c>
      <c r="S596" s="4">
        <f>IF($K596="","",Q596)</f>
      </c>
      <c r="T596" s="4">
        <f>IF($K596="","",L596-M596-N596-P596-Q596-R596)</f>
      </c>
      <c r="U596" s="4">
        <f>IF($K596="","",(T596-W596)/J596*100)</f>
      </c>
      <c r="V596" s="4">
        <f>IF($K596="","",M596-S596)</f>
      </c>
      <c r="X596" s="4">
        <f>IF($K596="","",T596-W596)</f>
      </c>
    </row>
    <row r="597" spans="1:29" x14ac:dyDescent="0.25">
      <c r="A597" s="8"/>
      <c r="D597" s="9"/>
      <c r="J597" s="4"/>
      <c r="K597" s="4"/>
      <c r="L597" s="4">
        <f>IF($K597="","",K597-J597)</f>
      </c>
      <c r="M597" s="4">
        <f>IF($K597="","",L597*16.67%)</f>
      </c>
      <c r="N597" s="4"/>
      <c r="O597" s="4">
        <f>IF($K597="","",N597*20%)</f>
      </c>
      <c r="P597" s="4"/>
      <c r="Q597" s="4">
        <f>IF($K597="","",P597*20%)</f>
      </c>
      <c r="R597" s="4">
        <v>1</v>
      </c>
      <c r="S597" s="4">
        <f>IF($K597="","",Q597)</f>
      </c>
      <c r="T597" s="4">
        <f>IF($K597="","",L597-M597-N597-P597-Q597-R597)</f>
      </c>
      <c r="U597" s="4">
        <f>IF($K597="","",(T597-W597)/J597*100)</f>
      </c>
      <c r="V597" s="4">
        <f>IF($K597="","",M597-S597)</f>
      </c>
      <c r="X597" s="4">
        <f>IF($K597="","",T597-W597)</f>
      </c>
    </row>
    <row r="598" spans="1:29" x14ac:dyDescent="0.25">
      <c r="A598" s="8"/>
      <c r="D598" s="9"/>
      <c r="J598" s="4"/>
      <c r="K598" s="4"/>
      <c r="L598" s="4">
        <f>IF($K598="","",K598-J598)</f>
      </c>
      <c r="M598" s="4">
        <f>IF($K598="","",L598*16.67%)</f>
      </c>
      <c r="N598" s="4"/>
      <c r="O598" s="4">
        <f>IF($K598="","",N598*20%)</f>
      </c>
      <c r="P598" s="4"/>
      <c r="Q598" s="4">
        <f>IF($K598="","",P598*20%)</f>
      </c>
      <c r="R598" s="4">
        <v>1</v>
      </c>
      <c r="S598" s="4">
        <f>IF($K598="","",Q598)</f>
      </c>
      <c r="T598" s="4">
        <f>IF($K598="","",L598-M598-N598-P598-Q598-R598)</f>
      </c>
      <c r="U598" s="4">
        <f>IF($K598="","",(T598-W598)/J598*100)</f>
      </c>
      <c r="V598" s="4">
        <f>IF($K598="","",M598-S598)</f>
      </c>
      <c r="X598" s="4">
        <f>IF($K598="","",T598-W598)</f>
      </c>
    </row>
    <row r="599" spans="1:29" x14ac:dyDescent="0.25">
      <c r="A599" s="8"/>
      <c r="D599" s="9"/>
      <c r="J599" s="4"/>
      <c r="K599" s="4"/>
      <c r="L599" s="4">
        <f>IF($K599="","",K599-J599)</f>
      </c>
      <c r="M599" s="4">
        <f>IF($K599="","",L599*16.67%)</f>
      </c>
      <c r="N599" s="4"/>
      <c r="O599" s="4">
        <f>IF($K599="","",N599*20%)</f>
      </c>
      <c r="P599" s="4"/>
      <c r="Q599" s="4">
        <f>IF($K599="","",P599*20%)</f>
      </c>
      <c r="R599" s="4">
        <v>1</v>
      </c>
      <c r="S599" s="4">
        <f>IF($K599="","",Q599)</f>
      </c>
      <c r="T599" s="4">
        <f>IF($K599="","",L599-M599-N599-P599-Q599-R599)</f>
      </c>
      <c r="U599" s="4">
        <f>IF($K599="","",(T599-W599)/J599*100)</f>
      </c>
      <c r="V599" s="4">
        <f>IF($K599="","",M599-S599)</f>
      </c>
      <c r="X599" s="4">
        <f>IF($K599="","",T599-W599)</f>
      </c>
    </row>
    <row r="600" spans="1:29" x14ac:dyDescent="0.25">
      <c r="A600" s="8"/>
      <c r="D600" s="9"/>
      <c r="J600" s="4"/>
      <c r="K600" s="4"/>
      <c r="L600" s="4">
        <f>IF($K600="","",K600-J600)</f>
      </c>
      <c r="M600" s="4">
        <f>IF($K600="","",L600*16.67%)</f>
      </c>
      <c r="N600" s="4"/>
      <c r="O600" s="4">
        <f>IF($K600="","",N600*20%)</f>
      </c>
      <c r="P600" s="4"/>
      <c r="Q600" s="4">
        <f>IF($K600="","",P600*20%)</f>
      </c>
      <c r="R600" s="4">
        <v>1</v>
      </c>
      <c r="S600" s="4">
        <f>IF($K600="","",Q600)</f>
      </c>
      <c r="T600" s="4">
        <f>IF($K600="","",L600-M600-N600-P600-Q600-R600)</f>
      </c>
      <c r="U600" s="4">
        <f>IF($K600="","",(T600-W600)/J600*100)</f>
      </c>
      <c r="V600" s="4">
        <f>IF($K600="","",M600-S600)</f>
      </c>
      <c r="X600" s="4">
        <f>IF($K600="","",T600-W600)</f>
      </c>
    </row>
    <row r="601" spans="1:29" x14ac:dyDescent="0.25">
      <c r="A601" s="8"/>
      <c r="D601" s="9"/>
      <c r="J601" s="4"/>
      <c r="K601" s="4"/>
      <c r="L601" s="4">
        <f>IF($K601="","",K601-J601)</f>
      </c>
      <c r="M601" s="4">
        <f>IF($K601="","",L601*16.67%)</f>
      </c>
      <c r="N601" s="4"/>
      <c r="O601" s="4">
        <f>IF($K601="","",N601*20%)</f>
      </c>
      <c r="P601" s="4"/>
      <c r="Q601" s="4">
        <f>IF($K601="","",P601*20%)</f>
      </c>
      <c r="R601" s="4">
        <v>1</v>
      </c>
      <c r="S601" s="4">
        <f>IF($K601="","",Q601)</f>
      </c>
      <c r="T601" s="4">
        <f>IF($K601="","",L601-M601-N601-P601-Q601-R601)</f>
      </c>
      <c r="U601" s="4">
        <f>IF($K601="","",(T601-W601)/J601*100)</f>
      </c>
      <c r="V601" s="4">
        <f>IF($K601="","",M601-S601)</f>
      </c>
      <c r="X601" s="4">
        <f>IF($K601="","",T601-W601)</f>
      </c>
    </row>
    <row r="602" spans="1:29" x14ac:dyDescent="0.25">
      <c r="A602" s="8"/>
      <c r="D602" s="9"/>
      <c r="J602" s="4"/>
      <c r="K602" s="4"/>
      <c r="L602" s="4">
        <f>IF($K602="","",K602-J602)</f>
      </c>
      <c r="M602" s="4">
        <f>IF($K602="","",L602*16.67%)</f>
      </c>
      <c r="N602" s="4"/>
      <c r="O602" s="4">
        <f>IF($K602="","",N602*20%)</f>
      </c>
      <c r="P602" s="4"/>
      <c r="Q602" s="4">
        <f>IF($K602="","",P602*20%)</f>
      </c>
      <c r="R602" s="4">
        <v>1</v>
      </c>
      <c r="S602" s="4">
        <f>IF($K602="","",Q602)</f>
      </c>
      <c r="T602" s="4">
        <f>IF($K602="","",L602-M602-N602-P602-Q602-R602)</f>
      </c>
      <c r="U602" s="4">
        <f>IF($K602="","",(T602-W602)/J602*100)</f>
      </c>
      <c r="V602" s="4">
        <f>IF($K602="","",M602-S602)</f>
      </c>
      <c r="X602" s="4">
        <f>IF($K602="","",T602-W602)</f>
      </c>
    </row>
    <row r="603" spans="1:29" x14ac:dyDescent="0.25">
      <c r="A603" s="8"/>
      <c r="D603" s="9"/>
      <c r="J603" s="4"/>
      <c r="K603" s="4"/>
      <c r="L603" s="4">
        <f>IF($K603="","",K603-J603)</f>
      </c>
      <c r="M603" s="4">
        <f>IF($K603="","",L603*16.67%)</f>
      </c>
      <c r="N603" s="4"/>
      <c r="O603" s="4">
        <f>IF($K603="","",N603*20%)</f>
      </c>
      <c r="P603" s="4"/>
      <c r="Q603" s="4">
        <f>IF($K603="","",P603*20%)</f>
      </c>
      <c r="R603" s="4">
        <v>1</v>
      </c>
      <c r="S603" s="4">
        <f>IF($K603="","",Q603)</f>
      </c>
      <c r="T603" s="4">
        <f>IF($K603="","",L603-M603-N603-P603-Q603-R603)</f>
      </c>
      <c r="U603" s="4">
        <f>IF($K603="","",(T603-W603)/J603*100)</f>
      </c>
      <c r="V603" s="4">
        <f>IF($K603="","",M603-S603)</f>
      </c>
      <c r="X603" s="4">
        <f>IF($K603="","",T603-W603)</f>
      </c>
    </row>
    <row r="604" spans="1:29" x14ac:dyDescent="0.25">
      <c r="A604" s="8"/>
      <c r="D604" s="9"/>
      <c r="J604" s="4"/>
      <c r="K604" s="4"/>
      <c r="L604" s="4">
        <f>IF($K604="","",K604-J604)</f>
      </c>
      <c r="M604" s="4">
        <f>IF($K604="","",L604*16.67%)</f>
      </c>
      <c r="N604" s="4"/>
      <c r="O604" s="4">
        <f>IF($K604="","",N604*20%)</f>
      </c>
      <c r="P604" s="4"/>
      <c r="Q604" s="4">
        <f>IF($K604="","",P604*20%)</f>
      </c>
      <c r="R604" s="4">
        <v>1</v>
      </c>
      <c r="S604" s="4">
        <f>IF($K604="","",Q604)</f>
      </c>
      <c r="T604" s="4">
        <f>IF($K604="","",L604-M604-N604-P604-Q604-R604)</f>
      </c>
      <c r="U604" s="4">
        <f>IF($K604="","",(T604-W604)/J604*100)</f>
      </c>
      <c r="V604" s="4">
        <f>IF($K604="","",M604-S604)</f>
      </c>
      <c r="X604" s="4">
        <f>IF($K604="","",T604-W604)</f>
      </c>
    </row>
    <row r="605" spans="1:29" x14ac:dyDescent="0.25">
      <c r="A605" s="8"/>
      <c r="D605" s="9"/>
      <c r="J605" s="4"/>
      <c r="K605" s="4"/>
      <c r="L605" s="4">
        <f>IF($K605="","",K605-J605)</f>
      </c>
      <c r="M605" s="4">
        <f>IF($K605="","",L605*16.67%)</f>
      </c>
      <c r="N605" s="4"/>
      <c r="O605" s="4">
        <f>IF($K605="","",N605*20%)</f>
      </c>
      <c r="P605" s="4"/>
      <c r="Q605" s="4">
        <f>IF($K605="","",P605*20%)</f>
      </c>
      <c r="R605" s="4">
        <v>1</v>
      </c>
      <c r="S605" s="4">
        <f>IF($K605="","",Q605)</f>
      </c>
      <c r="T605" s="4">
        <f>IF($K605="","",L605-M605-N605-P605-Q605-R605)</f>
      </c>
      <c r="U605" s="4">
        <f>IF($K605="","",(T605-W605)/J605*100)</f>
      </c>
      <c r="V605" s="4">
        <f>IF($K605="","",M605-S605)</f>
      </c>
      <c r="X605" s="4">
        <f>IF($K605="","",T605-W605)</f>
      </c>
    </row>
    <row r="606" spans="1:29" x14ac:dyDescent="0.25">
      <c r="A606" s="8"/>
      <c r="D606" s="9"/>
      <c r="J606" s="4"/>
      <c r="K606" s="4"/>
      <c r="L606" s="4">
        <f>IF($K606="","",K606-J606)</f>
      </c>
      <c r="M606" s="4">
        <f>IF($K606="","",L606*16.67%)</f>
      </c>
      <c r="N606" s="4"/>
      <c r="O606" s="4">
        <f>IF($K606="","",N606*20%)</f>
      </c>
      <c r="P606" s="4"/>
      <c r="Q606" s="4">
        <f>IF($K606="","",P606*20%)</f>
      </c>
      <c r="R606" s="4">
        <v>1</v>
      </c>
      <c r="S606" s="4">
        <f>IF($K606="","",Q606)</f>
      </c>
      <c r="T606" s="4">
        <f>IF($K606="","",L606-M606-N606-P606-Q606-R606)</f>
      </c>
      <c r="U606" s="4">
        <f>IF($K606="","",(T606-W606)/J606*100)</f>
      </c>
      <c r="V606" s="4">
        <f>IF($K606="","",M606-S606)</f>
      </c>
      <c r="X606" s="4">
        <f>IF($K606="","",T606-W606)</f>
      </c>
    </row>
    <row r="607" spans="1:29" x14ac:dyDescent="0.25">
      <c r="A607" s="8"/>
      <c r="D607" s="9"/>
      <c r="J607" s="4"/>
      <c r="K607" s="4"/>
      <c r="L607" s="4">
        <f>IF($K607="","",K607-J607)</f>
      </c>
      <c r="M607" s="4">
        <f>IF($K607="","",L607*16.67%)</f>
      </c>
      <c r="N607" s="4"/>
      <c r="O607" s="4">
        <f>IF($K607="","",N607*20%)</f>
      </c>
      <c r="P607" s="4"/>
      <c r="Q607" s="4">
        <f>IF($K607="","",P607*20%)</f>
      </c>
      <c r="R607" s="4">
        <v>1</v>
      </c>
      <c r="S607" s="4">
        <f>IF($K607="","",Q607)</f>
      </c>
      <c r="T607" s="4">
        <f>IF($K607="","",L607-M607-N607-P607-Q607-R607)</f>
      </c>
      <c r="U607" s="4">
        <f>IF($K607="","",(T607-W607)/J607*100)</f>
      </c>
      <c r="V607" s="4">
        <f>IF($K607="","",M607-S607)</f>
      </c>
      <c r="X607" s="4">
        <f>IF($K607="","",T607-W607)</f>
      </c>
    </row>
    <row r="608" spans="1:29" x14ac:dyDescent="0.25">
      <c r="A608" s="8"/>
      <c r="D608" s="9"/>
      <c r="J608" s="4"/>
      <c r="K608" s="4"/>
      <c r="L608" s="4">
        <f>IF($K608="","",K608-J608)</f>
      </c>
      <c r="M608" s="4">
        <f>IF($K608="","",L608*16.67%)</f>
      </c>
      <c r="N608" s="4"/>
      <c r="O608" s="4">
        <f>IF($K608="","",N608*20%)</f>
      </c>
      <c r="P608" s="4"/>
      <c r="Q608" s="4">
        <f>IF($K608="","",P608*20%)</f>
      </c>
      <c r="R608" s="4">
        <v>1</v>
      </c>
      <c r="S608" s="4">
        <f>IF($K608="","",Q608)</f>
      </c>
      <c r="T608" s="4">
        <f>IF($K608="","",L608-M608-N608-P608-Q608-R608)</f>
      </c>
      <c r="U608" s="4">
        <f>IF($K608="","",(T608-W608)/J608*100)</f>
      </c>
      <c r="V608" s="4">
        <f>IF($K608="","",M608-S608)</f>
      </c>
      <c r="X608" s="4">
        <f>IF($K608="","",T608-W608)</f>
      </c>
    </row>
    <row r="609" spans="1:29" x14ac:dyDescent="0.25">
      <c r="A609" s="8"/>
      <c r="D609" s="9"/>
      <c r="J609" s="4"/>
      <c r="K609" s="4"/>
      <c r="L609" s="4">
        <f>IF($K609="","",K609-J609)</f>
      </c>
      <c r="M609" s="4">
        <f>IF($K609="","",L609*16.67%)</f>
      </c>
      <c r="N609" s="4"/>
      <c r="O609" s="4">
        <f>IF($K609="","",N609*20%)</f>
      </c>
      <c r="P609" s="4"/>
      <c r="Q609" s="4">
        <f>IF($K609="","",P609*20%)</f>
      </c>
      <c r="R609" s="4">
        <v>1</v>
      </c>
      <c r="S609" s="4">
        <f>IF($K609="","",Q609)</f>
      </c>
      <c r="T609" s="4">
        <f>IF($K609="","",L609-M609-N609-P609-Q609-R609)</f>
      </c>
      <c r="U609" s="4">
        <f>IF($K609="","",(T609-W609)/J609*100)</f>
      </c>
      <c r="V609" s="4">
        <f>IF($K609="","",M609-S609)</f>
      </c>
      <c r="X609" s="4">
        <f>IF($K609="","",T609-W609)</f>
      </c>
    </row>
    <row r="610" spans="1:29" x14ac:dyDescent="0.25">
      <c r="A610" s="8"/>
      <c r="D610" s="9"/>
      <c r="J610" s="4"/>
      <c r="K610" s="4"/>
      <c r="L610" s="4">
        <f>IF($K610="","",K610-J610)</f>
      </c>
      <c r="M610" s="4">
        <f>IF($K610="","",L610*16.67%)</f>
      </c>
      <c r="N610" s="4"/>
      <c r="O610" s="4">
        <f>IF($K610="","",N610*20%)</f>
      </c>
      <c r="P610" s="4"/>
      <c r="Q610" s="4">
        <f>IF($K610="","",P610*20%)</f>
      </c>
      <c r="R610" s="4">
        <v>1</v>
      </c>
      <c r="S610" s="4">
        <f>IF($K610="","",Q610)</f>
      </c>
      <c r="T610" s="4">
        <f>IF($K610="","",L610-M610-N610-P610-Q610-R610)</f>
      </c>
      <c r="U610" s="4">
        <f>IF($K610="","",(T610-W610)/J610*100)</f>
      </c>
      <c r="V610" s="4">
        <f>IF($K610="","",M610-S610)</f>
      </c>
      <c r="X610" s="4">
        <f>IF($K610="","",T610-W610)</f>
      </c>
    </row>
    <row r="611" spans="1:29" x14ac:dyDescent="0.25">
      <c r="A611" s="8"/>
      <c r="D611" s="9"/>
      <c r="J611" s="4"/>
      <c r="K611" s="4"/>
      <c r="L611" s="4">
        <f>IF($K611="","",K611-J611)</f>
      </c>
      <c r="M611" s="4">
        <f>IF($K611="","",L611*16.67%)</f>
      </c>
      <c r="N611" s="4"/>
      <c r="O611" s="4">
        <f>IF($K611="","",N611*20%)</f>
      </c>
      <c r="P611" s="4"/>
      <c r="Q611" s="4">
        <f>IF($K611="","",P611*20%)</f>
      </c>
      <c r="R611" s="4">
        <v>1</v>
      </c>
      <c r="S611" s="4">
        <f>IF($K611="","",Q611)</f>
      </c>
      <c r="T611" s="4">
        <f>IF($K611="","",L611-M611-N611-P611-Q611-R611)</f>
      </c>
      <c r="U611" s="4">
        <f>IF($K611="","",(T611-W611)/J611*100)</f>
      </c>
      <c r="V611" s="4">
        <f>IF($K611="","",M611-S611)</f>
      </c>
      <c r="X611" s="4">
        <f>IF($K611="","",T611-W611)</f>
      </c>
    </row>
    <row r="612" spans="1:29" x14ac:dyDescent="0.25">
      <c r="A612" s="8"/>
      <c r="D612" s="9"/>
      <c r="J612" s="4"/>
      <c r="K612" s="4"/>
      <c r="L612" s="4">
        <f>IF($K612="","",K612-J612)</f>
      </c>
      <c r="M612" s="4">
        <f>IF($K612="","",L612*16.67%)</f>
      </c>
      <c r="N612" s="4"/>
      <c r="O612" s="4">
        <f>IF($K612="","",N612*20%)</f>
      </c>
      <c r="P612" s="4"/>
      <c r="Q612" s="4">
        <f>IF($K612="","",P612*20%)</f>
      </c>
      <c r="R612" s="4">
        <v>1</v>
      </c>
      <c r="S612" s="4">
        <f>IF($K612="","",Q612)</f>
      </c>
      <c r="T612" s="4">
        <f>IF($K612="","",L612-M612-N612-P612-Q612-R612)</f>
      </c>
      <c r="U612" s="4">
        <f>IF($K612="","",(T612-W612)/J612*100)</f>
      </c>
      <c r="V612" s="4">
        <f>IF($K612="","",M612-S612)</f>
      </c>
      <c r="X612" s="4">
        <f>IF($K612="","",T612-W612)</f>
      </c>
    </row>
    <row r="613" spans="1:29" x14ac:dyDescent="0.25">
      <c r="A613" s="8"/>
      <c r="D613" s="9"/>
      <c r="J613" s="4"/>
      <c r="K613" s="4"/>
      <c r="L613" s="4">
        <f>IF($K613="","",K613-J613)</f>
      </c>
      <c r="M613" s="4">
        <f>IF($K613="","",L613*16.67%)</f>
      </c>
      <c r="N613" s="4"/>
      <c r="O613" s="4">
        <f>IF($K613="","",N613*20%)</f>
      </c>
      <c r="P613" s="4"/>
      <c r="Q613" s="4">
        <f>IF($K613="","",P613*20%)</f>
      </c>
      <c r="R613" s="4">
        <v>1</v>
      </c>
      <c r="S613" s="4">
        <f>IF($K613="","",Q613)</f>
      </c>
      <c r="T613" s="4">
        <f>IF($K613="","",L613-M613-N613-P613-Q613-R613)</f>
      </c>
      <c r="U613" s="4">
        <f>IF($K613="","",(T613-W613)/J613*100)</f>
      </c>
      <c r="V613" s="4">
        <f>IF($K613="","",M613-S613)</f>
      </c>
      <c r="X613" s="4">
        <f>IF($K613="","",T613-W613)</f>
      </c>
    </row>
    <row r="614" spans="1:29" x14ac:dyDescent="0.25">
      <c r="A614" s="8"/>
      <c r="D614" s="9"/>
      <c r="J614" s="4"/>
      <c r="K614" s="4"/>
      <c r="L614" s="4">
        <f>IF($K614="","",K614-J614)</f>
      </c>
      <c r="M614" s="4">
        <f>IF($K614="","",L614*16.67%)</f>
      </c>
      <c r="N614" s="4"/>
      <c r="O614" s="4">
        <f>IF($K614="","",N614*20%)</f>
      </c>
      <c r="P614" s="4"/>
      <c r="Q614" s="4">
        <f>IF($K614="","",P614*20%)</f>
      </c>
      <c r="R614" s="4">
        <v>1</v>
      </c>
      <c r="S614" s="4">
        <f>IF($K614="","",Q614)</f>
      </c>
      <c r="T614" s="4">
        <f>IF($K614="","",L614-M614-N614-P614-Q614-R614)</f>
      </c>
      <c r="U614" s="4">
        <f>IF($K614="","",(T614-W614)/J614*100)</f>
      </c>
      <c r="V614" s="4">
        <f>IF($K614="","",M614-S614)</f>
      </c>
      <c r="X614" s="4">
        <f>IF($K614="","",T614-W614)</f>
      </c>
    </row>
    <row r="615" spans="1:29" x14ac:dyDescent="0.25">
      <c r="A615" s="8"/>
      <c r="D615" s="9"/>
      <c r="J615" s="4"/>
      <c r="K615" s="4"/>
      <c r="L615" s="4">
        <f>IF($K615="","",K615-J615)</f>
      </c>
      <c r="M615" s="4">
        <f>IF($K615="","",L615*16.67%)</f>
      </c>
      <c r="N615" s="4"/>
      <c r="O615" s="4">
        <f>IF($K615="","",N615*20%)</f>
      </c>
      <c r="P615" s="4"/>
      <c r="Q615" s="4">
        <f>IF($K615="","",P615*20%)</f>
      </c>
      <c r="R615" s="4">
        <v>1</v>
      </c>
      <c r="S615" s="4">
        <f>IF($K615="","",Q615)</f>
      </c>
      <c r="T615" s="4">
        <f>IF($K615="","",L615-M615-N615-P615-Q615-R615)</f>
      </c>
      <c r="U615" s="4">
        <f>IF($K615="","",(T615-W615)/J615*100)</f>
      </c>
      <c r="V615" s="4">
        <f>IF($K615="","",M615-S615)</f>
      </c>
      <c r="X615" s="4">
        <f>IF($K615="","",T615-W615)</f>
      </c>
    </row>
    <row r="616" spans="1:29" x14ac:dyDescent="0.25">
      <c r="A616" s="8"/>
      <c r="D616" s="9"/>
      <c r="J616" s="4"/>
      <c r="K616" s="4"/>
      <c r="L616" s="4">
        <f>IF($K616="","",K616-J616)</f>
      </c>
      <c r="M616" s="4">
        <f>IF($K616="","",L616*16.67%)</f>
      </c>
      <c r="N616" s="4"/>
      <c r="O616" s="4">
        <f>IF($K616="","",N616*20%)</f>
      </c>
      <c r="P616" s="4"/>
      <c r="Q616" s="4">
        <f>IF($K616="","",P616*20%)</f>
      </c>
      <c r="R616" s="4">
        <v>1</v>
      </c>
      <c r="S616" s="4">
        <f>IF($K616="","",Q616)</f>
      </c>
      <c r="T616" s="4">
        <f>IF($K616="","",L616-M616-N616-P616-Q616-R616)</f>
      </c>
      <c r="U616" s="4">
        <f>IF($K616="","",(T616-W616)/J616*100)</f>
      </c>
      <c r="V616" s="4">
        <f>IF($K616="","",M616-S616)</f>
      </c>
      <c r="X616" s="4">
        <f>IF($K616="","",T616-W616)</f>
      </c>
    </row>
    <row r="617" spans="1:29" x14ac:dyDescent="0.25">
      <c r="A617" s="8"/>
      <c r="D617" s="9"/>
      <c r="J617" s="4"/>
      <c r="K617" s="4"/>
      <c r="L617" s="4">
        <f>IF($K617="","",K617-J617)</f>
      </c>
      <c r="M617" s="4">
        <f>IF($K617="","",L617*16.67%)</f>
      </c>
      <c r="N617" s="4"/>
      <c r="O617" s="4">
        <f>IF($K617="","",N617*20%)</f>
      </c>
      <c r="P617" s="4"/>
      <c r="Q617" s="4">
        <f>IF($K617="","",P617*20%)</f>
      </c>
      <c r="R617" s="4">
        <v>1</v>
      </c>
      <c r="S617" s="4">
        <f>IF($K617="","",Q617)</f>
      </c>
      <c r="T617" s="4">
        <f>IF($K617="","",L617-M617-N617-P617-Q617-R617)</f>
      </c>
      <c r="U617" s="4">
        <f>IF($K617="","",(T617-W617)/J617*100)</f>
      </c>
      <c r="V617" s="4">
        <f>IF($K617="","",M617-S617)</f>
      </c>
      <c r="X617" s="4">
        <f>IF($K617="","",T617-W617)</f>
      </c>
    </row>
    <row r="618" spans="1:29" x14ac:dyDescent="0.25">
      <c r="A618" s="8"/>
      <c r="D618" s="9"/>
      <c r="J618" s="4"/>
      <c r="K618" s="4"/>
      <c r="L618" s="4">
        <f>IF($K618="","",K618-J618)</f>
      </c>
      <c r="M618" s="4">
        <f>IF($K618="","",L618*16.67%)</f>
      </c>
      <c r="N618" s="4"/>
      <c r="O618" s="4">
        <f>IF($K618="","",N618*20%)</f>
      </c>
      <c r="P618" s="4"/>
      <c r="Q618" s="4">
        <f>IF($K618="","",P618*20%)</f>
      </c>
      <c r="R618" s="4">
        <v>1</v>
      </c>
      <c r="S618" s="4">
        <f>IF($K618="","",Q618)</f>
      </c>
      <c r="T618" s="4">
        <f>IF($K618="","",L618-M618-N618-P618-Q618-R618)</f>
      </c>
      <c r="U618" s="4">
        <f>IF($K618="","",(T618-W618)/J618*100)</f>
      </c>
      <c r="V618" s="4">
        <f>IF($K618="","",M618-S618)</f>
      </c>
      <c r="X618" s="4">
        <f>IF($K618="","",T618-W618)</f>
      </c>
    </row>
    <row r="619" spans="1:29" x14ac:dyDescent="0.25">
      <c r="A619" s="8"/>
      <c r="D619" s="9"/>
      <c r="J619" s="4"/>
      <c r="K619" s="4"/>
      <c r="L619" s="4">
        <f>IF($K619="","",K619-J619)</f>
      </c>
      <c r="M619" s="4">
        <f>IF($K619="","",L619*16.67%)</f>
      </c>
      <c r="N619" s="4"/>
      <c r="O619" s="4">
        <f>IF($K619="","",N619*20%)</f>
      </c>
      <c r="P619" s="4"/>
      <c r="Q619" s="4">
        <f>IF($K619="","",P619*20%)</f>
      </c>
      <c r="R619" s="4">
        <v>1</v>
      </c>
      <c r="S619" s="4">
        <f>IF($K619="","",Q619)</f>
      </c>
      <c r="T619" s="4">
        <f>IF($K619="","",L619-M619-N619-P619-Q619-R619)</f>
      </c>
      <c r="U619" s="4">
        <f>IF($K619="","",(T619-W619)/J619*100)</f>
      </c>
      <c r="V619" s="4">
        <f>IF($K619="","",M619-S619)</f>
      </c>
      <c r="X619" s="4">
        <f>IF($K619="","",T619-W619)</f>
      </c>
    </row>
    <row r="620" spans="1:29" x14ac:dyDescent="0.25">
      <c r="A620" s="8"/>
      <c r="D620" s="9"/>
      <c r="J620" s="4"/>
      <c r="K620" s="4"/>
      <c r="L620" s="4">
        <f>IF($K620="","",K620-J620)</f>
      </c>
      <c r="M620" s="4">
        <f>IF($K620="","",L620*16.67%)</f>
      </c>
      <c r="N620" s="4"/>
      <c r="O620" s="4">
        <f>IF($K620="","",N620*20%)</f>
      </c>
      <c r="P620" s="4"/>
      <c r="Q620" s="4">
        <f>IF($K620="","",P620*20%)</f>
      </c>
      <c r="R620" s="4">
        <v>1</v>
      </c>
      <c r="S620" s="4">
        <f>IF($K620="","",Q620)</f>
      </c>
      <c r="T620" s="4">
        <f>IF($K620="","",L620-M620-N620-P620-Q620-R620)</f>
      </c>
      <c r="U620" s="4">
        <f>IF($K620="","",(T620-W620)/J620*100)</f>
      </c>
      <c r="V620" s="4">
        <f>IF($K620="","",M620-S620)</f>
      </c>
      <c r="X620" s="4">
        <f>IF($K620="","",T620-W620)</f>
      </c>
    </row>
    <row r="621" spans="1:29" x14ac:dyDescent="0.25">
      <c r="A621" s="8"/>
      <c r="D621" s="9"/>
      <c r="J621" s="4"/>
      <c r="K621" s="4"/>
      <c r="L621" s="4">
        <f>IF($K621="","",K621-J621)</f>
      </c>
      <c r="M621" s="4">
        <f>IF($K621="","",L621*16.67%)</f>
      </c>
      <c r="N621" s="4"/>
      <c r="O621" s="4">
        <f>IF($K621="","",N621*20%)</f>
      </c>
      <c r="P621" s="4"/>
      <c r="Q621" s="4">
        <f>IF($K621="","",P621*20%)</f>
      </c>
      <c r="R621" s="4">
        <v>1</v>
      </c>
      <c r="S621" s="4">
        <f>IF($K621="","",Q621)</f>
      </c>
      <c r="T621" s="4">
        <f>IF($K621="","",L621-M621-N621-P621-Q621-R621)</f>
      </c>
      <c r="U621" s="4">
        <f>IF($K621="","",(T621-W621)/J621*100)</f>
      </c>
      <c r="V621" s="4">
        <f>IF($K621="","",M621-S621)</f>
      </c>
      <c r="X621" s="4">
        <f>IF($K621="","",T621-W621)</f>
      </c>
    </row>
    <row r="622" spans="1:29" x14ac:dyDescent="0.25">
      <c r="A622" s="8"/>
      <c r="D622" s="9"/>
      <c r="J622" s="4"/>
      <c r="K622" s="4"/>
      <c r="L622" s="4">
        <f>IF($K622="","",K622-J622)</f>
      </c>
      <c r="M622" s="4">
        <f>IF($K622="","",L622*16.67%)</f>
      </c>
      <c r="N622" s="4"/>
      <c r="O622" s="4">
        <f>IF($K622="","",N622*20%)</f>
      </c>
      <c r="P622" s="4"/>
      <c r="Q622" s="4">
        <f>IF($K622="","",P622*20%)</f>
      </c>
      <c r="R622" s="4">
        <v>1</v>
      </c>
      <c r="S622" s="4">
        <f>IF($K622="","",Q622)</f>
      </c>
      <c r="T622" s="4">
        <f>IF($K622="","",L622-M622-N622-P622-Q622-R622)</f>
      </c>
      <c r="U622" s="4">
        <f>IF($K622="","",(T622-W622)/J622*100)</f>
      </c>
      <c r="V622" s="4">
        <f>IF($K622="","",M622-S622)</f>
      </c>
      <c r="X622" s="4">
        <f>IF($K622="","",T622-W622)</f>
      </c>
    </row>
    <row r="623" spans="1:29" x14ac:dyDescent="0.25">
      <c r="A623" s="8"/>
      <c r="D623" s="9"/>
      <c r="J623" s="4"/>
      <c r="K623" s="4"/>
      <c r="L623" s="4">
        <f>IF($K623="","",K623-J623)</f>
      </c>
      <c r="M623" s="4">
        <f>IF($K623="","",L623*16.67%)</f>
      </c>
      <c r="N623" s="4"/>
      <c r="O623" s="4">
        <f>IF($K623="","",N623*20%)</f>
      </c>
      <c r="P623" s="4"/>
      <c r="Q623" s="4">
        <f>IF($K623="","",P623*20%)</f>
      </c>
      <c r="R623" s="4">
        <v>1</v>
      </c>
      <c r="S623" s="4">
        <f>IF($K623="","",Q623)</f>
      </c>
      <c r="T623" s="4">
        <f>IF($K623="","",L623-M623-N623-P623-Q623-R623)</f>
      </c>
      <c r="U623" s="4">
        <f>IF($K623="","",(T623-W623)/J623*100)</f>
      </c>
      <c r="V623" s="4">
        <f>IF($K623="","",M623-S623)</f>
      </c>
      <c r="X623" s="4">
        <f>IF($K623="","",T623-W623)</f>
      </c>
    </row>
    <row r="624" spans="1:29" x14ac:dyDescent="0.25">
      <c r="A624" s="8"/>
      <c r="D624" s="9"/>
      <c r="J624" s="4"/>
      <c r="K624" s="4"/>
      <c r="L624" s="4">
        <f>IF($K624="","",K624-J624)</f>
      </c>
      <c r="M624" s="4">
        <f>IF($K624="","",L624*16.67%)</f>
      </c>
      <c r="N624" s="4"/>
      <c r="O624" s="4">
        <f>IF($K624="","",N624*20%)</f>
      </c>
      <c r="P624" s="4"/>
      <c r="Q624" s="4">
        <f>IF($K624="","",P624*20%)</f>
      </c>
      <c r="R624" s="4">
        <v>1</v>
      </c>
      <c r="S624" s="4">
        <f>IF($K624="","",Q624)</f>
      </c>
      <c r="T624" s="4">
        <f>IF($K624="","",L624-M624-N624-P624-Q624-R624)</f>
      </c>
      <c r="U624" s="4">
        <f>IF($K624="","",(T624-W624)/J624*100)</f>
      </c>
      <c r="V624" s="4">
        <f>IF($K624="","",M624-S624)</f>
      </c>
      <c r="X624" s="4">
        <f>IF($K624="","",T624-W624)</f>
      </c>
    </row>
    <row r="625" spans="1:29" x14ac:dyDescent="0.25">
      <c r="A625" s="8"/>
      <c r="D625" s="9"/>
      <c r="J625" s="4"/>
      <c r="K625" s="4"/>
      <c r="L625" s="4">
        <f>IF($K625="","",K625-J625)</f>
      </c>
      <c r="M625" s="4">
        <f>IF($K625="","",L625*16.67%)</f>
      </c>
      <c r="N625" s="4"/>
      <c r="O625" s="4">
        <f>IF($K625="","",N625*20%)</f>
      </c>
      <c r="P625" s="4"/>
      <c r="Q625" s="4">
        <f>IF($K625="","",P625*20%)</f>
      </c>
      <c r="R625" s="4">
        <v>1</v>
      </c>
      <c r="S625" s="4">
        <f>IF($K625="","",Q625)</f>
      </c>
      <c r="T625" s="4">
        <f>IF($K625="","",L625-M625-N625-P625-Q625-R625)</f>
      </c>
      <c r="U625" s="4">
        <f>IF($K625="","",(T625-W625)/J625*100)</f>
      </c>
      <c r="V625" s="4">
        <f>IF($K625="","",M625-S625)</f>
      </c>
      <c r="X625" s="4">
        <f>IF($K625="","",T625-W625)</f>
      </c>
    </row>
    <row r="626" spans="1:29" x14ac:dyDescent="0.25">
      <c r="A626" s="8"/>
      <c r="D626" s="9"/>
      <c r="J626" s="4"/>
      <c r="K626" s="4"/>
      <c r="L626" s="4">
        <f>IF($K626="","",K626-J626)</f>
      </c>
      <c r="M626" s="4">
        <f>IF($K626="","",L626*16.67%)</f>
      </c>
      <c r="N626" s="4"/>
      <c r="O626" s="4">
        <f>IF($K626="","",N626*20%)</f>
      </c>
      <c r="P626" s="4"/>
      <c r="Q626" s="4">
        <f>IF($K626="","",P626*20%)</f>
      </c>
      <c r="R626" s="4">
        <v>1</v>
      </c>
      <c r="S626" s="4">
        <f>IF($K626="","",Q626)</f>
      </c>
      <c r="T626" s="4">
        <f>IF($K626="","",L626-M626-N626-P626-Q626-R626)</f>
      </c>
      <c r="U626" s="4">
        <f>IF($K626="","",(T626-W626)/J626*100)</f>
      </c>
      <c r="V626" s="4">
        <f>IF($K626="","",M626-S626)</f>
      </c>
      <c r="X626" s="4">
        <f>IF($K626="","",T626-W626)</f>
      </c>
    </row>
    <row r="627" spans="1:29" x14ac:dyDescent="0.25">
      <c r="A627" s="8"/>
      <c r="D627" s="9"/>
      <c r="J627" s="4"/>
      <c r="K627" s="4"/>
      <c r="L627" s="4">
        <f>IF($K627="","",K627-J627)</f>
      </c>
      <c r="M627" s="4">
        <f>IF($K627="","",L627*16.67%)</f>
      </c>
      <c r="N627" s="4"/>
      <c r="O627" s="4">
        <f>IF($K627="","",N627*20%)</f>
      </c>
      <c r="P627" s="4"/>
      <c r="Q627" s="4">
        <f>IF($K627="","",P627*20%)</f>
      </c>
      <c r="R627" s="4">
        <v>1</v>
      </c>
      <c r="S627" s="4">
        <f>IF($K627="","",Q627)</f>
      </c>
      <c r="T627" s="4">
        <f>IF($K627="","",L627-M627-N627-P627-Q627-R627)</f>
      </c>
      <c r="U627" s="4">
        <f>IF($K627="","",(T627-W627)/J627*100)</f>
      </c>
      <c r="V627" s="4">
        <f>IF($K627="","",M627-S627)</f>
      </c>
      <c r="X627" s="4">
        <f>IF($K627="","",T627-W627)</f>
      </c>
    </row>
    <row r="628" spans="1:29" x14ac:dyDescent="0.25">
      <c r="A628" s="8"/>
      <c r="D628" s="9"/>
      <c r="J628" s="4"/>
      <c r="K628" s="4"/>
      <c r="L628" s="4">
        <f>IF($K628="","",K628-J628)</f>
      </c>
      <c r="M628" s="4">
        <f>IF($K628="","",L628*16.67%)</f>
      </c>
      <c r="N628" s="4"/>
      <c r="O628" s="4">
        <f>IF($K628="","",N628*20%)</f>
      </c>
      <c r="P628" s="4"/>
      <c r="Q628" s="4">
        <f>IF($K628="","",P628*20%)</f>
      </c>
      <c r="R628" s="4">
        <v>1</v>
      </c>
      <c r="S628" s="4">
        <f>IF($K628="","",Q628)</f>
      </c>
      <c r="T628" s="4">
        <f>IF($K628="","",L628-M628-N628-P628-Q628-R628)</f>
      </c>
      <c r="U628" s="4">
        <f>IF($K628="","",(T628-W628)/J628*100)</f>
      </c>
      <c r="V628" s="4">
        <f>IF($K628="","",M628-S628)</f>
      </c>
      <c r="X628" s="4">
        <f>IF($K628="","",T628-W628)</f>
      </c>
    </row>
    <row r="629" spans="1:29" x14ac:dyDescent="0.25">
      <c r="A629" s="8"/>
      <c r="D629" s="9"/>
      <c r="J629" s="4"/>
      <c r="K629" s="4"/>
      <c r="L629" s="4">
        <f>IF($K629="","",K629-J629)</f>
      </c>
      <c r="M629" s="4">
        <f>IF($K629="","",L629*16.67%)</f>
      </c>
      <c r="N629" s="4"/>
      <c r="O629" s="4">
        <f>IF($K629="","",N629*20%)</f>
      </c>
      <c r="P629" s="4"/>
      <c r="Q629" s="4">
        <f>IF($K629="","",P629*20%)</f>
      </c>
      <c r="R629" s="4">
        <v>1</v>
      </c>
      <c r="S629" s="4">
        <f>IF($K629="","",Q629)</f>
      </c>
      <c r="T629" s="4">
        <f>IF($K629="","",L629-M629-N629-P629-Q629-R629)</f>
      </c>
      <c r="U629" s="4">
        <f>IF($K629="","",(T629-W629)/J629*100)</f>
      </c>
      <c r="V629" s="4">
        <f>IF($K629="","",M629-S629)</f>
      </c>
      <c r="X629" s="4">
        <f>IF($K629="","",T629-W629)</f>
      </c>
    </row>
    <row r="630" spans="1:29" x14ac:dyDescent="0.25">
      <c r="A630" s="8"/>
      <c r="D630" s="9"/>
      <c r="J630" s="4"/>
      <c r="K630" s="4"/>
      <c r="L630" s="4">
        <f>IF($K630="","",K630-J630)</f>
      </c>
      <c r="M630" s="4">
        <f>IF($K630="","",L630*16.67%)</f>
      </c>
      <c r="N630" s="4"/>
      <c r="O630" s="4">
        <f>IF($K630="","",N630*20%)</f>
      </c>
      <c r="P630" s="4"/>
      <c r="Q630" s="4">
        <f>IF($K630="","",P630*20%)</f>
      </c>
      <c r="R630" s="4">
        <v>1</v>
      </c>
      <c r="S630" s="4">
        <f>IF($K630="","",Q630)</f>
      </c>
      <c r="T630" s="4">
        <f>IF($K630="","",L630-M630-N630-P630-Q630-R630)</f>
      </c>
      <c r="U630" s="4">
        <f>IF($K630="","",(T630-W630)/J630*100)</f>
      </c>
      <c r="V630" s="4">
        <f>IF($K630="","",M630-S630)</f>
      </c>
      <c r="X630" s="4">
        <f>IF($K630="","",T630-W630)</f>
      </c>
    </row>
    <row r="631" spans="1:29" x14ac:dyDescent="0.25">
      <c r="A631" s="8"/>
      <c r="D631" s="9"/>
      <c r="J631" s="4"/>
      <c r="K631" s="4"/>
      <c r="L631" s="4">
        <f>IF($K631="","",K631-J631)</f>
      </c>
      <c r="M631" s="4">
        <f>IF($K631="","",L631*16.67%)</f>
      </c>
      <c r="N631" s="4"/>
      <c r="O631" s="4">
        <f>IF($K631="","",N631*20%)</f>
      </c>
      <c r="P631" s="4"/>
      <c r="Q631" s="4">
        <f>IF($K631="","",P631*20%)</f>
      </c>
      <c r="R631" s="4">
        <v>1</v>
      </c>
      <c r="S631" s="4">
        <f>IF($K631="","",Q631)</f>
      </c>
      <c r="T631" s="4">
        <f>IF($K631="","",L631-M631-N631-P631-Q631-R631)</f>
      </c>
      <c r="U631" s="4">
        <f>IF($K631="","",(T631-W631)/J631*100)</f>
      </c>
      <c r="V631" s="4">
        <f>IF($K631="","",M631-S631)</f>
      </c>
      <c r="X631" s="4">
        <f>IF($K631="","",T631-W631)</f>
      </c>
    </row>
    <row r="632" spans="1:29" x14ac:dyDescent="0.25">
      <c r="A632" s="8"/>
      <c r="D632" s="9"/>
      <c r="J632" s="4"/>
      <c r="K632" s="4"/>
      <c r="L632" s="4">
        <f>IF($K632="","",K632-J632)</f>
      </c>
      <c r="M632" s="4">
        <f>IF($K632="","",L632*16.67%)</f>
      </c>
      <c r="N632" s="4"/>
      <c r="O632" s="4">
        <f>IF($K632="","",N632*20%)</f>
      </c>
      <c r="P632" s="4"/>
      <c r="Q632" s="4">
        <f>IF($K632="","",P632*20%)</f>
      </c>
      <c r="R632" s="4">
        <v>1</v>
      </c>
      <c r="S632" s="4">
        <f>IF($K632="","",Q632)</f>
      </c>
      <c r="T632" s="4">
        <f>IF($K632="","",L632-M632-N632-P632-Q632-R632)</f>
      </c>
      <c r="U632" s="4">
        <f>IF($K632="","",(T632-W632)/J632*100)</f>
      </c>
      <c r="V632" s="4">
        <f>IF($K632="","",M632-S632)</f>
      </c>
      <c r="X632" s="4">
        <f>IF($K632="","",T632-W632)</f>
      </c>
    </row>
    <row r="633" spans="1:29" x14ac:dyDescent="0.25">
      <c r="A633" s="8"/>
      <c r="D633" s="9"/>
      <c r="J633" s="4"/>
      <c r="K633" s="4"/>
      <c r="L633" s="4">
        <f>IF($K633="","",K633-J633)</f>
      </c>
      <c r="M633" s="4">
        <f>IF($K633="","",L633*16.67%)</f>
      </c>
      <c r="N633" s="4"/>
      <c r="O633" s="4">
        <f>IF($K633="","",N633*20%)</f>
      </c>
      <c r="P633" s="4"/>
      <c r="Q633" s="4">
        <f>IF($K633="","",P633*20%)</f>
      </c>
      <c r="R633" s="4">
        <v>1</v>
      </c>
      <c r="S633" s="4">
        <f>IF($K633="","",Q633)</f>
      </c>
      <c r="T633" s="4">
        <f>IF($K633="","",L633-M633-N633-P633-Q633-R633)</f>
      </c>
      <c r="U633" s="4">
        <f>IF($K633="","",(T633-W633)/J633*100)</f>
      </c>
      <c r="V633" s="4">
        <f>IF($K633="","",M633-S633)</f>
      </c>
      <c r="X633" s="4">
        <f>IF($K633="","",T633-W633)</f>
      </c>
    </row>
    <row r="634" spans="1:29" x14ac:dyDescent="0.25">
      <c r="A634" s="8"/>
      <c r="D634" s="9"/>
      <c r="J634" s="4"/>
      <c r="K634" s="4"/>
      <c r="L634" s="4">
        <f>IF($K634="","",K634-J634)</f>
      </c>
      <c r="M634" s="4">
        <f>IF($K634="","",L634*16.67%)</f>
      </c>
      <c r="N634" s="4"/>
      <c r="O634" s="4">
        <f>IF($K634="","",N634*20%)</f>
      </c>
      <c r="P634" s="4"/>
      <c r="Q634" s="4">
        <f>IF($K634="","",P634*20%)</f>
      </c>
      <c r="R634" s="4">
        <v>1</v>
      </c>
      <c r="S634" s="4">
        <f>IF($K634="","",Q634)</f>
      </c>
      <c r="T634" s="4">
        <f>IF($K634="","",L634-M634-N634-P634-Q634-R634)</f>
      </c>
      <c r="U634" s="4">
        <f>IF($K634="","",(T634-W634)/J634*100)</f>
      </c>
      <c r="V634" s="4">
        <f>IF($K634="","",M634-S634)</f>
      </c>
      <c r="X634" s="4">
        <f>IF($K634="","",T634-W634)</f>
      </c>
    </row>
    <row r="635" spans="1:29" x14ac:dyDescent="0.25">
      <c r="A635" s="8"/>
      <c r="D635" s="9"/>
      <c r="J635" s="4"/>
      <c r="K635" s="4"/>
      <c r="L635" s="4">
        <f>IF($K635="","",K635-J635)</f>
      </c>
      <c r="M635" s="4">
        <f>IF($K635="","",L635*16.67%)</f>
      </c>
      <c r="N635" s="4"/>
      <c r="O635" s="4">
        <f>IF($K635="","",N635*20%)</f>
      </c>
      <c r="P635" s="4"/>
      <c r="Q635" s="4">
        <f>IF($K635="","",P635*20%)</f>
      </c>
      <c r="R635" s="4">
        <v>1</v>
      </c>
      <c r="S635" s="4">
        <f>IF($K635="","",Q635)</f>
      </c>
      <c r="T635" s="4">
        <f>IF($K635="","",L635-M635-N635-P635-Q635-R635)</f>
      </c>
      <c r="U635" s="4">
        <f>IF($K635="","",(T635-W635)/J635*100)</f>
      </c>
      <c r="V635" s="4">
        <f>IF($K635="","",M635-S635)</f>
      </c>
      <c r="X635" s="4">
        <f>IF($K635="","",T635-W635)</f>
      </c>
    </row>
    <row r="636" spans="1:29" x14ac:dyDescent="0.25">
      <c r="A636" s="8"/>
      <c r="D636" s="9"/>
      <c r="J636" s="4"/>
      <c r="K636" s="4"/>
      <c r="L636" s="4">
        <f>IF($K636="","",K636-J636)</f>
      </c>
      <c r="M636" s="4">
        <f>IF($K636="","",L636*16.67%)</f>
      </c>
      <c r="N636" s="4"/>
      <c r="O636" s="4">
        <f>IF($K636="","",N636*20%)</f>
      </c>
      <c r="P636" s="4"/>
      <c r="Q636" s="4">
        <f>IF($K636="","",P636*20%)</f>
      </c>
      <c r="R636" s="4">
        <v>1</v>
      </c>
      <c r="S636" s="4">
        <f>IF($K636="","",Q636)</f>
      </c>
      <c r="T636" s="4">
        <f>IF($K636="","",L636-M636-N636-P636-Q636-R636)</f>
      </c>
      <c r="U636" s="4">
        <f>IF($K636="","",(T636-W636)/J636*100)</f>
      </c>
      <c r="V636" s="4">
        <f>IF($K636="","",M636-S636)</f>
      </c>
      <c r="X636" s="4">
        <f>IF($K636="","",T636-W636)</f>
      </c>
    </row>
    <row r="637" spans="1:29" x14ac:dyDescent="0.25">
      <c r="A637" s="8"/>
      <c r="D637" s="9"/>
      <c r="J637" s="4"/>
      <c r="K637" s="4"/>
      <c r="L637" s="4">
        <f>IF($K637="","",K637-J637)</f>
      </c>
      <c r="M637" s="4">
        <f>IF($K637="","",L637*16.67%)</f>
      </c>
      <c r="N637" s="4"/>
      <c r="O637" s="4">
        <f>IF($K637="","",N637*20%)</f>
      </c>
      <c r="P637" s="4"/>
      <c r="Q637" s="4">
        <f>IF($K637="","",P637*20%)</f>
      </c>
      <c r="R637" s="4">
        <v>1</v>
      </c>
      <c r="S637" s="4">
        <f>IF($K637="","",Q637)</f>
      </c>
      <c r="T637" s="4">
        <f>IF($K637="","",L637-M637-N637-P637-Q637-R637)</f>
      </c>
      <c r="U637" s="4">
        <f>IF($K637="","",(T637-W637)/J637*100)</f>
      </c>
      <c r="V637" s="4">
        <f>IF($K637="","",M637-S637)</f>
      </c>
      <c r="X637" s="4">
        <f>IF($K637="","",T637-W637)</f>
      </c>
    </row>
    <row r="638" spans="1:29" x14ac:dyDescent="0.25">
      <c r="A638" s="8"/>
      <c r="D638" s="9"/>
      <c r="J638" s="4"/>
      <c r="K638" s="4"/>
      <c r="L638" s="4">
        <f>IF($K638="","",K638-J638)</f>
      </c>
      <c r="M638" s="4">
        <f>IF($K638="","",L638*16.67%)</f>
      </c>
      <c r="N638" s="4"/>
      <c r="O638" s="4">
        <f>IF($K638="","",N638*20%)</f>
      </c>
      <c r="P638" s="4"/>
      <c r="Q638" s="4">
        <f>IF($K638="","",P638*20%)</f>
      </c>
      <c r="R638" s="4">
        <v>1</v>
      </c>
      <c r="S638" s="4">
        <f>IF($K638="","",Q638)</f>
      </c>
      <c r="T638" s="4">
        <f>IF($K638="","",L638-M638-N638-P638-Q638-R638)</f>
      </c>
      <c r="U638" s="4">
        <f>IF($K638="","",(T638-W638)/J638*100)</f>
      </c>
      <c r="V638" s="4">
        <f>IF($K638="","",M638-S638)</f>
      </c>
      <c r="X638" s="4">
        <f>IF($K638="","",T638-W638)</f>
      </c>
    </row>
    <row r="639" spans="1:29" x14ac:dyDescent="0.25">
      <c r="A639" s="8"/>
      <c r="D639" s="9"/>
      <c r="J639" s="4"/>
      <c r="K639" s="4"/>
      <c r="L639" s="4">
        <f>IF($K639="","",K639-J639)</f>
      </c>
      <c r="M639" s="4">
        <f>IF($K639="","",L639*16.67%)</f>
      </c>
      <c r="N639" s="4"/>
      <c r="O639" s="4">
        <f>IF($K639="","",N639*20%)</f>
      </c>
      <c r="P639" s="4"/>
      <c r="Q639" s="4">
        <f>IF($K639="","",P639*20%)</f>
      </c>
      <c r="R639" s="4">
        <v>1</v>
      </c>
      <c r="S639" s="4">
        <f>IF($K639="","",Q639)</f>
      </c>
      <c r="T639" s="4">
        <f>IF($K639="","",L639-M639-N639-P639-Q639-R639)</f>
      </c>
      <c r="U639" s="4">
        <f>IF($K639="","",(T639-W639)/J639*100)</f>
      </c>
      <c r="V639" s="4">
        <f>IF($K639="","",M639-S639)</f>
      </c>
      <c r="X639" s="4">
        <f>IF($K639="","",T639-W639)</f>
      </c>
    </row>
    <row r="640" spans="1:29" x14ac:dyDescent="0.25">
      <c r="A640" s="8"/>
      <c r="D640" s="9"/>
      <c r="J640" s="4"/>
      <c r="K640" s="4"/>
      <c r="L640" s="4">
        <f>IF($K640="","",K640-J640)</f>
      </c>
      <c r="M640" s="4">
        <f>IF($K640="","",L640*16.67%)</f>
      </c>
      <c r="N640" s="4"/>
      <c r="O640" s="4">
        <f>IF($K640="","",N640*20%)</f>
      </c>
      <c r="P640" s="4"/>
      <c r="Q640" s="4">
        <f>IF($K640="","",P640*20%)</f>
      </c>
      <c r="R640" s="4">
        <v>1</v>
      </c>
      <c r="S640" s="4">
        <f>IF($K640="","",Q640)</f>
      </c>
      <c r="T640" s="4">
        <f>IF($K640="","",L640-M640-N640-P640-Q640-R640)</f>
      </c>
      <c r="U640" s="4">
        <f>IF($K640="","",(T640-W640)/J640*100)</f>
      </c>
      <c r="V640" s="4">
        <f>IF($K640="","",M640-S640)</f>
      </c>
      <c r="X640" s="4">
        <f>IF($K640="","",T640-W640)</f>
      </c>
    </row>
    <row r="641" spans="1:29" x14ac:dyDescent="0.25">
      <c r="A641" s="8"/>
      <c r="D641" s="9"/>
      <c r="J641" s="4"/>
      <c r="K641" s="4"/>
      <c r="L641" s="4">
        <f>IF($K641="","",K641-J641)</f>
      </c>
      <c r="M641" s="4">
        <f>IF($K641="","",L641*16.67%)</f>
      </c>
      <c r="N641" s="4"/>
      <c r="O641" s="4">
        <f>IF($K641="","",N641*20%)</f>
      </c>
      <c r="P641" s="4"/>
      <c r="Q641" s="4">
        <f>IF($K641="","",P641*20%)</f>
      </c>
      <c r="R641" s="4">
        <v>1</v>
      </c>
      <c r="S641" s="4">
        <f>IF($K641="","",Q641)</f>
      </c>
      <c r="T641" s="4">
        <f>IF($K641="","",L641-M641-N641-P641-Q641-R641)</f>
      </c>
      <c r="U641" s="4">
        <f>IF($K641="","",(T641-W641)/J641*100)</f>
      </c>
      <c r="V641" s="4">
        <f>IF($K641="","",M641-S641)</f>
      </c>
      <c r="X641" s="4">
        <f>IF($K641="","",T641-W641)</f>
      </c>
    </row>
    <row r="642" spans="1:29" x14ac:dyDescent="0.25">
      <c r="A642" s="8"/>
      <c r="D642" s="9"/>
      <c r="J642" s="4"/>
      <c r="K642" s="4"/>
      <c r="L642" s="4">
        <f>IF($K642="","",K642-J642)</f>
      </c>
      <c r="M642" s="4">
        <f>IF($K642="","",L642*16.67%)</f>
      </c>
      <c r="N642" s="4"/>
      <c r="O642" s="4">
        <f>IF($K642="","",N642*20%)</f>
      </c>
      <c r="P642" s="4"/>
      <c r="Q642" s="4">
        <f>IF($K642="","",P642*20%)</f>
      </c>
      <c r="R642" s="4">
        <v>1</v>
      </c>
      <c r="S642" s="4">
        <f>IF($K642="","",Q642)</f>
      </c>
      <c r="T642" s="4">
        <f>IF($K642="","",L642-M642-N642-P642-Q642-R642)</f>
      </c>
      <c r="U642" s="4">
        <f>IF($K642="","",(T642-W642)/J642*100)</f>
      </c>
      <c r="V642" s="4">
        <f>IF($K642="","",M642-S642)</f>
      </c>
      <c r="X642" s="4">
        <f>IF($K642="","",T642-W642)</f>
      </c>
    </row>
    <row r="643" spans="1:29" x14ac:dyDescent="0.25">
      <c r="A643" s="8"/>
      <c r="D643" s="9"/>
      <c r="J643" s="4"/>
      <c r="K643" s="4"/>
      <c r="L643" s="4">
        <f>IF($K643="","",K643-J643)</f>
      </c>
      <c r="M643" s="4">
        <f>IF($K643="","",L643*16.67%)</f>
      </c>
      <c r="N643" s="4"/>
      <c r="O643" s="4">
        <f>IF($K643="","",N643*20%)</f>
      </c>
      <c r="P643" s="4"/>
      <c r="Q643" s="4">
        <f>IF($K643="","",P643*20%)</f>
      </c>
      <c r="R643" s="4">
        <v>1</v>
      </c>
      <c r="S643" s="4">
        <f>IF($K643="","",Q643)</f>
      </c>
      <c r="T643" s="4">
        <f>IF($K643="","",L643-M643-N643-P643-Q643-R643)</f>
      </c>
      <c r="U643" s="4">
        <f>IF($K643="","",(T643-W643)/J643*100)</f>
      </c>
      <c r="V643" s="4">
        <f>IF($K643="","",M643-S643)</f>
      </c>
      <c r="X643" s="4">
        <f>IF($K643="","",T643-W643)</f>
      </c>
    </row>
    <row r="644" spans="1:29" x14ac:dyDescent="0.25">
      <c r="A644" s="8"/>
      <c r="D644" s="9"/>
      <c r="J644" s="4"/>
      <c r="K644" s="4"/>
      <c r="L644" s="4">
        <f>IF($K644="","",K644-J644)</f>
      </c>
      <c r="M644" s="4">
        <f>IF($K644="","",L644*16.67%)</f>
      </c>
      <c r="N644" s="4"/>
      <c r="O644" s="4">
        <f>IF($K644="","",N644*20%)</f>
      </c>
      <c r="P644" s="4"/>
      <c r="Q644" s="4">
        <f>IF($K644="","",P644*20%)</f>
      </c>
      <c r="R644" s="4">
        <v>1</v>
      </c>
      <c r="S644" s="4">
        <f>IF($K644="","",Q644)</f>
      </c>
      <c r="T644" s="4">
        <f>IF($K644="","",L644-M644-N644-P644-Q644-R644)</f>
      </c>
      <c r="U644" s="4">
        <f>IF($K644="","",(T644-W644)/J644*100)</f>
      </c>
      <c r="V644" s="4">
        <f>IF($K644="","",M644-S644)</f>
      </c>
      <c r="X644" s="4">
        <f>IF($K644="","",T644-W644)</f>
      </c>
    </row>
    <row r="645" spans="1:29" x14ac:dyDescent="0.25">
      <c r="A645" s="8"/>
      <c r="D645" s="9"/>
      <c r="J645" s="4"/>
      <c r="K645" s="4"/>
      <c r="L645" s="4">
        <f>IF($K645="","",K645-J645)</f>
      </c>
      <c r="M645" s="4">
        <f>IF($K645="","",L645*16.67%)</f>
      </c>
      <c r="N645" s="4"/>
      <c r="O645" s="4">
        <f>IF($K645="","",N645*20%)</f>
      </c>
      <c r="P645" s="4"/>
      <c r="Q645" s="4">
        <f>IF($K645="","",P645*20%)</f>
      </c>
      <c r="R645" s="4">
        <v>1</v>
      </c>
      <c r="S645" s="4">
        <f>IF($K645="","",Q645)</f>
      </c>
      <c r="T645" s="4">
        <f>IF($K645="","",L645-M645-N645-P645-Q645-R645)</f>
      </c>
      <c r="U645" s="4">
        <f>IF($K645="","",(T645-W645)/J645*100)</f>
      </c>
      <c r="V645" s="4">
        <f>IF($K645="","",M645-S645)</f>
      </c>
      <c r="X645" s="4">
        <f>IF($K645="","",T645-W645)</f>
      </c>
    </row>
    <row r="646" spans="1:29" x14ac:dyDescent="0.25">
      <c r="A646" s="8"/>
      <c r="D646" s="9"/>
      <c r="J646" s="4"/>
      <c r="K646" s="4"/>
      <c r="L646" s="4">
        <f>IF($K646="","",K646-J646)</f>
      </c>
      <c r="M646" s="4">
        <f>IF($K646="","",L646*16.67%)</f>
      </c>
      <c r="N646" s="4"/>
      <c r="O646" s="4">
        <f>IF($K646="","",N646*20%)</f>
      </c>
      <c r="P646" s="4"/>
      <c r="Q646" s="4">
        <f>IF($K646="","",P646*20%)</f>
      </c>
      <c r="R646" s="4">
        <v>1</v>
      </c>
      <c r="S646" s="4">
        <f>IF($K646="","",Q646)</f>
      </c>
      <c r="T646" s="4">
        <f>IF($K646="","",L646-M646-N646-P646-Q646-R646)</f>
      </c>
      <c r="U646" s="4">
        <f>IF($K646="","",(T646-W646)/J646*100)</f>
      </c>
      <c r="V646" s="4">
        <f>IF($K646="","",M646-S646)</f>
      </c>
      <c r="X646" s="4">
        <f>IF($K646="","",T646-W646)</f>
      </c>
    </row>
    <row r="647" spans="1:29" s="7" customFormat="1" x14ac:dyDescent="0.25">
      <c r="A647" s="3" t="s">
        <v>18</v>
      </c>
      <c r="B647" s="7"/>
      <c r="C647" s="7"/>
      <c r="D647" s="7"/>
      <c r="E647" s="7"/>
      <c r="F647" s="7"/>
      <c r="G647" s="7"/>
      <c r="H647" s="7"/>
      <c r="I647" s="14">
        <f>SUM(I2:I646)</f>
      </c>
      <c r="J647" s="14">
        <f>SUM(J2:J646)</f>
      </c>
      <c r="K647" s="14">
        <f>SUM(K2:K646)</f>
      </c>
      <c r="L647" s="14">
        <f>SUM(L2:L646)</f>
      </c>
      <c r="M647" s="14">
        <f>SUM(M2:M646)</f>
      </c>
      <c r="N647" s="14">
        <f>SUM(N2:N646)</f>
      </c>
      <c r="O647" s="14">
        <f>SUM(O2:O646)</f>
      </c>
      <c r="P647" s="14">
        <f>SUM(P2:P646)</f>
      </c>
      <c r="Q647" s="14">
        <f>SUM(Q2:Q646)</f>
      </c>
      <c r="R647" s="14">
        <f>SUM(R2:R646)</f>
      </c>
      <c r="S647" s="14">
        <f>SUM(S2:S646)</f>
      </c>
      <c r="T647" s="14">
        <f>SUM(T2:T646)</f>
      </c>
      <c r="U647" s="14">
        <f>IFERROR((T647-W647)/J647*100,0)</f>
      </c>
      <c r="V647" s="14">
        <f>SUM(V2:V646)</f>
      </c>
      <c r="W647" s="14">
        <f>SUM(W2:W646)</f>
      </c>
      <c r="X647" s="14">
        <f>SUM(X2:X646)</f>
      </c>
      <c r="Y647" s="7"/>
      <c r="Z647" s="7"/>
      <c r="AA647" s="7"/>
      <c r="AB647" s="7"/>
      <c r="AC647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3810</v>
      </c>
    </row>
    <row r="2" ht="46" customHeight="1" spans="1:1" x14ac:dyDescent="0.25">
      <c r="A2" s="2" t="s">
        <v>3811</v>
      </c>
    </row>
    <row r="4" spans="1:16" s="3" customFormat="1" x14ac:dyDescent="0.25">
      <c r="A4" s="3" t="s">
        <v>4</v>
      </c>
      <c r="B4" s="3" t="s">
        <v>5</v>
      </c>
      <c r="C4" s="3" t="s">
        <v>3812</v>
      </c>
      <c r="D4" s="3" t="s">
        <v>9</v>
      </c>
      <c r="E4" s="3" t="s">
        <v>3813</v>
      </c>
      <c r="F4" s="3" t="s">
        <v>6</v>
      </c>
      <c r="G4" s="3" t="s">
        <v>7</v>
      </c>
      <c r="H4" s="3" t="s">
        <v>8</v>
      </c>
      <c r="I4" s="3" t="s">
        <v>3814</v>
      </c>
      <c r="J4" s="3" t="s">
        <v>3815</v>
      </c>
      <c r="K4" s="3" t="s">
        <v>3816</v>
      </c>
      <c r="L4" s="3" t="s">
        <v>3817</v>
      </c>
      <c r="M4" s="3" t="s">
        <v>3818</v>
      </c>
      <c r="N4" s="3" t="s">
        <v>11</v>
      </c>
      <c r="O4" s="3" t="s">
        <v>12</v>
      </c>
      <c r="P4" s="3" t="s">
        <v>3819</v>
      </c>
    </row>
    <row r="5" spans="1:16" x14ac:dyDescent="0.25">
      <c r="A5" t="s">
        <v>13</v>
      </c>
      <c r="B5">
        <v>371</v>
      </c>
      <c r="C5" s="4">
        <v>110868.00999999995</v>
      </c>
      <c r="D5" s="4">
        <v>11406.019999999999</v>
      </c>
      <c r="E5">
        <v>5</v>
      </c>
      <c r="F5">
        <v>5</v>
      </c>
      <c r="G5">
        <v>0</v>
      </c>
      <c r="H5">
        <v>0</v>
      </c>
      <c r="I5">
        <v>0</v>
      </c>
      <c r="J5" s="4">
        <v>0</v>
      </c>
      <c r="K5" s="4">
        <v>0</v>
      </c>
      <c r="L5" s="4">
        <v>0</v>
      </c>
      <c r="M5" s="4">
        <v>0</v>
      </c>
      <c r="N5" s="4">
        <v>11406.019999999999</v>
      </c>
      <c r="O5" s="4">
        <v>10.287927058490546</v>
      </c>
      <c r="P5" t="s">
        <v>1</v>
      </c>
    </row>
    <row r="6" spans="1:16" x14ac:dyDescent="0.25">
      <c r="A6" t="s">
        <v>14</v>
      </c>
      <c r="B6">
        <v>442</v>
      </c>
      <c r="C6" s="4">
        <v>131451.65999999983</v>
      </c>
      <c r="D6" s="4">
        <v>6438.770000000002</v>
      </c>
      <c r="E6">
        <v>1</v>
      </c>
      <c r="F6">
        <v>1</v>
      </c>
      <c r="G6">
        <v>0</v>
      </c>
      <c r="H6">
        <v>0</v>
      </c>
      <c r="I6">
        <v>0</v>
      </c>
      <c r="J6" s="4">
        <v>0</v>
      </c>
      <c r="K6" s="4">
        <v>0</v>
      </c>
      <c r="L6" s="4">
        <v>0</v>
      </c>
      <c r="M6" s="4">
        <v>0</v>
      </c>
      <c r="N6" s="4">
        <v>6438.770000000002</v>
      </c>
      <c r="O6" s="4">
        <v>4.898203643833795</v>
      </c>
      <c r="P6" t="s">
        <v>1</v>
      </c>
    </row>
    <row r="7" spans="1:16" x14ac:dyDescent="0.25">
      <c r="A7" t="s">
        <v>15</v>
      </c>
      <c r="B7">
        <v>483</v>
      </c>
      <c r="C7" s="4">
        <v>142521.47999999992</v>
      </c>
      <c r="D7" s="4">
        <v>14804.460000000001</v>
      </c>
      <c r="E7">
        <v>4</v>
      </c>
      <c r="F7">
        <v>4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14804.460000000001</v>
      </c>
      <c r="O7" s="4">
        <v>10.38752895353038</v>
      </c>
      <c r="P7" t="s">
        <v>1</v>
      </c>
    </row>
    <row r="8" spans="1:16" x14ac:dyDescent="0.25">
      <c r="A8" t="s">
        <v>16</v>
      </c>
      <c r="B8">
        <v>427</v>
      </c>
      <c r="C8" s="4">
        <v>133850.90999999995</v>
      </c>
      <c r="D8" s="4">
        <v>13975.300000000005</v>
      </c>
      <c r="E8">
        <v>0</v>
      </c>
      <c r="F8">
        <v>0</v>
      </c>
      <c r="G8">
        <v>0</v>
      </c>
      <c r="H8">
        <v>0</v>
      </c>
      <c r="I8">
        <v>0</v>
      </c>
      <c r="J8" s="4">
        <v>0</v>
      </c>
      <c r="K8" s="4">
        <v>0</v>
      </c>
      <c r="L8" s="4">
        <v>0</v>
      </c>
      <c r="M8" s="4">
        <v>0</v>
      </c>
      <c r="N8" s="4">
        <v>13975.300000000005</v>
      </c>
      <c r="O8" s="4">
        <v>10.44094507837116</v>
      </c>
      <c r="P8" t="s">
        <v>1</v>
      </c>
    </row>
    <row r="9" spans="1:16" x14ac:dyDescent="0.25">
      <c r="A9" t="s">
        <v>17</v>
      </c>
      <c r="B9">
        <v>445</v>
      </c>
      <c r="C9" s="4">
        <v>128322.23999999999</v>
      </c>
      <c r="D9" s="4">
        <v>18750.50000000002</v>
      </c>
      <c r="E9">
        <v>1</v>
      </c>
      <c r="F9">
        <v>0</v>
      </c>
      <c r="G9">
        <v>0</v>
      </c>
      <c r="H9">
        <v>1</v>
      </c>
      <c r="I9">
        <v>0</v>
      </c>
      <c r="J9" s="4">
        <v>0</v>
      </c>
      <c r="K9" s="4">
        <v>0</v>
      </c>
      <c r="L9" s="4">
        <v>0</v>
      </c>
      <c r="M9" s="4">
        <v>0</v>
      </c>
      <c r="N9" s="4">
        <v>18750.50000000002</v>
      </c>
      <c r="O9" s="4">
        <v>14.612042308488396</v>
      </c>
      <c r="P9">
        <v>1</v>
      </c>
    </row>
    <row r="10" spans="1:16" s="3" customFormat="1" x14ac:dyDescent="0.25">
      <c r="A10" s="3" t="s">
        <v>18</v>
      </c>
      <c r="B10" s="3">
        <v>2168</v>
      </c>
      <c r="C10" s="15">
        <v>647014.2999999996</v>
      </c>
      <c r="D10" s="15">
        <v>65375.05000000002</v>
      </c>
      <c r="E10" s="3">
        <v>11</v>
      </c>
      <c r="F10" s="3">
        <v>10</v>
      </c>
      <c r="G10" s="3">
        <v>0</v>
      </c>
      <c r="H10" s="3">
        <v>1</v>
      </c>
      <c r="I10" s="3">
        <v>0</v>
      </c>
      <c r="J10" s="15">
        <v>0</v>
      </c>
      <c r="K10" s="15">
        <v>0</v>
      </c>
      <c r="L10" s="15">
        <v>0</v>
      </c>
      <c r="M10" s="15">
        <v>0</v>
      </c>
      <c r="N10" s="15">
        <v>65375.05000000002</v>
      </c>
      <c r="O10" s="15">
        <v>10.10411207294801</v>
      </c>
      <c r="P10" s="3">
        <v>1</v>
      </c>
    </row>
    <row r="12" ht="28" customHeight="1" spans="1:1" x14ac:dyDescent="0.25">
      <c r="A12" s="16" t="s">
        <v>3820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6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3821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46241.5</v>
      </c>
      <c r="B2" t="s">
        <v>15</v>
      </c>
      <c r="C2" t="s">
        <v>1495</v>
      </c>
      <c r="D2" t="s">
        <v>189</v>
      </c>
      <c r="E2" t="s">
        <v>3822</v>
      </c>
      <c r="F2" t="s">
        <v>66</v>
      </c>
      <c r="G2">
        <v>1</v>
      </c>
      <c r="H2" s="4">
        <v>3.5</v>
      </c>
      <c r="I2" s="4">
        <v>9.99</v>
      </c>
      <c r="J2" s="4">
        <v>4.14</v>
      </c>
      <c r="K2" s="17">
        <v>118.33</v>
      </c>
      <c r="L2" t="s">
        <v>1</v>
      </c>
    </row>
    <row r="3" spans="1:12" x14ac:dyDescent="0.25">
      <c r="A3" s="8">
        <v>46231.5</v>
      </c>
      <c r="B3" t="s">
        <v>13</v>
      </c>
      <c r="C3" t="s">
        <v>173</v>
      </c>
      <c r="D3" t="s">
        <v>174</v>
      </c>
      <c r="E3" t="s">
        <v>3823</v>
      </c>
      <c r="F3" t="s">
        <v>66</v>
      </c>
      <c r="G3">
        <v>3</v>
      </c>
      <c r="H3" s="4">
        <v>12.75</v>
      </c>
      <c r="I3" s="4">
        <v>15.04</v>
      </c>
      <c r="J3" s="4">
        <v>0.62</v>
      </c>
      <c r="K3" s="17">
        <v>4.86</v>
      </c>
      <c r="L3" t="s">
        <v>1</v>
      </c>
    </row>
    <row r="4" spans="1:12" x14ac:dyDescent="0.25">
      <c r="A4" s="8">
        <v>46231.5</v>
      </c>
      <c r="B4" t="s">
        <v>13</v>
      </c>
      <c r="C4" t="s">
        <v>175</v>
      </c>
      <c r="D4" t="s">
        <v>174</v>
      </c>
      <c r="E4" t="s">
        <v>3823</v>
      </c>
      <c r="F4" t="s">
        <v>66</v>
      </c>
      <c r="G4">
        <v>1</v>
      </c>
      <c r="H4" s="4">
        <v>4.25</v>
      </c>
      <c r="I4" s="4">
        <v>5.4</v>
      </c>
      <c r="J4" s="4">
        <v>0.5</v>
      </c>
      <c r="K4" s="17">
        <v>11.66</v>
      </c>
      <c r="L4" t="s">
        <v>1</v>
      </c>
    </row>
    <row r="5" spans="1:12" x14ac:dyDescent="0.25">
      <c r="A5" s="8">
        <v>46231.5</v>
      </c>
      <c r="B5" t="s">
        <v>13</v>
      </c>
      <c r="C5" t="s">
        <v>176</v>
      </c>
      <c r="D5" t="s">
        <v>177</v>
      </c>
      <c r="E5" t="s">
        <v>3824</v>
      </c>
      <c r="F5" t="s">
        <v>78</v>
      </c>
      <c r="G5">
        <v>2</v>
      </c>
      <c r="H5" s="4">
        <v>0.3</v>
      </c>
      <c r="I5" s="4">
        <v>0.4</v>
      </c>
      <c r="J5" s="4">
        <v>0.05</v>
      </c>
      <c r="K5" s="17">
        <v>16.35</v>
      </c>
      <c r="L5" t="s">
        <v>1</v>
      </c>
    </row>
    <row r="6" spans="1:12" x14ac:dyDescent="0.25">
      <c r="A6" s="8">
        <v>46231.5</v>
      </c>
      <c r="B6" t="s">
        <v>13</v>
      </c>
      <c r="C6" t="s">
        <v>178</v>
      </c>
      <c r="D6" t="s">
        <v>177</v>
      </c>
      <c r="E6" t="s">
        <v>3824</v>
      </c>
      <c r="F6" t="s">
        <v>78</v>
      </c>
      <c r="G6">
        <v>2</v>
      </c>
      <c r="H6" s="4">
        <v>0.3</v>
      </c>
      <c r="I6" s="4">
        <v>0.41</v>
      </c>
      <c r="J6" s="4">
        <v>0.06</v>
      </c>
      <c r="K6" s="17">
        <v>18.84</v>
      </c>
      <c r="L6" t="s">
        <v>1</v>
      </c>
    </row>
    <row r="7" spans="1:12" x14ac:dyDescent="0.25">
      <c r="A7" s="8">
        <v>46231.5</v>
      </c>
      <c r="B7" t="s">
        <v>13</v>
      </c>
      <c r="C7" t="s">
        <v>179</v>
      </c>
      <c r="D7" t="s">
        <v>177</v>
      </c>
      <c r="E7" t="s">
        <v>3824</v>
      </c>
      <c r="F7" t="s">
        <v>78</v>
      </c>
      <c r="G7">
        <v>1</v>
      </c>
      <c r="H7" s="4">
        <v>0.15</v>
      </c>
      <c r="I7" s="4">
        <v>0.19</v>
      </c>
      <c r="J7" s="4">
        <v>0.02</v>
      </c>
      <c r="K7" s="17">
        <v>11.37</v>
      </c>
      <c r="L7" t="s">
        <v>1</v>
      </c>
    </row>
    <row r="8" spans="1:12" x14ac:dyDescent="0.25">
      <c r="A8" s="8">
        <v>46231.5</v>
      </c>
      <c r="B8" t="s">
        <v>13</v>
      </c>
      <c r="C8" t="s">
        <v>180</v>
      </c>
      <c r="D8" t="s">
        <v>177</v>
      </c>
      <c r="E8" t="s">
        <v>3824</v>
      </c>
      <c r="F8" t="s">
        <v>78</v>
      </c>
      <c r="G8">
        <v>2</v>
      </c>
      <c r="H8" s="4">
        <v>0.3</v>
      </c>
      <c r="I8" s="4">
        <v>0.4</v>
      </c>
      <c r="J8" s="4">
        <v>0.05</v>
      </c>
      <c r="K8" s="17">
        <v>16.35</v>
      </c>
      <c r="L8" t="s">
        <v>1</v>
      </c>
    </row>
    <row r="9" spans="1:12" x14ac:dyDescent="0.25">
      <c r="A9" s="8">
        <v>46231.5</v>
      </c>
      <c r="B9" t="s">
        <v>13</v>
      </c>
      <c r="C9" t="s">
        <v>181</v>
      </c>
      <c r="D9" t="s">
        <v>182</v>
      </c>
      <c r="E9" t="s">
        <v>3825</v>
      </c>
      <c r="F9" t="s">
        <v>75</v>
      </c>
      <c r="G9">
        <v>1</v>
      </c>
      <c r="H9" s="4">
        <v>1.9</v>
      </c>
      <c r="I9" s="4">
        <v>2.74</v>
      </c>
      <c r="J9" s="4">
        <v>0.47</v>
      </c>
      <c r="K9" s="17">
        <v>24.48</v>
      </c>
      <c r="L9" t="s">
        <v>1</v>
      </c>
    </row>
    <row r="10" spans="1:12" x14ac:dyDescent="0.25">
      <c r="A10" s="8">
        <v>46231.5</v>
      </c>
      <c r="B10" t="s">
        <v>13</v>
      </c>
      <c r="C10" t="s">
        <v>183</v>
      </c>
      <c r="D10" t="s">
        <v>182</v>
      </c>
      <c r="E10" t="s">
        <v>3825</v>
      </c>
      <c r="F10" t="s">
        <v>75</v>
      </c>
      <c r="G10">
        <v>4</v>
      </c>
      <c r="H10" s="4">
        <v>7.6</v>
      </c>
      <c r="I10" s="4">
        <v>10.72</v>
      </c>
      <c r="J10" s="4">
        <v>1.68</v>
      </c>
      <c r="K10" s="17">
        <v>22.12</v>
      </c>
      <c r="L10" t="s">
        <v>1</v>
      </c>
    </row>
    <row r="11" spans="1:12" x14ac:dyDescent="0.25">
      <c r="A11" s="8">
        <v>46231.5</v>
      </c>
      <c r="B11" t="s">
        <v>13</v>
      </c>
      <c r="C11" t="s">
        <v>184</v>
      </c>
      <c r="D11" t="s">
        <v>185</v>
      </c>
      <c r="E11" t="s">
        <v>3826</v>
      </c>
      <c r="F11" t="s">
        <v>102</v>
      </c>
      <c r="G11">
        <v>3</v>
      </c>
      <c r="H11" s="4">
        <v>3.6</v>
      </c>
      <c r="I11" s="4">
        <v>4.18</v>
      </c>
      <c r="J11" s="4">
        <v>0.13</v>
      </c>
      <c r="K11" s="17">
        <v>3.48</v>
      </c>
      <c r="L11" t="s">
        <v>1</v>
      </c>
    </row>
    <row r="12" spans="1:12" x14ac:dyDescent="0.25">
      <c r="A12" s="8">
        <v>46231.5</v>
      </c>
      <c r="B12" t="s">
        <v>14</v>
      </c>
      <c r="C12" t="s">
        <v>816</v>
      </c>
      <c r="D12" t="s">
        <v>189</v>
      </c>
      <c r="E12" t="s">
        <v>3822</v>
      </c>
      <c r="F12" t="s">
        <v>66</v>
      </c>
      <c r="G12">
        <v>3</v>
      </c>
      <c r="H12" s="4">
        <v>10.5</v>
      </c>
      <c r="I12" s="4">
        <v>13.65</v>
      </c>
      <c r="J12" s="4">
        <v>-7.87</v>
      </c>
      <c r="K12" s="17">
        <v>-74.92</v>
      </c>
      <c r="L12" t="s">
        <v>1</v>
      </c>
    </row>
    <row r="13" spans="1:12" x14ac:dyDescent="0.25">
      <c r="A13" s="8">
        <v>46231.5</v>
      </c>
      <c r="B13" t="s">
        <v>14</v>
      </c>
      <c r="C13" t="s">
        <v>817</v>
      </c>
      <c r="D13" t="s">
        <v>189</v>
      </c>
      <c r="E13" t="s">
        <v>3822</v>
      </c>
      <c r="F13" t="s">
        <v>66</v>
      </c>
      <c r="G13">
        <v>3</v>
      </c>
      <c r="H13" s="4">
        <v>10.5</v>
      </c>
      <c r="I13" s="4">
        <v>13.23</v>
      </c>
      <c r="J13" s="4">
        <v>-8.17</v>
      </c>
      <c r="K13" s="17">
        <v>-77.81</v>
      </c>
      <c r="L13" t="s">
        <v>1</v>
      </c>
    </row>
    <row r="14" spans="1:12" x14ac:dyDescent="0.25">
      <c r="A14" s="8">
        <v>46231.5</v>
      </c>
      <c r="B14" t="s">
        <v>14</v>
      </c>
      <c r="C14" t="s">
        <v>818</v>
      </c>
      <c r="D14" t="s">
        <v>174</v>
      </c>
      <c r="E14" t="s">
        <v>3823</v>
      </c>
      <c r="F14" t="s">
        <v>66</v>
      </c>
      <c r="G14">
        <v>1</v>
      </c>
      <c r="H14" s="4">
        <v>4.25</v>
      </c>
      <c r="I14" s="4">
        <v>5.99</v>
      </c>
      <c r="J14" s="4">
        <v>-8.2</v>
      </c>
      <c r="K14" s="17">
        <v>-192.92</v>
      </c>
      <c r="L14" t="s">
        <v>1</v>
      </c>
    </row>
    <row r="15" spans="1:12" x14ac:dyDescent="0.25">
      <c r="A15" s="8">
        <v>46231.5</v>
      </c>
      <c r="B15" t="s">
        <v>14</v>
      </c>
      <c r="C15" t="s">
        <v>819</v>
      </c>
      <c r="D15" t="s">
        <v>254</v>
      </c>
      <c r="E15" t="s">
        <v>3827</v>
      </c>
      <c r="F15" t="s">
        <v>61</v>
      </c>
      <c r="G15">
        <v>4</v>
      </c>
      <c r="H15" s="4">
        <v>3.2</v>
      </c>
      <c r="I15" s="4">
        <v>4.58</v>
      </c>
      <c r="J15" s="4">
        <v>-8.34</v>
      </c>
      <c r="K15" s="17">
        <v>-260.75</v>
      </c>
      <c r="L15" t="s">
        <v>1</v>
      </c>
    </row>
    <row r="16" spans="1:12" x14ac:dyDescent="0.25">
      <c r="A16" s="8">
        <v>46231.5</v>
      </c>
      <c r="B16" t="s">
        <v>14</v>
      </c>
      <c r="C16" t="s">
        <v>820</v>
      </c>
      <c r="D16" t="s">
        <v>254</v>
      </c>
      <c r="E16" t="s">
        <v>3827</v>
      </c>
      <c r="F16" t="s">
        <v>61</v>
      </c>
      <c r="G16">
        <v>3</v>
      </c>
      <c r="H16" s="4">
        <v>2.4</v>
      </c>
      <c r="I16" s="4">
        <v>2.86</v>
      </c>
      <c r="J16" s="4">
        <v>-8.92</v>
      </c>
      <c r="K16" s="17">
        <v>-371.72</v>
      </c>
      <c r="L16" t="s">
        <v>1</v>
      </c>
    </row>
    <row r="17" spans="1:12" x14ac:dyDescent="0.25">
      <c r="A17" s="8">
        <v>46231.5</v>
      </c>
      <c r="B17" t="s">
        <v>14</v>
      </c>
      <c r="C17" t="s">
        <v>821</v>
      </c>
      <c r="D17" t="s">
        <v>254</v>
      </c>
      <c r="E17" t="s">
        <v>3827</v>
      </c>
      <c r="F17" t="s">
        <v>61</v>
      </c>
      <c r="G17">
        <v>4</v>
      </c>
      <c r="H17" s="4">
        <v>3.2</v>
      </c>
      <c r="I17" s="4">
        <v>4.22</v>
      </c>
      <c r="J17" s="4">
        <v>-8.6</v>
      </c>
      <c r="K17" s="17">
        <v>-268.88</v>
      </c>
      <c r="L17" t="s">
        <v>1</v>
      </c>
    </row>
    <row r="18" spans="1:12" x14ac:dyDescent="0.25">
      <c r="A18" s="8">
        <v>46231.5</v>
      </c>
      <c r="B18" t="s">
        <v>14</v>
      </c>
      <c r="C18" t="s">
        <v>822</v>
      </c>
      <c r="D18" t="s">
        <v>254</v>
      </c>
      <c r="E18" t="s">
        <v>3827</v>
      </c>
      <c r="F18" t="s">
        <v>61</v>
      </c>
      <c r="G18">
        <v>1</v>
      </c>
      <c r="H18" s="4">
        <v>0.8</v>
      </c>
      <c r="I18" s="4">
        <v>0.99</v>
      </c>
      <c r="J18" s="4">
        <v>-8.94</v>
      </c>
      <c r="K18" s="17">
        <v>-1117.57</v>
      </c>
      <c r="L18" t="s">
        <v>1</v>
      </c>
    </row>
    <row r="19" spans="1:12" x14ac:dyDescent="0.25">
      <c r="A19" s="8">
        <v>46231.5</v>
      </c>
      <c r="B19" t="s">
        <v>14</v>
      </c>
      <c r="C19" t="s">
        <v>823</v>
      </c>
      <c r="D19" t="s">
        <v>182</v>
      </c>
      <c r="E19" t="s">
        <v>3825</v>
      </c>
      <c r="F19" t="s">
        <v>75</v>
      </c>
      <c r="G19">
        <v>3</v>
      </c>
      <c r="H19" s="4">
        <v>5.7</v>
      </c>
      <c r="I19" s="4">
        <v>7.52</v>
      </c>
      <c r="J19" s="4">
        <v>-8.3</v>
      </c>
      <c r="K19" s="17">
        <v>-145.62</v>
      </c>
      <c r="L19" t="s">
        <v>1</v>
      </c>
    </row>
    <row r="20" spans="1:12" x14ac:dyDescent="0.25">
      <c r="A20" s="8">
        <v>46231.5</v>
      </c>
      <c r="B20" t="s">
        <v>14</v>
      </c>
      <c r="C20" t="s">
        <v>824</v>
      </c>
      <c r="D20" t="s">
        <v>182</v>
      </c>
      <c r="E20" t="s">
        <v>3825</v>
      </c>
      <c r="F20" t="s">
        <v>75</v>
      </c>
      <c r="G20">
        <v>1</v>
      </c>
      <c r="H20" s="4">
        <v>1.9</v>
      </c>
      <c r="I20" s="4">
        <v>2.68</v>
      </c>
      <c r="J20" s="4">
        <v>-8.63</v>
      </c>
      <c r="K20" s="17">
        <v>-454.46</v>
      </c>
      <c r="L20" t="s">
        <v>1</v>
      </c>
    </row>
    <row r="21" spans="1:12" x14ac:dyDescent="0.25">
      <c r="A21" s="8">
        <v>46231.5</v>
      </c>
      <c r="B21" t="s">
        <v>14</v>
      </c>
      <c r="C21" t="s">
        <v>825</v>
      </c>
      <c r="D21" t="s">
        <v>185</v>
      </c>
      <c r="E21" t="s">
        <v>3826</v>
      </c>
      <c r="F21" t="s">
        <v>102</v>
      </c>
      <c r="G21">
        <v>2</v>
      </c>
      <c r="H21" s="4">
        <v>2.4</v>
      </c>
      <c r="I21" s="4">
        <v>3.22</v>
      </c>
      <c r="J21" s="4">
        <v>-8.66</v>
      </c>
      <c r="K21" s="17">
        <v>-360.87</v>
      </c>
      <c r="L21" t="s">
        <v>1</v>
      </c>
    </row>
    <row r="22" spans="1:12" x14ac:dyDescent="0.25">
      <c r="A22" s="8">
        <v>46231.5</v>
      </c>
      <c r="B22" t="s">
        <v>14</v>
      </c>
      <c r="C22" t="s">
        <v>826</v>
      </c>
      <c r="D22" t="s">
        <v>185</v>
      </c>
      <c r="E22" t="s">
        <v>3826</v>
      </c>
      <c r="F22" t="s">
        <v>102</v>
      </c>
      <c r="G22">
        <v>2</v>
      </c>
      <c r="H22" s="4">
        <v>2.4</v>
      </c>
      <c r="I22" s="4">
        <v>3.36</v>
      </c>
      <c r="J22" s="4">
        <v>-8.56</v>
      </c>
      <c r="K22" s="17">
        <v>-356.65</v>
      </c>
      <c r="L22" t="s">
        <v>1</v>
      </c>
    </row>
    <row r="23" spans="1:12" x14ac:dyDescent="0.25">
      <c r="A23" s="8">
        <v>46231.5</v>
      </c>
      <c r="B23" t="s">
        <v>15</v>
      </c>
      <c r="C23" t="s">
        <v>1599</v>
      </c>
      <c r="D23" t="s">
        <v>189</v>
      </c>
      <c r="E23" t="s">
        <v>3822</v>
      </c>
      <c r="F23" t="s">
        <v>66</v>
      </c>
      <c r="G23">
        <v>2</v>
      </c>
      <c r="H23" s="4">
        <v>7</v>
      </c>
      <c r="I23" s="4">
        <v>9.8</v>
      </c>
      <c r="J23" s="4">
        <v>1.08</v>
      </c>
      <c r="K23" s="17">
        <v>15.45</v>
      </c>
      <c r="L23" t="s">
        <v>1</v>
      </c>
    </row>
    <row r="24" spans="1:12" x14ac:dyDescent="0.25">
      <c r="A24" s="8">
        <v>46231.5</v>
      </c>
      <c r="B24" t="s">
        <v>15</v>
      </c>
      <c r="C24" t="s">
        <v>1600</v>
      </c>
      <c r="D24" t="s">
        <v>189</v>
      </c>
      <c r="E24" t="s">
        <v>3822</v>
      </c>
      <c r="F24" t="s">
        <v>66</v>
      </c>
      <c r="G24">
        <v>3</v>
      </c>
      <c r="H24" s="4">
        <v>10.5</v>
      </c>
      <c r="I24" s="4">
        <v>15.12</v>
      </c>
      <c r="J24" s="4">
        <v>2.18</v>
      </c>
      <c r="K24" s="17">
        <v>20.76</v>
      </c>
      <c r="L24" t="s">
        <v>1</v>
      </c>
    </row>
    <row r="25" spans="1:12" x14ac:dyDescent="0.25">
      <c r="A25" s="8">
        <v>46231.5</v>
      </c>
      <c r="B25" t="s">
        <v>15</v>
      </c>
      <c r="C25" t="s">
        <v>1590</v>
      </c>
      <c r="D25" t="s">
        <v>177</v>
      </c>
      <c r="E25" t="s">
        <v>3824</v>
      </c>
      <c r="F25" t="s">
        <v>78</v>
      </c>
      <c r="G25">
        <v>2</v>
      </c>
      <c r="H25" s="4">
        <v>0.3</v>
      </c>
      <c r="I25" s="4">
        <v>0.37</v>
      </c>
      <c r="J25" s="4">
        <v>-0.45</v>
      </c>
      <c r="K25" s="17">
        <v>-150.27</v>
      </c>
      <c r="L25" t="s">
        <v>1</v>
      </c>
    </row>
    <row r="26" spans="1:12" x14ac:dyDescent="0.25">
      <c r="A26" s="8">
        <v>46231.5</v>
      </c>
      <c r="B26" t="s">
        <v>15</v>
      </c>
      <c r="C26" t="s">
        <v>1591</v>
      </c>
      <c r="D26" t="s">
        <v>254</v>
      </c>
      <c r="E26" t="s">
        <v>3827</v>
      </c>
      <c r="F26" t="s">
        <v>61</v>
      </c>
      <c r="G26">
        <v>3</v>
      </c>
      <c r="H26" s="4">
        <v>2.4</v>
      </c>
      <c r="I26" s="4">
        <v>3.48</v>
      </c>
      <c r="J26" s="4">
        <v>0.15</v>
      </c>
      <c r="K26" s="17">
        <v>6.08</v>
      </c>
      <c r="L26" t="s">
        <v>1</v>
      </c>
    </row>
    <row r="27" spans="1:12" x14ac:dyDescent="0.25">
      <c r="A27" s="8">
        <v>46231.5</v>
      </c>
      <c r="B27" t="s">
        <v>15</v>
      </c>
      <c r="C27" t="s">
        <v>1592</v>
      </c>
      <c r="D27" t="s">
        <v>254</v>
      </c>
      <c r="E27" t="s">
        <v>3827</v>
      </c>
      <c r="F27" t="s">
        <v>61</v>
      </c>
      <c r="G27">
        <v>3</v>
      </c>
      <c r="H27" s="4">
        <v>2.4</v>
      </c>
      <c r="I27" s="4">
        <v>3.31</v>
      </c>
      <c r="J27" s="4">
        <v>0.02</v>
      </c>
      <c r="K27" s="17">
        <v>0.74</v>
      </c>
      <c r="L27" t="s">
        <v>1</v>
      </c>
    </row>
    <row r="28" spans="1:12" x14ac:dyDescent="0.25">
      <c r="A28" s="8">
        <v>46231.5</v>
      </c>
      <c r="B28" t="s">
        <v>15</v>
      </c>
      <c r="C28" t="s">
        <v>1593</v>
      </c>
      <c r="D28" t="s">
        <v>182</v>
      </c>
      <c r="E28" t="s">
        <v>3825</v>
      </c>
      <c r="F28" t="s">
        <v>75</v>
      </c>
      <c r="G28">
        <v>2</v>
      </c>
      <c r="H28" s="4">
        <v>3.8</v>
      </c>
      <c r="I28" s="4">
        <v>4.52</v>
      </c>
      <c r="J28" s="4">
        <v>-0.24</v>
      </c>
      <c r="K28" s="17">
        <v>-6.21</v>
      </c>
      <c r="L28" t="s">
        <v>1</v>
      </c>
    </row>
    <row r="29" spans="1:12" x14ac:dyDescent="0.25">
      <c r="A29" s="8">
        <v>46231.5</v>
      </c>
      <c r="B29" t="s">
        <v>15</v>
      </c>
      <c r="C29" t="s">
        <v>1594</v>
      </c>
      <c r="D29" t="s">
        <v>182</v>
      </c>
      <c r="E29" t="s">
        <v>3825</v>
      </c>
      <c r="F29" t="s">
        <v>75</v>
      </c>
      <c r="G29">
        <v>4</v>
      </c>
      <c r="H29" s="4">
        <v>7.6</v>
      </c>
      <c r="I29" s="4">
        <v>9.96</v>
      </c>
      <c r="J29" s="4">
        <v>0.7</v>
      </c>
      <c r="K29" s="17">
        <v>9.24</v>
      </c>
      <c r="L29" t="s">
        <v>1</v>
      </c>
    </row>
    <row r="30" spans="1:12" x14ac:dyDescent="0.25">
      <c r="A30" s="8">
        <v>46231.5</v>
      </c>
      <c r="B30" t="s">
        <v>15</v>
      </c>
      <c r="C30" t="s">
        <v>1595</v>
      </c>
      <c r="D30" t="s">
        <v>182</v>
      </c>
      <c r="E30" t="s">
        <v>3825</v>
      </c>
      <c r="F30" t="s">
        <v>75</v>
      </c>
      <c r="G30">
        <v>1</v>
      </c>
      <c r="H30" s="4">
        <v>1.9</v>
      </c>
      <c r="I30" s="4">
        <v>2.49</v>
      </c>
      <c r="J30" s="4">
        <v>-0.18</v>
      </c>
      <c r="K30" s="17">
        <v>-9.7</v>
      </c>
      <c r="L30" t="s">
        <v>1</v>
      </c>
    </row>
    <row r="31" spans="1:12" x14ac:dyDescent="0.25">
      <c r="A31" s="8">
        <v>46231.5</v>
      </c>
      <c r="B31" t="s">
        <v>15</v>
      </c>
      <c r="C31" t="s">
        <v>1596</v>
      </c>
      <c r="D31" t="s">
        <v>182</v>
      </c>
      <c r="E31" t="s">
        <v>3825</v>
      </c>
      <c r="F31" t="s">
        <v>75</v>
      </c>
      <c r="G31">
        <v>2</v>
      </c>
      <c r="H31" s="4">
        <v>3.8</v>
      </c>
      <c r="I31" s="4">
        <v>4.83</v>
      </c>
      <c r="J31" s="4">
        <v>0</v>
      </c>
      <c r="K31" s="17">
        <v>-0.05</v>
      </c>
      <c r="L31" t="s">
        <v>1</v>
      </c>
    </row>
    <row r="32" spans="1:12" x14ac:dyDescent="0.25">
      <c r="A32" s="8">
        <v>46231.5</v>
      </c>
      <c r="B32" t="s">
        <v>15</v>
      </c>
      <c r="C32" t="s">
        <v>1597</v>
      </c>
      <c r="D32" t="s">
        <v>185</v>
      </c>
      <c r="E32" t="s">
        <v>3826</v>
      </c>
      <c r="F32" t="s">
        <v>102</v>
      </c>
      <c r="G32">
        <v>3</v>
      </c>
      <c r="H32" s="4">
        <v>3.6</v>
      </c>
      <c r="I32" s="4">
        <v>4.46</v>
      </c>
      <c r="J32" s="4">
        <v>-0.11</v>
      </c>
      <c r="K32" s="17">
        <v>-3.18</v>
      </c>
      <c r="L32" t="s">
        <v>1</v>
      </c>
    </row>
    <row r="33" spans="1:12" x14ac:dyDescent="0.25">
      <c r="A33" s="8">
        <v>46231.5</v>
      </c>
      <c r="B33" t="s">
        <v>15</v>
      </c>
      <c r="C33" t="s">
        <v>1598</v>
      </c>
      <c r="D33" t="s">
        <v>185</v>
      </c>
      <c r="E33" t="s">
        <v>3826</v>
      </c>
      <c r="F33" t="s">
        <v>102</v>
      </c>
      <c r="G33">
        <v>2</v>
      </c>
      <c r="H33" s="4">
        <v>2.4</v>
      </c>
      <c r="I33" s="4">
        <v>3.41</v>
      </c>
      <c r="J33" s="4">
        <v>0.09</v>
      </c>
      <c r="K33" s="17">
        <v>3.88</v>
      </c>
      <c r="L33" t="s">
        <v>1</v>
      </c>
    </row>
    <row r="34" spans="1:12" x14ac:dyDescent="0.25">
      <c r="A34" s="8">
        <v>46231.5</v>
      </c>
      <c r="B34" t="s">
        <v>15</v>
      </c>
      <c r="C34" t="s">
        <v>1588</v>
      </c>
      <c r="D34" t="s">
        <v>185</v>
      </c>
      <c r="E34" t="s">
        <v>3826</v>
      </c>
      <c r="F34" t="s">
        <v>102</v>
      </c>
      <c r="G34">
        <v>4</v>
      </c>
      <c r="H34" s="4">
        <v>4.8</v>
      </c>
      <c r="I34" s="4">
        <v>6.1</v>
      </c>
      <c r="J34" s="4">
        <v>0.12</v>
      </c>
      <c r="K34" s="17">
        <v>2.56</v>
      </c>
      <c r="L34" t="s">
        <v>1</v>
      </c>
    </row>
    <row r="35" spans="1:12" x14ac:dyDescent="0.25">
      <c r="A35" s="8">
        <v>46231.5</v>
      </c>
      <c r="B35" t="s">
        <v>15</v>
      </c>
      <c r="C35" t="s">
        <v>1589</v>
      </c>
      <c r="D35" t="s">
        <v>185</v>
      </c>
      <c r="E35" t="s">
        <v>3826</v>
      </c>
      <c r="F35" t="s">
        <v>102</v>
      </c>
      <c r="G35">
        <v>3</v>
      </c>
      <c r="H35" s="4">
        <v>3.6</v>
      </c>
      <c r="I35" s="4">
        <v>4.61</v>
      </c>
      <c r="J35" s="4">
        <v>0</v>
      </c>
      <c r="K35" s="17">
        <v>-0.04</v>
      </c>
      <c r="L35" t="s">
        <v>1</v>
      </c>
    </row>
    <row r="36" spans="1:12" x14ac:dyDescent="0.25">
      <c r="A36" s="8">
        <v>46231.5</v>
      </c>
      <c r="B36" t="s">
        <v>16</v>
      </c>
      <c r="C36" t="s">
        <v>2393</v>
      </c>
      <c r="D36" t="s">
        <v>189</v>
      </c>
      <c r="E36" t="s">
        <v>3822</v>
      </c>
      <c r="F36" t="s">
        <v>66</v>
      </c>
      <c r="G36">
        <v>1</v>
      </c>
      <c r="H36" s="4">
        <v>3.5</v>
      </c>
      <c r="I36" s="4">
        <v>4.83</v>
      </c>
      <c r="J36" s="4">
        <v>0.7</v>
      </c>
      <c r="K36" s="17">
        <v>20.07</v>
      </c>
      <c r="L36" t="s">
        <v>1</v>
      </c>
    </row>
    <row r="37" spans="1:12" x14ac:dyDescent="0.25">
      <c r="A37" s="8">
        <v>46231.5</v>
      </c>
      <c r="B37" t="s">
        <v>16</v>
      </c>
      <c r="C37" t="s">
        <v>2394</v>
      </c>
      <c r="D37" t="s">
        <v>189</v>
      </c>
      <c r="E37" t="s">
        <v>3822</v>
      </c>
      <c r="F37" t="s">
        <v>66</v>
      </c>
      <c r="G37">
        <v>1</v>
      </c>
      <c r="H37" s="4">
        <v>3.5</v>
      </c>
      <c r="I37" s="4">
        <v>5.08</v>
      </c>
      <c r="J37" s="4">
        <v>0.89</v>
      </c>
      <c r="K37" s="17">
        <v>25.43</v>
      </c>
      <c r="L37" t="s">
        <v>1</v>
      </c>
    </row>
    <row r="38" spans="1:12" x14ac:dyDescent="0.25">
      <c r="A38" s="8">
        <v>46231.5</v>
      </c>
      <c r="B38" t="s">
        <v>16</v>
      </c>
      <c r="C38" t="s">
        <v>2395</v>
      </c>
      <c r="D38" t="s">
        <v>189</v>
      </c>
      <c r="E38" t="s">
        <v>3822</v>
      </c>
      <c r="F38" t="s">
        <v>66</v>
      </c>
      <c r="G38">
        <v>1</v>
      </c>
      <c r="H38" s="4">
        <v>3.5</v>
      </c>
      <c r="I38" s="4">
        <v>4.3</v>
      </c>
      <c r="J38" s="4">
        <v>0.31</v>
      </c>
      <c r="K38" s="17">
        <v>8.73</v>
      </c>
      <c r="L38" t="s">
        <v>1</v>
      </c>
    </row>
    <row r="39" spans="1:12" x14ac:dyDescent="0.25">
      <c r="A39" s="8">
        <v>46231.5</v>
      </c>
      <c r="B39" t="s">
        <v>16</v>
      </c>
      <c r="C39" t="s">
        <v>2396</v>
      </c>
      <c r="D39" t="s">
        <v>174</v>
      </c>
      <c r="E39" t="s">
        <v>3823</v>
      </c>
      <c r="F39" t="s">
        <v>66</v>
      </c>
      <c r="G39">
        <v>1</v>
      </c>
      <c r="H39" s="4">
        <v>4.25</v>
      </c>
      <c r="I39" s="4">
        <v>4.97</v>
      </c>
      <c r="J39" s="4">
        <v>0.18</v>
      </c>
      <c r="K39" s="17">
        <v>4.29</v>
      </c>
      <c r="L39" t="s">
        <v>1</v>
      </c>
    </row>
    <row r="40" spans="1:12" x14ac:dyDescent="0.25">
      <c r="A40" s="8">
        <v>46231.5</v>
      </c>
      <c r="B40" t="s">
        <v>16</v>
      </c>
      <c r="C40" t="s">
        <v>2397</v>
      </c>
      <c r="D40" t="s">
        <v>254</v>
      </c>
      <c r="E40" t="s">
        <v>3827</v>
      </c>
      <c r="F40" t="s">
        <v>61</v>
      </c>
      <c r="G40">
        <v>1</v>
      </c>
      <c r="H40" s="4">
        <v>0.8</v>
      </c>
      <c r="I40" s="4">
        <v>1.01</v>
      </c>
      <c r="J40" s="4">
        <v>0.09</v>
      </c>
      <c r="K40" s="17">
        <v>11.27</v>
      </c>
      <c r="L40" t="s">
        <v>1</v>
      </c>
    </row>
    <row r="41" spans="1:12" x14ac:dyDescent="0.25">
      <c r="A41" s="8">
        <v>46231.5</v>
      </c>
      <c r="B41" t="s">
        <v>16</v>
      </c>
      <c r="C41" t="s">
        <v>2398</v>
      </c>
      <c r="D41" t="s">
        <v>182</v>
      </c>
      <c r="E41" t="s">
        <v>3825</v>
      </c>
      <c r="F41" t="s">
        <v>75</v>
      </c>
      <c r="G41">
        <v>1</v>
      </c>
      <c r="H41" s="4">
        <v>1.9</v>
      </c>
      <c r="I41" s="4">
        <v>2.6</v>
      </c>
      <c r="J41" s="4">
        <v>0.36</v>
      </c>
      <c r="K41" s="17">
        <v>19.21</v>
      </c>
      <c r="L41" t="s">
        <v>1</v>
      </c>
    </row>
    <row r="42" spans="1:12" x14ac:dyDescent="0.25">
      <c r="A42" s="8">
        <v>46231.5</v>
      </c>
      <c r="B42" t="s">
        <v>16</v>
      </c>
      <c r="C42" t="s">
        <v>2399</v>
      </c>
      <c r="D42" t="s">
        <v>182</v>
      </c>
      <c r="E42" t="s">
        <v>3825</v>
      </c>
      <c r="F42" t="s">
        <v>75</v>
      </c>
      <c r="G42">
        <v>1</v>
      </c>
      <c r="H42" s="4">
        <v>1.9</v>
      </c>
      <c r="I42" s="4">
        <v>2.72</v>
      </c>
      <c r="J42" s="4">
        <v>0.45</v>
      </c>
      <c r="K42" s="17">
        <v>23.94</v>
      </c>
      <c r="L42" t="s">
        <v>1</v>
      </c>
    </row>
    <row r="43" spans="1:12" x14ac:dyDescent="0.25">
      <c r="A43" s="8">
        <v>46231.5</v>
      </c>
      <c r="B43" t="s">
        <v>16</v>
      </c>
      <c r="C43" t="s">
        <v>2400</v>
      </c>
      <c r="D43" t="s">
        <v>185</v>
      </c>
      <c r="E43" t="s">
        <v>3826</v>
      </c>
      <c r="F43" t="s">
        <v>102</v>
      </c>
      <c r="G43">
        <v>1</v>
      </c>
      <c r="H43" s="4">
        <v>1.2</v>
      </c>
      <c r="I43" s="4">
        <v>1.46</v>
      </c>
      <c r="J43" s="4">
        <v>0.09</v>
      </c>
      <c r="K43" s="17">
        <v>7.83</v>
      </c>
      <c r="L43" t="s">
        <v>1</v>
      </c>
    </row>
    <row r="44" spans="1:12" x14ac:dyDescent="0.25">
      <c r="A44" s="8">
        <v>46231.5</v>
      </c>
      <c r="B44" t="s">
        <v>17</v>
      </c>
      <c r="C44" t="s">
        <v>3152</v>
      </c>
      <c r="D44" t="s">
        <v>189</v>
      </c>
      <c r="E44" t="s">
        <v>3822</v>
      </c>
      <c r="F44" t="s">
        <v>66</v>
      </c>
      <c r="G44">
        <v>3</v>
      </c>
      <c r="H44" s="4">
        <v>10.5</v>
      </c>
      <c r="I44" s="4">
        <v>15.22</v>
      </c>
      <c r="J44" s="4">
        <v>3.23</v>
      </c>
      <c r="K44" s="17">
        <v>30.79</v>
      </c>
      <c r="L44" t="s">
        <v>1</v>
      </c>
    </row>
    <row r="45" spans="1:12" x14ac:dyDescent="0.25">
      <c r="A45" s="8">
        <v>46231.5</v>
      </c>
      <c r="B45" t="s">
        <v>17</v>
      </c>
      <c r="C45" t="s">
        <v>3153</v>
      </c>
      <c r="D45" t="s">
        <v>174</v>
      </c>
      <c r="E45" t="s">
        <v>3823</v>
      </c>
      <c r="F45" t="s">
        <v>66</v>
      </c>
      <c r="G45">
        <v>4</v>
      </c>
      <c r="H45" s="4">
        <v>17</v>
      </c>
      <c r="I45" s="4">
        <v>23.29</v>
      </c>
      <c r="J45" s="4">
        <v>4.17</v>
      </c>
      <c r="K45" s="17">
        <v>24.54</v>
      </c>
      <c r="L45" t="s">
        <v>1</v>
      </c>
    </row>
    <row r="46" spans="1:12" x14ac:dyDescent="0.25">
      <c r="A46" s="8">
        <v>46231.5</v>
      </c>
      <c r="B46" t="s">
        <v>17</v>
      </c>
      <c r="C46" t="s">
        <v>3154</v>
      </c>
      <c r="D46" t="s">
        <v>174</v>
      </c>
      <c r="E46" t="s">
        <v>3823</v>
      </c>
      <c r="F46" t="s">
        <v>66</v>
      </c>
      <c r="G46">
        <v>4</v>
      </c>
      <c r="H46" s="4">
        <v>17</v>
      </c>
      <c r="I46" s="4">
        <v>22.61</v>
      </c>
      <c r="J46" s="4">
        <v>3.63</v>
      </c>
      <c r="K46" s="17">
        <v>21.38</v>
      </c>
      <c r="L46" t="s">
        <v>1</v>
      </c>
    </row>
    <row r="47" spans="1:12" x14ac:dyDescent="0.25">
      <c r="A47" s="8">
        <v>46231.5</v>
      </c>
      <c r="B47" t="s">
        <v>17</v>
      </c>
      <c r="C47" t="s">
        <v>3155</v>
      </c>
      <c r="D47" t="s">
        <v>177</v>
      </c>
      <c r="E47" t="s">
        <v>3824</v>
      </c>
      <c r="F47" t="s">
        <v>78</v>
      </c>
      <c r="G47">
        <v>1</v>
      </c>
      <c r="H47" s="4">
        <v>0.15</v>
      </c>
      <c r="I47" s="4">
        <v>0.2</v>
      </c>
      <c r="J47" s="4">
        <v>0.03</v>
      </c>
      <c r="K47" s="17">
        <v>21.11</v>
      </c>
      <c r="L47" t="s">
        <v>1</v>
      </c>
    </row>
    <row r="48" spans="1:12" x14ac:dyDescent="0.25">
      <c r="A48" s="8">
        <v>46231.5</v>
      </c>
      <c r="B48" t="s">
        <v>17</v>
      </c>
      <c r="C48" t="s">
        <v>3156</v>
      </c>
      <c r="D48" t="s">
        <v>177</v>
      </c>
      <c r="E48" t="s">
        <v>3824</v>
      </c>
      <c r="F48" t="s">
        <v>78</v>
      </c>
      <c r="G48">
        <v>1</v>
      </c>
      <c r="H48" s="4">
        <v>0.15</v>
      </c>
      <c r="I48" s="4">
        <v>0.21</v>
      </c>
      <c r="J48" s="4">
        <v>0.04</v>
      </c>
      <c r="K48" s="17">
        <v>26.67</v>
      </c>
      <c r="L48" t="s">
        <v>1</v>
      </c>
    </row>
    <row r="49" spans="1:12" x14ac:dyDescent="0.25">
      <c r="A49" s="8">
        <v>46231.5</v>
      </c>
      <c r="B49" t="s">
        <v>17</v>
      </c>
      <c r="C49" t="s">
        <v>3157</v>
      </c>
      <c r="D49" t="s">
        <v>177</v>
      </c>
      <c r="E49" t="s">
        <v>3824</v>
      </c>
      <c r="F49" t="s">
        <v>78</v>
      </c>
      <c r="G49">
        <v>4</v>
      </c>
      <c r="H49" s="4">
        <v>0.6</v>
      </c>
      <c r="I49" s="4">
        <v>0.83</v>
      </c>
      <c r="J49" s="4">
        <v>0.15</v>
      </c>
      <c r="K49" s="17">
        <v>25.28</v>
      </c>
      <c r="L49" t="s">
        <v>1</v>
      </c>
    </row>
    <row r="50" spans="1:12" x14ac:dyDescent="0.25">
      <c r="A50" s="8">
        <v>46231.5</v>
      </c>
      <c r="B50" t="s">
        <v>17</v>
      </c>
      <c r="C50" t="s">
        <v>3158</v>
      </c>
      <c r="D50" t="s">
        <v>177</v>
      </c>
      <c r="E50" t="s">
        <v>3824</v>
      </c>
      <c r="F50" t="s">
        <v>78</v>
      </c>
      <c r="G50">
        <v>2</v>
      </c>
      <c r="H50" s="4">
        <v>0.3</v>
      </c>
      <c r="I50" s="4">
        <v>0.38</v>
      </c>
      <c r="J50" s="4">
        <v>0.05</v>
      </c>
      <c r="K50" s="17">
        <v>15.55</v>
      </c>
      <c r="L50" t="s">
        <v>1</v>
      </c>
    </row>
    <row r="51" spans="1:12" x14ac:dyDescent="0.25">
      <c r="A51" s="8">
        <v>46231.5</v>
      </c>
      <c r="B51" t="s">
        <v>17</v>
      </c>
      <c r="C51" t="s">
        <v>3149</v>
      </c>
      <c r="D51" t="s">
        <v>177</v>
      </c>
      <c r="E51" t="s">
        <v>3824</v>
      </c>
      <c r="F51" t="s">
        <v>78</v>
      </c>
      <c r="G51">
        <v>1</v>
      </c>
      <c r="H51" s="4">
        <v>0.15</v>
      </c>
      <c r="I51" s="4">
        <v>0.22</v>
      </c>
      <c r="J51" s="4">
        <v>0.05</v>
      </c>
      <c r="K51" s="17">
        <v>32.22</v>
      </c>
      <c r="L51" t="s">
        <v>1</v>
      </c>
    </row>
    <row r="52" spans="1:12" x14ac:dyDescent="0.25">
      <c r="A52" s="8">
        <v>46231.5</v>
      </c>
      <c r="B52" t="s">
        <v>17</v>
      </c>
      <c r="C52" t="s">
        <v>3150</v>
      </c>
      <c r="D52" t="s">
        <v>254</v>
      </c>
      <c r="E52" t="s">
        <v>3827</v>
      </c>
      <c r="F52" t="s">
        <v>61</v>
      </c>
      <c r="G52">
        <v>2</v>
      </c>
      <c r="H52" s="4">
        <v>1.6</v>
      </c>
      <c r="I52" s="4">
        <v>2.14</v>
      </c>
      <c r="J52" s="4">
        <v>0.35</v>
      </c>
      <c r="K52" s="17">
        <v>21.87</v>
      </c>
      <c r="L52" t="s">
        <v>1</v>
      </c>
    </row>
    <row r="53" spans="1:12" x14ac:dyDescent="0.25">
      <c r="A53" s="8">
        <v>46231.5</v>
      </c>
      <c r="B53" t="s">
        <v>17</v>
      </c>
      <c r="C53" t="s">
        <v>3151</v>
      </c>
      <c r="D53" t="s">
        <v>182</v>
      </c>
      <c r="E53" t="s">
        <v>3825</v>
      </c>
      <c r="F53" t="s">
        <v>75</v>
      </c>
      <c r="G53">
        <v>1</v>
      </c>
      <c r="H53" s="4">
        <v>1.9</v>
      </c>
      <c r="I53" s="4">
        <v>2.6</v>
      </c>
      <c r="J53" s="4">
        <v>0.46</v>
      </c>
      <c r="K53" s="17">
        <v>24.38</v>
      </c>
      <c r="L53" t="s">
        <v>1</v>
      </c>
    </row>
    <row r="54" spans="1:12" x14ac:dyDescent="0.25">
      <c r="A54" s="8">
        <v>46230.5</v>
      </c>
      <c r="B54" t="s">
        <v>17</v>
      </c>
      <c r="C54" t="s">
        <v>3163</v>
      </c>
      <c r="D54" t="s">
        <v>189</v>
      </c>
      <c r="E54" t="s">
        <v>3822</v>
      </c>
      <c r="F54" t="s">
        <v>66</v>
      </c>
      <c r="G54">
        <v>4</v>
      </c>
      <c r="H54" s="4">
        <v>14</v>
      </c>
      <c r="I54" s="4">
        <v>18.9</v>
      </c>
      <c r="J54" s="4">
        <v>3.21</v>
      </c>
      <c r="K54" s="17">
        <v>22.95</v>
      </c>
      <c r="L54" t="s">
        <v>1</v>
      </c>
    </row>
    <row r="55" spans="1:12" x14ac:dyDescent="0.25">
      <c r="A55" s="8">
        <v>46230.5</v>
      </c>
      <c r="B55" t="s">
        <v>17</v>
      </c>
      <c r="C55" t="s">
        <v>3161</v>
      </c>
      <c r="D55" t="s">
        <v>254</v>
      </c>
      <c r="E55" t="s">
        <v>3827</v>
      </c>
      <c r="F55" t="s">
        <v>61</v>
      </c>
      <c r="G55">
        <v>3</v>
      </c>
      <c r="H55" s="4">
        <v>2.4</v>
      </c>
      <c r="I55" s="4">
        <v>3.36</v>
      </c>
      <c r="J55" s="4">
        <v>0.65</v>
      </c>
      <c r="K55" s="17">
        <v>27.08</v>
      </c>
      <c r="L55" t="s">
        <v>1</v>
      </c>
    </row>
    <row r="56" spans="1:12" x14ac:dyDescent="0.25">
      <c r="A56" s="8">
        <v>46230.5</v>
      </c>
      <c r="B56" t="s">
        <v>17</v>
      </c>
      <c r="C56" t="s">
        <v>3162</v>
      </c>
      <c r="D56" t="s">
        <v>185</v>
      </c>
      <c r="E56" t="s">
        <v>3826</v>
      </c>
      <c r="F56" t="s">
        <v>102</v>
      </c>
      <c r="G56">
        <v>1</v>
      </c>
      <c r="H56" s="4">
        <v>1.2</v>
      </c>
      <c r="I56" s="4">
        <v>1.38</v>
      </c>
      <c r="J56" s="4">
        <v>0.09</v>
      </c>
      <c r="K56" s="17">
        <v>7.5</v>
      </c>
      <c r="L56" t="s">
        <v>1</v>
      </c>
    </row>
    <row r="57" spans="1:12" x14ac:dyDescent="0.25">
      <c r="A57" s="8">
        <v>46229.5</v>
      </c>
      <c r="B57" t="s">
        <v>13</v>
      </c>
      <c r="C57" t="s">
        <v>188</v>
      </c>
      <c r="D57" t="s">
        <v>189</v>
      </c>
      <c r="E57" t="s">
        <v>3822</v>
      </c>
      <c r="F57" t="s">
        <v>66</v>
      </c>
      <c r="G57">
        <v>1</v>
      </c>
      <c r="H57" s="4">
        <v>3.5</v>
      </c>
      <c r="I57" s="4">
        <v>4.66</v>
      </c>
      <c r="J57" s="4">
        <v>0.57</v>
      </c>
      <c r="K57" s="17">
        <v>16.21</v>
      </c>
      <c r="L57" t="s">
        <v>1</v>
      </c>
    </row>
    <row r="58" spans="1:12" x14ac:dyDescent="0.25">
      <c r="A58" s="8">
        <v>46229.5</v>
      </c>
      <c r="B58" t="s">
        <v>14</v>
      </c>
      <c r="C58" t="s">
        <v>842</v>
      </c>
      <c r="D58" t="s">
        <v>189</v>
      </c>
      <c r="E58" t="s">
        <v>3822</v>
      </c>
      <c r="F58" t="s">
        <v>66</v>
      </c>
      <c r="G58">
        <v>3</v>
      </c>
      <c r="H58" s="4">
        <v>10.5</v>
      </c>
      <c r="I58" s="4">
        <v>12.39</v>
      </c>
      <c r="J58" s="4">
        <v>-8.78</v>
      </c>
      <c r="K58" s="17">
        <v>-83.6</v>
      </c>
      <c r="L58" t="s">
        <v>1</v>
      </c>
    </row>
    <row r="59" spans="1:12" x14ac:dyDescent="0.25">
      <c r="A59" s="8">
        <v>46229.5</v>
      </c>
      <c r="B59" t="s">
        <v>15</v>
      </c>
      <c r="C59" t="s">
        <v>1613</v>
      </c>
      <c r="D59" t="s">
        <v>174</v>
      </c>
      <c r="E59" t="s">
        <v>3823</v>
      </c>
      <c r="F59" t="s">
        <v>66</v>
      </c>
      <c r="G59">
        <v>3</v>
      </c>
      <c r="H59" s="4">
        <v>12.75</v>
      </c>
      <c r="I59" s="4">
        <v>16.7</v>
      </c>
      <c r="J59" s="4">
        <v>1.5</v>
      </c>
      <c r="K59" s="17">
        <v>11.74</v>
      </c>
      <c r="L59" t="s">
        <v>1</v>
      </c>
    </row>
    <row r="60" spans="1:12" x14ac:dyDescent="0.25">
      <c r="A60" s="8">
        <v>46229.5</v>
      </c>
      <c r="B60" t="s">
        <v>15</v>
      </c>
      <c r="C60" t="s">
        <v>1612</v>
      </c>
      <c r="D60" t="s">
        <v>182</v>
      </c>
      <c r="E60" t="s">
        <v>3825</v>
      </c>
      <c r="F60" t="s">
        <v>75</v>
      </c>
      <c r="G60">
        <v>4</v>
      </c>
      <c r="H60" s="4">
        <v>7.6</v>
      </c>
      <c r="I60" s="4">
        <v>8.82</v>
      </c>
      <c r="J60" s="4">
        <v>-0.16</v>
      </c>
      <c r="K60" s="17">
        <v>-2.07</v>
      </c>
      <c r="L60" t="s">
        <v>1</v>
      </c>
    </row>
    <row r="61" spans="1:12" x14ac:dyDescent="0.25">
      <c r="A61" s="8">
        <v>46229.5</v>
      </c>
      <c r="B61" t="s">
        <v>16</v>
      </c>
      <c r="C61" t="s">
        <v>2407</v>
      </c>
      <c r="D61" t="s">
        <v>174</v>
      </c>
      <c r="E61" t="s">
        <v>3823</v>
      </c>
      <c r="F61" t="s">
        <v>66</v>
      </c>
      <c r="G61">
        <v>1</v>
      </c>
      <c r="H61" s="4">
        <v>4.25</v>
      </c>
      <c r="I61" s="4">
        <v>6.12</v>
      </c>
      <c r="J61" s="4">
        <v>1.04</v>
      </c>
      <c r="K61" s="17">
        <v>24.57</v>
      </c>
      <c r="L61" t="s">
        <v>1</v>
      </c>
    </row>
    <row r="62" spans="1:12" x14ac:dyDescent="0.25">
      <c r="A62" s="8">
        <v>46229.5</v>
      </c>
      <c r="B62" t="s">
        <v>17</v>
      </c>
      <c r="C62" t="s">
        <v>3173</v>
      </c>
      <c r="D62" t="s">
        <v>174</v>
      </c>
      <c r="E62" t="s">
        <v>3823</v>
      </c>
      <c r="F62" t="s">
        <v>66</v>
      </c>
      <c r="G62">
        <v>1</v>
      </c>
      <c r="H62" s="4">
        <v>4.25</v>
      </c>
      <c r="I62" s="4">
        <v>5.18</v>
      </c>
      <c r="J62" s="4">
        <v>0.53</v>
      </c>
      <c r="K62" s="17">
        <v>12.59</v>
      </c>
      <c r="L62" t="s">
        <v>1</v>
      </c>
    </row>
    <row r="63" spans="1:12" x14ac:dyDescent="0.25">
      <c r="A63" s="8">
        <v>46229.5</v>
      </c>
      <c r="B63" t="s">
        <v>17</v>
      </c>
      <c r="C63" t="s">
        <v>3174</v>
      </c>
      <c r="D63" t="s">
        <v>177</v>
      </c>
      <c r="E63" t="s">
        <v>3824</v>
      </c>
      <c r="F63" t="s">
        <v>78</v>
      </c>
      <c r="G63">
        <v>1</v>
      </c>
      <c r="H63" s="4">
        <v>0.15</v>
      </c>
      <c r="I63" s="4">
        <v>0.2</v>
      </c>
      <c r="J63" s="4">
        <v>0.03</v>
      </c>
      <c r="K63" s="17">
        <v>21.11</v>
      </c>
      <c r="L63" t="s">
        <v>1</v>
      </c>
    </row>
    <row r="64" spans="1:12" x14ac:dyDescent="0.25">
      <c r="A64" s="8">
        <v>46229.5</v>
      </c>
      <c r="B64" t="s">
        <v>17</v>
      </c>
      <c r="C64" t="s">
        <v>3172</v>
      </c>
      <c r="D64" t="s">
        <v>254</v>
      </c>
      <c r="E64" t="s">
        <v>3827</v>
      </c>
      <c r="F64" t="s">
        <v>61</v>
      </c>
      <c r="G64">
        <v>3</v>
      </c>
      <c r="H64" s="4">
        <v>2.4</v>
      </c>
      <c r="I64" s="4">
        <v>3.14</v>
      </c>
      <c r="J64" s="4">
        <v>0.48</v>
      </c>
      <c r="K64" s="17">
        <v>19.86</v>
      </c>
      <c r="L64" t="s">
        <v>1</v>
      </c>
    </row>
    <row r="65" spans="1:12" x14ac:dyDescent="0.25">
      <c r="A65" s="8">
        <v>46228.5</v>
      </c>
      <c r="B65" t="s">
        <v>13</v>
      </c>
      <c r="C65" t="s">
        <v>200</v>
      </c>
      <c r="D65" t="s">
        <v>174</v>
      </c>
      <c r="E65" t="s">
        <v>3823</v>
      </c>
      <c r="F65" t="s">
        <v>66</v>
      </c>
      <c r="G65">
        <v>2</v>
      </c>
      <c r="H65" s="4">
        <v>8.5</v>
      </c>
      <c r="I65" s="4">
        <v>11.56</v>
      </c>
      <c r="J65" s="4">
        <v>1.56</v>
      </c>
      <c r="K65" s="17">
        <v>18.35</v>
      </c>
      <c r="L65" t="s">
        <v>1</v>
      </c>
    </row>
    <row r="66" spans="1:12" x14ac:dyDescent="0.25">
      <c r="A66" s="8">
        <v>46228.5</v>
      </c>
      <c r="B66" t="s">
        <v>14</v>
      </c>
      <c r="C66" t="s">
        <v>853</v>
      </c>
      <c r="D66" t="s">
        <v>174</v>
      </c>
      <c r="E66" t="s">
        <v>3823</v>
      </c>
      <c r="F66" t="s">
        <v>66</v>
      </c>
      <c r="G66">
        <v>3</v>
      </c>
      <c r="H66" s="4">
        <v>12.75</v>
      </c>
      <c r="I66" s="4">
        <v>17.59</v>
      </c>
      <c r="J66" s="4">
        <v>-6.89</v>
      </c>
      <c r="K66" s="17">
        <v>-54.05</v>
      </c>
      <c r="L66" t="s">
        <v>1</v>
      </c>
    </row>
    <row r="67" spans="1:12" x14ac:dyDescent="0.25">
      <c r="A67" s="8">
        <v>46228.5</v>
      </c>
      <c r="B67" t="s">
        <v>14</v>
      </c>
      <c r="C67" t="s">
        <v>854</v>
      </c>
      <c r="D67" t="s">
        <v>174</v>
      </c>
      <c r="E67" t="s">
        <v>3823</v>
      </c>
      <c r="F67" t="s">
        <v>66</v>
      </c>
      <c r="G67">
        <v>2</v>
      </c>
      <c r="H67" s="4">
        <v>8.5</v>
      </c>
      <c r="I67" s="4">
        <v>10.88</v>
      </c>
      <c r="J67" s="4">
        <v>-8.2</v>
      </c>
      <c r="K67" s="17">
        <v>-96.51</v>
      </c>
      <c r="L67" t="s">
        <v>1</v>
      </c>
    </row>
    <row r="68" spans="1:12" x14ac:dyDescent="0.25">
      <c r="A68" s="8">
        <v>46228.5</v>
      </c>
      <c r="B68" t="s">
        <v>14</v>
      </c>
      <c r="C68" t="s">
        <v>855</v>
      </c>
      <c r="D68" t="s">
        <v>182</v>
      </c>
      <c r="E68" t="s">
        <v>3825</v>
      </c>
      <c r="F68" t="s">
        <v>75</v>
      </c>
      <c r="G68">
        <v>4</v>
      </c>
      <c r="H68" s="4">
        <v>7.6</v>
      </c>
      <c r="I68" s="4">
        <v>10.79</v>
      </c>
      <c r="J68" s="4">
        <v>-7.52</v>
      </c>
      <c r="K68" s="17">
        <v>-98.93</v>
      </c>
      <c r="L68" t="s">
        <v>1</v>
      </c>
    </row>
    <row r="69" spans="1:12" x14ac:dyDescent="0.25">
      <c r="A69" s="8">
        <v>46228.5</v>
      </c>
      <c r="B69" t="s">
        <v>15</v>
      </c>
      <c r="C69" t="s">
        <v>1622</v>
      </c>
      <c r="D69" t="s">
        <v>185</v>
      </c>
      <c r="E69" t="s">
        <v>3826</v>
      </c>
      <c r="F69" t="s">
        <v>102</v>
      </c>
      <c r="G69">
        <v>2</v>
      </c>
      <c r="H69" s="4">
        <v>2.4</v>
      </c>
      <c r="I69" s="4">
        <v>3.31</v>
      </c>
      <c r="J69" s="4">
        <v>0.02</v>
      </c>
      <c r="K69" s="17">
        <v>0.74</v>
      </c>
      <c r="L69" t="s">
        <v>1</v>
      </c>
    </row>
    <row r="70" spans="1:12" x14ac:dyDescent="0.25">
      <c r="A70" s="8">
        <v>46228.5</v>
      </c>
      <c r="B70" t="s">
        <v>16</v>
      </c>
      <c r="C70" t="s">
        <v>2419</v>
      </c>
      <c r="D70" t="s">
        <v>189</v>
      </c>
      <c r="E70" t="s">
        <v>3822</v>
      </c>
      <c r="F70" t="s">
        <v>66</v>
      </c>
      <c r="G70">
        <v>1</v>
      </c>
      <c r="H70" s="4">
        <v>3.5</v>
      </c>
      <c r="I70" s="4">
        <v>4.97</v>
      </c>
      <c r="J70" s="4">
        <v>0.81</v>
      </c>
      <c r="K70" s="17">
        <v>23.07</v>
      </c>
      <c r="L70" t="s">
        <v>1</v>
      </c>
    </row>
    <row r="71" spans="1:12" x14ac:dyDescent="0.25">
      <c r="A71" s="8">
        <v>46228.5</v>
      </c>
      <c r="B71" t="s">
        <v>17</v>
      </c>
      <c r="C71" t="s">
        <v>3187</v>
      </c>
      <c r="D71" t="s">
        <v>189</v>
      </c>
      <c r="E71" t="s">
        <v>3822</v>
      </c>
      <c r="F71" t="s">
        <v>66</v>
      </c>
      <c r="G71">
        <v>1</v>
      </c>
      <c r="H71" s="4">
        <v>3.5</v>
      </c>
      <c r="I71" s="4">
        <v>4.93</v>
      </c>
      <c r="J71" s="4">
        <v>0.96</v>
      </c>
      <c r="K71" s="17">
        <v>27.47</v>
      </c>
      <c r="L71" t="s">
        <v>1</v>
      </c>
    </row>
    <row r="72" spans="1:12" x14ac:dyDescent="0.25">
      <c r="A72" s="8">
        <v>46227.5</v>
      </c>
      <c r="B72" t="s">
        <v>14</v>
      </c>
      <c r="C72" t="s">
        <v>869</v>
      </c>
      <c r="D72" t="s">
        <v>185</v>
      </c>
      <c r="E72" t="s">
        <v>3826</v>
      </c>
      <c r="F72" t="s">
        <v>102</v>
      </c>
      <c r="G72">
        <v>3</v>
      </c>
      <c r="H72" s="4">
        <v>3.6</v>
      </c>
      <c r="I72" s="4">
        <v>4.72</v>
      </c>
      <c r="J72" s="4">
        <v>-8.58</v>
      </c>
      <c r="K72" s="17">
        <v>-238.22</v>
      </c>
      <c r="L72" t="s">
        <v>1</v>
      </c>
    </row>
    <row r="73" spans="1:12" x14ac:dyDescent="0.25">
      <c r="A73" s="8">
        <v>46227.5</v>
      </c>
      <c r="B73" t="s">
        <v>16</v>
      </c>
      <c r="C73" t="s">
        <v>2432</v>
      </c>
      <c r="D73" t="s">
        <v>177</v>
      </c>
      <c r="E73" t="s">
        <v>3824</v>
      </c>
      <c r="F73" t="s">
        <v>78</v>
      </c>
      <c r="G73">
        <v>1</v>
      </c>
      <c r="H73" s="4">
        <v>0.15</v>
      </c>
      <c r="I73" s="4">
        <v>0.18</v>
      </c>
      <c r="J73" s="4">
        <v>0.01</v>
      </c>
      <c r="K73" s="17">
        <v>6.59</v>
      </c>
      <c r="L73" t="s">
        <v>1</v>
      </c>
    </row>
    <row r="74" spans="1:12" x14ac:dyDescent="0.25">
      <c r="A74" s="8">
        <v>46227.5</v>
      </c>
      <c r="B74" t="s">
        <v>17</v>
      </c>
      <c r="C74" t="s">
        <v>3192</v>
      </c>
      <c r="D74" t="s">
        <v>174</v>
      </c>
      <c r="E74" t="s">
        <v>3823</v>
      </c>
      <c r="F74" t="s">
        <v>66</v>
      </c>
      <c r="G74">
        <v>2</v>
      </c>
      <c r="H74" s="4">
        <v>8.5</v>
      </c>
      <c r="I74" s="4">
        <v>10.88</v>
      </c>
      <c r="J74" s="4">
        <v>1.48</v>
      </c>
      <c r="K74" s="17">
        <v>17.45</v>
      </c>
      <c r="L74" t="s">
        <v>1</v>
      </c>
    </row>
    <row r="75" spans="1:12" x14ac:dyDescent="0.25">
      <c r="A75" s="8">
        <v>46226.5</v>
      </c>
      <c r="B75" t="s">
        <v>13</v>
      </c>
      <c r="C75" t="s">
        <v>220</v>
      </c>
      <c r="D75" t="s">
        <v>185</v>
      </c>
      <c r="E75" t="s">
        <v>3826</v>
      </c>
      <c r="F75" t="s">
        <v>102</v>
      </c>
      <c r="G75">
        <v>1</v>
      </c>
      <c r="H75" s="4">
        <v>1.2</v>
      </c>
      <c r="I75" s="4">
        <v>1.39</v>
      </c>
      <c r="J75" s="4">
        <v>0.04</v>
      </c>
      <c r="K75" s="17">
        <v>3.27</v>
      </c>
      <c r="L75" t="s">
        <v>1</v>
      </c>
    </row>
    <row r="76" spans="1:12" x14ac:dyDescent="0.25">
      <c r="A76" s="8">
        <v>46226.5</v>
      </c>
      <c r="B76" t="s">
        <v>14</v>
      </c>
      <c r="C76" t="s">
        <v>876</v>
      </c>
      <c r="D76" t="s">
        <v>177</v>
      </c>
      <c r="E76" t="s">
        <v>3824</v>
      </c>
      <c r="F76" t="s">
        <v>78</v>
      </c>
      <c r="G76">
        <v>3</v>
      </c>
      <c r="H76" s="4">
        <v>0.45</v>
      </c>
      <c r="I76" s="4">
        <v>0.65</v>
      </c>
      <c r="J76" s="4">
        <v>-8.89</v>
      </c>
      <c r="K76" s="17">
        <v>-1976.63</v>
      </c>
      <c r="L76" t="s">
        <v>1</v>
      </c>
    </row>
    <row r="77" spans="1:12" x14ac:dyDescent="0.25">
      <c r="A77" s="8">
        <v>46226.5</v>
      </c>
      <c r="B77" t="s">
        <v>15</v>
      </c>
      <c r="C77" t="s">
        <v>1636</v>
      </c>
      <c r="D77" t="s">
        <v>185</v>
      </c>
      <c r="E77" t="s">
        <v>3826</v>
      </c>
      <c r="F77" t="s">
        <v>102</v>
      </c>
      <c r="G77">
        <v>3</v>
      </c>
      <c r="H77" s="4">
        <v>3.6</v>
      </c>
      <c r="I77" s="4">
        <v>5.18</v>
      </c>
      <c r="J77" s="4">
        <v>0.43</v>
      </c>
      <c r="K77" s="17">
        <v>11.91</v>
      </c>
      <c r="L77" t="s">
        <v>1</v>
      </c>
    </row>
    <row r="78" spans="1:12" x14ac:dyDescent="0.25">
      <c r="A78" s="8">
        <v>46225.5</v>
      </c>
      <c r="B78" t="s">
        <v>13</v>
      </c>
      <c r="C78" t="s">
        <v>227</v>
      </c>
      <c r="D78" t="s">
        <v>185</v>
      </c>
      <c r="E78" t="s">
        <v>3826</v>
      </c>
      <c r="F78" t="s">
        <v>102</v>
      </c>
      <c r="G78">
        <v>3</v>
      </c>
      <c r="H78" s="4">
        <v>3.6</v>
      </c>
      <c r="I78" s="4">
        <v>4.32</v>
      </c>
      <c r="J78" s="4">
        <v>0.23</v>
      </c>
      <c r="K78" s="17">
        <v>6.38</v>
      </c>
      <c r="L78" t="s">
        <v>1</v>
      </c>
    </row>
    <row r="79" spans="1:12" x14ac:dyDescent="0.25">
      <c r="A79" s="8">
        <v>46225.5</v>
      </c>
      <c r="B79" t="s">
        <v>14</v>
      </c>
      <c r="C79" t="s">
        <v>887</v>
      </c>
      <c r="D79" t="s">
        <v>174</v>
      </c>
      <c r="E79" t="s">
        <v>3823</v>
      </c>
      <c r="F79" t="s">
        <v>66</v>
      </c>
      <c r="G79">
        <v>1</v>
      </c>
      <c r="H79" s="4">
        <v>4.25</v>
      </c>
      <c r="I79" s="4">
        <v>5.61</v>
      </c>
      <c r="J79" s="4">
        <v>-8.47</v>
      </c>
      <c r="K79" s="17">
        <v>-199.38</v>
      </c>
      <c r="L79" t="s">
        <v>1</v>
      </c>
    </row>
    <row r="80" spans="1:12" x14ac:dyDescent="0.25">
      <c r="A80" s="8">
        <v>46225.5</v>
      </c>
      <c r="B80" t="s">
        <v>14</v>
      </c>
      <c r="C80" t="s">
        <v>888</v>
      </c>
      <c r="D80" t="s">
        <v>174</v>
      </c>
      <c r="E80" t="s">
        <v>3823</v>
      </c>
      <c r="F80" t="s">
        <v>66</v>
      </c>
      <c r="G80">
        <v>2</v>
      </c>
      <c r="H80" s="4">
        <v>8.5</v>
      </c>
      <c r="I80" s="4">
        <v>11.82</v>
      </c>
      <c r="J80" s="4">
        <v>-7.52</v>
      </c>
      <c r="K80" s="17">
        <v>-88.51</v>
      </c>
      <c r="L80" t="s">
        <v>1</v>
      </c>
    </row>
    <row r="81" spans="1:12" x14ac:dyDescent="0.25">
      <c r="A81" s="8">
        <v>46225.5</v>
      </c>
      <c r="B81" t="s">
        <v>15</v>
      </c>
      <c r="C81" t="s">
        <v>1652</v>
      </c>
      <c r="D81" t="s">
        <v>174</v>
      </c>
      <c r="E81" t="s">
        <v>3823</v>
      </c>
      <c r="F81" t="s">
        <v>66</v>
      </c>
      <c r="G81">
        <v>4</v>
      </c>
      <c r="H81" s="4">
        <v>17</v>
      </c>
      <c r="I81" s="4">
        <v>23.12</v>
      </c>
      <c r="J81" s="4">
        <v>2.8</v>
      </c>
      <c r="K81" s="17">
        <v>16.47</v>
      </c>
      <c r="L81" t="s">
        <v>1</v>
      </c>
    </row>
    <row r="82" spans="1:12" x14ac:dyDescent="0.25">
      <c r="A82" s="8">
        <v>46225.5</v>
      </c>
      <c r="B82" t="s">
        <v>16</v>
      </c>
      <c r="C82" t="s">
        <v>2449</v>
      </c>
      <c r="D82" t="s">
        <v>177</v>
      </c>
      <c r="E82" t="s">
        <v>3824</v>
      </c>
      <c r="F82" t="s">
        <v>78</v>
      </c>
      <c r="G82">
        <v>1</v>
      </c>
      <c r="H82" s="4">
        <v>0.15</v>
      </c>
      <c r="I82" s="4">
        <v>0.19</v>
      </c>
      <c r="J82" s="4">
        <v>0.02</v>
      </c>
      <c r="K82" s="17">
        <v>11.58</v>
      </c>
      <c r="L82" t="s">
        <v>1</v>
      </c>
    </row>
    <row r="83" spans="1:12" x14ac:dyDescent="0.25">
      <c r="A83" s="8">
        <v>46225.5</v>
      </c>
      <c r="B83" t="s">
        <v>16</v>
      </c>
      <c r="C83" t="s">
        <v>2450</v>
      </c>
      <c r="D83" t="s">
        <v>177</v>
      </c>
      <c r="E83" t="s">
        <v>3824</v>
      </c>
      <c r="F83" t="s">
        <v>78</v>
      </c>
      <c r="G83">
        <v>1</v>
      </c>
      <c r="H83" s="4">
        <v>0.15</v>
      </c>
      <c r="I83" s="4">
        <v>0.19</v>
      </c>
      <c r="J83" s="4">
        <v>0.02</v>
      </c>
      <c r="K83" s="17">
        <v>11.58</v>
      </c>
      <c r="L83" t="s">
        <v>1</v>
      </c>
    </row>
    <row r="84" spans="1:12" x14ac:dyDescent="0.25">
      <c r="A84" s="8">
        <v>46224.5</v>
      </c>
      <c r="B84" t="s">
        <v>14</v>
      </c>
      <c r="C84" t="s">
        <v>894</v>
      </c>
      <c r="D84" t="s">
        <v>189</v>
      </c>
      <c r="E84" t="s">
        <v>3822</v>
      </c>
      <c r="F84" t="s">
        <v>66</v>
      </c>
      <c r="G84">
        <v>2</v>
      </c>
      <c r="H84" s="4">
        <v>7</v>
      </c>
      <c r="I84" s="4">
        <v>9.03</v>
      </c>
      <c r="J84" s="4">
        <v>-8.29</v>
      </c>
      <c r="K84" s="17">
        <v>-118.45</v>
      </c>
      <c r="L84" t="s">
        <v>1</v>
      </c>
    </row>
    <row r="85" spans="1:12" x14ac:dyDescent="0.25">
      <c r="A85" s="8">
        <v>46224.5</v>
      </c>
      <c r="B85" t="s">
        <v>14</v>
      </c>
      <c r="C85" t="s">
        <v>895</v>
      </c>
      <c r="D85" t="s">
        <v>254</v>
      </c>
      <c r="E85" t="s">
        <v>3827</v>
      </c>
      <c r="F85" t="s">
        <v>61</v>
      </c>
      <c r="G85">
        <v>2</v>
      </c>
      <c r="H85" s="4">
        <v>1.6</v>
      </c>
      <c r="I85" s="4">
        <v>2.21</v>
      </c>
      <c r="J85" s="4">
        <v>-8.72</v>
      </c>
      <c r="K85" s="17">
        <v>-545.3</v>
      </c>
      <c r="L85" t="s">
        <v>1</v>
      </c>
    </row>
    <row r="86" spans="1:12" x14ac:dyDescent="0.25">
      <c r="A86" s="8">
        <v>46223.5</v>
      </c>
      <c r="B86" t="s">
        <v>15</v>
      </c>
      <c r="C86" t="s">
        <v>1661</v>
      </c>
      <c r="D86" t="s">
        <v>185</v>
      </c>
      <c r="E86" t="s">
        <v>3826</v>
      </c>
      <c r="F86" t="s">
        <v>102</v>
      </c>
      <c r="G86">
        <v>1</v>
      </c>
      <c r="H86" s="4">
        <v>1.2</v>
      </c>
      <c r="I86" s="4">
        <v>1.61</v>
      </c>
      <c r="J86" s="4">
        <v>-0.27</v>
      </c>
      <c r="K86" s="17">
        <v>-22.09</v>
      </c>
      <c r="L86" t="s">
        <v>1</v>
      </c>
    </row>
    <row r="87" spans="1:12" x14ac:dyDescent="0.25">
      <c r="A87" s="8">
        <v>46222.5</v>
      </c>
      <c r="B87" t="s">
        <v>13</v>
      </c>
      <c r="C87" t="s">
        <v>246</v>
      </c>
      <c r="D87" t="s">
        <v>182</v>
      </c>
      <c r="E87" t="s">
        <v>3825</v>
      </c>
      <c r="F87" t="s">
        <v>75</v>
      </c>
      <c r="G87">
        <v>2</v>
      </c>
      <c r="H87" s="4">
        <v>3.8</v>
      </c>
      <c r="I87" s="4">
        <v>4.56</v>
      </c>
      <c r="J87" s="4">
        <v>0.24</v>
      </c>
      <c r="K87" s="17">
        <v>6.38</v>
      </c>
      <c r="L87" t="s">
        <v>1</v>
      </c>
    </row>
    <row r="88" spans="1:12" x14ac:dyDescent="0.25">
      <c r="A88" s="8">
        <v>46222.5</v>
      </c>
      <c r="B88" t="s">
        <v>14</v>
      </c>
      <c r="C88" t="s">
        <v>900</v>
      </c>
      <c r="D88" t="s">
        <v>189</v>
      </c>
      <c r="E88" t="s">
        <v>3822</v>
      </c>
      <c r="F88" t="s">
        <v>66</v>
      </c>
      <c r="G88">
        <v>3</v>
      </c>
      <c r="H88" s="4">
        <v>10.5</v>
      </c>
      <c r="I88" s="4">
        <v>13.65</v>
      </c>
      <c r="J88" s="4">
        <v>-7.87</v>
      </c>
      <c r="K88" s="17">
        <v>-74.92</v>
      </c>
      <c r="L88" t="s">
        <v>1</v>
      </c>
    </row>
    <row r="89" spans="1:12" x14ac:dyDescent="0.25">
      <c r="A89" s="8">
        <v>46222.5</v>
      </c>
      <c r="B89" t="s">
        <v>15</v>
      </c>
      <c r="C89" t="s">
        <v>1668</v>
      </c>
      <c r="D89" t="s">
        <v>185</v>
      </c>
      <c r="E89" t="s">
        <v>3826</v>
      </c>
      <c r="F89" t="s">
        <v>102</v>
      </c>
      <c r="G89">
        <v>2</v>
      </c>
      <c r="H89" s="4">
        <v>2.4</v>
      </c>
      <c r="I89" s="4">
        <v>2.95</v>
      </c>
      <c r="J89" s="4">
        <v>-0.25</v>
      </c>
      <c r="K89" s="17">
        <v>-10.58</v>
      </c>
      <c r="L89" t="s">
        <v>1</v>
      </c>
    </row>
    <row r="90" spans="1:12" x14ac:dyDescent="0.25">
      <c r="A90" s="8">
        <v>46222.5</v>
      </c>
      <c r="B90" t="s">
        <v>17</v>
      </c>
      <c r="C90" t="s">
        <v>3220</v>
      </c>
      <c r="D90" t="s">
        <v>182</v>
      </c>
      <c r="E90" t="s">
        <v>3825</v>
      </c>
      <c r="F90" t="s">
        <v>75</v>
      </c>
      <c r="G90">
        <v>2</v>
      </c>
      <c r="H90" s="4">
        <v>3.8</v>
      </c>
      <c r="I90" s="4">
        <v>4.9</v>
      </c>
      <c r="J90" s="4">
        <v>0.69</v>
      </c>
      <c r="K90" s="17">
        <v>18.07</v>
      </c>
      <c r="L90" t="s">
        <v>1</v>
      </c>
    </row>
    <row r="91" spans="1:12" x14ac:dyDescent="0.25">
      <c r="A91" s="8">
        <v>46221.5</v>
      </c>
      <c r="B91" t="s">
        <v>13</v>
      </c>
      <c r="C91" t="s">
        <v>252</v>
      </c>
      <c r="D91" t="s">
        <v>189</v>
      </c>
      <c r="E91" t="s">
        <v>3822</v>
      </c>
      <c r="F91" t="s">
        <v>66</v>
      </c>
      <c r="G91">
        <v>1</v>
      </c>
      <c r="H91" s="4">
        <v>3.5</v>
      </c>
      <c r="I91" s="4">
        <v>4.55</v>
      </c>
      <c r="J91" s="4">
        <v>0.49</v>
      </c>
      <c r="K91" s="17">
        <v>13.86</v>
      </c>
      <c r="L91" t="s">
        <v>1</v>
      </c>
    </row>
    <row r="92" spans="1:12" x14ac:dyDescent="0.25">
      <c r="A92" s="8">
        <v>46221.5</v>
      </c>
      <c r="B92" t="s">
        <v>13</v>
      </c>
      <c r="C92" t="s">
        <v>253</v>
      </c>
      <c r="D92" t="s">
        <v>254</v>
      </c>
      <c r="E92" t="s">
        <v>3827</v>
      </c>
      <c r="F92" t="s">
        <v>61</v>
      </c>
      <c r="G92">
        <v>3</v>
      </c>
      <c r="H92" s="4">
        <v>2.4</v>
      </c>
      <c r="I92" s="4">
        <v>2.95</v>
      </c>
      <c r="J92" s="4">
        <v>0.21</v>
      </c>
      <c r="K92" s="17">
        <v>8.56</v>
      </c>
      <c r="L92" t="s">
        <v>1</v>
      </c>
    </row>
    <row r="93" spans="1:12" x14ac:dyDescent="0.25">
      <c r="A93" s="8">
        <v>46221.5</v>
      </c>
      <c r="B93" t="s">
        <v>14</v>
      </c>
      <c r="C93" t="s">
        <v>911</v>
      </c>
      <c r="D93" t="s">
        <v>177</v>
      </c>
      <c r="E93" t="s">
        <v>3824</v>
      </c>
      <c r="F93" t="s">
        <v>78</v>
      </c>
      <c r="G93">
        <v>3</v>
      </c>
      <c r="H93" s="4">
        <v>0.45</v>
      </c>
      <c r="I93" s="4">
        <v>0.54</v>
      </c>
      <c r="J93" s="4">
        <v>-8.97</v>
      </c>
      <c r="K93" s="17">
        <v>-1994.31</v>
      </c>
      <c r="L93" t="s">
        <v>1</v>
      </c>
    </row>
    <row r="94" spans="1:12" x14ac:dyDescent="0.25">
      <c r="A94" s="8">
        <v>46221.5</v>
      </c>
      <c r="B94" t="s">
        <v>15</v>
      </c>
      <c r="C94" t="s">
        <v>1685</v>
      </c>
      <c r="D94" t="s">
        <v>254</v>
      </c>
      <c r="E94" t="s">
        <v>3827</v>
      </c>
      <c r="F94" t="s">
        <v>61</v>
      </c>
      <c r="G94">
        <v>3</v>
      </c>
      <c r="H94" s="4">
        <v>2.4</v>
      </c>
      <c r="I94" s="4">
        <v>3.43</v>
      </c>
      <c r="J94" s="4">
        <v>0.11</v>
      </c>
      <c r="K94" s="17">
        <v>4.51</v>
      </c>
      <c r="L94" t="s">
        <v>1</v>
      </c>
    </row>
    <row r="95" spans="1:12" x14ac:dyDescent="0.25">
      <c r="A95" s="8">
        <v>46221.5</v>
      </c>
      <c r="B95" t="s">
        <v>16</v>
      </c>
      <c r="C95" t="s">
        <v>2482</v>
      </c>
      <c r="D95" t="s">
        <v>182</v>
      </c>
      <c r="E95" t="s">
        <v>3825</v>
      </c>
      <c r="F95" t="s">
        <v>75</v>
      </c>
      <c r="G95">
        <v>1</v>
      </c>
      <c r="H95" s="4">
        <v>1.9</v>
      </c>
      <c r="I95" s="4">
        <v>2.34</v>
      </c>
      <c r="J95" s="4">
        <v>0.17</v>
      </c>
      <c r="K95" s="17">
        <v>8.95</v>
      </c>
      <c r="L95" t="s">
        <v>1</v>
      </c>
    </row>
    <row r="96" spans="1:12" x14ac:dyDescent="0.25">
      <c r="A96" s="8">
        <v>46221.5</v>
      </c>
      <c r="B96" t="s">
        <v>17</v>
      </c>
      <c r="C96" t="s">
        <v>3229</v>
      </c>
      <c r="D96" t="s">
        <v>174</v>
      </c>
      <c r="E96" t="s">
        <v>3823</v>
      </c>
      <c r="F96" t="s">
        <v>66</v>
      </c>
      <c r="G96">
        <v>1</v>
      </c>
      <c r="H96" s="4">
        <v>4.25</v>
      </c>
      <c r="I96" s="4">
        <v>5.53</v>
      </c>
      <c r="J96" s="4">
        <v>0.82</v>
      </c>
      <c r="K96" s="17">
        <v>19.21</v>
      </c>
      <c r="L96" t="s">
        <v>1</v>
      </c>
    </row>
    <row r="97" spans="1:12" x14ac:dyDescent="0.25">
      <c r="A97" s="8">
        <v>46220.5</v>
      </c>
      <c r="B97" t="s">
        <v>13</v>
      </c>
      <c r="C97" t="s">
        <v>261</v>
      </c>
      <c r="D97" t="s">
        <v>182</v>
      </c>
      <c r="E97" t="s">
        <v>3825</v>
      </c>
      <c r="F97" t="s">
        <v>75</v>
      </c>
      <c r="G97">
        <v>4</v>
      </c>
      <c r="H97" s="4">
        <v>7.6</v>
      </c>
      <c r="I97" s="4">
        <v>8.89</v>
      </c>
      <c r="J97" s="4">
        <v>0.31</v>
      </c>
      <c r="K97" s="17">
        <v>4.12</v>
      </c>
      <c r="L97" t="s">
        <v>1</v>
      </c>
    </row>
    <row r="98" spans="1:12" x14ac:dyDescent="0.25">
      <c r="A98" s="8">
        <v>46220.5</v>
      </c>
      <c r="B98" t="s">
        <v>13</v>
      </c>
      <c r="C98" t="s">
        <v>262</v>
      </c>
      <c r="D98" t="s">
        <v>182</v>
      </c>
      <c r="E98" t="s">
        <v>3825</v>
      </c>
      <c r="F98" t="s">
        <v>75</v>
      </c>
      <c r="G98">
        <v>3</v>
      </c>
      <c r="H98" s="4">
        <v>5.7</v>
      </c>
      <c r="I98" s="4">
        <v>7.52</v>
      </c>
      <c r="J98" s="4">
        <v>0.87</v>
      </c>
      <c r="K98" s="17">
        <v>15.3</v>
      </c>
      <c r="L98" t="s">
        <v>1</v>
      </c>
    </row>
    <row r="99" spans="1:12" x14ac:dyDescent="0.25">
      <c r="A99" s="8">
        <v>46220.5</v>
      </c>
      <c r="B99" t="s">
        <v>17</v>
      </c>
      <c r="C99" t="s">
        <v>3232</v>
      </c>
      <c r="D99" t="s">
        <v>174</v>
      </c>
      <c r="E99" t="s">
        <v>3823</v>
      </c>
      <c r="F99" t="s">
        <v>66</v>
      </c>
      <c r="G99">
        <v>1</v>
      </c>
      <c r="H99" s="4">
        <v>4.25</v>
      </c>
      <c r="I99" s="4">
        <v>5.31</v>
      </c>
      <c r="J99" s="4">
        <v>0.64</v>
      </c>
      <c r="K99" s="17">
        <v>15.14</v>
      </c>
      <c r="L99" t="s">
        <v>1</v>
      </c>
    </row>
    <row r="100" spans="1:12" x14ac:dyDescent="0.25">
      <c r="A100" s="8">
        <v>46219.5</v>
      </c>
      <c r="B100" t="s">
        <v>14</v>
      </c>
      <c r="C100" t="s">
        <v>933</v>
      </c>
      <c r="D100" t="s">
        <v>177</v>
      </c>
      <c r="E100" t="s">
        <v>3824</v>
      </c>
      <c r="F100" t="s">
        <v>78</v>
      </c>
      <c r="G100">
        <v>3</v>
      </c>
      <c r="H100" s="4">
        <v>0.45</v>
      </c>
      <c r="I100" s="4">
        <v>0.59</v>
      </c>
      <c r="J100" s="4">
        <v>-8.94</v>
      </c>
      <c r="K100" s="17">
        <v>-1986.28</v>
      </c>
      <c r="L100" t="s">
        <v>1</v>
      </c>
    </row>
    <row r="101" spans="1:12" x14ac:dyDescent="0.25">
      <c r="A101" s="8">
        <v>46219.5</v>
      </c>
      <c r="B101" t="s">
        <v>14</v>
      </c>
      <c r="C101" t="s">
        <v>934</v>
      </c>
      <c r="D101" t="s">
        <v>182</v>
      </c>
      <c r="E101" t="s">
        <v>3825</v>
      </c>
      <c r="F101" t="s">
        <v>75</v>
      </c>
      <c r="G101">
        <v>2</v>
      </c>
      <c r="H101" s="4">
        <v>3.8</v>
      </c>
      <c r="I101" s="4">
        <v>5.21</v>
      </c>
      <c r="J101" s="4">
        <v>-8.39</v>
      </c>
      <c r="K101" s="17">
        <v>-220.74</v>
      </c>
      <c r="L101" t="s">
        <v>1</v>
      </c>
    </row>
    <row r="102" spans="1:12" x14ac:dyDescent="0.25">
      <c r="A102" s="8">
        <v>46219.5</v>
      </c>
      <c r="B102" t="s">
        <v>15</v>
      </c>
      <c r="C102" t="s">
        <v>1704</v>
      </c>
      <c r="D102" t="s">
        <v>189</v>
      </c>
      <c r="E102" t="s">
        <v>3822</v>
      </c>
      <c r="F102" t="s">
        <v>66</v>
      </c>
      <c r="G102">
        <v>4</v>
      </c>
      <c r="H102" s="4">
        <v>14</v>
      </c>
      <c r="I102" s="4">
        <v>16.1</v>
      </c>
      <c r="J102" s="4">
        <v>0</v>
      </c>
      <c r="K102" s="17">
        <v>0.02</v>
      </c>
      <c r="L102" t="s">
        <v>1</v>
      </c>
    </row>
    <row r="103" spans="1:12" x14ac:dyDescent="0.25">
      <c r="A103" s="8">
        <v>46219.5</v>
      </c>
      <c r="B103" t="s">
        <v>15</v>
      </c>
      <c r="C103" t="s">
        <v>1705</v>
      </c>
      <c r="D103" t="s">
        <v>254</v>
      </c>
      <c r="E103" t="s">
        <v>3827</v>
      </c>
      <c r="F103" t="s">
        <v>61</v>
      </c>
      <c r="G103">
        <v>1</v>
      </c>
      <c r="H103" s="4">
        <v>0.8</v>
      </c>
      <c r="I103" s="4">
        <v>1.14</v>
      </c>
      <c r="J103" s="4">
        <v>-0.29</v>
      </c>
      <c r="K103" s="17">
        <v>-35.8</v>
      </c>
      <c r="L103" t="s">
        <v>1</v>
      </c>
    </row>
    <row r="104" spans="1:12" x14ac:dyDescent="0.25">
      <c r="A104" s="8">
        <v>46219.5</v>
      </c>
      <c r="B104" t="s">
        <v>15</v>
      </c>
      <c r="C104" t="s">
        <v>1706</v>
      </c>
      <c r="D104" t="s">
        <v>182</v>
      </c>
      <c r="E104" t="s">
        <v>3825</v>
      </c>
      <c r="F104" t="s">
        <v>75</v>
      </c>
      <c r="G104">
        <v>2</v>
      </c>
      <c r="H104" s="4">
        <v>3.8</v>
      </c>
      <c r="I104" s="4">
        <v>4.94</v>
      </c>
      <c r="J104" s="4">
        <v>0.08</v>
      </c>
      <c r="K104" s="17">
        <v>2.13</v>
      </c>
      <c r="L104" t="s">
        <v>1</v>
      </c>
    </row>
    <row r="105" spans="1:12" x14ac:dyDescent="0.25">
      <c r="A105" s="8">
        <v>46219.5</v>
      </c>
      <c r="B105" t="s">
        <v>17</v>
      </c>
      <c r="C105" t="s">
        <v>3237</v>
      </c>
      <c r="D105" t="s">
        <v>174</v>
      </c>
      <c r="E105" t="s">
        <v>3823</v>
      </c>
      <c r="F105" t="s">
        <v>66</v>
      </c>
      <c r="G105">
        <v>4</v>
      </c>
      <c r="H105" s="4">
        <v>17</v>
      </c>
      <c r="I105" s="4">
        <v>20.06</v>
      </c>
      <c r="J105" s="4">
        <v>1.63</v>
      </c>
      <c r="K105" s="17">
        <v>9.59</v>
      </c>
      <c r="L105" t="s">
        <v>1</v>
      </c>
    </row>
    <row r="106" spans="1:12" x14ac:dyDescent="0.25">
      <c r="A106" s="8">
        <v>46218.5</v>
      </c>
      <c r="B106" t="s">
        <v>13</v>
      </c>
      <c r="C106" t="s">
        <v>275</v>
      </c>
      <c r="D106" t="s">
        <v>177</v>
      </c>
      <c r="E106" t="s">
        <v>3824</v>
      </c>
      <c r="F106" t="s">
        <v>78</v>
      </c>
      <c r="G106">
        <v>4</v>
      </c>
      <c r="H106" s="4">
        <v>0.6</v>
      </c>
      <c r="I106" s="4">
        <v>0.8</v>
      </c>
      <c r="J106" s="4">
        <v>0.1</v>
      </c>
      <c r="K106" s="17">
        <v>16.35</v>
      </c>
      <c r="L106" t="s">
        <v>1</v>
      </c>
    </row>
    <row r="107" spans="1:12" x14ac:dyDescent="0.25">
      <c r="A107" s="8">
        <v>46218.5</v>
      </c>
      <c r="B107" t="s">
        <v>13</v>
      </c>
      <c r="C107" t="s">
        <v>276</v>
      </c>
      <c r="D107" t="s">
        <v>177</v>
      </c>
      <c r="E107" t="s">
        <v>3824</v>
      </c>
      <c r="F107" t="s">
        <v>78</v>
      </c>
      <c r="G107">
        <v>2</v>
      </c>
      <c r="H107" s="4">
        <v>0.3</v>
      </c>
      <c r="I107" s="4">
        <v>0.34</v>
      </c>
      <c r="J107" s="4">
        <v>0</v>
      </c>
      <c r="K107" s="17">
        <v>1.4</v>
      </c>
      <c r="L107" t="s">
        <v>1</v>
      </c>
    </row>
    <row r="108" spans="1:12" x14ac:dyDescent="0.25">
      <c r="A108" s="8">
        <v>46218.5</v>
      </c>
      <c r="B108" t="s">
        <v>15</v>
      </c>
      <c r="C108" t="s">
        <v>1717</v>
      </c>
      <c r="D108" t="s">
        <v>189</v>
      </c>
      <c r="E108" t="s">
        <v>3822</v>
      </c>
      <c r="F108" t="s">
        <v>66</v>
      </c>
      <c r="G108">
        <v>1</v>
      </c>
      <c r="H108" s="4">
        <v>3.5</v>
      </c>
      <c r="I108" s="4">
        <v>5</v>
      </c>
      <c r="J108" s="4">
        <v>0.38</v>
      </c>
      <c r="K108" s="17">
        <v>10.75</v>
      </c>
      <c r="L108" t="s">
        <v>1</v>
      </c>
    </row>
    <row r="109" spans="1:12" x14ac:dyDescent="0.25">
      <c r="A109" s="8">
        <v>46218.5</v>
      </c>
      <c r="B109" t="s">
        <v>15</v>
      </c>
      <c r="C109" t="s">
        <v>1718</v>
      </c>
      <c r="D109" t="s">
        <v>254</v>
      </c>
      <c r="E109" t="s">
        <v>3827</v>
      </c>
      <c r="F109" t="s">
        <v>61</v>
      </c>
      <c r="G109">
        <v>3</v>
      </c>
      <c r="H109" s="4">
        <v>2.4</v>
      </c>
      <c r="I109" s="4">
        <v>3.48</v>
      </c>
      <c r="J109" s="4">
        <v>0.15</v>
      </c>
      <c r="K109" s="17">
        <v>6.08</v>
      </c>
      <c r="L109" t="s">
        <v>1</v>
      </c>
    </row>
    <row r="110" spans="1:12" x14ac:dyDescent="0.25">
      <c r="A110" s="8">
        <v>46218.5</v>
      </c>
      <c r="B110" t="s">
        <v>16</v>
      </c>
      <c r="C110" t="s">
        <v>2499</v>
      </c>
      <c r="D110" t="s">
        <v>254</v>
      </c>
      <c r="E110" t="s">
        <v>3827</v>
      </c>
      <c r="F110" t="s">
        <v>61</v>
      </c>
      <c r="G110">
        <v>1</v>
      </c>
      <c r="H110" s="4">
        <v>0.8</v>
      </c>
      <c r="I110" s="4">
        <v>1.11</v>
      </c>
      <c r="J110" s="4">
        <v>0.17</v>
      </c>
      <c r="K110" s="17">
        <v>20.64</v>
      </c>
      <c r="L110" t="s">
        <v>1</v>
      </c>
    </row>
    <row r="111" spans="1:12" x14ac:dyDescent="0.25">
      <c r="A111" s="8">
        <v>46218.5</v>
      </c>
      <c r="B111" t="s">
        <v>16</v>
      </c>
      <c r="C111" t="s">
        <v>2500</v>
      </c>
      <c r="D111" t="s">
        <v>254</v>
      </c>
      <c r="E111" t="s">
        <v>3827</v>
      </c>
      <c r="F111" t="s">
        <v>61</v>
      </c>
      <c r="G111">
        <v>1</v>
      </c>
      <c r="H111" s="4">
        <v>0.8</v>
      </c>
      <c r="I111" s="4">
        <v>1.05</v>
      </c>
      <c r="J111" s="4">
        <v>0.12</v>
      </c>
      <c r="K111" s="17">
        <v>15.02</v>
      </c>
      <c r="L111" t="s">
        <v>1</v>
      </c>
    </row>
    <row r="112" spans="1:12" x14ac:dyDescent="0.25">
      <c r="A112" s="8">
        <v>46218.5</v>
      </c>
      <c r="B112" t="s">
        <v>16</v>
      </c>
      <c r="C112" t="s">
        <v>2498</v>
      </c>
      <c r="D112" t="s">
        <v>185</v>
      </c>
      <c r="E112" t="s">
        <v>3826</v>
      </c>
      <c r="F112" t="s">
        <v>102</v>
      </c>
      <c r="G112">
        <v>1</v>
      </c>
      <c r="H112" s="4">
        <v>1.2</v>
      </c>
      <c r="I112" s="4">
        <v>1.51</v>
      </c>
      <c r="J112" s="4">
        <v>0.13</v>
      </c>
      <c r="K112" s="17">
        <v>10.96</v>
      </c>
      <c r="L112" t="s">
        <v>1</v>
      </c>
    </row>
    <row r="113" spans="1:12" x14ac:dyDescent="0.25">
      <c r="A113" s="8">
        <v>46218.5</v>
      </c>
      <c r="B113" t="s">
        <v>17</v>
      </c>
      <c r="C113" t="s">
        <v>3249</v>
      </c>
      <c r="D113" t="s">
        <v>182</v>
      </c>
      <c r="E113" t="s">
        <v>3825</v>
      </c>
      <c r="F113" t="s">
        <v>75</v>
      </c>
      <c r="G113">
        <v>1</v>
      </c>
      <c r="H113" s="4">
        <v>1.9</v>
      </c>
      <c r="I113" s="4">
        <v>2.56</v>
      </c>
      <c r="J113" s="4">
        <v>0.43</v>
      </c>
      <c r="K113" s="17">
        <v>22.63</v>
      </c>
      <c r="L113" t="s">
        <v>1</v>
      </c>
    </row>
    <row r="114" spans="1:12" x14ac:dyDescent="0.25">
      <c r="A114" s="8">
        <v>46217.5</v>
      </c>
      <c r="B114" t="s">
        <v>13</v>
      </c>
      <c r="C114" t="s">
        <v>279</v>
      </c>
      <c r="D114" t="s">
        <v>177</v>
      </c>
      <c r="E114" t="s">
        <v>3824</v>
      </c>
      <c r="F114" t="s">
        <v>78</v>
      </c>
      <c r="G114">
        <v>4</v>
      </c>
      <c r="H114" s="4">
        <v>0.6</v>
      </c>
      <c r="I114" s="4">
        <v>0.73</v>
      </c>
      <c r="J114" s="4">
        <v>0.05</v>
      </c>
      <c r="K114" s="17">
        <v>7.63</v>
      </c>
      <c r="L114" t="s">
        <v>1</v>
      </c>
    </row>
    <row r="115" spans="1:12" x14ac:dyDescent="0.25">
      <c r="A115" s="8">
        <v>46217.5</v>
      </c>
      <c r="B115" t="s">
        <v>15</v>
      </c>
      <c r="C115" t="s">
        <v>1723</v>
      </c>
      <c r="D115" t="s">
        <v>254</v>
      </c>
      <c r="E115" t="s">
        <v>3827</v>
      </c>
      <c r="F115" t="s">
        <v>61</v>
      </c>
      <c r="G115">
        <v>1</v>
      </c>
      <c r="H115" s="4">
        <v>0.8</v>
      </c>
      <c r="I115" s="4">
        <v>0.95</v>
      </c>
      <c r="J115" s="4">
        <v>-0.43</v>
      </c>
      <c r="K115" s="17">
        <v>-53.72</v>
      </c>
      <c r="L115" t="s">
        <v>1</v>
      </c>
    </row>
    <row r="116" spans="1:12" x14ac:dyDescent="0.25">
      <c r="A116" s="8">
        <v>46217.5</v>
      </c>
      <c r="B116" t="s">
        <v>16</v>
      </c>
      <c r="C116" t="s">
        <v>2510</v>
      </c>
      <c r="D116" t="s">
        <v>174</v>
      </c>
      <c r="E116" t="s">
        <v>3823</v>
      </c>
      <c r="F116" t="s">
        <v>66</v>
      </c>
      <c r="G116">
        <v>1</v>
      </c>
      <c r="H116" s="4">
        <v>4.25</v>
      </c>
      <c r="I116" s="4">
        <v>4.97</v>
      </c>
      <c r="J116" s="4">
        <v>0.18</v>
      </c>
      <c r="K116" s="17">
        <v>4.29</v>
      </c>
      <c r="L116" t="s">
        <v>1</v>
      </c>
    </row>
    <row r="117" spans="1:12" x14ac:dyDescent="0.25">
      <c r="A117" s="8">
        <v>46217.5</v>
      </c>
      <c r="B117" t="s">
        <v>16</v>
      </c>
      <c r="C117" t="s">
        <v>2511</v>
      </c>
      <c r="D117" t="s">
        <v>254</v>
      </c>
      <c r="E117" t="s">
        <v>3827</v>
      </c>
      <c r="F117" t="s">
        <v>61</v>
      </c>
      <c r="G117">
        <v>1</v>
      </c>
      <c r="H117" s="4">
        <v>0.8</v>
      </c>
      <c r="I117" s="4">
        <v>0.94</v>
      </c>
      <c r="J117" s="4">
        <v>0.04</v>
      </c>
      <c r="K117" s="17">
        <v>4.71</v>
      </c>
      <c r="L117" t="s">
        <v>1</v>
      </c>
    </row>
    <row r="118" spans="1:12" x14ac:dyDescent="0.25">
      <c r="A118" s="8">
        <v>46217.5</v>
      </c>
      <c r="B118" t="s">
        <v>16</v>
      </c>
      <c r="C118" t="s">
        <v>2509</v>
      </c>
      <c r="D118" t="s">
        <v>185</v>
      </c>
      <c r="E118" t="s">
        <v>3826</v>
      </c>
      <c r="F118" t="s">
        <v>102</v>
      </c>
      <c r="G118">
        <v>1</v>
      </c>
      <c r="H118" s="4">
        <v>1.2</v>
      </c>
      <c r="I118" s="4">
        <v>1.44</v>
      </c>
      <c r="J118" s="4">
        <v>0.08</v>
      </c>
      <c r="K118" s="17">
        <v>6.59</v>
      </c>
      <c r="L118" t="s">
        <v>1</v>
      </c>
    </row>
    <row r="119" spans="1:12" x14ac:dyDescent="0.25">
      <c r="A119" s="8">
        <v>46217.5</v>
      </c>
      <c r="B119" t="s">
        <v>17</v>
      </c>
      <c r="C119" t="s">
        <v>3263</v>
      </c>
      <c r="D119" t="s">
        <v>174</v>
      </c>
      <c r="E119" t="s">
        <v>3823</v>
      </c>
      <c r="F119" t="s">
        <v>66</v>
      </c>
      <c r="G119">
        <v>1</v>
      </c>
      <c r="H119" s="4">
        <v>4.25</v>
      </c>
      <c r="I119" s="4">
        <v>5.06</v>
      </c>
      <c r="J119" s="4">
        <v>0.44</v>
      </c>
      <c r="K119" s="17">
        <v>10.47</v>
      </c>
      <c r="L119" t="s">
        <v>1</v>
      </c>
    </row>
    <row r="120" spans="1:12" x14ac:dyDescent="0.25">
      <c r="A120" s="8">
        <v>46217.5</v>
      </c>
      <c r="B120" t="s">
        <v>17</v>
      </c>
      <c r="C120" t="s">
        <v>3264</v>
      </c>
      <c r="D120" t="s">
        <v>254</v>
      </c>
      <c r="E120" t="s">
        <v>3827</v>
      </c>
      <c r="F120" t="s">
        <v>61</v>
      </c>
      <c r="G120">
        <v>2</v>
      </c>
      <c r="H120" s="4">
        <v>1.6</v>
      </c>
      <c r="I120" s="4">
        <v>1.89</v>
      </c>
      <c r="J120" s="4">
        <v>0.15</v>
      </c>
      <c r="K120" s="17">
        <v>9.48</v>
      </c>
      <c r="L120" t="s">
        <v>1</v>
      </c>
    </row>
    <row r="121" spans="1:12" x14ac:dyDescent="0.25">
      <c r="A121" s="8">
        <v>46217.5</v>
      </c>
      <c r="B121" t="s">
        <v>17</v>
      </c>
      <c r="C121" t="s">
        <v>3265</v>
      </c>
      <c r="D121" t="s">
        <v>182</v>
      </c>
      <c r="E121" t="s">
        <v>3825</v>
      </c>
      <c r="F121" t="s">
        <v>75</v>
      </c>
      <c r="G121">
        <v>2</v>
      </c>
      <c r="H121" s="4">
        <v>3.8</v>
      </c>
      <c r="I121" s="4">
        <v>4.94</v>
      </c>
      <c r="J121" s="4">
        <v>0.72</v>
      </c>
      <c r="K121" s="17">
        <v>18.95</v>
      </c>
      <c r="L121" t="s">
        <v>1</v>
      </c>
    </row>
    <row r="122" spans="1:12" x14ac:dyDescent="0.25">
      <c r="A122" s="8">
        <v>46216.5</v>
      </c>
      <c r="B122" t="s">
        <v>13</v>
      </c>
      <c r="C122" t="s">
        <v>282</v>
      </c>
      <c r="D122" t="s">
        <v>189</v>
      </c>
      <c r="E122" t="s">
        <v>3822</v>
      </c>
      <c r="F122" t="s">
        <v>66</v>
      </c>
      <c r="G122">
        <v>3</v>
      </c>
      <c r="H122" s="4">
        <v>10.5</v>
      </c>
      <c r="I122" s="4">
        <v>14.91</v>
      </c>
      <c r="J122" s="4">
        <v>2.4</v>
      </c>
      <c r="K122" s="17">
        <v>22.83</v>
      </c>
      <c r="L122" t="s">
        <v>1</v>
      </c>
    </row>
    <row r="123" spans="1:12" x14ac:dyDescent="0.25">
      <c r="A123" s="8">
        <v>46216.5</v>
      </c>
      <c r="B123" t="s">
        <v>13</v>
      </c>
      <c r="C123" t="s">
        <v>283</v>
      </c>
      <c r="D123" t="s">
        <v>189</v>
      </c>
      <c r="E123" t="s">
        <v>3822</v>
      </c>
      <c r="F123" t="s">
        <v>66</v>
      </c>
      <c r="G123">
        <v>4</v>
      </c>
      <c r="H123" s="4">
        <v>14</v>
      </c>
      <c r="I123" s="4">
        <v>16.38</v>
      </c>
      <c r="J123" s="4">
        <v>0.58</v>
      </c>
      <c r="K123" s="17">
        <v>4.14</v>
      </c>
      <c r="L123" t="s">
        <v>1</v>
      </c>
    </row>
    <row r="124" spans="1:12" x14ac:dyDescent="0.25">
      <c r="A124" s="8">
        <v>46216.5</v>
      </c>
      <c r="B124" t="s">
        <v>14</v>
      </c>
      <c r="C124" t="s">
        <v>956</v>
      </c>
      <c r="D124" t="s">
        <v>185</v>
      </c>
      <c r="E124" t="s">
        <v>3826</v>
      </c>
      <c r="F124" t="s">
        <v>102</v>
      </c>
      <c r="G124">
        <v>4</v>
      </c>
      <c r="H124" s="4">
        <v>4.8</v>
      </c>
      <c r="I124" s="4">
        <v>6.67</v>
      </c>
      <c r="J124" s="4">
        <v>-8.17</v>
      </c>
      <c r="K124" s="17">
        <v>-170.11</v>
      </c>
      <c r="L124" t="s">
        <v>1</v>
      </c>
    </row>
    <row r="125" spans="1:12" x14ac:dyDescent="0.25">
      <c r="A125" s="8">
        <v>46216.5</v>
      </c>
      <c r="B125" t="s">
        <v>15</v>
      </c>
      <c r="C125" t="s">
        <v>1742</v>
      </c>
      <c r="D125" t="s">
        <v>189</v>
      </c>
      <c r="E125" t="s">
        <v>3822</v>
      </c>
      <c r="F125" t="s">
        <v>66</v>
      </c>
      <c r="G125">
        <v>1</v>
      </c>
      <c r="H125" s="4">
        <v>3.5</v>
      </c>
      <c r="I125" s="4">
        <v>4.06</v>
      </c>
      <c r="J125" s="4">
        <v>-0.33</v>
      </c>
      <c r="K125" s="17">
        <v>-9.51</v>
      </c>
      <c r="L125" t="s">
        <v>1</v>
      </c>
    </row>
    <row r="126" spans="1:12" x14ac:dyDescent="0.25">
      <c r="A126" s="8">
        <v>46216.5</v>
      </c>
      <c r="B126" t="s">
        <v>15</v>
      </c>
      <c r="C126" t="s">
        <v>1743</v>
      </c>
      <c r="D126" t="s">
        <v>177</v>
      </c>
      <c r="E126" t="s">
        <v>3824</v>
      </c>
      <c r="F126" t="s">
        <v>78</v>
      </c>
      <c r="G126">
        <v>4</v>
      </c>
      <c r="H126" s="4">
        <v>0.6</v>
      </c>
      <c r="I126" s="4">
        <v>0.79</v>
      </c>
      <c r="J126" s="4">
        <v>-0.38</v>
      </c>
      <c r="K126" s="17">
        <v>-63.98</v>
      </c>
      <c r="L126" t="s">
        <v>1</v>
      </c>
    </row>
    <row r="127" spans="1:12" x14ac:dyDescent="0.25">
      <c r="A127" s="8">
        <v>46216.5</v>
      </c>
      <c r="B127" t="s">
        <v>15</v>
      </c>
      <c r="C127" t="s">
        <v>1744</v>
      </c>
      <c r="D127" t="s">
        <v>177</v>
      </c>
      <c r="E127" t="s">
        <v>3824</v>
      </c>
      <c r="F127" t="s">
        <v>78</v>
      </c>
      <c r="G127">
        <v>1</v>
      </c>
      <c r="H127" s="4">
        <v>0.15</v>
      </c>
      <c r="I127" s="4">
        <v>0.19</v>
      </c>
      <c r="J127" s="4">
        <v>-0.46</v>
      </c>
      <c r="K127" s="17">
        <v>-307.75</v>
      </c>
      <c r="L127" t="s">
        <v>1</v>
      </c>
    </row>
    <row r="128" spans="1:12" x14ac:dyDescent="0.25">
      <c r="A128" s="8">
        <v>46216.5</v>
      </c>
      <c r="B128" t="s">
        <v>16</v>
      </c>
      <c r="C128" t="s">
        <v>2525</v>
      </c>
      <c r="D128" t="s">
        <v>189</v>
      </c>
      <c r="E128" t="s">
        <v>3822</v>
      </c>
      <c r="F128" t="s">
        <v>66</v>
      </c>
      <c r="G128">
        <v>1</v>
      </c>
      <c r="H128" s="4">
        <v>3.5</v>
      </c>
      <c r="I128" s="4">
        <v>4.66</v>
      </c>
      <c r="J128" s="4">
        <v>0.58</v>
      </c>
      <c r="K128" s="17">
        <v>16.43</v>
      </c>
      <c r="L128" t="s">
        <v>1</v>
      </c>
    </row>
    <row r="129" spans="1:12" x14ac:dyDescent="0.25">
      <c r="A129" s="8">
        <v>46216.5</v>
      </c>
      <c r="B129" t="s">
        <v>16</v>
      </c>
      <c r="C129" t="s">
        <v>2526</v>
      </c>
      <c r="D129" t="s">
        <v>174</v>
      </c>
      <c r="E129" t="s">
        <v>3823</v>
      </c>
      <c r="F129" t="s">
        <v>66</v>
      </c>
      <c r="G129">
        <v>1</v>
      </c>
      <c r="H129" s="4">
        <v>4.25</v>
      </c>
      <c r="I129" s="4">
        <v>5.91</v>
      </c>
      <c r="J129" s="4">
        <v>0.89</v>
      </c>
      <c r="K129" s="17">
        <v>20.87</v>
      </c>
      <c r="L129" t="s">
        <v>1</v>
      </c>
    </row>
    <row r="130" spans="1:12" x14ac:dyDescent="0.25">
      <c r="A130" s="8">
        <v>46216.5</v>
      </c>
      <c r="B130" t="s">
        <v>16</v>
      </c>
      <c r="C130" t="s">
        <v>2527</v>
      </c>
      <c r="D130" t="s">
        <v>185</v>
      </c>
      <c r="E130" t="s">
        <v>3826</v>
      </c>
      <c r="F130" t="s">
        <v>102</v>
      </c>
      <c r="G130">
        <v>1</v>
      </c>
      <c r="H130" s="4">
        <v>1.2</v>
      </c>
      <c r="I130" s="4">
        <v>1.63</v>
      </c>
      <c r="J130" s="4">
        <v>0.22</v>
      </c>
      <c r="K130" s="17">
        <v>18.45</v>
      </c>
      <c r="L130" t="s">
        <v>1</v>
      </c>
    </row>
    <row r="131" spans="1:12" x14ac:dyDescent="0.25">
      <c r="A131" s="8">
        <v>46216.5</v>
      </c>
      <c r="B131" t="s">
        <v>16</v>
      </c>
      <c r="C131" t="s">
        <v>2524</v>
      </c>
      <c r="D131" t="s">
        <v>185</v>
      </c>
      <c r="E131" t="s">
        <v>3826</v>
      </c>
      <c r="F131" t="s">
        <v>102</v>
      </c>
      <c r="G131">
        <v>1</v>
      </c>
      <c r="H131" s="4">
        <v>1.2</v>
      </c>
      <c r="I131" s="4">
        <v>1.63</v>
      </c>
      <c r="J131" s="4">
        <v>0.22</v>
      </c>
      <c r="K131" s="17">
        <v>18.45</v>
      </c>
      <c r="L131" t="s">
        <v>1</v>
      </c>
    </row>
    <row r="132" spans="1:12" x14ac:dyDescent="0.25">
      <c r="A132" s="8">
        <v>46216.5</v>
      </c>
      <c r="B132" t="s">
        <v>17</v>
      </c>
      <c r="C132" t="s">
        <v>3271</v>
      </c>
      <c r="D132" t="s">
        <v>189</v>
      </c>
      <c r="E132" t="s">
        <v>3822</v>
      </c>
      <c r="F132" t="s">
        <v>66</v>
      </c>
      <c r="G132">
        <v>4</v>
      </c>
      <c r="H132" s="4">
        <v>14</v>
      </c>
      <c r="I132" s="4">
        <v>17.64</v>
      </c>
      <c r="J132" s="4">
        <v>2.22</v>
      </c>
      <c r="K132" s="17">
        <v>15.88</v>
      </c>
      <c r="L132" t="s">
        <v>1</v>
      </c>
    </row>
    <row r="133" spans="1:12" x14ac:dyDescent="0.25">
      <c r="A133" s="8">
        <v>46216.5</v>
      </c>
      <c r="B133" t="s">
        <v>17</v>
      </c>
      <c r="C133" t="s">
        <v>3272</v>
      </c>
      <c r="D133" t="s">
        <v>185</v>
      </c>
      <c r="E133" t="s">
        <v>3826</v>
      </c>
      <c r="F133" t="s">
        <v>102</v>
      </c>
      <c r="G133">
        <v>4</v>
      </c>
      <c r="H133" s="4">
        <v>4.8</v>
      </c>
      <c r="I133" s="4">
        <v>6.82</v>
      </c>
      <c r="J133" s="4">
        <v>1.37</v>
      </c>
      <c r="K133" s="17">
        <v>28.61</v>
      </c>
      <c r="L133" t="s">
        <v>1</v>
      </c>
    </row>
    <row r="134" spans="1:12" x14ac:dyDescent="0.25">
      <c r="A134" s="8">
        <v>46215.5</v>
      </c>
      <c r="B134" t="s">
        <v>14</v>
      </c>
      <c r="C134" t="s">
        <v>962</v>
      </c>
      <c r="D134" t="s">
        <v>174</v>
      </c>
      <c r="E134" t="s">
        <v>3823</v>
      </c>
      <c r="F134" t="s">
        <v>66</v>
      </c>
      <c r="G134">
        <v>2</v>
      </c>
      <c r="H134" s="4">
        <v>8.5</v>
      </c>
      <c r="I134" s="4">
        <v>9.86</v>
      </c>
      <c r="J134" s="4">
        <v>-8.94</v>
      </c>
      <c r="K134" s="17">
        <v>-105.19</v>
      </c>
      <c r="L134" t="s">
        <v>1</v>
      </c>
    </row>
    <row r="135" spans="1:12" x14ac:dyDescent="0.25">
      <c r="A135" s="8">
        <v>46215.5</v>
      </c>
      <c r="B135" t="s">
        <v>14</v>
      </c>
      <c r="C135" t="s">
        <v>963</v>
      </c>
      <c r="D135" t="s">
        <v>185</v>
      </c>
      <c r="E135" t="s">
        <v>3826</v>
      </c>
      <c r="F135" t="s">
        <v>102</v>
      </c>
      <c r="G135">
        <v>2</v>
      </c>
      <c r="H135" s="4">
        <v>2.4</v>
      </c>
      <c r="I135" s="4">
        <v>2.83</v>
      </c>
      <c r="J135" s="4">
        <v>-8.94</v>
      </c>
      <c r="K135" s="17">
        <v>-372.62</v>
      </c>
      <c r="L135" t="s">
        <v>1</v>
      </c>
    </row>
    <row r="136" spans="1:12" x14ac:dyDescent="0.25">
      <c r="A136" s="8">
        <v>46214.5</v>
      </c>
      <c r="B136" t="s">
        <v>13</v>
      </c>
      <c r="C136" t="s">
        <v>295</v>
      </c>
      <c r="D136" t="s">
        <v>182</v>
      </c>
      <c r="E136" t="s">
        <v>3825</v>
      </c>
      <c r="F136" t="s">
        <v>75</v>
      </c>
      <c r="G136">
        <v>1</v>
      </c>
      <c r="H136" s="4">
        <v>1.9</v>
      </c>
      <c r="I136" s="4">
        <v>2.43</v>
      </c>
      <c r="J136" s="4">
        <v>0.23</v>
      </c>
      <c r="K136" s="17">
        <v>12.29</v>
      </c>
      <c r="L136" t="s">
        <v>1</v>
      </c>
    </row>
    <row r="137" spans="1:12" x14ac:dyDescent="0.25">
      <c r="A137" s="8">
        <v>46214.5</v>
      </c>
      <c r="B137" t="s">
        <v>14</v>
      </c>
      <c r="C137" t="s">
        <v>974</v>
      </c>
      <c r="D137" t="s">
        <v>185</v>
      </c>
      <c r="E137" t="s">
        <v>3826</v>
      </c>
      <c r="F137" t="s">
        <v>102</v>
      </c>
      <c r="G137">
        <v>2</v>
      </c>
      <c r="H137" s="4">
        <v>2.4</v>
      </c>
      <c r="I137" s="4">
        <v>3.26</v>
      </c>
      <c r="J137" s="4">
        <v>-8.63</v>
      </c>
      <c r="K137" s="17">
        <v>-359.67</v>
      </c>
      <c r="L137" t="s">
        <v>1</v>
      </c>
    </row>
    <row r="138" spans="1:12" x14ac:dyDescent="0.25">
      <c r="A138" s="8">
        <v>46214.5</v>
      </c>
      <c r="B138" t="s">
        <v>15</v>
      </c>
      <c r="C138" t="s">
        <v>1760</v>
      </c>
      <c r="D138" t="s">
        <v>189</v>
      </c>
      <c r="E138" t="s">
        <v>3822</v>
      </c>
      <c r="F138" t="s">
        <v>66</v>
      </c>
      <c r="G138">
        <v>4</v>
      </c>
      <c r="H138" s="4">
        <v>14</v>
      </c>
      <c r="I138" s="4">
        <v>17.5</v>
      </c>
      <c r="J138" s="4">
        <v>1.06</v>
      </c>
      <c r="K138" s="17">
        <v>7.56</v>
      </c>
      <c r="L138" t="s">
        <v>1</v>
      </c>
    </row>
    <row r="139" spans="1:12" x14ac:dyDescent="0.25">
      <c r="A139" s="8">
        <v>46214.5</v>
      </c>
      <c r="B139" t="s">
        <v>15</v>
      </c>
      <c r="C139" t="s">
        <v>1761</v>
      </c>
      <c r="D139" t="s">
        <v>174</v>
      </c>
      <c r="E139" t="s">
        <v>3823</v>
      </c>
      <c r="F139" t="s">
        <v>66</v>
      </c>
      <c r="G139">
        <v>4</v>
      </c>
      <c r="H139" s="4">
        <v>17</v>
      </c>
      <c r="I139" s="4">
        <v>24.65</v>
      </c>
      <c r="J139" s="4">
        <v>3.95</v>
      </c>
      <c r="K139" s="17">
        <v>23.26</v>
      </c>
      <c r="L139" t="s">
        <v>1</v>
      </c>
    </row>
    <row r="140" spans="1:12" x14ac:dyDescent="0.25">
      <c r="A140" s="8">
        <v>46214.5</v>
      </c>
      <c r="B140" t="s">
        <v>15</v>
      </c>
      <c r="C140" t="s">
        <v>1762</v>
      </c>
      <c r="D140" t="s">
        <v>182</v>
      </c>
      <c r="E140" t="s">
        <v>3825</v>
      </c>
      <c r="F140" t="s">
        <v>75</v>
      </c>
      <c r="G140">
        <v>2</v>
      </c>
      <c r="H140" s="4">
        <v>3.8</v>
      </c>
      <c r="I140" s="4">
        <v>4.83</v>
      </c>
      <c r="J140" s="4">
        <v>0</v>
      </c>
      <c r="K140" s="17">
        <v>-0.05</v>
      </c>
      <c r="L140" t="s">
        <v>1</v>
      </c>
    </row>
    <row r="141" spans="1:12" x14ac:dyDescent="0.25">
      <c r="A141" s="8">
        <v>46214.5</v>
      </c>
      <c r="B141" t="s">
        <v>17</v>
      </c>
      <c r="C141" t="s">
        <v>3282</v>
      </c>
      <c r="D141" t="s">
        <v>254</v>
      </c>
      <c r="E141" t="s">
        <v>3827</v>
      </c>
      <c r="F141" t="s">
        <v>61</v>
      </c>
      <c r="G141">
        <v>1</v>
      </c>
      <c r="H141" s="4">
        <v>0.8</v>
      </c>
      <c r="I141" s="4">
        <v>1.09</v>
      </c>
      <c r="J141" s="4">
        <v>0.19</v>
      </c>
      <c r="K141" s="17">
        <v>23.96</v>
      </c>
      <c r="L141" t="s">
        <v>1</v>
      </c>
    </row>
    <row r="142" spans="1:12" x14ac:dyDescent="0.25">
      <c r="A142" s="8">
        <v>46213.5</v>
      </c>
      <c r="B142" t="s">
        <v>13</v>
      </c>
      <c r="C142" t="s">
        <v>298</v>
      </c>
      <c r="D142" t="s">
        <v>189</v>
      </c>
      <c r="E142" t="s">
        <v>3822</v>
      </c>
      <c r="F142" t="s">
        <v>66</v>
      </c>
      <c r="G142">
        <v>1</v>
      </c>
      <c r="H142" s="4">
        <v>3.5</v>
      </c>
      <c r="I142" s="4">
        <v>4.02</v>
      </c>
      <c r="J142" s="4">
        <v>0.09</v>
      </c>
      <c r="K142" s="17">
        <v>2.54</v>
      </c>
      <c r="L142" t="s">
        <v>1</v>
      </c>
    </row>
    <row r="143" spans="1:12" x14ac:dyDescent="0.25">
      <c r="A143" s="8">
        <v>46213.5</v>
      </c>
      <c r="B143" t="s">
        <v>13</v>
      </c>
      <c r="C143" t="s">
        <v>299</v>
      </c>
      <c r="D143" t="s">
        <v>174</v>
      </c>
      <c r="E143" t="s">
        <v>3823</v>
      </c>
      <c r="F143" t="s">
        <v>66</v>
      </c>
      <c r="G143">
        <v>1</v>
      </c>
      <c r="H143" s="4">
        <v>4.25</v>
      </c>
      <c r="I143" s="4">
        <v>5.82</v>
      </c>
      <c r="J143" s="4">
        <v>0.81</v>
      </c>
      <c r="K143" s="17">
        <v>19.05</v>
      </c>
      <c r="L143" t="s">
        <v>1</v>
      </c>
    </row>
    <row r="144" spans="1:12" x14ac:dyDescent="0.25">
      <c r="A144" s="8">
        <v>46213.5</v>
      </c>
      <c r="B144" t="s">
        <v>14</v>
      </c>
      <c r="C144" t="s">
        <v>981</v>
      </c>
      <c r="D144" t="s">
        <v>177</v>
      </c>
      <c r="E144" t="s">
        <v>3824</v>
      </c>
      <c r="F144" t="s">
        <v>78</v>
      </c>
      <c r="G144">
        <v>4</v>
      </c>
      <c r="H144" s="4">
        <v>0.6</v>
      </c>
      <c r="I144" s="4">
        <v>0.86</v>
      </c>
      <c r="J144" s="4">
        <v>-8.87</v>
      </c>
      <c r="K144" s="17">
        <v>-1477.99</v>
      </c>
      <c r="L144" t="s">
        <v>1</v>
      </c>
    </row>
    <row r="145" spans="1:12" x14ac:dyDescent="0.25">
      <c r="A145" s="8">
        <v>46213.5</v>
      </c>
      <c r="B145" t="s">
        <v>14</v>
      </c>
      <c r="C145" t="s">
        <v>982</v>
      </c>
      <c r="D145" t="s">
        <v>254</v>
      </c>
      <c r="E145" t="s">
        <v>3827</v>
      </c>
      <c r="F145" t="s">
        <v>61</v>
      </c>
      <c r="G145">
        <v>4</v>
      </c>
      <c r="H145" s="4">
        <v>3.2</v>
      </c>
      <c r="I145" s="4">
        <v>3.9</v>
      </c>
      <c r="J145" s="4">
        <v>-8.84</v>
      </c>
      <c r="K145" s="17">
        <v>-276.12</v>
      </c>
      <c r="L145" t="s">
        <v>1</v>
      </c>
    </row>
    <row r="146" spans="1:12" x14ac:dyDescent="0.25">
      <c r="A146" s="8">
        <v>46213.5</v>
      </c>
      <c r="B146" t="s">
        <v>14</v>
      </c>
      <c r="C146" t="s">
        <v>983</v>
      </c>
      <c r="D146" t="s">
        <v>182</v>
      </c>
      <c r="E146" t="s">
        <v>3825</v>
      </c>
      <c r="F146" t="s">
        <v>75</v>
      </c>
      <c r="G146">
        <v>4</v>
      </c>
      <c r="H146" s="4">
        <v>7.6</v>
      </c>
      <c r="I146" s="4">
        <v>10.72</v>
      </c>
      <c r="J146" s="4">
        <v>-7.57</v>
      </c>
      <c r="K146" s="17">
        <v>-99.6</v>
      </c>
      <c r="L146" t="s">
        <v>1</v>
      </c>
    </row>
    <row r="147" spans="1:12" x14ac:dyDescent="0.25">
      <c r="A147" s="8">
        <v>46213.5</v>
      </c>
      <c r="B147" t="s">
        <v>16</v>
      </c>
      <c r="C147" t="s">
        <v>2550</v>
      </c>
      <c r="D147" t="s">
        <v>174</v>
      </c>
      <c r="E147" t="s">
        <v>3823</v>
      </c>
      <c r="F147" t="s">
        <v>66</v>
      </c>
      <c r="G147">
        <v>1</v>
      </c>
      <c r="H147" s="4">
        <v>4.25</v>
      </c>
      <c r="I147" s="4">
        <v>5.86</v>
      </c>
      <c r="J147" s="4">
        <v>0.85</v>
      </c>
      <c r="K147" s="17">
        <v>19.99</v>
      </c>
      <c r="L147" t="s">
        <v>1</v>
      </c>
    </row>
    <row r="148" spans="1:12" x14ac:dyDescent="0.25">
      <c r="A148" s="8">
        <v>46213.5</v>
      </c>
      <c r="B148" t="s">
        <v>17</v>
      </c>
      <c r="C148" t="s">
        <v>3290</v>
      </c>
      <c r="D148" t="s">
        <v>254</v>
      </c>
      <c r="E148" t="s">
        <v>3827</v>
      </c>
      <c r="F148" t="s">
        <v>61</v>
      </c>
      <c r="G148">
        <v>4</v>
      </c>
      <c r="H148" s="4">
        <v>3.2</v>
      </c>
      <c r="I148" s="4">
        <v>4.45</v>
      </c>
      <c r="J148" s="4">
        <v>0.83</v>
      </c>
      <c r="K148" s="17">
        <v>25.99</v>
      </c>
      <c r="L148" t="s">
        <v>1</v>
      </c>
    </row>
    <row r="149" spans="1:12" x14ac:dyDescent="0.25">
      <c r="A149" s="8">
        <v>46213.5</v>
      </c>
      <c r="B149" t="s">
        <v>17</v>
      </c>
      <c r="C149" t="s">
        <v>3291</v>
      </c>
      <c r="D149" t="s">
        <v>182</v>
      </c>
      <c r="E149" t="s">
        <v>3825</v>
      </c>
      <c r="F149" t="s">
        <v>75</v>
      </c>
      <c r="G149">
        <v>4</v>
      </c>
      <c r="H149" s="4">
        <v>7.6</v>
      </c>
      <c r="I149" s="4">
        <v>9.04</v>
      </c>
      <c r="J149" s="4">
        <v>0.78</v>
      </c>
      <c r="K149" s="17">
        <v>10.26</v>
      </c>
      <c r="L149" t="s">
        <v>1</v>
      </c>
    </row>
    <row r="150" spans="1:12" x14ac:dyDescent="0.25">
      <c r="A150" s="8">
        <v>46213.5</v>
      </c>
      <c r="B150" t="s">
        <v>17</v>
      </c>
      <c r="C150" t="s">
        <v>3292</v>
      </c>
      <c r="D150" t="s">
        <v>185</v>
      </c>
      <c r="E150" t="s">
        <v>3826</v>
      </c>
      <c r="F150" t="s">
        <v>102</v>
      </c>
      <c r="G150">
        <v>3</v>
      </c>
      <c r="H150" s="4">
        <v>3.6</v>
      </c>
      <c r="I150" s="4">
        <v>5</v>
      </c>
      <c r="J150" s="4">
        <v>0.94</v>
      </c>
      <c r="K150" s="17">
        <v>26.02</v>
      </c>
      <c r="L150" t="s">
        <v>1</v>
      </c>
    </row>
    <row r="151" spans="1:12" x14ac:dyDescent="0.25">
      <c r="A151" s="8">
        <v>46213.5</v>
      </c>
      <c r="B151" t="s">
        <v>17</v>
      </c>
      <c r="C151" t="s">
        <v>3293</v>
      </c>
      <c r="D151" t="s">
        <v>185</v>
      </c>
      <c r="E151" t="s">
        <v>3826</v>
      </c>
      <c r="F151" t="s">
        <v>102</v>
      </c>
      <c r="G151">
        <v>1</v>
      </c>
      <c r="H151" s="4">
        <v>1.2</v>
      </c>
      <c r="I151" s="4">
        <v>1.55</v>
      </c>
      <c r="J151" s="4">
        <v>0.22</v>
      </c>
      <c r="K151" s="17">
        <v>18.47</v>
      </c>
      <c r="L151" t="s">
        <v>1</v>
      </c>
    </row>
    <row r="152" spans="1:12" x14ac:dyDescent="0.25">
      <c r="A152" s="8">
        <v>46212.5</v>
      </c>
      <c r="B152" t="s">
        <v>16</v>
      </c>
      <c r="C152" t="s">
        <v>2562</v>
      </c>
      <c r="D152" t="s">
        <v>189</v>
      </c>
      <c r="E152" t="s">
        <v>3822</v>
      </c>
      <c r="F152" t="s">
        <v>66</v>
      </c>
      <c r="G152">
        <v>1</v>
      </c>
      <c r="H152" s="4">
        <v>3.5</v>
      </c>
      <c r="I152" s="4">
        <v>4.55</v>
      </c>
      <c r="J152" s="4">
        <v>0.49</v>
      </c>
      <c r="K152" s="17">
        <v>14.08</v>
      </c>
      <c r="L152" t="s">
        <v>1</v>
      </c>
    </row>
    <row r="153" spans="1:12" x14ac:dyDescent="0.25">
      <c r="A153" s="8">
        <v>46212.5</v>
      </c>
      <c r="B153" t="s">
        <v>17</v>
      </c>
      <c r="C153" t="s">
        <v>3301</v>
      </c>
      <c r="D153" t="s">
        <v>177</v>
      </c>
      <c r="E153" t="s">
        <v>3824</v>
      </c>
      <c r="F153" t="s">
        <v>78</v>
      </c>
      <c r="G153">
        <v>2</v>
      </c>
      <c r="H153" s="4">
        <v>0.3</v>
      </c>
      <c r="I153" s="4">
        <v>0.34</v>
      </c>
      <c r="J153" s="4">
        <v>0.01</v>
      </c>
      <c r="K153" s="17">
        <v>4.44</v>
      </c>
      <c r="L153" t="s">
        <v>1</v>
      </c>
    </row>
    <row r="154" spans="1:12" x14ac:dyDescent="0.25">
      <c r="A154" s="8">
        <v>46211.5</v>
      </c>
      <c r="B154" t="s">
        <v>15</v>
      </c>
      <c r="C154" t="s">
        <v>1777</v>
      </c>
      <c r="D154" t="s">
        <v>254</v>
      </c>
      <c r="E154" t="s">
        <v>3827</v>
      </c>
      <c r="F154" t="s">
        <v>61</v>
      </c>
      <c r="G154">
        <v>3</v>
      </c>
      <c r="H154" s="4">
        <v>2.4</v>
      </c>
      <c r="I154" s="4">
        <v>2.83</v>
      </c>
      <c r="J154" s="4">
        <v>-0.34</v>
      </c>
      <c r="K154" s="17">
        <v>-14.35</v>
      </c>
      <c r="L154" t="s">
        <v>1</v>
      </c>
    </row>
    <row r="155" spans="1:12" x14ac:dyDescent="0.25">
      <c r="A155" s="8">
        <v>46211.5</v>
      </c>
      <c r="B155" t="s">
        <v>15</v>
      </c>
      <c r="C155" t="s">
        <v>1778</v>
      </c>
      <c r="D155" t="s">
        <v>182</v>
      </c>
      <c r="E155" t="s">
        <v>3825</v>
      </c>
      <c r="F155" t="s">
        <v>75</v>
      </c>
      <c r="G155">
        <v>1</v>
      </c>
      <c r="H155" s="4">
        <v>1.9</v>
      </c>
      <c r="I155" s="4">
        <v>2.55</v>
      </c>
      <c r="J155" s="4">
        <v>-0.14</v>
      </c>
      <c r="K155" s="17">
        <v>-7.32</v>
      </c>
      <c r="L155" t="s">
        <v>1</v>
      </c>
    </row>
    <row r="156" spans="1:12" x14ac:dyDescent="0.25">
      <c r="A156" s="8">
        <v>46211.5</v>
      </c>
      <c r="B156" t="s">
        <v>17</v>
      </c>
      <c r="C156" t="s">
        <v>3314</v>
      </c>
      <c r="D156" t="s">
        <v>254</v>
      </c>
      <c r="E156" t="s">
        <v>3827</v>
      </c>
      <c r="F156" t="s">
        <v>61</v>
      </c>
      <c r="G156">
        <v>4</v>
      </c>
      <c r="H156" s="4">
        <v>3.2</v>
      </c>
      <c r="I156" s="4">
        <v>4.48</v>
      </c>
      <c r="J156" s="4">
        <v>0.86</v>
      </c>
      <c r="K156" s="17">
        <v>26.77</v>
      </c>
      <c r="L156" t="s">
        <v>1</v>
      </c>
    </row>
    <row r="157" spans="1:12" x14ac:dyDescent="0.25">
      <c r="A157" s="8">
        <v>46211.5</v>
      </c>
      <c r="B157" t="s">
        <v>17</v>
      </c>
      <c r="C157" t="s">
        <v>3315</v>
      </c>
      <c r="D157" t="s">
        <v>182</v>
      </c>
      <c r="E157" t="s">
        <v>3825</v>
      </c>
      <c r="F157" t="s">
        <v>75</v>
      </c>
      <c r="G157">
        <v>4</v>
      </c>
      <c r="H157" s="4">
        <v>7.6</v>
      </c>
      <c r="I157" s="4">
        <v>8.82</v>
      </c>
      <c r="J157" s="4">
        <v>0.61</v>
      </c>
      <c r="K157" s="17">
        <v>7.98</v>
      </c>
      <c r="L157" t="s">
        <v>1</v>
      </c>
    </row>
    <row r="158" spans="1:12" x14ac:dyDescent="0.25">
      <c r="A158" s="8">
        <v>46210.5</v>
      </c>
      <c r="B158" t="s">
        <v>13</v>
      </c>
      <c r="C158" t="s">
        <v>314</v>
      </c>
      <c r="D158" t="s">
        <v>185</v>
      </c>
      <c r="E158" t="s">
        <v>3826</v>
      </c>
      <c r="F158" t="s">
        <v>102</v>
      </c>
      <c r="G158">
        <v>4</v>
      </c>
      <c r="H158" s="4">
        <v>4.8</v>
      </c>
      <c r="I158" s="4">
        <v>6.72</v>
      </c>
      <c r="J158" s="4">
        <v>1.02</v>
      </c>
      <c r="K158" s="17">
        <v>21.34</v>
      </c>
      <c r="L158" t="s">
        <v>1</v>
      </c>
    </row>
    <row r="159" spans="1:12" x14ac:dyDescent="0.25">
      <c r="A159" s="8">
        <v>46210.5</v>
      </c>
      <c r="B159" t="s">
        <v>13</v>
      </c>
      <c r="C159" t="s">
        <v>315</v>
      </c>
      <c r="D159" t="s">
        <v>185</v>
      </c>
      <c r="E159" t="s">
        <v>3826</v>
      </c>
      <c r="F159" t="s">
        <v>102</v>
      </c>
      <c r="G159">
        <v>2</v>
      </c>
      <c r="H159" s="4">
        <v>2.4</v>
      </c>
      <c r="I159" s="4">
        <v>2.78</v>
      </c>
      <c r="J159" s="4">
        <v>0.08</v>
      </c>
      <c r="K159" s="17">
        <v>3.27</v>
      </c>
      <c r="L159" t="s">
        <v>1</v>
      </c>
    </row>
    <row r="160" spans="1:12" x14ac:dyDescent="0.25">
      <c r="A160" s="8">
        <v>46210.5</v>
      </c>
      <c r="B160" t="s">
        <v>14</v>
      </c>
      <c r="C160" t="s">
        <v>1007</v>
      </c>
      <c r="D160" t="s">
        <v>182</v>
      </c>
      <c r="E160" t="s">
        <v>3825</v>
      </c>
      <c r="F160" t="s">
        <v>75</v>
      </c>
      <c r="G160">
        <v>1</v>
      </c>
      <c r="H160" s="4">
        <v>1.9</v>
      </c>
      <c r="I160" s="4">
        <v>2.43</v>
      </c>
      <c r="J160" s="4">
        <v>-8.82</v>
      </c>
      <c r="K160" s="17">
        <v>-463.98</v>
      </c>
      <c r="L160" t="s">
        <v>1</v>
      </c>
    </row>
    <row r="161" spans="1:12" x14ac:dyDescent="0.25">
      <c r="A161" s="8">
        <v>46210.5</v>
      </c>
      <c r="B161" t="s">
        <v>14</v>
      </c>
      <c r="C161" t="s">
        <v>1008</v>
      </c>
      <c r="D161" t="s">
        <v>185</v>
      </c>
      <c r="E161" t="s">
        <v>3826</v>
      </c>
      <c r="F161" t="s">
        <v>102</v>
      </c>
      <c r="G161">
        <v>4</v>
      </c>
      <c r="H161" s="4">
        <v>4.8</v>
      </c>
      <c r="I161" s="4">
        <v>6.53</v>
      </c>
      <c r="J161" s="4">
        <v>-8.27</v>
      </c>
      <c r="K161" s="17">
        <v>-172.22</v>
      </c>
      <c r="L161" t="s">
        <v>1</v>
      </c>
    </row>
    <row r="162" spans="1:12" x14ac:dyDescent="0.25">
      <c r="A162" s="8">
        <v>46210.5</v>
      </c>
      <c r="B162" t="s">
        <v>15</v>
      </c>
      <c r="C162" t="s">
        <v>1787</v>
      </c>
      <c r="D162" t="s">
        <v>189</v>
      </c>
      <c r="E162" t="s">
        <v>3822</v>
      </c>
      <c r="F162" t="s">
        <v>66</v>
      </c>
      <c r="G162">
        <v>4</v>
      </c>
      <c r="H162" s="4">
        <v>14</v>
      </c>
      <c r="I162" s="4">
        <v>19.18</v>
      </c>
      <c r="J162" s="4">
        <v>2.33</v>
      </c>
      <c r="K162" s="17">
        <v>16.62</v>
      </c>
      <c r="L162" t="s">
        <v>1</v>
      </c>
    </row>
    <row r="163" spans="1:12" x14ac:dyDescent="0.25">
      <c r="A163" s="8">
        <v>46210.5</v>
      </c>
      <c r="B163" t="s">
        <v>16</v>
      </c>
      <c r="C163" t="s">
        <v>2574</v>
      </c>
      <c r="D163" t="s">
        <v>177</v>
      </c>
      <c r="E163" t="s">
        <v>3824</v>
      </c>
      <c r="F163" t="s">
        <v>78</v>
      </c>
      <c r="G163">
        <v>1</v>
      </c>
      <c r="H163" s="4">
        <v>0.15</v>
      </c>
      <c r="I163" s="4">
        <v>0.19</v>
      </c>
      <c r="J163" s="4">
        <v>0.02</v>
      </c>
      <c r="K163" s="17">
        <v>11.58</v>
      </c>
      <c r="L163" t="s">
        <v>1</v>
      </c>
    </row>
    <row r="164" spans="1:12" x14ac:dyDescent="0.25">
      <c r="A164" s="8">
        <v>46209.5</v>
      </c>
      <c r="B164" t="s">
        <v>14</v>
      </c>
      <c r="C164" t="s">
        <v>1017</v>
      </c>
      <c r="D164" t="s">
        <v>189</v>
      </c>
      <c r="E164" t="s">
        <v>3822</v>
      </c>
      <c r="F164" t="s">
        <v>66</v>
      </c>
      <c r="G164">
        <v>4</v>
      </c>
      <c r="H164" s="4">
        <v>14</v>
      </c>
      <c r="I164" s="4">
        <v>20.02</v>
      </c>
      <c r="J164" s="4">
        <v>-6.18</v>
      </c>
      <c r="K164" s="17">
        <v>-44.11</v>
      </c>
      <c r="L164" t="s">
        <v>1</v>
      </c>
    </row>
    <row r="165" spans="1:12" x14ac:dyDescent="0.25">
      <c r="A165" s="8">
        <v>46208.5</v>
      </c>
      <c r="B165" t="s">
        <v>15</v>
      </c>
      <c r="C165" t="s">
        <v>1795</v>
      </c>
      <c r="D165" t="s">
        <v>189</v>
      </c>
      <c r="E165" t="s">
        <v>3822</v>
      </c>
      <c r="F165" t="s">
        <v>66</v>
      </c>
      <c r="G165">
        <v>2</v>
      </c>
      <c r="H165" s="4">
        <v>7</v>
      </c>
      <c r="I165" s="4">
        <v>8.75</v>
      </c>
      <c r="J165" s="4">
        <v>0.29</v>
      </c>
      <c r="K165" s="17">
        <v>4.14</v>
      </c>
      <c r="L165" t="s">
        <v>1</v>
      </c>
    </row>
    <row r="166" spans="1:12" x14ac:dyDescent="0.25">
      <c r="A166" s="8">
        <v>46208.5</v>
      </c>
      <c r="B166" t="s">
        <v>15</v>
      </c>
      <c r="C166" t="s">
        <v>1796</v>
      </c>
      <c r="D166" t="s">
        <v>189</v>
      </c>
      <c r="E166" t="s">
        <v>3822</v>
      </c>
      <c r="F166" t="s">
        <v>66</v>
      </c>
      <c r="G166">
        <v>4</v>
      </c>
      <c r="H166" s="4">
        <v>14</v>
      </c>
      <c r="I166" s="4">
        <v>16.8</v>
      </c>
      <c r="J166" s="4">
        <v>0.53</v>
      </c>
      <c r="K166" s="17">
        <v>3.79</v>
      </c>
      <c r="L166" t="s">
        <v>1</v>
      </c>
    </row>
    <row r="167" spans="1:12" x14ac:dyDescent="0.25">
      <c r="A167" s="8">
        <v>46208.5</v>
      </c>
      <c r="B167" t="s">
        <v>15</v>
      </c>
      <c r="C167" t="s">
        <v>1797</v>
      </c>
      <c r="D167" t="s">
        <v>174</v>
      </c>
      <c r="E167" t="s">
        <v>3823</v>
      </c>
      <c r="F167" t="s">
        <v>66</v>
      </c>
      <c r="G167">
        <v>2</v>
      </c>
      <c r="H167" s="4">
        <v>8.5</v>
      </c>
      <c r="I167" s="4">
        <v>11.73</v>
      </c>
      <c r="J167" s="4">
        <v>1.29</v>
      </c>
      <c r="K167" s="17">
        <v>15.15</v>
      </c>
      <c r="L167" t="s">
        <v>1</v>
      </c>
    </row>
    <row r="168" spans="1:12" x14ac:dyDescent="0.25">
      <c r="A168" s="8">
        <v>46208.5</v>
      </c>
      <c r="B168" t="s">
        <v>15</v>
      </c>
      <c r="C168" t="s">
        <v>1798</v>
      </c>
      <c r="D168" t="s">
        <v>177</v>
      </c>
      <c r="E168" t="s">
        <v>3824</v>
      </c>
      <c r="F168" t="s">
        <v>78</v>
      </c>
      <c r="G168">
        <v>4</v>
      </c>
      <c r="H168" s="4">
        <v>0.6</v>
      </c>
      <c r="I168" s="4">
        <v>0.7</v>
      </c>
      <c r="J168" s="4">
        <v>-0.45</v>
      </c>
      <c r="K168" s="17">
        <v>-75.3</v>
      </c>
      <c r="L168" t="s">
        <v>1</v>
      </c>
    </row>
    <row r="169" spans="1:12" x14ac:dyDescent="0.25">
      <c r="A169" s="8">
        <v>46208.5</v>
      </c>
      <c r="B169" t="s">
        <v>16</v>
      </c>
      <c r="C169" t="s">
        <v>2593</v>
      </c>
      <c r="D169" t="s">
        <v>174</v>
      </c>
      <c r="E169" t="s">
        <v>3823</v>
      </c>
      <c r="F169" t="s">
        <v>66</v>
      </c>
      <c r="G169">
        <v>1</v>
      </c>
      <c r="H169" s="4">
        <v>4.25</v>
      </c>
      <c r="I169" s="4">
        <v>5.86</v>
      </c>
      <c r="J169" s="4">
        <v>0.85</v>
      </c>
      <c r="K169" s="17">
        <v>19.99</v>
      </c>
      <c r="L169" t="s">
        <v>1</v>
      </c>
    </row>
    <row r="170" spans="1:12" x14ac:dyDescent="0.25">
      <c r="A170" s="8">
        <v>46208.5</v>
      </c>
      <c r="B170" t="s">
        <v>16</v>
      </c>
      <c r="C170" t="s">
        <v>2594</v>
      </c>
      <c r="D170" t="s">
        <v>177</v>
      </c>
      <c r="E170" t="s">
        <v>3824</v>
      </c>
      <c r="F170" t="s">
        <v>78</v>
      </c>
      <c r="G170">
        <v>1</v>
      </c>
      <c r="H170" s="4">
        <v>0.15</v>
      </c>
      <c r="I170" s="4">
        <v>0.21</v>
      </c>
      <c r="J170" s="4">
        <v>0.03</v>
      </c>
      <c r="K170" s="17">
        <v>21.57</v>
      </c>
      <c r="L170" t="s">
        <v>1</v>
      </c>
    </row>
    <row r="171" spans="1:12" x14ac:dyDescent="0.25">
      <c r="A171" s="8">
        <v>46208.5</v>
      </c>
      <c r="B171" t="s">
        <v>16</v>
      </c>
      <c r="C171" t="s">
        <v>2595</v>
      </c>
      <c r="D171" t="s">
        <v>177</v>
      </c>
      <c r="E171" t="s">
        <v>3824</v>
      </c>
      <c r="F171" t="s">
        <v>78</v>
      </c>
      <c r="G171">
        <v>1</v>
      </c>
      <c r="H171" s="4">
        <v>0.15</v>
      </c>
      <c r="I171" s="4">
        <v>0.19</v>
      </c>
      <c r="J171" s="4">
        <v>0.02</v>
      </c>
      <c r="K171" s="17">
        <v>11.58</v>
      </c>
      <c r="L171" t="s">
        <v>1</v>
      </c>
    </row>
    <row r="172" spans="1:12" x14ac:dyDescent="0.25">
      <c r="A172" s="8">
        <v>46208.5</v>
      </c>
      <c r="B172" t="s">
        <v>16</v>
      </c>
      <c r="C172" t="s">
        <v>2596</v>
      </c>
      <c r="D172" t="s">
        <v>254</v>
      </c>
      <c r="E172" t="s">
        <v>3827</v>
      </c>
      <c r="F172" t="s">
        <v>61</v>
      </c>
      <c r="G172">
        <v>1</v>
      </c>
      <c r="H172" s="4">
        <v>0.8</v>
      </c>
      <c r="I172" s="4">
        <v>0.94</v>
      </c>
      <c r="J172" s="4">
        <v>0.04</v>
      </c>
      <c r="K172" s="17">
        <v>4.71</v>
      </c>
      <c r="L172" t="s">
        <v>1</v>
      </c>
    </row>
    <row r="173" spans="1:12" x14ac:dyDescent="0.25">
      <c r="A173" s="8">
        <v>46208.5</v>
      </c>
      <c r="B173" t="s">
        <v>17</v>
      </c>
      <c r="C173" t="s">
        <v>3334</v>
      </c>
      <c r="D173" t="s">
        <v>189</v>
      </c>
      <c r="E173" t="s">
        <v>3822</v>
      </c>
      <c r="F173" t="s">
        <v>66</v>
      </c>
      <c r="G173">
        <v>1</v>
      </c>
      <c r="H173" s="4">
        <v>3.5</v>
      </c>
      <c r="I173" s="4">
        <v>5</v>
      </c>
      <c r="J173" s="4">
        <v>1.02</v>
      </c>
      <c r="K173" s="17">
        <v>29.14</v>
      </c>
      <c r="L173" t="s">
        <v>1</v>
      </c>
    </row>
    <row r="174" spans="1:12" x14ac:dyDescent="0.25">
      <c r="A174" s="8">
        <v>46208.5</v>
      </c>
      <c r="B174" t="s">
        <v>17</v>
      </c>
      <c r="C174" t="s">
        <v>3335</v>
      </c>
      <c r="D174" t="s">
        <v>254</v>
      </c>
      <c r="E174" t="s">
        <v>3827</v>
      </c>
      <c r="F174" t="s">
        <v>61</v>
      </c>
      <c r="G174">
        <v>4</v>
      </c>
      <c r="H174" s="4">
        <v>3.2</v>
      </c>
      <c r="I174" s="4">
        <v>3.78</v>
      </c>
      <c r="J174" s="4">
        <v>0.31</v>
      </c>
      <c r="K174" s="17">
        <v>9.79</v>
      </c>
      <c r="L174" t="s">
        <v>1</v>
      </c>
    </row>
    <row r="175" spans="1:12" x14ac:dyDescent="0.25">
      <c r="A175" s="8">
        <v>46207.5</v>
      </c>
      <c r="B175" t="s">
        <v>13</v>
      </c>
      <c r="C175" t="s">
        <v>328</v>
      </c>
      <c r="D175" t="s">
        <v>174</v>
      </c>
      <c r="E175" t="s">
        <v>3823</v>
      </c>
      <c r="F175" t="s">
        <v>66</v>
      </c>
      <c r="G175">
        <v>4</v>
      </c>
      <c r="H175" s="4">
        <v>17</v>
      </c>
      <c r="I175" s="4">
        <v>24.65</v>
      </c>
      <c r="J175" s="4">
        <v>4.26</v>
      </c>
      <c r="K175" s="17">
        <v>25.07</v>
      </c>
      <c r="L175" t="s">
        <v>1</v>
      </c>
    </row>
    <row r="176" spans="1:12" x14ac:dyDescent="0.25">
      <c r="A176" s="8">
        <v>46207.5</v>
      </c>
      <c r="B176" t="s">
        <v>16</v>
      </c>
      <c r="C176" t="s">
        <v>2609</v>
      </c>
      <c r="D176" t="s">
        <v>182</v>
      </c>
      <c r="E176" t="s">
        <v>3825</v>
      </c>
      <c r="F176" t="s">
        <v>75</v>
      </c>
      <c r="G176">
        <v>1</v>
      </c>
      <c r="H176" s="4">
        <v>1.9</v>
      </c>
      <c r="I176" s="4">
        <v>2.47</v>
      </c>
      <c r="J176" s="4">
        <v>0.27</v>
      </c>
      <c r="K176" s="17">
        <v>14.08</v>
      </c>
      <c r="L176" t="s">
        <v>1</v>
      </c>
    </row>
    <row r="177" spans="1:12" x14ac:dyDescent="0.25">
      <c r="A177" s="8">
        <v>46206.5</v>
      </c>
      <c r="B177" t="s">
        <v>14</v>
      </c>
      <c r="C177" t="s">
        <v>1040</v>
      </c>
      <c r="D177" t="s">
        <v>174</v>
      </c>
      <c r="E177" t="s">
        <v>3823</v>
      </c>
      <c r="F177" t="s">
        <v>66</v>
      </c>
      <c r="G177">
        <v>2</v>
      </c>
      <c r="H177" s="4">
        <v>8.5</v>
      </c>
      <c r="I177" s="4">
        <v>10.2</v>
      </c>
      <c r="J177" s="4">
        <v>-8.7</v>
      </c>
      <c r="K177" s="17">
        <v>-102.3</v>
      </c>
      <c r="L177" t="s">
        <v>1</v>
      </c>
    </row>
    <row r="178" spans="1:12" x14ac:dyDescent="0.25">
      <c r="A178" s="8">
        <v>46206.5</v>
      </c>
      <c r="B178" t="s">
        <v>15</v>
      </c>
      <c r="C178" t="s">
        <v>1811</v>
      </c>
      <c r="D178" t="s">
        <v>254</v>
      </c>
      <c r="E178" t="s">
        <v>3827</v>
      </c>
      <c r="F178" t="s">
        <v>61</v>
      </c>
      <c r="G178">
        <v>4</v>
      </c>
      <c r="H178" s="4">
        <v>3.2</v>
      </c>
      <c r="I178" s="4">
        <v>4.16</v>
      </c>
      <c r="J178" s="4">
        <v>-0.01</v>
      </c>
      <c r="K178" s="17">
        <v>-0.23</v>
      </c>
      <c r="L178" t="s">
        <v>1</v>
      </c>
    </row>
    <row r="179" spans="1:12" x14ac:dyDescent="0.25">
      <c r="A179" s="8">
        <v>46206.5</v>
      </c>
      <c r="B179" t="s">
        <v>15</v>
      </c>
      <c r="C179" t="s">
        <v>1812</v>
      </c>
      <c r="D179" t="s">
        <v>254</v>
      </c>
      <c r="E179" t="s">
        <v>3827</v>
      </c>
      <c r="F179" t="s">
        <v>61</v>
      </c>
      <c r="G179">
        <v>1</v>
      </c>
      <c r="H179" s="4">
        <v>0.8</v>
      </c>
      <c r="I179" s="4">
        <v>0.92</v>
      </c>
      <c r="J179" s="4">
        <v>-0.45</v>
      </c>
      <c r="K179" s="17">
        <v>-56.55</v>
      </c>
      <c r="L179" t="s">
        <v>1</v>
      </c>
    </row>
    <row r="180" spans="1:12" x14ac:dyDescent="0.25">
      <c r="A180" s="8">
        <v>46206.5</v>
      </c>
      <c r="B180" t="s">
        <v>15</v>
      </c>
      <c r="C180" t="s">
        <v>1813</v>
      </c>
      <c r="D180" t="s">
        <v>182</v>
      </c>
      <c r="E180" t="s">
        <v>3825</v>
      </c>
      <c r="F180" t="s">
        <v>75</v>
      </c>
      <c r="G180">
        <v>4</v>
      </c>
      <c r="H180" s="4">
        <v>7.6</v>
      </c>
      <c r="I180" s="4">
        <v>9.35</v>
      </c>
      <c r="J180" s="4">
        <v>0.24</v>
      </c>
      <c r="K180" s="17">
        <v>3.19</v>
      </c>
      <c r="L180" t="s">
        <v>1</v>
      </c>
    </row>
    <row r="181" spans="1:12" x14ac:dyDescent="0.25">
      <c r="A181" s="8">
        <v>46206.5</v>
      </c>
      <c r="B181" t="s">
        <v>15</v>
      </c>
      <c r="C181" t="s">
        <v>1814</v>
      </c>
      <c r="D181" t="s">
        <v>182</v>
      </c>
      <c r="E181" t="s">
        <v>3825</v>
      </c>
      <c r="F181" t="s">
        <v>75</v>
      </c>
      <c r="G181">
        <v>4</v>
      </c>
      <c r="H181" s="4">
        <v>7.6</v>
      </c>
      <c r="I181" s="4">
        <v>9.65</v>
      </c>
      <c r="J181" s="4">
        <v>0.47</v>
      </c>
      <c r="K181" s="17">
        <v>6.17</v>
      </c>
      <c r="L181" t="s">
        <v>1</v>
      </c>
    </row>
    <row r="182" spans="1:12" x14ac:dyDescent="0.25">
      <c r="A182" s="8">
        <v>46206.5</v>
      </c>
      <c r="B182" t="s">
        <v>15</v>
      </c>
      <c r="C182" t="s">
        <v>1815</v>
      </c>
      <c r="D182" t="s">
        <v>182</v>
      </c>
      <c r="E182" t="s">
        <v>3825</v>
      </c>
      <c r="F182" t="s">
        <v>75</v>
      </c>
      <c r="G182">
        <v>4</v>
      </c>
      <c r="H182" s="4">
        <v>7.6</v>
      </c>
      <c r="I182" s="4">
        <v>10.64</v>
      </c>
      <c r="J182" s="4">
        <v>1.22</v>
      </c>
      <c r="K182" s="17">
        <v>16</v>
      </c>
      <c r="L182" t="s">
        <v>1</v>
      </c>
    </row>
    <row r="183" spans="1:12" x14ac:dyDescent="0.25">
      <c r="A183" s="8">
        <v>46206.5</v>
      </c>
      <c r="B183" t="s">
        <v>16</v>
      </c>
      <c r="C183" t="s">
        <v>2612</v>
      </c>
      <c r="D183" t="s">
        <v>189</v>
      </c>
      <c r="E183" t="s">
        <v>3822</v>
      </c>
      <c r="F183" t="s">
        <v>66</v>
      </c>
      <c r="G183">
        <v>1</v>
      </c>
      <c r="H183" s="4">
        <v>3.5</v>
      </c>
      <c r="I183" s="4">
        <v>4.73</v>
      </c>
      <c r="J183" s="4">
        <v>0.63</v>
      </c>
      <c r="K183" s="17">
        <v>17.93</v>
      </c>
      <c r="L183" t="s">
        <v>1</v>
      </c>
    </row>
    <row r="184" spans="1:12" x14ac:dyDescent="0.25">
      <c r="A184" s="8">
        <v>46205.5</v>
      </c>
      <c r="B184" t="s">
        <v>13</v>
      </c>
      <c r="C184" t="s">
        <v>342</v>
      </c>
      <c r="D184" t="s">
        <v>254</v>
      </c>
      <c r="E184" t="s">
        <v>3827</v>
      </c>
      <c r="F184" t="s">
        <v>61</v>
      </c>
      <c r="G184">
        <v>4</v>
      </c>
      <c r="H184" s="4">
        <v>3.2</v>
      </c>
      <c r="I184" s="4">
        <v>4.61</v>
      </c>
      <c r="J184" s="4">
        <v>0.78</v>
      </c>
      <c r="K184" s="17">
        <v>24.37</v>
      </c>
      <c r="L184" t="s">
        <v>1</v>
      </c>
    </row>
    <row r="185" spans="1:12" x14ac:dyDescent="0.25">
      <c r="A185" s="8">
        <v>46205.5</v>
      </c>
      <c r="B185" t="s">
        <v>15</v>
      </c>
      <c r="C185" t="s">
        <v>1826</v>
      </c>
      <c r="D185" t="s">
        <v>177</v>
      </c>
      <c r="E185" t="s">
        <v>3824</v>
      </c>
      <c r="F185" t="s">
        <v>78</v>
      </c>
      <c r="G185">
        <v>1</v>
      </c>
      <c r="H185" s="4">
        <v>0.15</v>
      </c>
      <c r="I185" s="4">
        <v>0.2</v>
      </c>
      <c r="J185" s="4">
        <v>-0.45</v>
      </c>
      <c r="K185" s="17">
        <v>-302.72</v>
      </c>
      <c r="L185" t="s">
        <v>1</v>
      </c>
    </row>
    <row r="186" spans="1:12" x14ac:dyDescent="0.25">
      <c r="A186" s="8">
        <v>46205.5</v>
      </c>
      <c r="B186" t="s">
        <v>16</v>
      </c>
      <c r="C186" t="s">
        <v>2615</v>
      </c>
      <c r="D186" t="s">
        <v>182</v>
      </c>
      <c r="E186" t="s">
        <v>3825</v>
      </c>
      <c r="F186" t="s">
        <v>75</v>
      </c>
      <c r="G186">
        <v>1</v>
      </c>
      <c r="H186" s="4">
        <v>1.9</v>
      </c>
      <c r="I186" s="4">
        <v>2.6</v>
      </c>
      <c r="J186" s="4">
        <v>0.36</v>
      </c>
      <c r="K186" s="17">
        <v>19.21</v>
      </c>
      <c r="L186" t="s">
        <v>1</v>
      </c>
    </row>
    <row r="187" spans="1:12" x14ac:dyDescent="0.25">
      <c r="A187" s="8">
        <v>46205.5</v>
      </c>
      <c r="B187" t="s">
        <v>17</v>
      </c>
      <c r="C187" t="s">
        <v>3367</v>
      </c>
      <c r="D187" t="s">
        <v>189</v>
      </c>
      <c r="E187" t="s">
        <v>3822</v>
      </c>
      <c r="F187" t="s">
        <v>66</v>
      </c>
      <c r="G187">
        <v>4</v>
      </c>
      <c r="H187" s="4">
        <v>14</v>
      </c>
      <c r="I187" s="4">
        <v>17.92</v>
      </c>
      <c r="J187" s="4">
        <v>2.44</v>
      </c>
      <c r="K187" s="17">
        <v>17.4</v>
      </c>
      <c r="L187" t="s">
        <v>1</v>
      </c>
    </row>
    <row r="188" spans="1:12" x14ac:dyDescent="0.25">
      <c r="A188" s="8">
        <v>46205.5</v>
      </c>
      <c r="B188" t="s">
        <v>17</v>
      </c>
      <c r="C188" t="s">
        <v>3368</v>
      </c>
      <c r="D188" t="s">
        <v>174</v>
      </c>
      <c r="E188" t="s">
        <v>3823</v>
      </c>
      <c r="F188" t="s">
        <v>66</v>
      </c>
      <c r="G188">
        <v>1</v>
      </c>
      <c r="H188" s="4">
        <v>4.25</v>
      </c>
      <c r="I188" s="4">
        <v>5.31</v>
      </c>
      <c r="J188" s="4">
        <v>0.64</v>
      </c>
      <c r="K188" s="17">
        <v>15.14</v>
      </c>
      <c r="L188" t="s">
        <v>1</v>
      </c>
    </row>
    <row r="189" spans="1:12" x14ac:dyDescent="0.25">
      <c r="A189" s="8">
        <v>46205.5</v>
      </c>
      <c r="B189" t="s">
        <v>17</v>
      </c>
      <c r="C189" t="s">
        <v>3369</v>
      </c>
      <c r="D189" t="s">
        <v>185</v>
      </c>
      <c r="E189" t="s">
        <v>3826</v>
      </c>
      <c r="F189" t="s">
        <v>102</v>
      </c>
      <c r="G189">
        <v>4</v>
      </c>
      <c r="H189" s="4">
        <v>4.8</v>
      </c>
      <c r="I189" s="4">
        <v>5.52</v>
      </c>
      <c r="J189" s="4">
        <v>0.35</v>
      </c>
      <c r="K189" s="17">
        <v>7.29</v>
      </c>
      <c r="L189" t="s">
        <v>1</v>
      </c>
    </row>
    <row r="190" spans="1:12" x14ac:dyDescent="0.25">
      <c r="A190" s="8">
        <v>46204.5</v>
      </c>
      <c r="B190" t="s">
        <v>15</v>
      </c>
      <c r="C190" t="s">
        <v>1833</v>
      </c>
      <c r="D190" t="s">
        <v>177</v>
      </c>
      <c r="E190" t="s">
        <v>3824</v>
      </c>
      <c r="F190" t="s">
        <v>78</v>
      </c>
      <c r="G190">
        <v>3</v>
      </c>
      <c r="H190" s="4">
        <v>0.45</v>
      </c>
      <c r="I190" s="4">
        <v>0.6</v>
      </c>
      <c r="J190" s="4">
        <v>-0.4</v>
      </c>
      <c r="K190" s="17">
        <v>-89.39</v>
      </c>
      <c r="L190" t="s">
        <v>1</v>
      </c>
    </row>
    <row r="191" spans="1:12" x14ac:dyDescent="0.25">
      <c r="A191" s="8">
        <v>46204.5</v>
      </c>
      <c r="B191" t="s">
        <v>16</v>
      </c>
      <c r="C191" t="s">
        <v>2625</v>
      </c>
      <c r="D191" t="s">
        <v>189</v>
      </c>
      <c r="E191" t="s">
        <v>3822</v>
      </c>
      <c r="F191" t="s">
        <v>66</v>
      </c>
      <c r="G191">
        <v>1</v>
      </c>
      <c r="H191" s="4">
        <v>3.5</v>
      </c>
      <c r="I191" s="4">
        <v>4.69</v>
      </c>
      <c r="J191" s="4">
        <v>0.6</v>
      </c>
      <c r="K191" s="17">
        <v>17.08</v>
      </c>
      <c r="L191" t="s">
        <v>1</v>
      </c>
    </row>
    <row r="192" spans="1:12" x14ac:dyDescent="0.25">
      <c r="A192" s="8">
        <v>46204.5</v>
      </c>
      <c r="B192" t="s">
        <v>16</v>
      </c>
      <c r="C192" t="s">
        <v>2624</v>
      </c>
      <c r="D192" t="s">
        <v>185</v>
      </c>
      <c r="E192" t="s">
        <v>3826</v>
      </c>
      <c r="F192" t="s">
        <v>102</v>
      </c>
      <c r="G192">
        <v>1</v>
      </c>
      <c r="H192" s="4">
        <v>1.2</v>
      </c>
      <c r="I192" s="4">
        <v>1.49</v>
      </c>
      <c r="J192" s="4">
        <v>0.12</v>
      </c>
      <c r="K192" s="17">
        <v>9.71</v>
      </c>
      <c r="L192" t="s">
        <v>1</v>
      </c>
    </row>
    <row r="193" spans="1:12" x14ac:dyDescent="0.25">
      <c r="A193" s="8">
        <v>46204.5</v>
      </c>
      <c r="B193" t="s">
        <v>17</v>
      </c>
      <c r="C193" t="s">
        <v>3382</v>
      </c>
      <c r="D193" t="s">
        <v>174</v>
      </c>
      <c r="E193" t="s">
        <v>3823</v>
      </c>
      <c r="F193" t="s">
        <v>66</v>
      </c>
      <c r="G193">
        <v>4</v>
      </c>
      <c r="H193" s="4">
        <v>17</v>
      </c>
      <c r="I193" s="4">
        <v>19.55</v>
      </c>
      <c r="J193" s="4">
        <v>1.22</v>
      </c>
      <c r="K193" s="17">
        <v>7.21</v>
      </c>
      <c r="L193" t="s">
        <v>1</v>
      </c>
    </row>
    <row r="194" spans="1:12" x14ac:dyDescent="0.25">
      <c r="A194" s="8">
        <v>46204.5</v>
      </c>
      <c r="B194" t="s">
        <v>17</v>
      </c>
      <c r="C194" t="s">
        <v>3383</v>
      </c>
      <c r="D194" t="s">
        <v>254</v>
      </c>
      <c r="E194" t="s">
        <v>3827</v>
      </c>
      <c r="F194" t="s">
        <v>61</v>
      </c>
      <c r="G194">
        <v>2</v>
      </c>
      <c r="H194" s="4">
        <v>1.6</v>
      </c>
      <c r="I194" s="4">
        <v>1.84</v>
      </c>
      <c r="J194" s="4">
        <v>0.12</v>
      </c>
      <c r="K194" s="17">
        <v>7.5</v>
      </c>
      <c r="L194" t="s">
        <v>1</v>
      </c>
    </row>
    <row r="195" spans="1:12" x14ac:dyDescent="0.25">
      <c r="A195" s="8">
        <v>46203.5</v>
      </c>
      <c r="B195" t="s">
        <v>13</v>
      </c>
      <c r="C195" t="s">
        <v>357</v>
      </c>
      <c r="D195" t="s">
        <v>174</v>
      </c>
      <c r="E195" t="s">
        <v>3823</v>
      </c>
      <c r="F195" t="s">
        <v>66</v>
      </c>
      <c r="G195">
        <v>1</v>
      </c>
      <c r="H195" s="4">
        <v>4.25</v>
      </c>
      <c r="I195" s="4">
        <v>5.1</v>
      </c>
      <c r="J195" s="4">
        <v>0.27</v>
      </c>
      <c r="K195" s="17">
        <v>6.38</v>
      </c>
      <c r="L195" t="s">
        <v>1</v>
      </c>
    </row>
    <row r="196" spans="1:12" x14ac:dyDescent="0.25">
      <c r="A196" s="8">
        <v>46203.5</v>
      </c>
      <c r="B196" t="s">
        <v>13</v>
      </c>
      <c r="C196" t="s">
        <v>358</v>
      </c>
      <c r="D196" t="s">
        <v>177</v>
      </c>
      <c r="E196" t="s">
        <v>3824</v>
      </c>
      <c r="F196" t="s">
        <v>78</v>
      </c>
      <c r="G196">
        <v>3</v>
      </c>
      <c r="H196" s="4">
        <v>0.45</v>
      </c>
      <c r="I196" s="4">
        <v>0.65</v>
      </c>
      <c r="J196" s="4">
        <v>0.11</v>
      </c>
      <c r="K196" s="17">
        <v>24.66</v>
      </c>
      <c r="L196" t="s">
        <v>1</v>
      </c>
    </row>
    <row r="197" spans="1:12" x14ac:dyDescent="0.25">
      <c r="A197" s="8">
        <v>46203.5</v>
      </c>
      <c r="B197" t="s">
        <v>13</v>
      </c>
      <c r="C197" t="s">
        <v>359</v>
      </c>
      <c r="D197" t="s">
        <v>182</v>
      </c>
      <c r="E197" t="s">
        <v>3825</v>
      </c>
      <c r="F197" t="s">
        <v>75</v>
      </c>
      <c r="G197">
        <v>2</v>
      </c>
      <c r="H197" s="4">
        <v>3.8</v>
      </c>
      <c r="I197" s="4">
        <v>4.83</v>
      </c>
      <c r="J197" s="4">
        <v>0.44</v>
      </c>
      <c r="K197" s="17">
        <v>11.7</v>
      </c>
      <c r="L197" t="s">
        <v>1</v>
      </c>
    </row>
    <row r="198" spans="1:12" x14ac:dyDescent="0.25">
      <c r="A198" s="8">
        <v>46203.5</v>
      </c>
      <c r="B198" t="s">
        <v>14</v>
      </c>
      <c r="C198" t="s">
        <v>1054</v>
      </c>
      <c r="D198" t="s">
        <v>177</v>
      </c>
      <c r="E198" t="s">
        <v>3824</v>
      </c>
      <c r="F198" t="s">
        <v>78</v>
      </c>
      <c r="G198">
        <v>4</v>
      </c>
      <c r="H198" s="4">
        <v>0.6</v>
      </c>
      <c r="I198" s="4">
        <v>0.82</v>
      </c>
      <c r="J198" s="4">
        <v>-8.9</v>
      </c>
      <c r="K198" s="17">
        <v>-1482.81</v>
      </c>
      <c r="L198" t="s">
        <v>1</v>
      </c>
    </row>
    <row r="199" spans="1:12" x14ac:dyDescent="0.25">
      <c r="A199" s="8">
        <v>46203.5</v>
      </c>
      <c r="B199" t="s">
        <v>14</v>
      </c>
      <c r="C199" t="s">
        <v>1055</v>
      </c>
      <c r="D199" t="s">
        <v>182</v>
      </c>
      <c r="E199" t="s">
        <v>3825</v>
      </c>
      <c r="F199" t="s">
        <v>75</v>
      </c>
      <c r="G199">
        <v>1</v>
      </c>
      <c r="H199" s="4">
        <v>1.9</v>
      </c>
      <c r="I199" s="4">
        <v>2.36</v>
      </c>
      <c r="J199" s="4">
        <v>-8.87</v>
      </c>
      <c r="K199" s="17">
        <v>-466.65</v>
      </c>
      <c r="L199" t="s">
        <v>1</v>
      </c>
    </row>
    <row r="200" spans="1:12" x14ac:dyDescent="0.25">
      <c r="A200" s="8">
        <v>46203.5</v>
      </c>
      <c r="B200" t="s">
        <v>16</v>
      </c>
      <c r="C200" t="s">
        <v>2630</v>
      </c>
      <c r="D200" t="s">
        <v>185</v>
      </c>
      <c r="E200" t="s">
        <v>3826</v>
      </c>
      <c r="F200" t="s">
        <v>102</v>
      </c>
      <c r="G200">
        <v>1</v>
      </c>
      <c r="H200" s="4">
        <v>1.2</v>
      </c>
      <c r="I200" s="4">
        <v>1.54</v>
      </c>
      <c r="J200" s="4">
        <v>0.15</v>
      </c>
      <c r="K200" s="17">
        <v>12.83</v>
      </c>
      <c r="L200" t="s">
        <v>1</v>
      </c>
    </row>
    <row r="201" spans="1:12" x14ac:dyDescent="0.25">
      <c r="A201" s="8">
        <v>46203.5</v>
      </c>
      <c r="B201" t="s">
        <v>17</v>
      </c>
      <c r="C201" t="s">
        <v>3390</v>
      </c>
      <c r="D201" t="s">
        <v>254</v>
      </c>
      <c r="E201" t="s">
        <v>3827</v>
      </c>
      <c r="F201" t="s">
        <v>61</v>
      </c>
      <c r="G201">
        <v>3</v>
      </c>
      <c r="H201" s="4">
        <v>2.4</v>
      </c>
      <c r="I201" s="4">
        <v>3.22</v>
      </c>
      <c r="J201" s="4">
        <v>0.53</v>
      </c>
      <c r="K201" s="17">
        <v>22.22</v>
      </c>
      <c r="L201" t="s">
        <v>1</v>
      </c>
    </row>
    <row r="202" spans="1:12" x14ac:dyDescent="0.25">
      <c r="A202" s="8">
        <v>46202.5</v>
      </c>
      <c r="B202" t="s">
        <v>13</v>
      </c>
      <c r="C202" t="s">
        <v>362</v>
      </c>
      <c r="D202" t="s">
        <v>174</v>
      </c>
      <c r="E202" t="s">
        <v>3823</v>
      </c>
      <c r="F202" t="s">
        <v>66</v>
      </c>
      <c r="G202">
        <v>4</v>
      </c>
      <c r="H202" s="4">
        <v>17</v>
      </c>
      <c r="I202" s="4">
        <v>23.8</v>
      </c>
      <c r="J202" s="4">
        <v>3.63</v>
      </c>
      <c r="K202" s="17">
        <v>21.34</v>
      </c>
      <c r="L202" t="s">
        <v>1</v>
      </c>
    </row>
    <row r="203" spans="1:12" x14ac:dyDescent="0.25">
      <c r="A203" s="8">
        <v>46202.5</v>
      </c>
      <c r="B203" t="s">
        <v>14</v>
      </c>
      <c r="C203" t="s">
        <v>1060</v>
      </c>
      <c r="D203" t="s">
        <v>185</v>
      </c>
      <c r="E203" t="s">
        <v>3826</v>
      </c>
      <c r="F203" t="s">
        <v>102</v>
      </c>
      <c r="G203">
        <v>4</v>
      </c>
      <c r="H203" s="4">
        <v>4.8</v>
      </c>
      <c r="I203" s="4">
        <v>6.86</v>
      </c>
      <c r="J203" s="4">
        <v>-8.03</v>
      </c>
      <c r="K203" s="17">
        <v>-167.25</v>
      </c>
      <c r="L203" t="s">
        <v>1</v>
      </c>
    </row>
    <row r="204" spans="1:12" x14ac:dyDescent="0.25">
      <c r="A204" s="8">
        <v>46202.5</v>
      </c>
      <c r="B204" t="s">
        <v>15</v>
      </c>
      <c r="C204" t="s">
        <v>1850</v>
      </c>
      <c r="D204" t="s">
        <v>254</v>
      </c>
      <c r="E204" t="s">
        <v>3827</v>
      </c>
      <c r="F204" t="s">
        <v>61</v>
      </c>
      <c r="G204">
        <v>2</v>
      </c>
      <c r="H204" s="4">
        <v>1.6</v>
      </c>
      <c r="I204" s="4">
        <v>2.18</v>
      </c>
      <c r="J204" s="4">
        <v>-0.17</v>
      </c>
      <c r="K204" s="17">
        <v>-10.52</v>
      </c>
      <c r="L204" t="s">
        <v>1</v>
      </c>
    </row>
    <row r="205" spans="1:12" x14ac:dyDescent="0.25">
      <c r="A205" s="8">
        <v>46202.5</v>
      </c>
      <c r="B205" t="s">
        <v>16</v>
      </c>
      <c r="C205" t="s">
        <v>2645</v>
      </c>
      <c r="D205" t="s">
        <v>189</v>
      </c>
      <c r="E205" t="s">
        <v>3822</v>
      </c>
      <c r="F205" t="s">
        <v>66</v>
      </c>
      <c r="G205">
        <v>1</v>
      </c>
      <c r="H205" s="4">
        <v>3.5</v>
      </c>
      <c r="I205" s="4">
        <v>4.69</v>
      </c>
      <c r="J205" s="4">
        <v>0.6</v>
      </c>
      <c r="K205" s="17">
        <v>17.08</v>
      </c>
      <c r="L205" t="s">
        <v>1</v>
      </c>
    </row>
    <row r="206" spans="1:12" x14ac:dyDescent="0.25">
      <c r="A206" s="8">
        <v>46202.5</v>
      </c>
      <c r="B206" t="s">
        <v>16</v>
      </c>
      <c r="C206" t="s">
        <v>2646</v>
      </c>
      <c r="D206" t="s">
        <v>174</v>
      </c>
      <c r="E206" t="s">
        <v>3823</v>
      </c>
      <c r="F206" t="s">
        <v>66</v>
      </c>
      <c r="G206">
        <v>1</v>
      </c>
      <c r="H206" s="4">
        <v>4.25</v>
      </c>
      <c r="I206" s="4">
        <v>5.23</v>
      </c>
      <c r="J206" s="4">
        <v>0.38</v>
      </c>
      <c r="K206" s="17">
        <v>8.88</v>
      </c>
      <c r="L206" t="s">
        <v>1</v>
      </c>
    </row>
    <row r="207" spans="1:12" x14ac:dyDescent="0.25">
      <c r="A207" s="8">
        <v>46202.5</v>
      </c>
      <c r="B207" t="s">
        <v>17</v>
      </c>
      <c r="C207" t="s">
        <v>3397</v>
      </c>
      <c r="D207" t="s">
        <v>177</v>
      </c>
      <c r="E207" t="s">
        <v>3824</v>
      </c>
      <c r="F207" t="s">
        <v>78</v>
      </c>
      <c r="G207">
        <v>3</v>
      </c>
      <c r="H207" s="4">
        <v>0.45</v>
      </c>
      <c r="I207" s="4">
        <v>0.52</v>
      </c>
      <c r="J207" s="4">
        <v>0.04</v>
      </c>
      <c r="K207" s="17">
        <v>8.52</v>
      </c>
      <c r="L207" t="s">
        <v>1</v>
      </c>
    </row>
    <row r="208" spans="1:12" x14ac:dyDescent="0.25">
      <c r="A208" s="8">
        <v>46201.5</v>
      </c>
      <c r="B208" t="s">
        <v>13</v>
      </c>
      <c r="C208" t="s">
        <v>367</v>
      </c>
      <c r="D208" t="s">
        <v>254</v>
      </c>
      <c r="E208" t="s">
        <v>3827</v>
      </c>
      <c r="F208" t="s">
        <v>61</v>
      </c>
      <c r="G208">
        <v>2</v>
      </c>
      <c r="H208" s="4">
        <v>1.6</v>
      </c>
      <c r="I208" s="4">
        <v>2.21</v>
      </c>
      <c r="J208" s="4">
        <v>0.32</v>
      </c>
      <c r="K208" s="17">
        <v>19.94</v>
      </c>
      <c r="L208" t="s">
        <v>1</v>
      </c>
    </row>
    <row r="209" spans="1:12" x14ac:dyDescent="0.25">
      <c r="A209" s="8">
        <v>46201.5</v>
      </c>
      <c r="B209" t="s">
        <v>13</v>
      </c>
      <c r="C209" t="s">
        <v>368</v>
      </c>
      <c r="D209" t="s">
        <v>185</v>
      </c>
      <c r="E209" t="s">
        <v>3826</v>
      </c>
      <c r="F209" t="s">
        <v>102</v>
      </c>
      <c r="G209">
        <v>4</v>
      </c>
      <c r="H209" s="4">
        <v>4.8</v>
      </c>
      <c r="I209" s="4">
        <v>5.95</v>
      </c>
      <c r="J209" s="4">
        <v>0.45</v>
      </c>
      <c r="K209" s="17">
        <v>9.34</v>
      </c>
      <c r="L209" t="s">
        <v>1</v>
      </c>
    </row>
    <row r="210" spans="1:12" x14ac:dyDescent="0.25">
      <c r="A210" s="8">
        <v>46201.5</v>
      </c>
      <c r="B210" t="s">
        <v>14</v>
      </c>
      <c r="C210" t="s">
        <v>1067</v>
      </c>
      <c r="D210" t="s">
        <v>254</v>
      </c>
      <c r="E210" t="s">
        <v>3827</v>
      </c>
      <c r="F210" t="s">
        <v>61</v>
      </c>
      <c r="G210">
        <v>4</v>
      </c>
      <c r="H210" s="4">
        <v>3.2</v>
      </c>
      <c r="I210" s="4">
        <v>4</v>
      </c>
      <c r="J210" s="4">
        <v>-8.76</v>
      </c>
      <c r="K210" s="17">
        <v>-273.86</v>
      </c>
      <c r="L210" t="s">
        <v>1</v>
      </c>
    </row>
    <row r="211" spans="1:12" x14ac:dyDescent="0.25">
      <c r="A211" s="8">
        <v>46201.5</v>
      </c>
      <c r="B211" t="s">
        <v>16</v>
      </c>
      <c r="C211" t="s">
        <v>2650</v>
      </c>
      <c r="D211" t="s">
        <v>189</v>
      </c>
      <c r="E211" t="s">
        <v>3822</v>
      </c>
      <c r="F211" t="s">
        <v>66</v>
      </c>
      <c r="G211">
        <v>1</v>
      </c>
      <c r="H211" s="4">
        <v>3.5</v>
      </c>
      <c r="I211" s="4">
        <v>4.9</v>
      </c>
      <c r="J211" s="4">
        <v>0.76</v>
      </c>
      <c r="K211" s="17">
        <v>21.57</v>
      </c>
      <c r="L211" t="s">
        <v>1</v>
      </c>
    </row>
    <row r="212" spans="1:12" x14ac:dyDescent="0.25">
      <c r="A212" s="8">
        <v>46201.5</v>
      </c>
      <c r="B212" t="s">
        <v>17</v>
      </c>
      <c r="C212" t="s">
        <v>3409</v>
      </c>
      <c r="D212" t="s">
        <v>185</v>
      </c>
      <c r="E212" t="s">
        <v>3826</v>
      </c>
      <c r="F212" t="s">
        <v>102</v>
      </c>
      <c r="G212">
        <v>1</v>
      </c>
      <c r="H212" s="4">
        <v>1.2</v>
      </c>
      <c r="I212" s="4">
        <v>1.73</v>
      </c>
      <c r="J212" s="4">
        <v>0.36</v>
      </c>
      <c r="K212" s="17">
        <v>30.14</v>
      </c>
      <c r="L212" t="s">
        <v>1</v>
      </c>
    </row>
    <row r="213" spans="1:12" x14ac:dyDescent="0.25">
      <c r="A213" s="8">
        <v>46200.5</v>
      </c>
      <c r="B213" t="s">
        <v>15</v>
      </c>
      <c r="C213" t="s">
        <v>1859</v>
      </c>
      <c r="D213" t="s">
        <v>174</v>
      </c>
      <c r="E213" t="s">
        <v>3823</v>
      </c>
      <c r="F213" t="s">
        <v>66</v>
      </c>
      <c r="G213">
        <v>3</v>
      </c>
      <c r="H213" s="4">
        <v>12.75</v>
      </c>
      <c r="I213" s="4">
        <v>17.85</v>
      </c>
      <c r="J213" s="4">
        <v>2.36</v>
      </c>
      <c r="K213" s="17">
        <v>18.55</v>
      </c>
      <c r="L213" t="s">
        <v>1</v>
      </c>
    </row>
    <row r="214" spans="1:12" x14ac:dyDescent="0.25">
      <c r="A214" s="8">
        <v>46200.5</v>
      </c>
      <c r="B214" t="s">
        <v>17</v>
      </c>
      <c r="C214" t="s">
        <v>3414</v>
      </c>
      <c r="D214" t="s">
        <v>182</v>
      </c>
      <c r="E214" t="s">
        <v>3825</v>
      </c>
      <c r="F214" t="s">
        <v>75</v>
      </c>
      <c r="G214">
        <v>2</v>
      </c>
      <c r="H214" s="4">
        <v>3.8</v>
      </c>
      <c r="I214" s="4">
        <v>4.75</v>
      </c>
      <c r="J214" s="4">
        <v>0.57</v>
      </c>
      <c r="K214" s="17">
        <v>15.04</v>
      </c>
      <c r="L214" t="s">
        <v>1</v>
      </c>
    </row>
    <row r="215" spans="1:12" x14ac:dyDescent="0.25">
      <c r="A215" s="8">
        <v>46200.5</v>
      </c>
      <c r="B215" t="s">
        <v>17</v>
      </c>
      <c r="C215" t="s">
        <v>3415</v>
      </c>
      <c r="D215" t="s">
        <v>182</v>
      </c>
      <c r="E215" t="s">
        <v>3825</v>
      </c>
      <c r="F215" t="s">
        <v>75</v>
      </c>
      <c r="G215">
        <v>4</v>
      </c>
      <c r="H215" s="4">
        <v>7.6</v>
      </c>
      <c r="I215" s="4">
        <v>9.88</v>
      </c>
      <c r="J215" s="4">
        <v>1.44</v>
      </c>
      <c r="K215" s="17">
        <v>18.95</v>
      </c>
      <c r="L215" t="s">
        <v>1</v>
      </c>
    </row>
    <row r="216" spans="1:12" x14ac:dyDescent="0.25">
      <c r="A216" s="8">
        <v>46200.5</v>
      </c>
      <c r="B216" t="s">
        <v>17</v>
      </c>
      <c r="C216" t="s">
        <v>3416</v>
      </c>
      <c r="D216" t="s">
        <v>185</v>
      </c>
      <c r="E216" t="s">
        <v>3826</v>
      </c>
      <c r="F216" t="s">
        <v>102</v>
      </c>
      <c r="G216">
        <v>1</v>
      </c>
      <c r="H216" s="4">
        <v>1.2</v>
      </c>
      <c r="I216" s="4">
        <v>1.43</v>
      </c>
      <c r="J216" s="4">
        <v>0.12</v>
      </c>
      <c r="K216" s="17">
        <v>10.14</v>
      </c>
      <c r="L216" t="s">
        <v>1</v>
      </c>
    </row>
    <row r="217" spans="1:12" x14ac:dyDescent="0.25">
      <c r="A217" s="8">
        <v>46199.5</v>
      </c>
      <c r="B217" t="s">
        <v>13</v>
      </c>
      <c r="C217" t="s">
        <v>389</v>
      </c>
      <c r="D217" t="s">
        <v>189</v>
      </c>
      <c r="E217" t="s">
        <v>3822</v>
      </c>
      <c r="F217" t="s">
        <v>66</v>
      </c>
      <c r="G217">
        <v>4</v>
      </c>
      <c r="H217" s="4">
        <v>14</v>
      </c>
      <c r="I217" s="4">
        <v>17.22</v>
      </c>
      <c r="J217" s="4">
        <v>1.21</v>
      </c>
      <c r="K217" s="17">
        <v>8.63</v>
      </c>
      <c r="L217" t="s">
        <v>1</v>
      </c>
    </row>
    <row r="218" spans="1:12" x14ac:dyDescent="0.25">
      <c r="A218" s="8">
        <v>46199.5</v>
      </c>
      <c r="B218" t="s">
        <v>13</v>
      </c>
      <c r="C218" t="s">
        <v>390</v>
      </c>
      <c r="D218" t="s">
        <v>254</v>
      </c>
      <c r="E218" t="s">
        <v>3827</v>
      </c>
      <c r="F218" t="s">
        <v>61</v>
      </c>
      <c r="G218">
        <v>3</v>
      </c>
      <c r="H218" s="4">
        <v>2.4</v>
      </c>
      <c r="I218" s="4">
        <v>2.88</v>
      </c>
      <c r="J218" s="4">
        <v>0.15</v>
      </c>
      <c r="K218" s="17">
        <v>6.38</v>
      </c>
      <c r="L218" t="s">
        <v>1</v>
      </c>
    </row>
    <row r="219" spans="1:12" x14ac:dyDescent="0.25">
      <c r="A219" s="8">
        <v>46199.5</v>
      </c>
      <c r="B219" t="s">
        <v>15</v>
      </c>
      <c r="C219" t="s">
        <v>1872</v>
      </c>
      <c r="D219" t="s">
        <v>174</v>
      </c>
      <c r="E219" t="s">
        <v>3823</v>
      </c>
      <c r="F219" t="s">
        <v>66</v>
      </c>
      <c r="G219">
        <v>2</v>
      </c>
      <c r="H219" s="4">
        <v>8.5</v>
      </c>
      <c r="I219" s="4">
        <v>11.13</v>
      </c>
      <c r="J219" s="4">
        <v>0.84</v>
      </c>
      <c r="K219" s="17">
        <v>9.83</v>
      </c>
      <c r="L219" t="s">
        <v>1</v>
      </c>
    </row>
    <row r="220" spans="1:12" x14ac:dyDescent="0.25">
      <c r="A220" s="8">
        <v>46199.5</v>
      </c>
      <c r="B220" t="s">
        <v>15</v>
      </c>
      <c r="C220" t="s">
        <v>1873</v>
      </c>
      <c r="D220" t="s">
        <v>174</v>
      </c>
      <c r="E220" t="s">
        <v>3823</v>
      </c>
      <c r="F220" t="s">
        <v>66</v>
      </c>
      <c r="G220">
        <v>3</v>
      </c>
      <c r="H220" s="4">
        <v>12.75</v>
      </c>
      <c r="I220" s="4">
        <v>16.57</v>
      </c>
      <c r="J220" s="4">
        <v>1.4</v>
      </c>
      <c r="K220" s="17">
        <v>10.97</v>
      </c>
      <c r="L220" t="s">
        <v>1</v>
      </c>
    </row>
    <row r="221" spans="1:12" x14ac:dyDescent="0.25">
      <c r="A221" s="8">
        <v>46199.5</v>
      </c>
      <c r="B221" t="s">
        <v>16</v>
      </c>
      <c r="C221" t="s">
        <v>2665</v>
      </c>
      <c r="D221" t="s">
        <v>189</v>
      </c>
      <c r="E221" t="s">
        <v>3822</v>
      </c>
      <c r="F221" t="s">
        <v>66</v>
      </c>
      <c r="G221">
        <v>1</v>
      </c>
      <c r="H221" s="4">
        <v>3.5</v>
      </c>
      <c r="I221" s="4">
        <v>4.58</v>
      </c>
      <c r="J221" s="4">
        <v>0.52</v>
      </c>
      <c r="K221" s="17">
        <v>14.72</v>
      </c>
      <c r="L221" t="s">
        <v>1</v>
      </c>
    </row>
    <row r="222" spans="1:12" x14ac:dyDescent="0.25">
      <c r="A222" s="8">
        <v>46199.5</v>
      </c>
      <c r="B222" t="s">
        <v>16</v>
      </c>
      <c r="C222" t="s">
        <v>2666</v>
      </c>
      <c r="D222" t="s">
        <v>189</v>
      </c>
      <c r="E222" t="s">
        <v>3822</v>
      </c>
      <c r="F222" t="s">
        <v>66</v>
      </c>
      <c r="G222">
        <v>1</v>
      </c>
      <c r="H222" s="4">
        <v>3.5</v>
      </c>
      <c r="I222" s="4">
        <v>4.09</v>
      </c>
      <c r="J222" s="4">
        <v>0.15</v>
      </c>
      <c r="K222" s="17">
        <v>4.23</v>
      </c>
      <c r="L222" t="s">
        <v>1</v>
      </c>
    </row>
    <row r="223" spans="1:12" x14ac:dyDescent="0.25">
      <c r="A223" s="8">
        <v>46199.5</v>
      </c>
      <c r="B223" t="s">
        <v>16</v>
      </c>
      <c r="C223" t="s">
        <v>2667</v>
      </c>
      <c r="D223" t="s">
        <v>174</v>
      </c>
      <c r="E223" t="s">
        <v>3823</v>
      </c>
      <c r="F223" t="s">
        <v>66</v>
      </c>
      <c r="G223">
        <v>1</v>
      </c>
      <c r="H223" s="4">
        <v>4.25</v>
      </c>
      <c r="I223" s="4">
        <v>5.44</v>
      </c>
      <c r="J223" s="4">
        <v>0.53</v>
      </c>
      <c r="K223" s="17">
        <v>12.58</v>
      </c>
      <c r="L223" t="s">
        <v>1</v>
      </c>
    </row>
    <row r="224" spans="1:12" x14ac:dyDescent="0.25">
      <c r="A224" s="8">
        <v>46199.5</v>
      </c>
      <c r="B224" t="s">
        <v>16</v>
      </c>
      <c r="C224" t="s">
        <v>2668</v>
      </c>
      <c r="D224" t="s">
        <v>177</v>
      </c>
      <c r="E224" t="s">
        <v>3824</v>
      </c>
      <c r="F224" t="s">
        <v>78</v>
      </c>
      <c r="G224">
        <v>1</v>
      </c>
      <c r="H224" s="4">
        <v>0.15</v>
      </c>
      <c r="I224" s="4">
        <v>0.17</v>
      </c>
      <c r="J224" s="4">
        <v>0</v>
      </c>
      <c r="K224" s="17">
        <v>1.59</v>
      </c>
      <c r="L224" t="s">
        <v>1</v>
      </c>
    </row>
    <row r="225" spans="1:12" x14ac:dyDescent="0.25">
      <c r="A225" s="8">
        <v>46199.5</v>
      </c>
      <c r="B225" t="s">
        <v>17</v>
      </c>
      <c r="C225" t="s">
        <v>3426</v>
      </c>
      <c r="D225" t="s">
        <v>177</v>
      </c>
      <c r="E225" t="s">
        <v>3824</v>
      </c>
      <c r="F225" t="s">
        <v>78</v>
      </c>
      <c r="G225">
        <v>2</v>
      </c>
      <c r="H225" s="4">
        <v>0.3</v>
      </c>
      <c r="I225" s="4">
        <v>0.41</v>
      </c>
      <c r="J225" s="4">
        <v>0.07</v>
      </c>
      <c r="K225" s="17">
        <v>23.89</v>
      </c>
      <c r="L225" t="s">
        <v>1</v>
      </c>
    </row>
    <row r="226" spans="1:12" x14ac:dyDescent="0.25">
      <c r="A226" s="8">
        <v>46199.5</v>
      </c>
      <c r="B226" t="s">
        <v>17</v>
      </c>
      <c r="C226" t="s">
        <v>3427</v>
      </c>
      <c r="D226" t="s">
        <v>185</v>
      </c>
      <c r="E226" t="s">
        <v>3826</v>
      </c>
      <c r="F226" t="s">
        <v>102</v>
      </c>
      <c r="G226">
        <v>1</v>
      </c>
      <c r="H226" s="4">
        <v>1.2</v>
      </c>
      <c r="I226" s="4">
        <v>1.61</v>
      </c>
      <c r="J226" s="4">
        <v>0.27</v>
      </c>
      <c r="K226" s="17">
        <v>22.64</v>
      </c>
      <c r="L226" t="s">
        <v>1</v>
      </c>
    </row>
    <row r="227" spans="1:12" x14ac:dyDescent="0.25">
      <c r="A227" s="8">
        <v>46198.5</v>
      </c>
      <c r="B227" t="s">
        <v>14</v>
      </c>
      <c r="C227" t="s">
        <v>1089</v>
      </c>
      <c r="D227" t="s">
        <v>177</v>
      </c>
      <c r="E227" t="s">
        <v>3824</v>
      </c>
      <c r="F227" t="s">
        <v>78</v>
      </c>
      <c r="G227">
        <v>4</v>
      </c>
      <c r="H227" s="4">
        <v>0.6</v>
      </c>
      <c r="I227" s="4">
        <v>0.73</v>
      </c>
      <c r="J227" s="4">
        <v>-8.96</v>
      </c>
      <c r="K227" s="17">
        <v>-1493.66</v>
      </c>
      <c r="L227" t="s">
        <v>1</v>
      </c>
    </row>
    <row r="228" spans="1:12" x14ac:dyDescent="0.25">
      <c r="A228" s="8">
        <v>46198.5</v>
      </c>
      <c r="B228" t="s">
        <v>14</v>
      </c>
      <c r="C228" t="s">
        <v>1090</v>
      </c>
      <c r="D228" t="s">
        <v>185</v>
      </c>
      <c r="E228" t="s">
        <v>3826</v>
      </c>
      <c r="F228" t="s">
        <v>102</v>
      </c>
      <c r="G228">
        <v>1</v>
      </c>
      <c r="H228" s="4">
        <v>1.2</v>
      </c>
      <c r="I228" s="4">
        <v>1.55</v>
      </c>
      <c r="J228" s="4">
        <v>-8.87</v>
      </c>
      <c r="K228" s="17">
        <v>-739.07</v>
      </c>
      <c r="L228" t="s">
        <v>1</v>
      </c>
    </row>
    <row r="229" spans="1:12" x14ac:dyDescent="0.25">
      <c r="A229" s="8">
        <v>46198.5</v>
      </c>
      <c r="B229" t="s">
        <v>15</v>
      </c>
      <c r="C229" t="s">
        <v>1884</v>
      </c>
      <c r="D229" t="s">
        <v>177</v>
      </c>
      <c r="E229" t="s">
        <v>3824</v>
      </c>
      <c r="F229" t="s">
        <v>78</v>
      </c>
      <c r="G229">
        <v>4</v>
      </c>
      <c r="H229" s="4">
        <v>0.6</v>
      </c>
      <c r="I229" s="4">
        <v>0.73</v>
      </c>
      <c r="J229" s="4">
        <v>-0.43</v>
      </c>
      <c r="K229" s="17">
        <v>-71.52</v>
      </c>
      <c r="L229" t="s">
        <v>1</v>
      </c>
    </row>
    <row r="230" spans="1:12" x14ac:dyDescent="0.25">
      <c r="A230" s="8">
        <v>46198.5</v>
      </c>
      <c r="B230" t="s">
        <v>16</v>
      </c>
      <c r="C230" t="s">
        <v>2675</v>
      </c>
      <c r="D230" t="s">
        <v>182</v>
      </c>
      <c r="E230" t="s">
        <v>3825</v>
      </c>
      <c r="F230" t="s">
        <v>75</v>
      </c>
      <c r="G230">
        <v>1</v>
      </c>
      <c r="H230" s="4">
        <v>1.9</v>
      </c>
      <c r="I230" s="4">
        <v>2.49</v>
      </c>
      <c r="J230" s="4">
        <v>0.28</v>
      </c>
      <c r="K230" s="17">
        <v>14.87</v>
      </c>
      <c r="L230" t="s">
        <v>1</v>
      </c>
    </row>
    <row r="231" spans="1:12" x14ac:dyDescent="0.25">
      <c r="A231" s="8">
        <v>46197.5</v>
      </c>
      <c r="B231" t="s">
        <v>13</v>
      </c>
      <c r="C231" t="s">
        <v>404</v>
      </c>
      <c r="D231" t="s">
        <v>185</v>
      </c>
      <c r="E231" t="s">
        <v>3826</v>
      </c>
      <c r="F231" t="s">
        <v>102</v>
      </c>
      <c r="G231">
        <v>1</v>
      </c>
      <c r="H231" s="4">
        <v>1.2</v>
      </c>
      <c r="I231" s="4">
        <v>1.43</v>
      </c>
      <c r="J231" s="4">
        <v>0.07</v>
      </c>
      <c r="K231" s="17">
        <v>5.76</v>
      </c>
      <c r="L231" t="s">
        <v>1</v>
      </c>
    </row>
    <row r="232" spans="1:12" x14ac:dyDescent="0.25">
      <c r="A232" s="8">
        <v>46197.5</v>
      </c>
      <c r="B232" t="s">
        <v>13</v>
      </c>
      <c r="C232" t="s">
        <v>405</v>
      </c>
      <c r="D232" t="s">
        <v>185</v>
      </c>
      <c r="E232" t="s">
        <v>3826</v>
      </c>
      <c r="F232" t="s">
        <v>102</v>
      </c>
      <c r="G232">
        <v>2</v>
      </c>
      <c r="H232" s="4">
        <v>2.4</v>
      </c>
      <c r="I232" s="4">
        <v>3.19</v>
      </c>
      <c r="J232" s="4">
        <v>0.38</v>
      </c>
      <c r="K232" s="17">
        <v>16.04</v>
      </c>
      <c r="L232" t="s">
        <v>1</v>
      </c>
    </row>
    <row r="233" spans="1:12" x14ac:dyDescent="0.25">
      <c r="A233" s="8">
        <v>46197.5</v>
      </c>
      <c r="B233" t="s">
        <v>14</v>
      </c>
      <c r="C233" t="s">
        <v>1095</v>
      </c>
      <c r="D233" t="s">
        <v>185</v>
      </c>
      <c r="E233" t="s">
        <v>3826</v>
      </c>
      <c r="F233" t="s">
        <v>102</v>
      </c>
      <c r="G233">
        <v>4</v>
      </c>
      <c r="H233" s="4">
        <v>4.8</v>
      </c>
      <c r="I233" s="4">
        <v>6</v>
      </c>
      <c r="J233" s="4">
        <v>-8.65</v>
      </c>
      <c r="K233" s="17">
        <v>-180.21</v>
      </c>
      <c r="L233" t="s">
        <v>1</v>
      </c>
    </row>
    <row r="234" spans="1:12" x14ac:dyDescent="0.25">
      <c r="A234" s="8">
        <v>46197.5</v>
      </c>
      <c r="B234" t="s">
        <v>15</v>
      </c>
      <c r="C234" t="s">
        <v>1899</v>
      </c>
      <c r="D234" t="s">
        <v>189</v>
      </c>
      <c r="E234" t="s">
        <v>3822</v>
      </c>
      <c r="F234" t="s">
        <v>66</v>
      </c>
      <c r="G234">
        <v>2</v>
      </c>
      <c r="H234" s="4">
        <v>7</v>
      </c>
      <c r="I234" s="4">
        <v>9.31</v>
      </c>
      <c r="J234" s="4">
        <v>0.71</v>
      </c>
      <c r="K234" s="17">
        <v>10.17</v>
      </c>
      <c r="L234" t="s">
        <v>1</v>
      </c>
    </row>
    <row r="235" spans="1:12" x14ac:dyDescent="0.25">
      <c r="A235" s="8">
        <v>46197.5</v>
      </c>
      <c r="B235" t="s">
        <v>15</v>
      </c>
      <c r="C235" t="s">
        <v>1900</v>
      </c>
      <c r="D235" t="s">
        <v>177</v>
      </c>
      <c r="E235" t="s">
        <v>3824</v>
      </c>
      <c r="F235" t="s">
        <v>78</v>
      </c>
      <c r="G235">
        <v>4</v>
      </c>
      <c r="H235" s="4">
        <v>0.6</v>
      </c>
      <c r="I235" s="4">
        <v>0.71</v>
      </c>
      <c r="J235" s="4">
        <v>-0.44</v>
      </c>
      <c r="K235" s="17">
        <v>-74.04</v>
      </c>
      <c r="L235" t="s">
        <v>1</v>
      </c>
    </row>
    <row r="236" spans="1:12" x14ac:dyDescent="0.25">
      <c r="A236" s="8">
        <v>46196.5</v>
      </c>
      <c r="B236" t="s">
        <v>13</v>
      </c>
      <c r="C236" t="s">
        <v>412</v>
      </c>
      <c r="D236" t="s">
        <v>177</v>
      </c>
      <c r="E236" t="s">
        <v>3824</v>
      </c>
      <c r="F236" t="s">
        <v>78</v>
      </c>
      <c r="G236">
        <v>3</v>
      </c>
      <c r="H236" s="4">
        <v>0.45</v>
      </c>
      <c r="I236" s="4">
        <v>0.64</v>
      </c>
      <c r="J236" s="4">
        <v>0.1</v>
      </c>
      <c r="K236" s="17">
        <v>23</v>
      </c>
      <c r="L236" t="s">
        <v>1</v>
      </c>
    </row>
    <row r="237" spans="1:12" x14ac:dyDescent="0.25">
      <c r="A237" s="8">
        <v>46196.5</v>
      </c>
      <c r="B237" t="s">
        <v>14</v>
      </c>
      <c r="C237" t="s">
        <v>1098</v>
      </c>
      <c r="D237" t="s">
        <v>189</v>
      </c>
      <c r="E237" t="s">
        <v>3822</v>
      </c>
      <c r="F237" t="s">
        <v>66</v>
      </c>
      <c r="G237">
        <v>1</v>
      </c>
      <c r="H237" s="4">
        <v>3.5</v>
      </c>
      <c r="I237" s="4">
        <v>4.62</v>
      </c>
      <c r="J237" s="4">
        <v>-8.56</v>
      </c>
      <c r="K237" s="17">
        <v>-244.71</v>
      </c>
      <c r="L237" t="s">
        <v>1</v>
      </c>
    </row>
    <row r="238" spans="1:12" x14ac:dyDescent="0.25">
      <c r="A238" s="8">
        <v>46196.5</v>
      </c>
      <c r="B238" t="s">
        <v>14</v>
      </c>
      <c r="C238" t="s">
        <v>1099</v>
      </c>
      <c r="D238" t="s">
        <v>174</v>
      </c>
      <c r="E238" t="s">
        <v>3823</v>
      </c>
      <c r="F238" t="s">
        <v>66</v>
      </c>
      <c r="G238">
        <v>3</v>
      </c>
      <c r="H238" s="4">
        <v>12.75</v>
      </c>
      <c r="I238" s="4">
        <v>16.57</v>
      </c>
      <c r="J238" s="4">
        <v>-7.63</v>
      </c>
      <c r="K238" s="17">
        <v>-59.84</v>
      </c>
      <c r="L238" t="s">
        <v>1</v>
      </c>
    </row>
    <row r="239" spans="1:12" x14ac:dyDescent="0.25">
      <c r="A239" s="8">
        <v>46196.5</v>
      </c>
      <c r="B239" t="s">
        <v>15</v>
      </c>
      <c r="C239" t="s">
        <v>1909</v>
      </c>
      <c r="D239" t="s">
        <v>189</v>
      </c>
      <c r="E239" t="s">
        <v>3822</v>
      </c>
      <c r="F239" t="s">
        <v>66</v>
      </c>
      <c r="G239">
        <v>1</v>
      </c>
      <c r="H239" s="4">
        <v>3.5</v>
      </c>
      <c r="I239" s="4">
        <v>4.87</v>
      </c>
      <c r="J239" s="4">
        <v>0.28</v>
      </c>
      <c r="K239" s="17">
        <v>7.95</v>
      </c>
      <c r="L239" t="s">
        <v>1</v>
      </c>
    </row>
    <row r="240" spans="1:12" x14ac:dyDescent="0.25">
      <c r="A240" s="8">
        <v>46196.5</v>
      </c>
      <c r="B240" t="s">
        <v>15</v>
      </c>
      <c r="C240" t="s">
        <v>1910</v>
      </c>
      <c r="D240" t="s">
        <v>254</v>
      </c>
      <c r="E240" t="s">
        <v>3827</v>
      </c>
      <c r="F240" t="s">
        <v>61</v>
      </c>
      <c r="G240">
        <v>2</v>
      </c>
      <c r="H240" s="4">
        <v>1.6</v>
      </c>
      <c r="I240" s="4">
        <v>2.14</v>
      </c>
      <c r="J240" s="4">
        <v>-0.2</v>
      </c>
      <c r="K240" s="17">
        <v>-12.4</v>
      </c>
      <c r="L240" t="s">
        <v>1</v>
      </c>
    </row>
    <row r="241" spans="1:12" x14ac:dyDescent="0.25">
      <c r="A241" s="8">
        <v>46195.5</v>
      </c>
      <c r="B241" t="s">
        <v>13</v>
      </c>
      <c r="C241" t="s">
        <v>417</v>
      </c>
      <c r="D241" t="s">
        <v>189</v>
      </c>
      <c r="E241" t="s">
        <v>3822</v>
      </c>
      <c r="F241" t="s">
        <v>66</v>
      </c>
      <c r="G241">
        <v>4</v>
      </c>
      <c r="H241" s="4">
        <v>14</v>
      </c>
      <c r="I241" s="4">
        <v>19.74</v>
      </c>
      <c r="J241" s="4">
        <v>3.09</v>
      </c>
      <c r="K241" s="17">
        <v>22.08</v>
      </c>
      <c r="L241" t="s">
        <v>1</v>
      </c>
    </row>
    <row r="242" spans="1:12" x14ac:dyDescent="0.25">
      <c r="A242" s="8">
        <v>46194.5</v>
      </c>
      <c r="B242" t="s">
        <v>13</v>
      </c>
      <c r="C242" t="s">
        <v>425</v>
      </c>
      <c r="D242" t="s">
        <v>254</v>
      </c>
      <c r="E242" t="s">
        <v>3827</v>
      </c>
      <c r="F242" t="s">
        <v>61</v>
      </c>
      <c r="G242">
        <v>1</v>
      </c>
      <c r="H242" s="4">
        <v>0.8</v>
      </c>
      <c r="I242" s="4">
        <v>1.08</v>
      </c>
      <c r="J242" s="4">
        <v>0.14</v>
      </c>
      <c r="K242" s="17">
        <v>17.6</v>
      </c>
      <c r="L242" t="s">
        <v>1</v>
      </c>
    </row>
    <row r="243" spans="1:12" x14ac:dyDescent="0.25">
      <c r="A243" s="8">
        <v>46194.5</v>
      </c>
      <c r="B243" t="s">
        <v>16</v>
      </c>
      <c r="C243" t="s">
        <v>2690</v>
      </c>
      <c r="D243" t="s">
        <v>174</v>
      </c>
      <c r="E243" t="s">
        <v>3823</v>
      </c>
      <c r="F243" t="s">
        <v>66</v>
      </c>
      <c r="G243">
        <v>1</v>
      </c>
      <c r="H243" s="4">
        <v>4.25</v>
      </c>
      <c r="I243" s="4">
        <v>5.01</v>
      </c>
      <c r="J243" s="4">
        <v>0.21</v>
      </c>
      <c r="K243" s="17">
        <v>5</v>
      </c>
      <c r="L243" t="s">
        <v>1</v>
      </c>
    </row>
    <row r="244" spans="1:12" x14ac:dyDescent="0.25">
      <c r="A244" s="8">
        <v>46193.5</v>
      </c>
      <c r="B244" t="s">
        <v>13</v>
      </c>
      <c r="C244" t="s">
        <v>434</v>
      </c>
      <c r="D244" t="s">
        <v>185</v>
      </c>
      <c r="E244" t="s">
        <v>3826</v>
      </c>
      <c r="F244" t="s">
        <v>102</v>
      </c>
      <c r="G244">
        <v>2</v>
      </c>
      <c r="H244" s="4">
        <v>2.4</v>
      </c>
      <c r="I244" s="4">
        <v>3.26</v>
      </c>
      <c r="J244" s="4">
        <v>0.44</v>
      </c>
      <c r="K244" s="17">
        <v>18.22</v>
      </c>
      <c r="L244" t="s">
        <v>1</v>
      </c>
    </row>
    <row r="245" spans="1:12" x14ac:dyDescent="0.25">
      <c r="A245" s="8">
        <v>46193.5</v>
      </c>
      <c r="B245" t="s">
        <v>13</v>
      </c>
      <c r="C245" t="s">
        <v>435</v>
      </c>
      <c r="D245" t="s">
        <v>185</v>
      </c>
      <c r="E245" t="s">
        <v>3826</v>
      </c>
      <c r="F245" t="s">
        <v>102</v>
      </c>
      <c r="G245">
        <v>1</v>
      </c>
      <c r="H245" s="4">
        <v>1.2</v>
      </c>
      <c r="I245" s="4">
        <v>1.64</v>
      </c>
      <c r="J245" s="4">
        <v>0.23</v>
      </c>
      <c r="K245" s="17">
        <v>18.84</v>
      </c>
      <c r="L245" t="s">
        <v>1</v>
      </c>
    </row>
    <row r="246" spans="1:12" x14ac:dyDescent="0.25">
      <c r="A246" s="8">
        <v>46193.5</v>
      </c>
      <c r="B246" t="s">
        <v>14</v>
      </c>
      <c r="C246" t="s">
        <v>1119</v>
      </c>
      <c r="D246" t="s">
        <v>254</v>
      </c>
      <c r="E246" t="s">
        <v>3827</v>
      </c>
      <c r="F246" t="s">
        <v>61</v>
      </c>
      <c r="G246">
        <v>3</v>
      </c>
      <c r="H246" s="4">
        <v>2.4</v>
      </c>
      <c r="I246" s="4">
        <v>3.46</v>
      </c>
      <c r="J246" s="4">
        <v>-8.49</v>
      </c>
      <c r="K246" s="17">
        <v>-353.64</v>
      </c>
      <c r="L246" t="s">
        <v>1</v>
      </c>
    </row>
    <row r="247" spans="1:12" x14ac:dyDescent="0.25">
      <c r="A247" s="8">
        <v>46193.5</v>
      </c>
      <c r="B247" t="s">
        <v>14</v>
      </c>
      <c r="C247" t="s">
        <v>1120</v>
      </c>
      <c r="D247" t="s">
        <v>182</v>
      </c>
      <c r="E247" t="s">
        <v>3825</v>
      </c>
      <c r="F247" t="s">
        <v>75</v>
      </c>
      <c r="G247">
        <v>2</v>
      </c>
      <c r="H247" s="4">
        <v>3.8</v>
      </c>
      <c r="I247" s="4">
        <v>5.43</v>
      </c>
      <c r="J247" s="4">
        <v>-8.23</v>
      </c>
      <c r="K247" s="17">
        <v>-216.55</v>
      </c>
      <c r="L247" t="s">
        <v>1</v>
      </c>
    </row>
    <row r="248" spans="1:12" x14ac:dyDescent="0.25">
      <c r="A248" s="8">
        <v>46193.5</v>
      </c>
      <c r="B248" t="s">
        <v>15</v>
      </c>
      <c r="C248" t="s">
        <v>1926</v>
      </c>
      <c r="D248" t="s">
        <v>177</v>
      </c>
      <c r="E248" t="s">
        <v>3824</v>
      </c>
      <c r="F248" t="s">
        <v>78</v>
      </c>
      <c r="G248">
        <v>3</v>
      </c>
      <c r="H248" s="4">
        <v>0.45</v>
      </c>
      <c r="I248" s="4">
        <v>0.54</v>
      </c>
      <c r="J248" s="4">
        <v>-0.45</v>
      </c>
      <c r="K248" s="17">
        <v>-99.45</v>
      </c>
      <c r="L248" t="s">
        <v>1</v>
      </c>
    </row>
    <row r="249" spans="1:12" x14ac:dyDescent="0.25">
      <c r="A249" s="8">
        <v>46193.5</v>
      </c>
      <c r="B249" t="s">
        <v>15</v>
      </c>
      <c r="C249" t="s">
        <v>1927</v>
      </c>
      <c r="D249" t="s">
        <v>185</v>
      </c>
      <c r="E249" t="s">
        <v>3826</v>
      </c>
      <c r="F249" t="s">
        <v>102</v>
      </c>
      <c r="G249">
        <v>2</v>
      </c>
      <c r="H249" s="4">
        <v>2.4</v>
      </c>
      <c r="I249" s="4">
        <v>2.86</v>
      </c>
      <c r="J249" s="4">
        <v>-0.32</v>
      </c>
      <c r="K249" s="17">
        <v>-13.41</v>
      </c>
      <c r="L249" t="s">
        <v>1</v>
      </c>
    </row>
    <row r="250" spans="1:12" x14ac:dyDescent="0.25">
      <c r="A250" s="8">
        <v>46192.5</v>
      </c>
      <c r="B250" t="s">
        <v>15</v>
      </c>
      <c r="C250" t="s">
        <v>1934</v>
      </c>
      <c r="D250" t="s">
        <v>254</v>
      </c>
      <c r="E250" t="s">
        <v>3827</v>
      </c>
      <c r="F250" t="s">
        <v>61</v>
      </c>
      <c r="G250">
        <v>4</v>
      </c>
      <c r="H250" s="4">
        <v>3.2</v>
      </c>
      <c r="I250" s="4">
        <v>3.68</v>
      </c>
      <c r="J250" s="4">
        <v>-0.37</v>
      </c>
      <c r="K250" s="17">
        <v>-11.55</v>
      </c>
      <c r="L250" t="s">
        <v>1</v>
      </c>
    </row>
    <row r="251" spans="1:12" x14ac:dyDescent="0.25">
      <c r="A251" s="8">
        <v>46192.5</v>
      </c>
      <c r="B251" t="s">
        <v>16</v>
      </c>
      <c r="C251" t="s">
        <v>2707</v>
      </c>
      <c r="D251" t="s">
        <v>189</v>
      </c>
      <c r="E251" t="s">
        <v>3822</v>
      </c>
      <c r="F251" t="s">
        <v>66</v>
      </c>
      <c r="G251">
        <v>1</v>
      </c>
      <c r="H251" s="4">
        <v>3.5</v>
      </c>
      <c r="I251" s="4">
        <v>5.08</v>
      </c>
      <c r="J251" s="4">
        <v>0.89</v>
      </c>
      <c r="K251" s="17">
        <v>25.43</v>
      </c>
      <c r="L251" t="s">
        <v>1</v>
      </c>
    </row>
    <row r="252" spans="1:12" x14ac:dyDescent="0.25">
      <c r="A252" s="8">
        <v>46192.5</v>
      </c>
      <c r="B252" t="s">
        <v>16</v>
      </c>
      <c r="C252" t="s">
        <v>2708</v>
      </c>
      <c r="D252" t="s">
        <v>174</v>
      </c>
      <c r="E252" t="s">
        <v>3823</v>
      </c>
      <c r="F252" t="s">
        <v>66</v>
      </c>
      <c r="G252">
        <v>1</v>
      </c>
      <c r="H252" s="4">
        <v>4.25</v>
      </c>
      <c r="I252" s="4">
        <v>5.95</v>
      </c>
      <c r="J252" s="4">
        <v>0.92</v>
      </c>
      <c r="K252" s="17">
        <v>21.57</v>
      </c>
      <c r="L252" t="s">
        <v>1</v>
      </c>
    </row>
    <row r="253" spans="1:12" x14ac:dyDescent="0.25">
      <c r="A253" s="8">
        <v>46192.5</v>
      </c>
      <c r="B253" t="s">
        <v>16</v>
      </c>
      <c r="C253" t="s">
        <v>2709</v>
      </c>
      <c r="D253" t="s">
        <v>174</v>
      </c>
      <c r="E253" t="s">
        <v>3823</v>
      </c>
      <c r="F253" t="s">
        <v>66</v>
      </c>
      <c r="G253">
        <v>1</v>
      </c>
      <c r="H253" s="4">
        <v>4.25</v>
      </c>
      <c r="I253" s="4">
        <v>5.18</v>
      </c>
      <c r="J253" s="4">
        <v>0.34</v>
      </c>
      <c r="K253" s="17">
        <v>8</v>
      </c>
      <c r="L253" t="s">
        <v>1</v>
      </c>
    </row>
    <row r="254" spans="1:12" x14ac:dyDescent="0.25">
      <c r="A254" s="8">
        <v>46192.5</v>
      </c>
      <c r="B254" t="s">
        <v>17</v>
      </c>
      <c r="C254" t="s">
        <v>3490</v>
      </c>
      <c r="D254" t="s">
        <v>189</v>
      </c>
      <c r="E254" t="s">
        <v>3822</v>
      </c>
      <c r="F254" t="s">
        <v>66</v>
      </c>
      <c r="G254">
        <v>2</v>
      </c>
      <c r="H254" s="4">
        <v>7</v>
      </c>
      <c r="I254" s="4">
        <v>8.12</v>
      </c>
      <c r="J254" s="4">
        <v>0.56</v>
      </c>
      <c r="K254" s="17">
        <v>8.05</v>
      </c>
      <c r="L254" t="s">
        <v>1</v>
      </c>
    </row>
    <row r="255" spans="1:12" x14ac:dyDescent="0.25">
      <c r="A255" s="8">
        <v>46192.5</v>
      </c>
      <c r="B255" t="s">
        <v>17</v>
      </c>
      <c r="C255" t="s">
        <v>3491</v>
      </c>
      <c r="D255" t="s">
        <v>174</v>
      </c>
      <c r="E255" t="s">
        <v>3823</v>
      </c>
      <c r="F255" t="s">
        <v>66</v>
      </c>
      <c r="G255">
        <v>3</v>
      </c>
      <c r="H255" s="4">
        <v>12.75</v>
      </c>
      <c r="I255" s="4">
        <v>16.45</v>
      </c>
      <c r="J255" s="4">
        <v>2.32</v>
      </c>
      <c r="K255" s="17">
        <v>18.22</v>
      </c>
      <c r="L255" t="s">
        <v>1</v>
      </c>
    </row>
    <row r="256" spans="1:12" x14ac:dyDescent="0.25">
      <c r="A256" s="8">
        <v>46192.5</v>
      </c>
      <c r="B256" t="s">
        <v>17</v>
      </c>
      <c r="C256" t="s">
        <v>3492</v>
      </c>
      <c r="D256" t="s">
        <v>177</v>
      </c>
      <c r="E256" t="s">
        <v>3824</v>
      </c>
      <c r="F256" t="s">
        <v>78</v>
      </c>
      <c r="G256">
        <v>3</v>
      </c>
      <c r="H256" s="4">
        <v>0.45</v>
      </c>
      <c r="I256" s="4">
        <v>0.52</v>
      </c>
      <c r="J256" s="4">
        <v>0.04</v>
      </c>
      <c r="K256" s="17">
        <v>8.52</v>
      </c>
      <c r="L256" t="s">
        <v>1</v>
      </c>
    </row>
    <row r="257" spans="1:12" x14ac:dyDescent="0.25">
      <c r="A257" s="8">
        <v>46192.5</v>
      </c>
      <c r="B257" t="s">
        <v>17</v>
      </c>
      <c r="C257" t="s">
        <v>3493</v>
      </c>
      <c r="D257" t="s">
        <v>254</v>
      </c>
      <c r="E257" t="s">
        <v>3827</v>
      </c>
      <c r="F257" t="s">
        <v>61</v>
      </c>
      <c r="G257">
        <v>4</v>
      </c>
      <c r="H257" s="4">
        <v>3.2</v>
      </c>
      <c r="I257" s="4">
        <v>4.51</v>
      </c>
      <c r="J257" s="4">
        <v>0.88</v>
      </c>
      <c r="K257" s="17">
        <v>27.55</v>
      </c>
      <c r="L257" t="s">
        <v>1</v>
      </c>
    </row>
    <row r="258" spans="1:12" x14ac:dyDescent="0.25">
      <c r="A258" s="8">
        <v>46192.5</v>
      </c>
      <c r="B258" t="s">
        <v>17</v>
      </c>
      <c r="C258" t="s">
        <v>3494</v>
      </c>
      <c r="D258" t="s">
        <v>185</v>
      </c>
      <c r="E258" t="s">
        <v>3826</v>
      </c>
      <c r="F258" t="s">
        <v>102</v>
      </c>
      <c r="G258">
        <v>3</v>
      </c>
      <c r="H258" s="4">
        <v>3.6</v>
      </c>
      <c r="I258" s="4">
        <v>4.97</v>
      </c>
      <c r="J258" s="4">
        <v>0.91</v>
      </c>
      <c r="K258" s="17">
        <v>25.32</v>
      </c>
      <c r="L258" t="s">
        <v>1</v>
      </c>
    </row>
    <row r="259" spans="1:12" x14ac:dyDescent="0.25">
      <c r="A259" s="8">
        <v>46191.5</v>
      </c>
      <c r="B259" t="s">
        <v>13</v>
      </c>
      <c r="C259" t="s">
        <v>456</v>
      </c>
      <c r="D259" t="s">
        <v>182</v>
      </c>
      <c r="E259" t="s">
        <v>3825</v>
      </c>
      <c r="F259" t="s">
        <v>75</v>
      </c>
      <c r="G259">
        <v>4</v>
      </c>
      <c r="H259" s="4">
        <v>7.6</v>
      </c>
      <c r="I259" s="4">
        <v>9.42</v>
      </c>
      <c r="J259" s="4">
        <v>0.71</v>
      </c>
      <c r="K259" s="17">
        <v>9.34</v>
      </c>
      <c r="L259" t="s">
        <v>1</v>
      </c>
    </row>
    <row r="260" spans="1:12" x14ac:dyDescent="0.25">
      <c r="A260" s="8">
        <v>46191.5</v>
      </c>
      <c r="B260" t="s">
        <v>13</v>
      </c>
      <c r="C260" t="s">
        <v>457</v>
      </c>
      <c r="D260" t="s">
        <v>182</v>
      </c>
      <c r="E260" t="s">
        <v>3825</v>
      </c>
      <c r="F260" t="s">
        <v>75</v>
      </c>
      <c r="G260">
        <v>1</v>
      </c>
      <c r="H260" s="4">
        <v>1.9</v>
      </c>
      <c r="I260" s="4">
        <v>2.32</v>
      </c>
      <c r="J260" s="4">
        <v>0.15</v>
      </c>
      <c r="K260" s="17">
        <v>7.96</v>
      </c>
      <c r="L260" t="s">
        <v>1</v>
      </c>
    </row>
    <row r="261" spans="1:12" x14ac:dyDescent="0.25">
      <c r="A261" s="8">
        <v>46191.5</v>
      </c>
      <c r="B261" t="s">
        <v>13</v>
      </c>
      <c r="C261" t="s">
        <v>458</v>
      </c>
      <c r="D261" t="s">
        <v>182</v>
      </c>
      <c r="E261" t="s">
        <v>3825</v>
      </c>
      <c r="F261" t="s">
        <v>75</v>
      </c>
      <c r="G261">
        <v>3</v>
      </c>
      <c r="H261" s="4">
        <v>5.7</v>
      </c>
      <c r="I261" s="4">
        <v>6.95</v>
      </c>
      <c r="J261" s="4">
        <v>0.45</v>
      </c>
      <c r="K261" s="17">
        <v>7.83</v>
      </c>
      <c r="L261" t="s">
        <v>1</v>
      </c>
    </row>
    <row r="262" spans="1:12" x14ac:dyDescent="0.25">
      <c r="A262" s="8">
        <v>46191.5</v>
      </c>
      <c r="B262" t="s">
        <v>14</v>
      </c>
      <c r="C262" t="s">
        <v>1144</v>
      </c>
      <c r="D262" t="s">
        <v>254</v>
      </c>
      <c r="E262" t="s">
        <v>3827</v>
      </c>
      <c r="F262" t="s">
        <v>61</v>
      </c>
      <c r="G262">
        <v>1</v>
      </c>
      <c r="H262" s="4">
        <v>0.8</v>
      </c>
      <c r="I262" s="4">
        <v>1.1</v>
      </c>
      <c r="J262" s="4">
        <v>-8.86</v>
      </c>
      <c r="K262" s="17">
        <v>-1107.63</v>
      </c>
      <c r="L262" t="s">
        <v>1</v>
      </c>
    </row>
    <row r="263" spans="1:12" x14ac:dyDescent="0.25">
      <c r="A263" s="8">
        <v>46191.5</v>
      </c>
      <c r="B263" t="s">
        <v>16</v>
      </c>
      <c r="C263" t="s">
        <v>2714</v>
      </c>
      <c r="D263" t="s">
        <v>174</v>
      </c>
      <c r="E263" t="s">
        <v>3823</v>
      </c>
      <c r="F263" t="s">
        <v>66</v>
      </c>
      <c r="G263">
        <v>1</v>
      </c>
      <c r="H263" s="4">
        <v>4.25</v>
      </c>
      <c r="I263" s="4">
        <v>6.08</v>
      </c>
      <c r="J263" s="4">
        <v>1.01</v>
      </c>
      <c r="K263" s="17">
        <v>23.86</v>
      </c>
      <c r="L263" t="s">
        <v>1</v>
      </c>
    </row>
    <row r="264" spans="1:12" x14ac:dyDescent="0.25">
      <c r="A264" s="8">
        <v>46191.5</v>
      </c>
      <c r="B264" t="s">
        <v>17</v>
      </c>
      <c r="C264" t="s">
        <v>3497</v>
      </c>
      <c r="D264" t="s">
        <v>177</v>
      </c>
      <c r="E264" t="s">
        <v>3824</v>
      </c>
      <c r="F264" t="s">
        <v>78</v>
      </c>
      <c r="G264">
        <v>2</v>
      </c>
      <c r="H264" s="4">
        <v>0.3</v>
      </c>
      <c r="I264" s="4">
        <v>0.42</v>
      </c>
      <c r="J264" s="4">
        <v>0.08</v>
      </c>
      <c r="K264" s="17">
        <v>26.67</v>
      </c>
      <c r="L264" t="s">
        <v>1</v>
      </c>
    </row>
    <row r="265" spans="1:12" x14ac:dyDescent="0.25">
      <c r="A265" s="8">
        <v>46191.5</v>
      </c>
      <c r="B265" t="s">
        <v>17</v>
      </c>
      <c r="C265" t="s">
        <v>3498</v>
      </c>
      <c r="D265" t="s">
        <v>182</v>
      </c>
      <c r="E265" t="s">
        <v>3825</v>
      </c>
      <c r="F265" t="s">
        <v>75</v>
      </c>
      <c r="G265">
        <v>1</v>
      </c>
      <c r="H265" s="4">
        <v>1.9</v>
      </c>
      <c r="I265" s="4">
        <v>2.74</v>
      </c>
      <c r="J265" s="4">
        <v>0.57</v>
      </c>
      <c r="K265" s="17">
        <v>30</v>
      </c>
      <c r="L265" t="s">
        <v>1</v>
      </c>
    </row>
    <row r="266" spans="1:12" x14ac:dyDescent="0.25">
      <c r="A266" s="8">
        <v>46191.5</v>
      </c>
      <c r="B266" t="s">
        <v>17</v>
      </c>
      <c r="C266" t="s">
        <v>3499</v>
      </c>
      <c r="D266" t="s">
        <v>185</v>
      </c>
      <c r="E266" t="s">
        <v>3826</v>
      </c>
      <c r="F266" t="s">
        <v>102</v>
      </c>
      <c r="G266">
        <v>4</v>
      </c>
      <c r="H266" s="4">
        <v>4.8</v>
      </c>
      <c r="I266" s="4">
        <v>6.53</v>
      </c>
      <c r="J266" s="4">
        <v>1.14</v>
      </c>
      <c r="K266" s="17">
        <v>23.78</v>
      </c>
      <c r="L266" t="s">
        <v>1</v>
      </c>
    </row>
    <row r="267" spans="1:12" x14ac:dyDescent="0.25">
      <c r="A267" s="8">
        <v>46190.5</v>
      </c>
      <c r="B267" t="s">
        <v>16</v>
      </c>
      <c r="C267" t="s">
        <v>2727</v>
      </c>
      <c r="D267" t="s">
        <v>177</v>
      </c>
      <c r="E267" t="s">
        <v>3824</v>
      </c>
      <c r="F267" t="s">
        <v>78</v>
      </c>
      <c r="G267">
        <v>1</v>
      </c>
      <c r="H267" s="4">
        <v>0.15</v>
      </c>
      <c r="I267" s="4">
        <v>0.19</v>
      </c>
      <c r="J267" s="4">
        <v>0.02</v>
      </c>
      <c r="K267" s="17">
        <v>11.58</v>
      </c>
      <c r="L267" t="s">
        <v>1</v>
      </c>
    </row>
    <row r="268" spans="1:12" x14ac:dyDescent="0.25">
      <c r="A268" s="8">
        <v>46189.5</v>
      </c>
      <c r="B268" t="s">
        <v>14</v>
      </c>
      <c r="C268" t="s">
        <v>1163</v>
      </c>
      <c r="D268" t="s">
        <v>189</v>
      </c>
      <c r="E268" t="s">
        <v>3822</v>
      </c>
      <c r="F268" t="s">
        <v>66</v>
      </c>
      <c r="G268">
        <v>1</v>
      </c>
      <c r="H268" s="4">
        <v>3.5</v>
      </c>
      <c r="I268" s="4">
        <v>4.2</v>
      </c>
      <c r="J268" s="4">
        <v>-8.87</v>
      </c>
      <c r="K268" s="17">
        <v>-253.39</v>
      </c>
      <c r="L268" t="s">
        <v>1</v>
      </c>
    </row>
    <row r="269" spans="1:12" x14ac:dyDescent="0.25">
      <c r="A269" s="8">
        <v>46189.5</v>
      </c>
      <c r="B269" t="s">
        <v>14</v>
      </c>
      <c r="C269" t="s">
        <v>1164</v>
      </c>
      <c r="D269" t="s">
        <v>174</v>
      </c>
      <c r="E269" t="s">
        <v>3823</v>
      </c>
      <c r="F269" t="s">
        <v>66</v>
      </c>
      <c r="G269">
        <v>4</v>
      </c>
      <c r="H269" s="4">
        <v>17</v>
      </c>
      <c r="I269" s="4">
        <v>19.55</v>
      </c>
      <c r="J269" s="4">
        <v>-9.02</v>
      </c>
      <c r="K269" s="17">
        <v>-53.03</v>
      </c>
      <c r="L269" t="s">
        <v>1</v>
      </c>
    </row>
    <row r="270" spans="1:12" x14ac:dyDescent="0.25">
      <c r="A270" s="8">
        <v>46189.5</v>
      </c>
      <c r="B270" t="s">
        <v>14</v>
      </c>
      <c r="C270" t="s">
        <v>1165</v>
      </c>
      <c r="D270" t="s">
        <v>182</v>
      </c>
      <c r="E270" t="s">
        <v>3825</v>
      </c>
      <c r="F270" t="s">
        <v>75</v>
      </c>
      <c r="G270">
        <v>2</v>
      </c>
      <c r="H270" s="4">
        <v>3.8</v>
      </c>
      <c r="I270" s="4">
        <v>4.64</v>
      </c>
      <c r="J270" s="4">
        <v>-8.8</v>
      </c>
      <c r="K270" s="17">
        <v>-231.59</v>
      </c>
      <c r="L270" t="s">
        <v>1</v>
      </c>
    </row>
    <row r="271" spans="1:12" x14ac:dyDescent="0.25">
      <c r="A271" s="8">
        <v>46189.5</v>
      </c>
      <c r="B271" t="s">
        <v>14</v>
      </c>
      <c r="C271" t="s">
        <v>1166</v>
      </c>
      <c r="D271" t="s">
        <v>182</v>
      </c>
      <c r="E271" t="s">
        <v>3825</v>
      </c>
      <c r="F271" t="s">
        <v>75</v>
      </c>
      <c r="G271">
        <v>2</v>
      </c>
      <c r="H271" s="4">
        <v>3.8</v>
      </c>
      <c r="I271" s="4">
        <v>4.41</v>
      </c>
      <c r="J271" s="4">
        <v>-8.97</v>
      </c>
      <c r="K271" s="17">
        <v>-235.97</v>
      </c>
      <c r="L271" t="s">
        <v>1</v>
      </c>
    </row>
    <row r="272" spans="1:12" x14ac:dyDescent="0.25">
      <c r="A272" s="8">
        <v>46189.5</v>
      </c>
      <c r="B272" t="s">
        <v>14</v>
      </c>
      <c r="C272" t="s">
        <v>1167</v>
      </c>
      <c r="D272" t="s">
        <v>185</v>
      </c>
      <c r="E272" t="s">
        <v>3826</v>
      </c>
      <c r="F272" t="s">
        <v>102</v>
      </c>
      <c r="G272">
        <v>4</v>
      </c>
      <c r="H272" s="4">
        <v>4.8</v>
      </c>
      <c r="I272" s="4">
        <v>6.58</v>
      </c>
      <c r="J272" s="4">
        <v>-8.23</v>
      </c>
      <c r="K272" s="17">
        <v>-171.47</v>
      </c>
      <c r="L272" t="s">
        <v>1</v>
      </c>
    </row>
    <row r="273" spans="1:12" x14ac:dyDescent="0.25">
      <c r="A273" s="8">
        <v>46189.5</v>
      </c>
      <c r="B273" t="s">
        <v>15</v>
      </c>
      <c r="C273" t="s">
        <v>1958</v>
      </c>
      <c r="D273" t="s">
        <v>177</v>
      </c>
      <c r="E273" t="s">
        <v>3824</v>
      </c>
      <c r="F273" t="s">
        <v>78</v>
      </c>
      <c r="G273">
        <v>1</v>
      </c>
      <c r="H273" s="4">
        <v>0.15</v>
      </c>
      <c r="I273" s="4">
        <v>0.2</v>
      </c>
      <c r="J273" s="4">
        <v>-0.45</v>
      </c>
      <c r="K273" s="17">
        <v>-302.72</v>
      </c>
      <c r="L273" t="s">
        <v>1</v>
      </c>
    </row>
    <row r="274" spans="1:12" x14ac:dyDescent="0.25">
      <c r="A274" s="8">
        <v>46189.5</v>
      </c>
      <c r="B274" t="s">
        <v>15</v>
      </c>
      <c r="C274" t="s">
        <v>1959</v>
      </c>
      <c r="D274" t="s">
        <v>177</v>
      </c>
      <c r="E274" t="s">
        <v>3824</v>
      </c>
      <c r="F274" t="s">
        <v>78</v>
      </c>
      <c r="G274">
        <v>1</v>
      </c>
      <c r="H274" s="4">
        <v>0.15</v>
      </c>
      <c r="I274" s="4">
        <v>0.2</v>
      </c>
      <c r="J274" s="4">
        <v>-0.45</v>
      </c>
      <c r="K274" s="17">
        <v>-302.72</v>
      </c>
      <c r="L274" t="s">
        <v>1</v>
      </c>
    </row>
    <row r="275" spans="1:12" x14ac:dyDescent="0.25">
      <c r="A275" s="8">
        <v>46189.5</v>
      </c>
      <c r="B275" t="s">
        <v>15</v>
      </c>
      <c r="C275" t="s">
        <v>1960</v>
      </c>
      <c r="D275" t="s">
        <v>185</v>
      </c>
      <c r="E275" t="s">
        <v>3826</v>
      </c>
      <c r="F275" t="s">
        <v>102</v>
      </c>
      <c r="G275">
        <v>1</v>
      </c>
      <c r="H275" s="4">
        <v>1.2</v>
      </c>
      <c r="I275" s="4">
        <v>1.4</v>
      </c>
      <c r="J275" s="4">
        <v>-0.42</v>
      </c>
      <c r="K275" s="17">
        <v>-35.3</v>
      </c>
      <c r="L275" t="s">
        <v>1</v>
      </c>
    </row>
    <row r="276" spans="1:12" x14ac:dyDescent="0.25">
      <c r="A276" s="8">
        <v>46189.5</v>
      </c>
      <c r="B276" t="s">
        <v>16</v>
      </c>
      <c r="C276" t="s">
        <v>2734</v>
      </c>
      <c r="D276" t="s">
        <v>189</v>
      </c>
      <c r="E276" t="s">
        <v>3822</v>
      </c>
      <c r="F276" t="s">
        <v>66</v>
      </c>
      <c r="G276">
        <v>1</v>
      </c>
      <c r="H276" s="4">
        <v>3.5</v>
      </c>
      <c r="I276" s="4">
        <v>4.41</v>
      </c>
      <c r="J276" s="4">
        <v>0.39</v>
      </c>
      <c r="K276" s="17">
        <v>11.08</v>
      </c>
      <c r="L276" t="s">
        <v>1</v>
      </c>
    </row>
    <row r="277" spans="1:12" x14ac:dyDescent="0.25">
      <c r="A277" s="8">
        <v>46188.5</v>
      </c>
      <c r="B277" t="s">
        <v>14</v>
      </c>
      <c r="C277" t="s">
        <v>1176</v>
      </c>
      <c r="D277" t="s">
        <v>189</v>
      </c>
      <c r="E277" t="s">
        <v>3822</v>
      </c>
      <c r="F277" t="s">
        <v>66</v>
      </c>
      <c r="G277">
        <v>3</v>
      </c>
      <c r="H277" s="4">
        <v>10.5</v>
      </c>
      <c r="I277" s="4">
        <v>13.86</v>
      </c>
      <c r="J277" s="4">
        <v>-7.71</v>
      </c>
      <c r="K277" s="17">
        <v>-73.47</v>
      </c>
      <c r="L277" t="s">
        <v>1</v>
      </c>
    </row>
    <row r="278" spans="1:12" x14ac:dyDescent="0.25">
      <c r="A278" s="8">
        <v>46188.5</v>
      </c>
      <c r="B278" t="s">
        <v>14</v>
      </c>
      <c r="C278" t="s">
        <v>1177</v>
      </c>
      <c r="D278" t="s">
        <v>174</v>
      </c>
      <c r="E278" t="s">
        <v>3823</v>
      </c>
      <c r="F278" t="s">
        <v>66</v>
      </c>
      <c r="G278">
        <v>2</v>
      </c>
      <c r="H278" s="4">
        <v>8.5</v>
      </c>
      <c r="I278" s="4">
        <v>11.98</v>
      </c>
      <c r="J278" s="4">
        <v>-7.41</v>
      </c>
      <c r="K278" s="17">
        <v>-87.15</v>
      </c>
      <c r="L278" t="s">
        <v>1</v>
      </c>
    </row>
    <row r="279" spans="1:12" x14ac:dyDescent="0.25">
      <c r="A279" s="8">
        <v>46188.5</v>
      </c>
      <c r="B279" t="s">
        <v>15</v>
      </c>
      <c r="C279" t="s">
        <v>1968</v>
      </c>
      <c r="D279" t="s">
        <v>254</v>
      </c>
      <c r="E279" t="s">
        <v>3827</v>
      </c>
      <c r="F279" t="s">
        <v>61</v>
      </c>
      <c r="G279">
        <v>4</v>
      </c>
      <c r="H279" s="4">
        <v>3.2</v>
      </c>
      <c r="I279" s="4">
        <v>4.64</v>
      </c>
      <c r="J279" s="4">
        <v>0.35</v>
      </c>
      <c r="K279" s="17">
        <v>11.08</v>
      </c>
      <c r="L279" t="s">
        <v>1</v>
      </c>
    </row>
    <row r="280" spans="1:12" x14ac:dyDescent="0.25">
      <c r="A280" s="8">
        <v>46188.5</v>
      </c>
      <c r="B280" t="s">
        <v>16</v>
      </c>
      <c r="C280" t="s">
        <v>2747</v>
      </c>
      <c r="D280" t="s">
        <v>254</v>
      </c>
      <c r="E280" t="s">
        <v>3827</v>
      </c>
      <c r="F280" t="s">
        <v>61</v>
      </c>
      <c r="G280">
        <v>1</v>
      </c>
      <c r="H280" s="4">
        <v>0.8</v>
      </c>
      <c r="I280" s="4">
        <v>0.92</v>
      </c>
      <c r="J280" s="4">
        <v>0.02</v>
      </c>
      <c r="K280" s="17">
        <v>2.84</v>
      </c>
      <c r="L280" t="s">
        <v>1</v>
      </c>
    </row>
    <row r="281" spans="1:12" x14ac:dyDescent="0.25">
      <c r="A281" s="8">
        <v>46188.5</v>
      </c>
      <c r="B281" t="s">
        <v>17</v>
      </c>
      <c r="C281" t="s">
        <v>3524</v>
      </c>
      <c r="D281" t="s">
        <v>254</v>
      </c>
      <c r="E281" t="s">
        <v>3827</v>
      </c>
      <c r="F281" t="s">
        <v>61</v>
      </c>
      <c r="G281">
        <v>4</v>
      </c>
      <c r="H281" s="4">
        <v>3.2</v>
      </c>
      <c r="I281" s="4">
        <v>4.64</v>
      </c>
      <c r="J281" s="4">
        <v>0.99</v>
      </c>
      <c r="K281" s="17">
        <v>30.94</v>
      </c>
      <c r="L281" t="s">
        <v>1</v>
      </c>
    </row>
    <row r="282" spans="1:12" x14ac:dyDescent="0.25">
      <c r="A282" s="8">
        <v>46187.5</v>
      </c>
      <c r="B282" t="s">
        <v>14</v>
      </c>
      <c r="C282" t="s">
        <v>1183</v>
      </c>
      <c r="D282" t="s">
        <v>177</v>
      </c>
      <c r="E282" t="s">
        <v>3824</v>
      </c>
      <c r="F282" t="s">
        <v>78</v>
      </c>
      <c r="G282">
        <v>1</v>
      </c>
      <c r="H282" s="4">
        <v>0.15</v>
      </c>
      <c r="I282" s="4">
        <v>0.2</v>
      </c>
      <c r="J282" s="4">
        <v>-8.97</v>
      </c>
      <c r="K282" s="17">
        <v>-5980.22</v>
      </c>
      <c r="L282" t="s">
        <v>1</v>
      </c>
    </row>
    <row r="283" spans="1:12" x14ac:dyDescent="0.25">
      <c r="A283" s="8">
        <v>46187.5</v>
      </c>
      <c r="B283" t="s">
        <v>15</v>
      </c>
      <c r="C283" t="s">
        <v>1972</v>
      </c>
      <c r="D283" t="s">
        <v>254</v>
      </c>
      <c r="E283" t="s">
        <v>3827</v>
      </c>
      <c r="F283" t="s">
        <v>61</v>
      </c>
      <c r="G283">
        <v>3</v>
      </c>
      <c r="H283" s="4">
        <v>2.4</v>
      </c>
      <c r="I283" s="4">
        <v>2.81</v>
      </c>
      <c r="J283" s="4">
        <v>-0.36</v>
      </c>
      <c r="K283" s="17">
        <v>-14.98</v>
      </c>
      <c r="L283" t="s">
        <v>1</v>
      </c>
    </row>
    <row r="284" spans="1:12" x14ac:dyDescent="0.25">
      <c r="A284" s="8">
        <v>46187.5</v>
      </c>
      <c r="B284" t="s">
        <v>15</v>
      </c>
      <c r="C284" t="s">
        <v>1973</v>
      </c>
      <c r="D284" t="s">
        <v>254</v>
      </c>
      <c r="E284" t="s">
        <v>3827</v>
      </c>
      <c r="F284" t="s">
        <v>61</v>
      </c>
      <c r="G284">
        <v>4</v>
      </c>
      <c r="H284" s="4">
        <v>3.2</v>
      </c>
      <c r="I284" s="4">
        <v>4.42</v>
      </c>
      <c r="J284" s="4">
        <v>0.19</v>
      </c>
      <c r="K284" s="17">
        <v>5.9</v>
      </c>
      <c r="L284" t="s">
        <v>1</v>
      </c>
    </row>
    <row r="285" spans="1:12" x14ac:dyDescent="0.25">
      <c r="A285" s="8">
        <v>46187.5</v>
      </c>
      <c r="B285" t="s">
        <v>15</v>
      </c>
      <c r="C285" t="s">
        <v>1974</v>
      </c>
      <c r="D285" t="s">
        <v>182</v>
      </c>
      <c r="E285" t="s">
        <v>3825</v>
      </c>
      <c r="F285" t="s">
        <v>75</v>
      </c>
      <c r="G285">
        <v>1</v>
      </c>
      <c r="H285" s="4">
        <v>1.9</v>
      </c>
      <c r="I285" s="4">
        <v>2.56</v>
      </c>
      <c r="J285" s="4">
        <v>-0.13</v>
      </c>
      <c r="K285" s="17">
        <v>-6.92</v>
      </c>
      <c r="L285" t="s">
        <v>1</v>
      </c>
    </row>
    <row r="286" spans="1:12" x14ac:dyDescent="0.25">
      <c r="A286" s="8">
        <v>46187.5</v>
      </c>
      <c r="B286" t="s">
        <v>16</v>
      </c>
      <c r="C286" t="s">
        <v>2757</v>
      </c>
      <c r="D286" t="s">
        <v>189</v>
      </c>
      <c r="E286" t="s">
        <v>3822</v>
      </c>
      <c r="F286" t="s">
        <v>66</v>
      </c>
      <c r="G286">
        <v>1</v>
      </c>
      <c r="H286" s="4">
        <v>3.5</v>
      </c>
      <c r="I286" s="4">
        <v>4.73</v>
      </c>
      <c r="J286" s="4">
        <v>0.63</v>
      </c>
      <c r="K286" s="17">
        <v>17.93</v>
      </c>
      <c r="L286" t="s">
        <v>1</v>
      </c>
    </row>
    <row r="287" spans="1:12" x14ac:dyDescent="0.25">
      <c r="A287" s="8">
        <v>46187.5</v>
      </c>
      <c r="B287" t="s">
        <v>16</v>
      </c>
      <c r="C287" t="s">
        <v>2758</v>
      </c>
      <c r="D287" t="s">
        <v>182</v>
      </c>
      <c r="E287" t="s">
        <v>3825</v>
      </c>
      <c r="F287" t="s">
        <v>75</v>
      </c>
      <c r="G287">
        <v>1</v>
      </c>
      <c r="H287" s="4">
        <v>1.9</v>
      </c>
      <c r="I287" s="4">
        <v>2.58</v>
      </c>
      <c r="J287" s="4">
        <v>0.35</v>
      </c>
      <c r="K287" s="17">
        <v>18.42</v>
      </c>
      <c r="L287" t="s">
        <v>1</v>
      </c>
    </row>
    <row r="288" spans="1:12" x14ac:dyDescent="0.25">
      <c r="A288" s="8">
        <v>46187.5</v>
      </c>
      <c r="B288" t="s">
        <v>17</v>
      </c>
      <c r="C288" t="s">
        <v>3529</v>
      </c>
      <c r="D288" t="s">
        <v>189</v>
      </c>
      <c r="E288" t="s">
        <v>3822</v>
      </c>
      <c r="F288" t="s">
        <v>66</v>
      </c>
      <c r="G288">
        <v>3</v>
      </c>
      <c r="H288" s="4">
        <v>10.5</v>
      </c>
      <c r="I288" s="4">
        <v>12.07</v>
      </c>
      <c r="J288" s="4">
        <v>0.75</v>
      </c>
      <c r="K288" s="17">
        <v>7.13</v>
      </c>
      <c r="L288" t="s">
        <v>1</v>
      </c>
    </row>
    <row r="289" spans="1:12" x14ac:dyDescent="0.25">
      <c r="A289" s="8">
        <v>46186.5</v>
      </c>
      <c r="B289" t="s">
        <v>14</v>
      </c>
      <c r="C289" t="s">
        <v>1192</v>
      </c>
      <c r="D289" t="s">
        <v>189</v>
      </c>
      <c r="E289" t="s">
        <v>3822</v>
      </c>
      <c r="F289" t="s">
        <v>66</v>
      </c>
      <c r="G289">
        <v>2</v>
      </c>
      <c r="H289" s="4">
        <v>7</v>
      </c>
      <c r="I289" s="4">
        <v>9.66</v>
      </c>
      <c r="J289" s="4">
        <v>-7.84</v>
      </c>
      <c r="K289" s="17">
        <v>-111.94</v>
      </c>
      <c r="L289" t="s">
        <v>1</v>
      </c>
    </row>
    <row r="290" spans="1:12" x14ac:dyDescent="0.25">
      <c r="A290" s="8">
        <v>46186.5</v>
      </c>
      <c r="B290" t="s">
        <v>15</v>
      </c>
      <c r="C290" t="s">
        <v>1986</v>
      </c>
      <c r="D290" t="s">
        <v>177</v>
      </c>
      <c r="E290" t="s">
        <v>3824</v>
      </c>
      <c r="F290" t="s">
        <v>78</v>
      </c>
      <c r="G290">
        <v>4</v>
      </c>
      <c r="H290" s="4">
        <v>0.6</v>
      </c>
      <c r="I290" s="4">
        <v>0.85</v>
      </c>
      <c r="J290" s="4">
        <v>-0.34</v>
      </c>
      <c r="K290" s="17">
        <v>-56.43</v>
      </c>
      <c r="L290" t="s">
        <v>1</v>
      </c>
    </row>
    <row r="291" spans="1:12" x14ac:dyDescent="0.25">
      <c r="A291" s="8">
        <v>46185.5</v>
      </c>
      <c r="B291" t="s">
        <v>13</v>
      </c>
      <c r="C291" t="s">
        <v>494</v>
      </c>
      <c r="D291" t="s">
        <v>182</v>
      </c>
      <c r="E291" t="s">
        <v>3825</v>
      </c>
      <c r="F291" t="s">
        <v>75</v>
      </c>
      <c r="G291">
        <v>2</v>
      </c>
      <c r="H291" s="4">
        <v>3.8</v>
      </c>
      <c r="I291" s="4">
        <v>5.36</v>
      </c>
      <c r="J291" s="4">
        <v>0.84</v>
      </c>
      <c r="K291" s="17">
        <v>22.12</v>
      </c>
      <c r="L291" t="s">
        <v>1</v>
      </c>
    </row>
    <row r="292" spans="1:12" x14ac:dyDescent="0.25">
      <c r="A292" s="8">
        <v>46185.5</v>
      </c>
      <c r="B292" t="s">
        <v>14</v>
      </c>
      <c r="C292" t="s">
        <v>1201</v>
      </c>
      <c r="D292" t="s">
        <v>174</v>
      </c>
      <c r="E292" t="s">
        <v>3823</v>
      </c>
      <c r="F292" t="s">
        <v>66</v>
      </c>
      <c r="G292">
        <v>3</v>
      </c>
      <c r="H292" s="4">
        <v>12.75</v>
      </c>
      <c r="I292" s="4">
        <v>17.72</v>
      </c>
      <c r="J292" s="4">
        <v>-6.8</v>
      </c>
      <c r="K292" s="17">
        <v>-53.32</v>
      </c>
      <c r="L292" t="s">
        <v>1</v>
      </c>
    </row>
    <row r="293" spans="1:12" x14ac:dyDescent="0.25">
      <c r="A293" s="8">
        <v>46185.5</v>
      </c>
      <c r="B293" t="s">
        <v>14</v>
      </c>
      <c r="C293" t="s">
        <v>1202</v>
      </c>
      <c r="D293" t="s">
        <v>174</v>
      </c>
      <c r="E293" t="s">
        <v>3823</v>
      </c>
      <c r="F293" t="s">
        <v>66</v>
      </c>
      <c r="G293">
        <v>4</v>
      </c>
      <c r="H293" s="4">
        <v>17</v>
      </c>
      <c r="I293" s="4">
        <v>19.72</v>
      </c>
      <c r="J293" s="4">
        <v>-8.89</v>
      </c>
      <c r="K293" s="17">
        <v>-52.31</v>
      </c>
      <c r="L293" t="s">
        <v>1</v>
      </c>
    </row>
    <row r="294" spans="1:12" x14ac:dyDescent="0.25">
      <c r="A294" s="8">
        <v>46185.5</v>
      </c>
      <c r="B294" t="s">
        <v>15</v>
      </c>
      <c r="C294" t="s">
        <v>1999</v>
      </c>
      <c r="D294" t="s">
        <v>254</v>
      </c>
      <c r="E294" t="s">
        <v>3827</v>
      </c>
      <c r="F294" t="s">
        <v>61</v>
      </c>
      <c r="G294">
        <v>4</v>
      </c>
      <c r="H294" s="4">
        <v>3.2</v>
      </c>
      <c r="I294" s="4">
        <v>3.94</v>
      </c>
      <c r="J294" s="4">
        <v>-0.17</v>
      </c>
      <c r="K294" s="17">
        <v>-5.42</v>
      </c>
      <c r="L294" t="s">
        <v>1</v>
      </c>
    </row>
    <row r="295" spans="1:12" x14ac:dyDescent="0.25">
      <c r="A295" s="8">
        <v>46185.5</v>
      </c>
      <c r="B295" t="s">
        <v>15</v>
      </c>
      <c r="C295" t="s">
        <v>2000</v>
      </c>
      <c r="D295" t="s">
        <v>185</v>
      </c>
      <c r="E295" t="s">
        <v>3826</v>
      </c>
      <c r="F295" t="s">
        <v>102</v>
      </c>
      <c r="G295">
        <v>1</v>
      </c>
      <c r="H295" s="4">
        <v>1.2</v>
      </c>
      <c r="I295" s="4">
        <v>1.63</v>
      </c>
      <c r="J295" s="4">
        <v>-0.25</v>
      </c>
      <c r="K295" s="17">
        <v>-20.83</v>
      </c>
      <c r="L295" t="s">
        <v>1</v>
      </c>
    </row>
    <row r="296" spans="1:12" x14ac:dyDescent="0.25">
      <c r="A296" s="8">
        <v>46185.5</v>
      </c>
      <c r="B296" t="s">
        <v>16</v>
      </c>
      <c r="C296" t="s">
        <v>2769</v>
      </c>
      <c r="D296" t="s">
        <v>177</v>
      </c>
      <c r="E296" t="s">
        <v>3824</v>
      </c>
      <c r="F296" t="s">
        <v>78</v>
      </c>
      <c r="G296">
        <v>1</v>
      </c>
      <c r="H296" s="4">
        <v>0.15</v>
      </c>
      <c r="I296" s="4">
        <v>0.21</v>
      </c>
      <c r="J296" s="4">
        <v>0.03</v>
      </c>
      <c r="K296" s="17">
        <v>21.57</v>
      </c>
      <c r="L296" t="s">
        <v>1</v>
      </c>
    </row>
    <row r="297" spans="1:12" x14ac:dyDescent="0.25">
      <c r="A297" s="8">
        <v>46185.5</v>
      </c>
      <c r="B297" t="s">
        <v>16</v>
      </c>
      <c r="C297" t="s">
        <v>2770</v>
      </c>
      <c r="D297" t="s">
        <v>185</v>
      </c>
      <c r="E297" t="s">
        <v>3826</v>
      </c>
      <c r="F297" t="s">
        <v>102</v>
      </c>
      <c r="G297">
        <v>1</v>
      </c>
      <c r="H297" s="4">
        <v>1.2</v>
      </c>
      <c r="I297" s="4">
        <v>1.51</v>
      </c>
      <c r="J297" s="4">
        <v>0.13</v>
      </c>
      <c r="K297" s="17">
        <v>10.96</v>
      </c>
      <c r="L297" t="s">
        <v>1</v>
      </c>
    </row>
    <row r="298" spans="1:12" x14ac:dyDescent="0.25">
      <c r="A298" s="8">
        <v>46185.5</v>
      </c>
      <c r="B298" t="s">
        <v>17</v>
      </c>
      <c r="C298" t="s">
        <v>3541</v>
      </c>
      <c r="D298" t="s">
        <v>174</v>
      </c>
      <c r="E298" t="s">
        <v>3823</v>
      </c>
      <c r="F298" t="s">
        <v>66</v>
      </c>
      <c r="G298">
        <v>2</v>
      </c>
      <c r="H298" s="4">
        <v>8.5</v>
      </c>
      <c r="I298" s="4">
        <v>10.03</v>
      </c>
      <c r="J298" s="4">
        <v>0.81</v>
      </c>
      <c r="K298" s="17">
        <v>9.59</v>
      </c>
      <c r="L298" t="s">
        <v>1</v>
      </c>
    </row>
    <row r="299" spans="1:12" x14ac:dyDescent="0.25">
      <c r="A299" s="8">
        <v>46185.5</v>
      </c>
      <c r="B299" t="s">
        <v>17</v>
      </c>
      <c r="C299" t="s">
        <v>3542</v>
      </c>
      <c r="D299" t="s">
        <v>174</v>
      </c>
      <c r="E299" t="s">
        <v>3823</v>
      </c>
      <c r="F299" t="s">
        <v>66</v>
      </c>
      <c r="G299">
        <v>1</v>
      </c>
      <c r="H299" s="4">
        <v>4.25</v>
      </c>
      <c r="I299" s="4">
        <v>5.31</v>
      </c>
      <c r="J299" s="4">
        <v>0.64</v>
      </c>
      <c r="K299" s="17">
        <v>15.14</v>
      </c>
      <c r="L299" t="s">
        <v>1</v>
      </c>
    </row>
    <row r="300" spans="1:12" x14ac:dyDescent="0.25">
      <c r="A300" s="8">
        <v>46185.5</v>
      </c>
      <c r="B300" t="s">
        <v>17</v>
      </c>
      <c r="C300" t="s">
        <v>3543</v>
      </c>
      <c r="D300" t="s">
        <v>254</v>
      </c>
      <c r="E300" t="s">
        <v>3827</v>
      </c>
      <c r="F300" t="s">
        <v>61</v>
      </c>
      <c r="G300">
        <v>2</v>
      </c>
      <c r="H300" s="4">
        <v>1.6</v>
      </c>
      <c r="I300" s="4">
        <v>1.95</v>
      </c>
      <c r="J300" s="4">
        <v>0.2</v>
      </c>
      <c r="K300" s="17">
        <v>12.6</v>
      </c>
      <c r="L300" t="s">
        <v>1</v>
      </c>
    </row>
    <row r="301" spans="1:12" x14ac:dyDescent="0.25">
      <c r="A301" s="8">
        <v>46184.5</v>
      </c>
      <c r="B301" t="s">
        <v>13</v>
      </c>
      <c r="C301" t="s">
        <v>505</v>
      </c>
      <c r="D301" t="s">
        <v>177</v>
      </c>
      <c r="E301" t="s">
        <v>3824</v>
      </c>
      <c r="F301" t="s">
        <v>78</v>
      </c>
      <c r="G301">
        <v>2</v>
      </c>
      <c r="H301" s="4">
        <v>0.3</v>
      </c>
      <c r="I301" s="4">
        <v>0.36</v>
      </c>
      <c r="J301" s="4">
        <v>0.02</v>
      </c>
      <c r="K301" s="17">
        <v>6.38</v>
      </c>
      <c r="L301" t="s">
        <v>1</v>
      </c>
    </row>
    <row r="302" spans="1:12" x14ac:dyDescent="0.25">
      <c r="A302" s="8">
        <v>46184.5</v>
      </c>
      <c r="B302" t="s">
        <v>13</v>
      </c>
      <c r="C302" t="s">
        <v>506</v>
      </c>
      <c r="D302" t="s">
        <v>182</v>
      </c>
      <c r="E302" t="s">
        <v>3825</v>
      </c>
      <c r="F302" t="s">
        <v>75</v>
      </c>
      <c r="G302">
        <v>3</v>
      </c>
      <c r="H302" s="4">
        <v>5.7</v>
      </c>
      <c r="I302" s="4">
        <v>7.69</v>
      </c>
      <c r="J302" s="4">
        <v>1</v>
      </c>
      <c r="K302" s="17">
        <v>17.53</v>
      </c>
      <c r="L302" t="s">
        <v>1</v>
      </c>
    </row>
    <row r="303" spans="1:12" x14ac:dyDescent="0.25">
      <c r="A303" s="8">
        <v>46184.5</v>
      </c>
      <c r="B303" t="s">
        <v>14</v>
      </c>
      <c r="C303" t="s">
        <v>1207</v>
      </c>
      <c r="D303" t="s">
        <v>182</v>
      </c>
      <c r="E303" t="s">
        <v>3825</v>
      </c>
      <c r="F303" t="s">
        <v>75</v>
      </c>
      <c r="G303">
        <v>2</v>
      </c>
      <c r="H303" s="4">
        <v>3.8</v>
      </c>
      <c r="I303" s="4">
        <v>5.24</v>
      </c>
      <c r="J303" s="4">
        <v>-8.37</v>
      </c>
      <c r="K303" s="17">
        <v>-220.17</v>
      </c>
      <c r="L303" t="s">
        <v>1</v>
      </c>
    </row>
    <row r="304" spans="1:12" x14ac:dyDescent="0.25">
      <c r="A304" s="8">
        <v>46184.5</v>
      </c>
      <c r="B304" t="s">
        <v>15</v>
      </c>
      <c r="C304" t="s">
        <v>2011</v>
      </c>
      <c r="D304" t="s">
        <v>174</v>
      </c>
      <c r="E304" t="s">
        <v>3823</v>
      </c>
      <c r="F304" t="s">
        <v>66</v>
      </c>
      <c r="G304">
        <v>3</v>
      </c>
      <c r="H304" s="4">
        <v>12.75</v>
      </c>
      <c r="I304" s="4">
        <v>16.19</v>
      </c>
      <c r="J304" s="4">
        <v>1.11</v>
      </c>
      <c r="K304" s="17">
        <v>8.72</v>
      </c>
      <c r="L304" t="s">
        <v>1</v>
      </c>
    </row>
    <row r="305" spans="1:12" x14ac:dyDescent="0.25">
      <c r="A305" s="8">
        <v>46184.5</v>
      </c>
      <c r="B305" t="s">
        <v>16</v>
      </c>
      <c r="C305" t="s">
        <v>2775</v>
      </c>
      <c r="D305" t="s">
        <v>182</v>
      </c>
      <c r="E305" t="s">
        <v>3825</v>
      </c>
      <c r="F305" t="s">
        <v>75</v>
      </c>
      <c r="G305">
        <v>1</v>
      </c>
      <c r="H305" s="4">
        <v>1.9</v>
      </c>
      <c r="I305" s="4">
        <v>2.49</v>
      </c>
      <c r="J305" s="4">
        <v>0.28</v>
      </c>
      <c r="K305" s="17">
        <v>14.87</v>
      </c>
      <c r="L305" t="s">
        <v>1</v>
      </c>
    </row>
    <row r="306" spans="1:12" x14ac:dyDescent="0.25">
      <c r="A306" s="8">
        <v>46184.5</v>
      </c>
      <c r="B306" t="s">
        <v>17</v>
      </c>
      <c r="C306" t="s">
        <v>3552</v>
      </c>
      <c r="D306" t="s">
        <v>189</v>
      </c>
      <c r="E306" t="s">
        <v>3822</v>
      </c>
      <c r="F306" t="s">
        <v>66</v>
      </c>
      <c r="G306">
        <v>1</v>
      </c>
      <c r="H306" s="4">
        <v>3.5</v>
      </c>
      <c r="I306" s="4">
        <v>4.13</v>
      </c>
      <c r="J306" s="4">
        <v>0.33</v>
      </c>
      <c r="K306" s="17">
        <v>9.57</v>
      </c>
      <c r="L306" t="s">
        <v>1</v>
      </c>
    </row>
    <row r="307" spans="1:12" x14ac:dyDescent="0.25">
      <c r="A307" s="8">
        <v>46183.5</v>
      </c>
      <c r="B307" t="s">
        <v>13</v>
      </c>
      <c r="C307" t="s">
        <v>515</v>
      </c>
      <c r="D307" t="s">
        <v>189</v>
      </c>
      <c r="E307" t="s">
        <v>3822</v>
      </c>
      <c r="F307" t="s">
        <v>66</v>
      </c>
      <c r="G307">
        <v>2</v>
      </c>
      <c r="H307" s="4">
        <v>7</v>
      </c>
      <c r="I307" s="4">
        <v>9.73</v>
      </c>
      <c r="J307" s="4">
        <v>1.44</v>
      </c>
      <c r="K307" s="17">
        <v>20.59</v>
      </c>
      <c r="L307" t="s">
        <v>1</v>
      </c>
    </row>
    <row r="308" spans="1:12" x14ac:dyDescent="0.25">
      <c r="A308" s="8">
        <v>46183.5</v>
      </c>
      <c r="B308" t="s">
        <v>14</v>
      </c>
      <c r="C308" t="s">
        <v>1223</v>
      </c>
      <c r="D308" t="s">
        <v>189</v>
      </c>
      <c r="E308" t="s">
        <v>3822</v>
      </c>
      <c r="F308" t="s">
        <v>66</v>
      </c>
      <c r="G308">
        <v>2</v>
      </c>
      <c r="H308" s="4">
        <v>7</v>
      </c>
      <c r="I308" s="4">
        <v>10.15</v>
      </c>
      <c r="J308" s="4">
        <v>-7.48</v>
      </c>
      <c r="K308" s="17">
        <v>-106.88</v>
      </c>
      <c r="L308" t="s">
        <v>1</v>
      </c>
    </row>
    <row r="309" spans="1:12" x14ac:dyDescent="0.25">
      <c r="A309" s="8">
        <v>46183.5</v>
      </c>
      <c r="B309" t="s">
        <v>14</v>
      </c>
      <c r="C309" t="s">
        <v>1224</v>
      </c>
      <c r="D309" t="s">
        <v>185</v>
      </c>
      <c r="E309" t="s">
        <v>3826</v>
      </c>
      <c r="F309" t="s">
        <v>102</v>
      </c>
      <c r="G309">
        <v>1</v>
      </c>
      <c r="H309" s="4">
        <v>1.2</v>
      </c>
      <c r="I309" s="4">
        <v>1.66</v>
      </c>
      <c r="J309" s="4">
        <v>-8.79</v>
      </c>
      <c r="K309" s="17">
        <v>-732.44</v>
      </c>
      <c r="L309" t="s">
        <v>1</v>
      </c>
    </row>
    <row r="310" spans="1:12" x14ac:dyDescent="0.25">
      <c r="A310" s="8">
        <v>46183.5</v>
      </c>
      <c r="B310" t="s">
        <v>16</v>
      </c>
      <c r="C310" t="s">
        <v>2780</v>
      </c>
      <c r="D310" t="s">
        <v>185</v>
      </c>
      <c r="E310" t="s">
        <v>3826</v>
      </c>
      <c r="F310" t="s">
        <v>102</v>
      </c>
      <c r="G310">
        <v>1</v>
      </c>
      <c r="H310" s="4">
        <v>1.2</v>
      </c>
      <c r="I310" s="4">
        <v>1.52</v>
      </c>
      <c r="J310" s="4">
        <v>0.14</v>
      </c>
      <c r="K310" s="17">
        <v>11.58</v>
      </c>
      <c r="L310" t="s">
        <v>1</v>
      </c>
    </row>
    <row r="311" spans="1:12" x14ac:dyDescent="0.25">
      <c r="A311" s="8">
        <v>46183.5</v>
      </c>
      <c r="B311" t="s">
        <v>17</v>
      </c>
      <c r="C311" t="s">
        <v>3556</v>
      </c>
      <c r="D311" t="s">
        <v>189</v>
      </c>
      <c r="E311" t="s">
        <v>3822</v>
      </c>
      <c r="F311" t="s">
        <v>66</v>
      </c>
      <c r="G311">
        <v>1</v>
      </c>
      <c r="H311" s="4">
        <v>3.5</v>
      </c>
      <c r="I311" s="4">
        <v>4.2</v>
      </c>
      <c r="J311" s="4">
        <v>0.39</v>
      </c>
      <c r="K311" s="17">
        <v>11.24</v>
      </c>
      <c r="L311" t="s">
        <v>1</v>
      </c>
    </row>
    <row r="312" spans="1:12" x14ac:dyDescent="0.25">
      <c r="A312" s="8">
        <v>46183.5</v>
      </c>
      <c r="B312" t="s">
        <v>17</v>
      </c>
      <c r="C312" t="s">
        <v>3555</v>
      </c>
      <c r="D312" t="s">
        <v>254</v>
      </c>
      <c r="E312" t="s">
        <v>3827</v>
      </c>
      <c r="F312" t="s">
        <v>61</v>
      </c>
      <c r="G312">
        <v>4</v>
      </c>
      <c r="H312" s="4">
        <v>3.2</v>
      </c>
      <c r="I312" s="4">
        <v>4.22</v>
      </c>
      <c r="J312" s="4">
        <v>0.66</v>
      </c>
      <c r="K312" s="17">
        <v>20.62</v>
      </c>
      <c r="L312" t="s">
        <v>1</v>
      </c>
    </row>
    <row r="313" spans="1:12" x14ac:dyDescent="0.25">
      <c r="A313" s="8">
        <v>46182.5</v>
      </c>
      <c r="B313" t="s">
        <v>13</v>
      </c>
      <c r="C313" t="s">
        <v>522</v>
      </c>
      <c r="D313" t="s">
        <v>189</v>
      </c>
      <c r="E313" t="s">
        <v>3822</v>
      </c>
      <c r="F313" t="s">
        <v>66</v>
      </c>
      <c r="G313">
        <v>4</v>
      </c>
      <c r="H313" s="4">
        <v>14</v>
      </c>
      <c r="I313" s="4">
        <v>16.1</v>
      </c>
      <c r="J313" s="4">
        <v>0.37</v>
      </c>
      <c r="K313" s="17">
        <v>2.65</v>
      </c>
      <c r="L313" t="s">
        <v>1</v>
      </c>
    </row>
    <row r="314" spans="1:12" x14ac:dyDescent="0.25">
      <c r="A314" s="8">
        <v>46182.5</v>
      </c>
      <c r="B314" t="s">
        <v>13</v>
      </c>
      <c r="C314" t="s">
        <v>523</v>
      </c>
      <c r="D314" t="s">
        <v>189</v>
      </c>
      <c r="E314" t="s">
        <v>3822</v>
      </c>
      <c r="F314" t="s">
        <v>66</v>
      </c>
      <c r="G314">
        <v>3</v>
      </c>
      <c r="H314" s="4">
        <v>10.5</v>
      </c>
      <c r="I314" s="4">
        <v>14.39</v>
      </c>
      <c r="J314" s="4">
        <v>2.01</v>
      </c>
      <c r="K314" s="17">
        <v>19.13</v>
      </c>
      <c r="L314" t="s">
        <v>1</v>
      </c>
    </row>
    <row r="315" spans="1:12" x14ac:dyDescent="0.25">
      <c r="A315" s="8">
        <v>46182.5</v>
      </c>
      <c r="B315" t="s">
        <v>14</v>
      </c>
      <c r="C315" t="s">
        <v>1235</v>
      </c>
      <c r="D315" t="s">
        <v>177</v>
      </c>
      <c r="E315" t="s">
        <v>3824</v>
      </c>
      <c r="F315" t="s">
        <v>78</v>
      </c>
      <c r="G315">
        <v>1</v>
      </c>
      <c r="H315" s="4">
        <v>0.15</v>
      </c>
      <c r="I315" s="4">
        <v>0.17</v>
      </c>
      <c r="J315" s="4">
        <v>-8.99</v>
      </c>
      <c r="K315" s="17">
        <v>-5994.69</v>
      </c>
      <c r="L315" t="s">
        <v>1</v>
      </c>
    </row>
    <row r="316" spans="1:12" x14ac:dyDescent="0.25">
      <c r="A316" s="8">
        <v>46182.5</v>
      </c>
      <c r="B316" t="s">
        <v>14</v>
      </c>
      <c r="C316" t="s">
        <v>1236</v>
      </c>
      <c r="D316" t="s">
        <v>177</v>
      </c>
      <c r="E316" t="s">
        <v>3824</v>
      </c>
      <c r="F316" t="s">
        <v>78</v>
      </c>
      <c r="G316">
        <v>4</v>
      </c>
      <c r="H316" s="4">
        <v>0.6</v>
      </c>
      <c r="I316" s="4">
        <v>0.8</v>
      </c>
      <c r="J316" s="4">
        <v>-8.91</v>
      </c>
      <c r="K316" s="17">
        <v>-1485.22</v>
      </c>
      <c r="L316" t="s">
        <v>1</v>
      </c>
    </row>
    <row r="317" spans="1:12" x14ac:dyDescent="0.25">
      <c r="A317" s="8">
        <v>46182.5</v>
      </c>
      <c r="B317" t="s">
        <v>16</v>
      </c>
      <c r="C317" t="s">
        <v>2789</v>
      </c>
      <c r="D317" t="s">
        <v>174</v>
      </c>
      <c r="E317" t="s">
        <v>3823</v>
      </c>
      <c r="F317" t="s">
        <v>66</v>
      </c>
      <c r="G317">
        <v>1</v>
      </c>
      <c r="H317" s="4">
        <v>4.25</v>
      </c>
      <c r="I317" s="4">
        <v>5.78</v>
      </c>
      <c r="J317" s="4">
        <v>0.79</v>
      </c>
      <c r="K317" s="17">
        <v>18.57</v>
      </c>
      <c r="L317" t="s">
        <v>1</v>
      </c>
    </row>
    <row r="318" spans="1:12" x14ac:dyDescent="0.25">
      <c r="A318" s="8">
        <v>46182.5</v>
      </c>
      <c r="B318" t="s">
        <v>16</v>
      </c>
      <c r="C318" t="s">
        <v>2790</v>
      </c>
      <c r="D318" t="s">
        <v>254</v>
      </c>
      <c r="E318" t="s">
        <v>3827</v>
      </c>
      <c r="F318" t="s">
        <v>61</v>
      </c>
      <c r="G318">
        <v>1</v>
      </c>
      <c r="H318" s="4">
        <v>0.8</v>
      </c>
      <c r="I318" s="4">
        <v>1.11</v>
      </c>
      <c r="J318" s="4">
        <v>0.17</v>
      </c>
      <c r="K318" s="17">
        <v>20.64</v>
      </c>
      <c r="L318" t="s">
        <v>1</v>
      </c>
    </row>
    <row r="319" spans="1:12" x14ac:dyDescent="0.25">
      <c r="A319" s="8">
        <v>46181.5</v>
      </c>
      <c r="B319" t="s">
        <v>13</v>
      </c>
      <c r="C319" t="s">
        <v>532</v>
      </c>
      <c r="D319" t="s">
        <v>177</v>
      </c>
      <c r="E319" t="s">
        <v>3824</v>
      </c>
      <c r="F319" t="s">
        <v>78</v>
      </c>
      <c r="G319">
        <v>1</v>
      </c>
      <c r="H319" s="4">
        <v>0.15</v>
      </c>
      <c r="I319" s="4">
        <v>0.2</v>
      </c>
      <c r="J319" s="4">
        <v>0.02</v>
      </c>
      <c r="K319" s="17">
        <v>16.35</v>
      </c>
      <c r="L319" t="s">
        <v>1</v>
      </c>
    </row>
    <row r="320" spans="1:12" x14ac:dyDescent="0.25">
      <c r="A320" s="8">
        <v>46181.5</v>
      </c>
      <c r="B320" t="s">
        <v>13</v>
      </c>
      <c r="C320" t="s">
        <v>533</v>
      </c>
      <c r="D320" t="s">
        <v>177</v>
      </c>
      <c r="E320" t="s">
        <v>3824</v>
      </c>
      <c r="F320" t="s">
        <v>78</v>
      </c>
      <c r="G320">
        <v>4</v>
      </c>
      <c r="H320" s="4">
        <v>0.6</v>
      </c>
      <c r="I320" s="4">
        <v>0.74</v>
      </c>
      <c r="J320" s="4">
        <v>0.05</v>
      </c>
      <c r="K320" s="17">
        <v>8.88</v>
      </c>
      <c r="L320" t="s">
        <v>1</v>
      </c>
    </row>
    <row r="321" spans="1:12" x14ac:dyDescent="0.25">
      <c r="A321" s="8">
        <v>46181.5</v>
      </c>
      <c r="B321" t="s">
        <v>14</v>
      </c>
      <c r="C321" t="s">
        <v>1249</v>
      </c>
      <c r="D321" t="s">
        <v>254</v>
      </c>
      <c r="E321" t="s">
        <v>3827</v>
      </c>
      <c r="F321" t="s">
        <v>61</v>
      </c>
      <c r="G321">
        <v>2</v>
      </c>
      <c r="H321" s="4">
        <v>1.6</v>
      </c>
      <c r="I321" s="4">
        <v>2.13</v>
      </c>
      <c r="J321" s="4">
        <v>-8.78</v>
      </c>
      <c r="K321" s="17">
        <v>-548.92</v>
      </c>
      <c r="L321" t="s">
        <v>1</v>
      </c>
    </row>
    <row r="322" spans="1:12" x14ac:dyDescent="0.25">
      <c r="A322" s="8">
        <v>46181.5</v>
      </c>
      <c r="B322" t="s">
        <v>15</v>
      </c>
      <c r="C322" t="s">
        <v>2022</v>
      </c>
      <c r="D322" t="s">
        <v>177</v>
      </c>
      <c r="E322" t="s">
        <v>3824</v>
      </c>
      <c r="F322" t="s">
        <v>78</v>
      </c>
      <c r="G322">
        <v>3</v>
      </c>
      <c r="H322" s="4">
        <v>0.45</v>
      </c>
      <c r="I322" s="4">
        <v>0.52</v>
      </c>
      <c r="J322" s="4">
        <v>-0.46</v>
      </c>
      <c r="K322" s="17">
        <v>-102.8</v>
      </c>
      <c r="L322" t="s">
        <v>1</v>
      </c>
    </row>
    <row r="323" spans="1:12" x14ac:dyDescent="0.25">
      <c r="A323" s="8">
        <v>46181.5</v>
      </c>
      <c r="B323" t="s">
        <v>16</v>
      </c>
      <c r="C323" t="s">
        <v>2798</v>
      </c>
      <c r="D323" t="s">
        <v>182</v>
      </c>
      <c r="E323" t="s">
        <v>3825</v>
      </c>
      <c r="F323" t="s">
        <v>75</v>
      </c>
      <c r="G323">
        <v>1</v>
      </c>
      <c r="H323" s="4">
        <v>1.9</v>
      </c>
      <c r="I323" s="4">
        <v>2.49</v>
      </c>
      <c r="J323" s="4">
        <v>0.28</v>
      </c>
      <c r="K323" s="17">
        <v>14.87</v>
      </c>
      <c r="L323" t="s">
        <v>1</v>
      </c>
    </row>
    <row r="324" spans="1:12" x14ac:dyDescent="0.25">
      <c r="A324" s="8">
        <v>46180.5</v>
      </c>
      <c r="B324" t="s">
        <v>13</v>
      </c>
      <c r="C324" t="s">
        <v>534</v>
      </c>
      <c r="D324" t="s">
        <v>174</v>
      </c>
      <c r="E324" t="s">
        <v>3823</v>
      </c>
      <c r="F324" t="s">
        <v>66</v>
      </c>
      <c r="G324">
        <v>3</v>
      </c>
      <c r="H324" s="4">
        <v>12.75</v>
      </c>
      <c r="I324" s="4">
        <v>18.23</v>
      </c>
      <c r="J324" s="4">
        <v>3</v>
      </c>
      <c r="K324" s="17">
        <v>23.57</v>
      </c>
      <c r="L324" t="s">
        <v>1</v>
      </c>
    </row>
    <row r="325" spans="1:12" x14ac:dyDescent="0.25">
      <c r="A325" s="8">
        <v>46180.5</v>
      </c>
      <c r="B325" t="s">
        <v>13</v>
      </c>
      <c r="C325" t="s">
        <v>535</v>
      </c>
      <c r="D325" t="s">
        <v>254</v>
      </c>
      <c r="E325" t="s">
        <v>3827</v>
      </c>
      <c r="F325" t="s">
        <v>61</v>
      </c>
      <c r="G325">
        <v>1</v>
      </c>
      <c r="H325" s="4">
        <v>0.8</v>
      </c>
      <c r="I325" s="4">
        <v>1.12</v>
      </c>
      <c r="J325" s="4">
        <v>0.17</v>
      </c>
      <c r="K325" s="17">
        <v>21.34</v>
      </c>
      <c r="L325" t="s">
        <v>1</v>
      </c>
    </row>
    <row r="326" spans="1:12" x14ac:dyDescent="0.25">
      <c r="A326" s="8">
        <v>46180.5</v>
      </c>
      <c r="B326" t="s">
        <v>14</v>
      </c>
      <c r="C326" t="s">
        <v>1259</v>
      </c>
      <c r="D326" t="s">
        <v>254</v>
      </c>
      <c r="E326" t="s">
        <v>3827</v>
      </c>
      <c r="F326" t="s">
        <v>61</v>
      </c>
      <c r="G326">
        <v>2</v>
      </c>
      <c r="H326" s="4">
        <v>1.6</v>
      </c>
      <c r="I326" s="4">
        <v>1.92</v>
      </c>
      <c r="J326" s="4">
        <v>-8.93</v>
      </c>
      <c r="K326" s="17">
        <v>-558.41</v>
      </c>
      <c r="L326" t="s">
        <v>1</v>
      </c>
    </row>
    <row r="327" spans="1:12" x14ac:dyDescent="0.25">
      <c r="A327" s="8">
        <v>46180.5</v>
      </c>
      <c r="B327" t="s">
        <v>14</v>
      </c>
      <c r="C327" t="s">
        <v>1260</v>
      </c>
      <c r="D327" t="s">
        <v>182</v>
      </c>
      <c r="E327" t="s">
        <v>3825</v>
      </c>
      <c r="F327" t="s">
        <v>75</v>
      </c>
      <c r="G327">
        <v>4</v>
      </c>
      <c r="H327" s="4">
        <v>7.6</v>
      </c>
      <c r="I327" s="4">
        <v>8.97</v>
      </c>
      <c r="J327" s="4">
        <v>-8.84</v>
      </c>
      <c r="K327" s="17">
        <v>-116.25</v>
      </c>
      <c r="L327" t="s">
        <v>1</v>
      </c>
    </row>
    <row r="328" spans="1:12" x14ac:dyDescent="0.25">
      <c r="A328" s="8">
        <v>46180.5</v>
      </c>
      <c r="B328" t="s">
        <v>14</v>
      </c>
      <c r="C328" t="s">
        <v>1261</v>
      </c>
      <c r="D328" t="s">
        <v>185</v>
      </c>
      <c r="E328" t="s">
        <v>3826</v>
      </c>
      <c r="F328" t="s">
        <v>102</v>
      </c>
      <c r="G328">
        <v>3</v>
      </c>
      <c r="H328" s="4">
        <v>3.6</v>
      </c>
      <c r="I328" s="4">
        <v>5.08</v>
      </c>
      <c r="J328" s="4">
        <v>-8.32</v>
      </c>
      <c r="K328" s="17">
        <v>-230.99</v>
      </c>
      <c r="L328" t="s">
        <v>1</v>
      </c>
    </row>
    <row r="329" spans="1:12" x14ac:dyDescent="0.25">
      <c r="A329" s="8">
        <v>46180.5</v>
      </c>
      <c r="B329" t="s">
        <v>15</v>
      </c>
      <c r="C329" t="s">
        <v>2033</v>
      </c>
      <c r="D329" t="s">
        <v>174</v>
      </c>
      <c r="E329" t="s">
        <v>3823</v>
      </c>
      <c r="F329" t="s">
        <v>66</v>
      </c>
      <c r="G329">
        <v>1</v>
      </c>
      <c r="H329" s="4">
        <v>4.25</v>
      </c>
      <c r="I329" s="4">
        <v>5.14</v>
      </c>
      <c r="J329" s="4">
        <v>-0.14</v>
      </c>
      <c r="K329" s="17">
        <v>-3.36</v>
      </c>
      <c r="L329" t="s">
        <v>1</v>
      </c>
    </row>
    <row r="330" spans="1:12" x14ac:dyDescent="0.25">
      <c r="A330" s="8">
        <v>46180.5</v>
      </c>
      <c r="B330" t="s">
        <v>15</v>
      </c>
      <c r="C330" t="s">
        <v>2034</v>
      </c>
      <c r="D330" t="s">
        <v>185</v>
      </c>
      <c r="E330" t="s">
        <v>3826</v>
      </c>
      <c r="F330" t="s">
        <v>102</v>
      </c>
      <c r="G330">
        <v>1</v>
      </c>
      <c r="H330" s="4">
        <v>1.2</v>
      </c>
      <c r="I330" s="4">
        <v>1.39</v>
      </c>
      <c r="J330" s="4">
        <v>-0.43</v>
      </c>
      <c r="K330" s="17">
        <v>-35.92</v>
      </c>
      <c r="L330" t="s">
        <v>1</v>
      </c>
    </row>
    <row r="331" spans="1:12" x14ac:dyDescent="0.25">
      <c r="A331" s="8">
        <v>46179.5</v>
      </c>
      <c r="B331" t="s">
        <v>13</v>
      </c>
      <c r="C331" t="s">
        <v>546</v>
      </c>
      <c r="D331" t="s">
        <v>177</v>
      </c>
      <c r="E331" t="s">
        <v>3824</v>
      </c>
      <c r="F331" t="s">
        <v>78</v>
      </c>
      <c r="G331">
        <v>4</v>
      </c>
      <c r="H331" s="4">
        <v>0.6</v>
      </c>
      <c r="I331" s="4">
        <v>0.76</v>
      </c>
      <c r="J331" s="4">
        <v>0.07</v>
      </c>
      <c r="K331" s="17">
        <v>11.37</v>
      </c>
      <c r="L331" t="s">
        <v>1</v>
      </c>
    </row>
    <row r="332" spans="1:12" x14ac:dyDescent="0.25">
      <c r="A332" s="8">
        <v>46179.5</v>
      </c>
      <c r="B332" t="s">
        <v>14</v>
      </c>
      <c r="C332" t="s">
        <v>1268</v>
      </c>
      <c r="D332" t="s">
        <v>174</v>
      </c>
      <c r="E332" t="s">
        <v>3823</v>
      </c>
      <c r="F332" t="s">
        <v>66</v>
      </c>
      <c r="G332">
        <v>4</v>
      </c>
      <c r="H332" s="4">
        <v>17</v>
      </c>
      <c r="I332" s="4">
        <v>22.78</v>
      </c>
      <c r="J332" s="4">
        <v>-6.68</v>
      </c>
      <c r="K332" s="17">
        <v>-39.29</v>
      </c>
      <c r="L332" t="s">
        <v>1</v>
      </c>
    </row>
    <row r="333" spans="1:12" x14ac:dyDescent="0.25">
      <c r="A333" s="8">
        <v>46179.5</v>
      </c>
      <c r="B333" t="s">
        <v>16</v>
      </c>
      <c r="C333" t="s">
        <v>2818</v>
      </c>
      <c r="D333" t="s">
        <v>174</v>
      </c>
      <c r="E333" t="s">
        <v>3823</v>
      </c>
      <c r="F333" t="s">
        <v>66</v>
      </c>
      <c r="G333">
        <v>1</v>
      </c>
      <c r="H333" s="4">
        <v>4.25</v>
      </c>
      <c r="I333" s="4">
        <v>6.16</v>
      </c>
      <c r="J333" s="4">
        <v>1.07</v>
      </c>
      <c r="K333" s="17">
        <v>25.27</v>
      </c>
      <c r="L333" t="s">
        <v>1</v>
      </c>
    </row>
    <row r="334" spans="1:12" x14ac:dyDescent="0.25">
      <c r="A334" s="8">
        <v>46179.5</v>
      </c>
      <c r="B334" t="s">
        <v>16</v>
      </c>
      <c r="C334" t="s">
        <v>2819</v>
      </c>
      <c r="D334" t="s">
        <v>254</v>
      </c>
      <c r="E334" t="s">
        <v>3827</v>
      </c>
      <c r="F334" t="s">
        <v>61</v>
      </c>
      <c r="G334">
        <v>1</v>
      </c>
      <c r="H334" s="4">
        <v>0.8</v>
      </c>
      <c r="I334" s="4">
        <v>0.94</v>
      </c>
      <c r="J334" s="4">
        <v>0.04</v>
      </c>
      <c r="K334" s="17">
        <v>4.71</v>
      </c>
      <c r="L334" t="s">
        <v>1</v>
      </c>
    </row>
    <row r="335" spans="1:12" x14ac:dyDescent="0.25">
      <c r="A335" s="8">
        <v>46179.5</v>
      </c>
      <c r="B335" t="s">
        <v>17</v>
      </c>
      <c r="C335" t="s">
        <v>3597</v>
      </c>
      <c r="D335" t="s">
        <v>189</v>
      </c>
      <c r="E335" t="s">
        <v>3822</v>
      </c>
      <c r="F335" t="s">
        <v>66</v>
      </c>
      <c r="G335">
        <v>3</v>
      </c>
      <c r="H335" s="4">
        <v>10.5</v>
      </c>
      <c r="I335" s="4">
        <v>13.96</v>
      </c>
      <c r="J335" s="4">
        <v>2.24</v>
      </c>
      <c r="K335" s="17">
        <v>21.36</v>
      </c>
      <c r="L335" t="s">
        <v>1</v>
      </c>
    </row>
    <row r="336" spans="1:12" x14ac:dyDescent="0.25">
      <c r="A336" s="8">
        <v>46179.5</v>
      </c>
      <c r="B336" t="s">
        <v>17</v>
      </c>
      <c r="C336" t="s">
        <v>3593</v>
      </c>
      <c r="D336" t="s">
        <v>182</v>
      </c>
      <c r="E336" t="s">
        <v>3825</v>
      </c>
      <c r="F336" t="s">
        <v>75</v>
      </c>
      <c r="G336">
        <v>3</v>
      </c>
      <c r="H336" s="4">
        <v>5.7</v>
      </c>
      <c r="I336" s="4">
        <v>7.24</v>
      </c>
      <c r="J336" s="4">
        <v>0.95</v>
      </c>
      <c r="K336" s="17">
        <v>16.72</v>
      </c>
      <c r="L336" t="s">
        <v>1</v>
      </c>
    </row>
    <row r="337" spans="1:12" x14ac:dyDescent="0.25">
      <c r="A337" s="8">
        <v>46179.5</v>
      </c>
      <c r="B337" t="s">
        <v>17</v>
      </c>
      <c r="C337" t="s">
        <v>3594</v>
      </c>
      <c r="D337" t="s">
        <v>185</v>
      </c>
      <c r="E337" t="s">
        <v>3826</v>
      </c>
      <c r="F337" t="s">
        <v>102</v>
      </c>
      <c r="G337">
        <v>1</v>
      </c>
      <c r="H337" s="4">
        <v>1.2</v>
      </c>
      <c r="I337" s="4">
        <v>1.64</v>
      </c>
      <c r="J337" s="4">
        <v>0.29</v>
      </c>
      <c r="K337" s="17">
        <v>23.89</v>
      </c>
      <c r="L337" t="s">
        <v>1</v>
      </c>
    </row>
    <row r="338" spans="1:12" x14ac:dyDescent="0.25">
      <c r="A338" s="8">
        <v>46178.5</v>
      </c>
      <c r="B338" t="s">
        <v>13</v>
      </c>
      <c r="C338" t="s">
        <v>557</v>
      </c>
      <c r="D338" t="s">
        <v>182</v>
      </c>
      <c r="E338" t="s">
        <v>3825</v>
      </c>
      <c r="F338" t="s">
        <v>75</v>
      </c>
      <c r="G338">
        <v>1</v>
      </c>
      <c r="H338" s="4">
        <v>1.9</v>
      </c>
      <c r="I338" s="4">
        <v>2.34</v>
      </c>
      <c r="J338" s="4">
        <v>0.17</v>
      </c>
      <c r="K338" s="17">
        <v>8.75</v>
      </c>
      <c r="L338" t="s">
        <v>1</v>
      </c>
    </row>
    <row r="339" spans="1:12" x14ac:dyDescent="0.25">
      <c r="A339" s="8">
        <v>46178.5</v>
      </c>
      <c r="B339" t="s">
        <v>14</v>
      </c>
      <c r="C339" t="s">
        <v>1269</v>
      </c>
      <c r="D339" t="s">
        <v>189</v>
      </c>
      <c r="E339" t="s">
        <v>3822</v>
      </c>
      <c r="F339" t="s">
        <v>66</v>
      </c>
      <c r="G339">
        <v>1</v>
      </c>
      <c r="H339" s="4">
        <v>3.5</v>
      </c>
      <c r="I339" s="4">
        <v>4.2</v>
      </c>
      <c r="J339" s="4">
        <v>-8.87</v>
      </c>
      <c r="K339" s="17">
        <v>-253.39</v>
      </c>
      <c r="L339" t="s">
        <v>1</v>
      </c>
    </row>
    <row r="340" spans="1:12" x14ac:dyDescent="0.25">
      <c r="A340" s="8">
        <v>46178.5</v>
      </c>
      <c r="B340" t="s">
        <v>15</v>
      </c>
      <c r="C340" t="s">
        <v>2046</v>
      </c>
      <c r="D340" t="s">
        <v>189</v>
      </c>
      <c r="E340" t="s">
        <v>3822</v>
      </c>
      <c r="F340" t="s">
        <v>66</v>
      </c>
      <c r="G340">
        <v>3</v>
      </c>
      <c r="H340" s="4">
        <v>10.5</v>
      </c>
      <c r="I340" s="4">
        <v>15.22</v>
      </c>
      <c r="J340" s="4">
        <v>2.26</v>
      </c>
      <c r="K340" s="17">
        <v>21.48</v>
      </c>
      <c r="L340" t="s">
        <v>1</v>
      </c>
    </row>
    <row r="341" spans="1:12" x14ac:dyDescent="0.25">
      <c r="A341" s="8">
        <v>46178.5</v>
      </c>
      <c r="B341" t="s">
        <v>15</v>
      </c>
      <c r="C341" t="s">
        <v>2047</v>
      </c>
      <c r="D341" t="s">
        <v>174</v>
      </c>
      <c r="E341" t="s">
        <v>3823</v>
      </c>
      <c r="F341" t="s">
        <v>66</v>
      </c>
      <c r="G341">
        <v>1</v>
      </c>
      <c r="H341" s="4">
        <v>4.25</v>
      </c>
      <c r="I341" s="4">
        <v>5.48</v>
      </c>
      <c r="J341" s="4">
        <v>0.11</v>
      </c>
      <c r="K341" s="17">
        <v>2.67</v>
      </c>
      <c r="L341" t="s">
        <v>1</v>
      </c>
    </row>
    <row r="342" spans="1:12" x14ac:dyDescent="0.25">
      <c r="A342" s="8">
        <v>46178.5</v>
      </c>
      <c r="B342" t="s">
        <v>17</v>
      </c>
      <c r="C342" t="s">
        <v>3608</v>
      </c>
      <c r="D342" t="s">
        <v>254</v>
      </c>
      <c r="E342" t="s">
        <v>3827</v>
      </c>
      <c r="F342" t="s">
        <v>61</v>
      </c>
      <c r="G342">
        <v>3</v>
      </c>
      <c r="H342" s="4">
        <v>2.4</v>
      </c>
      <c r="I342" s="4">
        <v>2.83</v>
      </c>
      <c r="J342" s="4">
        <v>0.23</v>
      </c>
      <c r="K342" s="17">
        <v>9.51</v>
      </c>
      <c r="L342" t="s">
        <v>1</v>
      </c>
    </row>
    <row r="343" spans="1:12" x14ac:dyDescent="0.25">
      <c r="A343" s="8">
        <v>46178.5</v>
      </c>
      <c r="B343" t="s">
        <v>17</v>
      </c>
      <c r="C343" t="s">
        <v>3609</v>
      </c>
      <c r="D343" t="s">
        <v>185</v>
      </c>
      <c r="E343" t="s">
        <v>3826</v>
      </c>
      <c r="F343" t="s">
        <v>102</v>
      </c>
      <c r="G343">
        <v>4</v>
      </c>
      <c r="H343" s="4">
        <v>4.8</v>
      </c>
      <c r="I343" s="4">
        <v>5.9</v>
      </c>
      <c r="J343" s="4">
        <v>0.65</v>
      </c>
      <c r="K343" s="17">
        <v>13.47</v>
      </c>
      <c r="L343" t="s">
        <v>1</v>
      </c>
    </row>
    <row r="344" spans="1:12" x14ac:dyDescent="0.25">
      <c r="A344" s="8">
        <v>46178.5</v>
      </c>
      <c r="B344" t="s">
        <v>17</v>
      </c>
      <c r="C344" t="s">
        <v>3610</v>
      </c>
      <c r="D344" t="s">
        <v>185</v>
      </c>
      <c r="E344" t="s">
        <v>3826</v>
      </c>
      <c r="F344" t="s">
        <v>102</v>
      </c>
      <c r="G344">
        <v>3</v>
      </c>
      <c r="H344" s="4">
        <v>3.6</v>
      </c>
      <c r="I344" s="4">
        <v>4.14</v>
      </c>
      <c r="J344" s="4">
        <v>0.26</v>
      </c>
      <c r="K344" s="17">
        <v>7.22</v>
      </c>
      <c r="L344" t="s">
        <v>1</v>
      </c>
    </row>
    <row r="345" spans="1:12" x14ac:dyDescent="0.25">
      <c r="A345" s="8">
        <v>46177.5</v>
      </c>
      <c r="B345" t="s">
        <v>14</v>
      </c>
      <c r="C345" t="s">
        <v>1276</v>
      </c>
      <c r="D345" t="s">
        <v>177</v>
      </c>
      <c r="E345" t="s">
        <v>3824</v>
      </c>
      <c r="F345" t="s">
        <v>78</v>
      </c>
      <c r="G345">
        <v>4</v>
      </c>
      <c r="H345" s="4">
        <v>0.6</v>
      </c>
      <c r="I345" s="4">
        <v>0.7</v>
      </c>
      <c r="J345" s="4">
        <v>-8.98</v>
      </c>
      <c r="K345" s="17">
        <v>-1497.28</v>
      </c>
      <c r="L345" t="s">
        <v>1</v>
      </c>
    </row>
    <row r="346" spans="1:12" x14ac:dyDescent="0.25">
      <c r="A346" s="8">
        <v>46177.5</v>
      </c>
      <c r="B346" t="s">
        <v>14</v>
      </c>
      <c r="C346" t="s">
        <v>1277</v>
      </c>
      <c r="D346" t="s">
        <v>182</v>
      </c>
      <c r="E346" t="s">
        <v>3825</v>
      </c>
      <c r="F346" t="s">
        <v>75</v>
      </c>
      <c r="G346">
        <v>4</v>
      </c>
      <c r="H346" s="4">
        <v>7.6</v>
      </c>
      <c r="I346" s="4">
        <v>8.82</v>
      </c>
      <c r="J346" s="4">
        <v>-8.94</v>
      </c>
      <c r="K346" s="17">
        <v>-117.68</v>
      </c>
      <c r="L346" t="s">
        <v>1</v>
      </c>
    </row>
    <row r="347" spans="1:12" x14ac:dyDescent="0.25">
      <c r="A347" s="8">
        <v>46177.5</v>
      </c>
      <c r="B347" t="s">
        <v>15</v>
      </c>
      <c r="C347" t="s">
        <v>2058</v>
      </c>
      <c r="D347" t="s">
        <v>254</v>
      </c>
      <c r="E347" t="s">
        <v>3827</v>
      </c>
      <c r="F347" t="s">
        <v>61</v>
      </c>
      <c r="G347">
        <v>2</v>
      </c>
      <c r="H347" s="4">
        <v>1.6</v>
      </c>
      <c r="I347" s="4">
        <v>2.02</v>
      </c>
      <c r="J347" s="4">
        <v>-0.29</v>
      </c>
      <c r="K347" s="17">
        <v>-18.06</v>
      </c>
      <c r="L347" t="s">
        <v>1</v>
      </c>
    </row>
    <row r="348" spans="1:12" x14ac:dyDescent="0.25">
      <c r="A348" s="8">
        <v>46177.5</v>
      </c>
      <c r="B348" t="s">
        <v>17</v>
      </c>
      <c r="C348" t="s">
        <v>3619</v>
      </c>
      <c r="D348" t="s">
        <v>185</v>
      </c>
      <c r="E348" t="s">
        <v>3826</v>
      </c>
      <c r="F348" t="s">
        <v>102</v>
      </c>
      <c r="G348">
        <v>2</v>
      </c>
      <c r="H348" s="4">
        <v>2.4</v>
      </c>
      <c r="I348" s="4">
        <v>2.81</v>
      </c>
      <c r="J348" s="4">
        <v>0.21</v>
      </c>
      <c r="K348" s="17">
        <v>8.82</v>
      </c>
      <c r="L348" t="s">
        <v>1</v>
      </c>
    </row>
    <row r="349" spans="1:12" x14ac:dyDescent="0.25">
      <c r="A349" s="8">
        <v>46176.5</v>
      </c>
      <c r="B349" t="s">
        <v>13</v>
      </c>
      <c r="C349" t="s">
        <v>572</v>
      </c>
      <c r="D349" t="s">
        <v>182</v>
      </c>
      <c r="E349" t="s">
        <v>3825</v>
      </c>
      <c r="F349" t="s">
        <v>75</v>
      </c>
      <c r="G349">
        <v>2</v>
      </c>
      <c r="H349" s="4">
        <v>3.8</v>
      </c>
      <c r="I349" s="4">
        <v>5.24</v>
      </c>
      <c r="J349" s="4">
        <v>0.75</v>
      </c>
      <c r="K349" s="17">
        <v>19.76</v>
      </c>
      <c r="L349" t="s">
        <v>1</v>
      </c>
    </row>
    <row r="350" spans="1:12" x14ac:dyDescent="0.25">
      <c r="A350" s="8">
        <v>46176.5</v>
      </c>
      <c r="B350" t="s">
        <v>15</v>
      </c>
      <c r="C350" t="s">
        <v>2069</v>
      </c>
      <c r="D350" t="s">
        <v>174</v>
      </c>
      <c r="E350" t="s">
        <v>3823</v>
      </c>
      <c r="F350" t="s">
        <v>66</v>
      </c>
      <c r="G350">
        <v>2</v>
      </c>
      <c r="H350" s="4">
        <v>8.5</v>
      </c>
      <c r="I350" s="4">
        <v>11.98</v>
      </c>
      <c r="J350" s="4">
        <v>1.48</v>
      </c>
      <c r="K350" s="17">
        <v>17.37</v>
      </c>
      <c r="L350" t="s">
        <v>1</v>
      </c>
    </row>
    <row r="351" spans="1:12" x14ac:dyDescent="0.25">
      <c r="A351" s="8">
        <v>46176.5</v>
      </c>
      <c r="B351" t="s">
        <v>15</v>
      </c>
      <c r="C351" t="s">
        <v>2070</v>
      </c>
      <c r="D351" t="s">
        <v>185</v>
      </c>
      <c r="E351" t="s">
        <v>3826</v>
      </c>
      <c r="F351" t="s">
        <v>102</v>
      </c>
      <c r="G351">
        <v>1</v>
      </c>
      <c r="H351" s="4">
        <v>1.2</v>
      </c>
      <c r="I351" s="4">
        <v>1.39</v>
      </c>
      <c r="J351" s="4">
        <v>-0.43</v>
      </c>
      <c r="K351" s="17">
        <v>-35.92</v>
      </c>
      <c r="L351" t="s">
        <v>1</v>
      </c>
    </row>
    <row r="352" spans="1:12" x14ac:dyDescent="0.25">
      <c r="A352" s="8">
        <v>46176.5</v>
      </c>
      <c r="B352" t="s">
        <v>16</v>
      </c>
      <c r="C352" t="s">
        <v>2848</v>
      </c>
      <c r="D352" t="s">
        <v>174</v>
      </c>
      <c r="E352" t="s">
        <v>3823</v>
      </c>
      <c r="F352" t="s">
        <v>66</v>
      </c>
      <c r="G352">
        <v>1</v>
      </c>
      <c r="H352" s="4">
        <v>4.25</v>
      </c>
      <c r="I352" s="4">
        <v>5.74</v>
      </c>
      <c r="J352" s="4">
        <v>0.76</v>
      </c>
      <c r="K352" s="17">
        <v>17.87</v>
      </c>
      <c r="L352" t="s">
        <v>1</v>
      </c>
    </row>
    <row r="353" spans="1:12" x14ac:dyDescent="0.25">
      <c r="A353" s="8">
        <v>46175.5</v>
      </c>
      <c r="B353" t="s">
        <v>13</v>
      </c>
      <c r="C353" t="s">
        <v>581</v>
      </c>
      <c r="D353" t="s">
        <v>185</v>
      </c>
      <c r="E353" t="s">
        <v>3826</v>
      </c>
      <c r="F353" t="s">
        <v>102</v>
      </c>
      <c r="G353">
        <v>1</v>
      </c>
      <c r="H353" s="4">
        <v>1.2</v>
      </c>
      <c r="I353" s="4">
        <v>1.51</v>
      </c>
      <c r="J353" s="4">
        <v>0.13</v>
      </c>
      <c r="K353" s="17">
        <v>10.75</v>
      </c>
      <c r="L353" t="s">
        <v>1</v>
      </c>
    </row>
    <row r="354" spans="1:12" x14ac:dyDescent="0.25">
      <c r="A354" s="8">
        <v>46175.5</v>
      </c>
      <c r="B354" t="s">
        <v>16</v>
      </c>
      <c r="C354" t="s">
        <v>2854</v>
      </c>
      <c r="D354" t="s">
        <v>254</v>
      </c>
      <c r="E354" t="s">
        <v>3827</v>
      </c>
      <c r="F354" t="s">
        <v>61</v>
      </c>
      <c r="G354">
        <v>1</v>
      </c>
      <c r="H354" s="4">
        <v>0.8</v>
      </c>
      <c r="I354" s="4">
        <v>1.16</v>
      </c>
      <c r="J354" s="4">
        <v>0.2</v>
      </c>
      <c r="K354" s="17">
        <v>25.32</v>
      </c>
      <c r="L354" t="s">
        <v>1</v>
      </c>
    </row>
    <row r="355" spans="1:12" x14ac:dyDescent="0.25">
      <c r="A355" s="8">
        <v>46175.5</v>
      </c>
      <c r="B355" t="s">
        <v>17</v>
      </c>
      <c r="C355" t="s">
        <v>3635</v>
      </c>
      <c r="D355" t="s">
        <v>177</v>
      </c>
      <c r="E355" t="s">
        <v>3824</v>
      </c>
      <c r="F355" t="s">
        <v>78</v>
      </c>
      <c r="G355">
        <v>2</v>
      </c>
      <c r="H355" s="4">
        <v>0.3</v>
      </c>
      <c r="I355" s="4">
        <v>0.43</v>
      </c>
      <c r="J355" s="4">
        <v>0.09</v>
      </c>
      <c r="K355" s="17">
        <v>29.44</v>
      </c>
      <c r="L355" t="s">
        <v>1</v>
      </c>
    </row>
    <row r="356" spans="1:12" x14ac:dyDescent="0.25">
      <c r="A356" s="8">
        <v>46175.5</v>
      </c>
      <c r="B356" t="s">
        <v>17</v>
      </c>
      <c r="C356" t="s">
        <v>3634</v>
      </c>
      <c r="D356" t="s">
        <v>182</v>
      </c>
      <c r="E356" t="s">
        <v>3825</v>
      </c>
      <c r="F356" t="s">
        <v>75</v>
      </c>
      <c r="G356">
        <v>1</v>
      </c>
      <c r="H356" s="4">
        <v>1.9</v>
      </c>
      <c r="I356" s="4">
        <v>2.74</v>
      </c>
      <c r="J356" s="4">
        <v>0.57</v>
      </c>
      <c r="K356" s="17">
        <v>30</v>
      </c>
      <c r="L356" t="s">
        <v>1</v>
      </c>
    </row>
    <row r="357" spans="1:12" x14ac:dyDescent="0.25">
      <c r="A357" s="8">
        <v>46174.5</v>
      </c>
      <c r="B357" t="s">
        <v>14</v>
      </c>
      <c r="C357" t="s">
        <v>1304</v>
      </c>
      <c r="D357" t="s">
        <v>182</v>
      </c>
      <c r="E357" t="s">
        <v>3825</v>
      </c>
      <c r="F357" t="s">
        <v>75</v>
      </c>
      <c r="G357">
        <v>1</v>
      </c>
      <c r="H357" s="4">
        <v>1.9</v>
      </c>
      <c r="I357" s="4">
        <v>2.41</v>
      </c>
      <c r="J357" s="4">
        <v>-8.83</v>
      </c>
      <c r="K357" s="17">
        <v>-464.74</v>
      </c>
      <c r="L357" t="s">
        <v>1</v>
      </c>
    </row>
    <row r="358" spans="1:12" x14ac:dyDescent="0.25">
      <c r="A358" s="8">
        <v>46174.5</v>
      </c>
      <c r="B358" t="s">
        <v>16</v>
      </c>
      <c r="C358" t="s">
        <v>2871</v>
      </c>
      <c r="D358" t="s">
        <v>182</v>
      </c>
      <c r="E358" t="s">
        <v>3825</v>
      </c>
      <c r="F358" t="s">
        <v>75</v>
      </c>
      <c r="G358">
        <v>1</v>
      </c>
      <c r="H358" s="4">
        <v>1.9</v>
      </c>
      <c r="I358" s="4">
        <v>2.43</v>
      </c>
      <c r="J358" s="4">
        <v>0.24</v>
      </c>
      <c r="K358" s="17">
        <v>12.5</v>
      </c>
      <c r="L358" t="s">
        <v>1</v>
      </c>
    </row>
    <row r="359" spans="1:12" x14ac:dyDescent="0.25">
      <c r="A359" s="8">
        <v>46174.5</v>
      </c>
      <c r="B359" t="s">
        <v>17</v>
      </c>
      <c r="C359" t="s">
        <v>3646</v>
      </c>
      <c r="D359" t="s">
        <v>177</v>
      </c>
      <c r="E359" t="s">
        <v>3824</v>
      </c>
      <c r="F359" t="s">
        <v>78</v>
      </c>
      <c r="G359">
        <v>3</v>
      </c>
      <c r="H359" s="4">
        <v>0.45</v>
      </c>
      <c r="I359" s="4">
        <v>0.63</v>
      </c>
      <c r="J359" s="4">
        <v>0.12</v>
      </c>
      <c r="K359" s="17">
        <v>26.67</v>
      </c>
      <c r="L359" t="s">
        <v>1</v>
      </c>
    </row>
    <row r="360" spans="1:12" x14ac:dyDescent="0.25">
      <c r="A360" s="8">
        <v>46174.5</v>
      </c>
      <c r="B360" t="s">
        <v>17</v>
      </c>
      <c r="C360" t="s">
        <v>3644</v>
      </c>
      <c r="D360" t="s">
        <v>182</v>
      </c>
      <c r="E360" t="s">
        <v>3825</v>
      </c>
      <c r="F360" t="s">
        <v>75</v>
      </c>
      <c r="G360">
        <v>3</v>
      </c>
      <c r="H360" s="4">
        <v>5.7</v>
      </c>
      <c r="I360" s="4">
        <v>7.41</v>
      </c>
      <c r="J360" s="4">
        <v>1.08</v>
      </c>
      <c r="K360" s="17">
        <v>19.03</v>
      </c>
      <c r="L360" t="s">
        <v>1</v>
      </c>
    </row>
    <row r="361" spans="1:12" x14ac:dyDescent="0.25">
      <c r="A361" s="8">
        <v>46173.5</v>
      </c>
      <c r="B361" t="s">
        <v>14</v>
      </c>
      <c r="C361" t="s">
        <v>1309</v>
      </c>
      <c r="D361" t="s">
        <v>185</v>
      </c>
      <c r="E361" t="s">
        <v>3826</v>
      </c>
      <c r="F361" t="s">
        <v>102</v>
      </c>
      <c r="G361">
        <v>1</v>
      </c>
      <c r="H361" s="4">
        <v>1.2</v>
      </c>
      <c r="I361" s="4">
        <v>1.66</v>
      </c>
      <c r="J361" s="4">
        <v>-8.79</v>
      </c>
      <c r="K361" s="17">
        <v>-732.44</v>
      </c>
      <c r="L361" t="s">
        <v>1</v>
      </c>
    </row>
    <row r="362" spans="1:12" x14ac:dyDescent="0.25">
      <c r="A362" s="8">
        <v>46173.5</v>
      </c>
      <c r="B362" t="s">
        <v>15</v>
      </c>
      <c r="C362" t="s">
        <v>2091</v>
      </c>
      <c r="D362" t="s">
        <v>254</v>
      </c>
      <c r="E362" t="s">
        <v>3827</v>
      </c>
      <c r="F362" t="s">
        <v>61</v>
      </c>
      <c r="G362">
        <v>2</v>
      </c>
      <c r="H362" s="4">
        <v>1.6</v>
      </c>
      <c r="I362" s="4">
        <v>2.32</v>
      </c>
      <c r="J362" s="4">
        <v>-0.06</v>
      </c>
      <c r="K362" s="17">
        <v>-3.92</v>
      </c>
      <c r="L362" t="s">
        <v>1</v>
      </c>
    </row>
    <row r="363" spans="1:12" x14ac:dyDescent="0.25">
      <c r="A363" s="8">
        <v>46172.5</v>
      </c>
      <c r="B363" t="s">
        <v>13</v>
      </c>
      <c r="C363" t="s">
        <v>594</v>
      </c>
      <c r="D363" t="s">
        <v>189</v>
      </c>
      <c r="E363" t="s">
        <v>3822</v>
      </c>
      <c r="F363" t="s">
        <v>66</v>
      </c>
      <c r="G363">
        <v>1</v>
      </c>
      <c r="H363" s="4">
        <v>3.5</v>
      </c>
      <c r="I363" s="4">
        <v>4.02</v>
      </c>
      <c r="J363" s="4">
        <v>0.09</v>
      </c>
      <c r="K363" s="17">
        <v>2.54</v>
      </c>
      <c r="L363" t="s">
        <v>1</v>
      </c>
    </row>
    <row r="364" spans="1:12" x14ac:dyDescent="0.25">
      <c r="A364" s="8">
        <v>46172.5</v>
      </c>
      <c r="B364" t="s">
        <v>13</v>
      </c>
      <c r="C364" t="s">
        <v>595</v>
      </c>
      <c r="D364" t="s">
        <v>254</v>
      </c>
      <c r="E364" t="s">
        <v>3827</v>
      </c>
      <c r="F364" t="s">
        <v>61</v>
      </c>
      <c r="G364">
        <v>4</v>
      </c>
      <c r="H364" s="4">
        <v>3.2</v>
      </c>
      <c r="I364" s="4">
        <v>3.84</v>
      </c>
      <c r="J364" s="4">
        <v>0.2</v>
      </c>
      <c r="K364" s="17">
        <v>6.38</v>
      </c>
      <c r="L364" t="s">
        <v>1</v>
      </c>
    </row>
    <row r="365" spans="1:12" x14ac:dyDescent="0.25">
      <c r="A365" s="8">
        <v>46172.5</v>
      </c>
      <c r="B365" t="s">
        <v>16</v>
      </c>
      <c r="C365" t="s">
        <v>2899</v>
      </c>
      <c r="D365" t="s">
        <v>189</v>
      </c>
      <c r="E365" t="s">
        <v>3822</v>
      </c>
      <c r="F365" t="s">
        <v>66</v>
      </c>
      <c r="G365">
        <v>1</v>
      </c>
      <c r="H365" s="4">
        <v>3.5</v>
      </c>
      <c r="I365" s="4">
        <v>4.58</v>
      </c>
      <c r="J365" s="4">
        <v>0.52</v>
      </c>
      <c r="K365" s="17">
        <v>14.72</v>
      </c>
      <c r="L365" t="s">
        <v>1</v>
      </c>
    </row>
    <row r="366" spans="1:12" x14ac:dyDescent="0.25">
      <c r="A366" s="8">
        <v>46172.5</v>
      </c>
      <c r="B366" t="s">
        <v>16</v>
      </c>
      <c r="C366" t="s">
        <v>2900</v>
      </c>
      <c r="D366" t="s">
        <v>189</v>
      </c>
      <c r="E366" t="s">
        <v>3822</v>
      </c>
      <c r="F366" t="s">
        <v>66</v>
      </c>
      <c r="G366">
        <v>1</v>
      </c>
      <c r="H366" s="4">
        <v>3.5</v>
      </c>
      <c r="I366" s="4">
        <v>4.2</v>
      </c>
      <c r="J366" s="4">
        <v>0.23</v>
      </c>
      <c r="K366" s="17">
        <v>6.59</v>
      </c>
      <c r="L366" t="s">
        <v>1</v>
      </c>
    </row>
    <row r="367" spans="1:12" x14ac:dyDescent="0.25">
      <c r="A367" s="8">
        <v>46172.5</v>
      </c>
      <c r="B367" t="s">
        <v>17</v>
      </c>
      <c r="C367" t="s">
        <v>3659</v>
      </c>
      <c r="D367" t="s">
        <v>189</v>
      </c>
      <c r="E367" t="s">
        <v>3822</v>
      </c>
      <c r="F367" t="s">
        <v>66</v>
      </c>
      <c r="G367">
        <v>1</v>
      </c>
      <c r="H367" s="4">
        <v>3.5</v>
      </c>
      <c r="I367" s="4">
        <v>4.97</v>
      </c>
      <c r="J367" s="4">
        <v>0.99</v>
      </c>
      <c r="K367" s="17">
        <v>28.43</v>
      </c>
      <c r="L367" t="s">
        <v>1</v>
      </c>
    </row>
    <row r="368" spans="1:12" x14ac:dyDescent="0.25">
      <c r="A368" s="8">
        <v>46171.5</v>
      </c>
      <c r="B368" t="s">
        <v>14</v>
      </c>
      <c r="C368" t="s">
        <v>1332</v>
      </c>
      <c r="D368" t="s">
        <v>254</v>
      </c>
      <c r="E368" t="s">
        <v>3827</v>
      </c>
      <c r="F368" t="s">
        <v>61</v>
      </c>
      <c r="G368">
        <v>3</v>
      </c>
      <c r="H368" s="4">
        <v>2.4</v>
      </c>
      <c r="I368" s="4">
        <v>3.46</v>
      </c>
      <c r="J368" s="4">
        <v>-8.49</v>
      </c>
      <c r="K368" s="17">
        <v>-353.64</v>
      </c>
      <c r="L368" t="s">
        <v>1</v>
      </c>
    </row>
    <row r="369" spans="1:12" x14ac:dyDescent="0.25">
      <c r="A369" s="8">
        <v>46171.5</v>
      </c>
      <c r="B369" t="s">
        <v>15</v>
      </c>
      <c r="C369" t="s">
        <v>2117</v>
      </c>
      <c r="D369" t="s">
        <v>177</v>
      </c>
      <c r="E369" t="s">
        <v>3824</v>
      </c>
      <c r="F369" t="s">
        <v>78</v>
      </c>
      <c r="G369">
        <v>1</v>
      </c>
      <c r="H369" s="4">
        <v>0.15</v>
      </c>
      <c r="I369" s="4">
        <v>0.18</v>
      </c>
      <c r="J369" s="4">
        <v>-0.47</v>
      </c>
      <c r="K369" s="17">
        <v>-312.78</v>
      </c>
      <c r="L369" t="s">
        <v>1</v>
      </c>
    </row>
    <row r="370" spans="1:12" x14ac:dyDescent="0.25">
      <c r="A370" s="8">
        <v>46171.5</v>
      </c>
      <c r="B370" t="s">
        <v>15</v>
      </c>
      <c r="C370" t="s">
        <v>2118</v>
      </c>
      <c r="D370" t="s">
        <v>254</v>
      </c>
      <c r="E370" t="s">
        <v>3827</v>
      </c>
      <c r="F370" t="s">
        <v>61</v>
      </c>
      <c r="G370">
        <v>1</v>
      </c>
      <c r="H370" s="4">
        <v>0.8</v>
      </c>
      <c r="I370" s="4">
        <v>1.15</v>
      </c>
      <c r="J370" s="4">
        <v>-0.28</v>
      </c>
      <c r="K370" s="17">
        <v>-34.86</v>
      </c>
      <c r="L370" t="s">
        <v>1</v>
      </c>
    </row>
    <row r="371" spans="1:12" x14ac:dyDescent="0.25">
      <c r="A371" s="8">
        <v>46171.5</v>
      </c>
      <c r="B371" t="s">
        <v>16</v>
      </c>
      <c r="C371" t="s">
        <v>2907</v>
      </c>
      <c r="D371" t="s">
        <v>174</v>
      </c>
      <c r="E371" t="s">
        <v>3823</v>
      </c>
      <c r="F371" t="s">
        <v>66</v>
      </c>
      <c r="G371">
        <v>1</v>
      </c>
      <c r="H371" s="4">
        <v>4.25</v>
      </c>
      <c r="I371" s="4">
        <v>5.14</v>
      </c>
      <c r="J371" s="4">
        <v>0.31</v>
      </c>
      <c r="K371" s="17">
        <v>7.29</v>
      </c>
      <c r="L371" t="s">
        <v>1</v>
      </c>
    </row>
    <row r="372" spans="1:12" x14ac:dyDescent="0.25">
      <c r="A372" s="8">
        <v>46171.5</v>
      </c>
      <c r="B372" t="s">
        <v>16</v>
      </c>
      <c r="C372" t="s">
        <v>2908</v>
      </c>
      <c r="D372" t="s">
        <v>174</v>
      </c>
      <c r="E372" t="s">
        <v>3823</v>
      </c>
      <c r="F372" t="s">
        <v>66</v>
      </c>
      <c r="G372">
        <v>1</v>
      </c>
      <c r="H372" s="4">
        <v>4.25</v>
      </c>
      <c r="I372" s="4">
        <v>5.86</v>
      </c>
      <c r="J372" s="4">
        <v>0.85</v>
      </c>
      <c r="K372" s="17">
        <v>19.99</v>
      </c>
      <c r="L372" t="s">
        <v>1</v>
      </c>
    </row>
    <row r="373" spans="1:12" x14ac:dyDescent="0.25">
      <c r="A373" s="8">
        <v>46171.5</v>
      </c>
      <c r="B373" t="s">
        <v>16</v>
      </c>
      <c r="C373" t="s">
        <v>2909</v>
      </c>
      <c r="D373" t="s">
        <v>185</v>
      </c>
      <c r="E373" t="s">
        <v>3826</v>
      </c>
      <c r="F373" t="s">
        <v>102</v>
      </c>
      <c r="G373">
        <v>1</v>
      </c>
      <c r="H373" s="4">
        <v>1.2</v>
      </c>
      <c r="I373" s="4">
        <v>1.52</v>
      </c>
      <c r="J373" s="4">
        <v>0.14</v>
      </c>
      <c r="K373" s="17">
        <v>11.58</v>
      </c>
      <c r="L373" t="s">
        <v>1</v>
      </c>
    </row>
    <row r="374" spans="1:12" x14ac:dyDescent="0.25">
      <c r="A374" s="8">
        <v>46171.5</v>
      </c>
      <c r="B374" t="s">
        <v>17</v>
      </c>
      <c r="C374" t="s">
        <v>3668</v>
      </c>
      <c r="D374" t="s">
        <v>174</v>
      </c>
      <c r="E374" t="s">
        <v>3823</v>
      </c>
      <c r="F374" t="s">
        <v>66</v>
      </c>
      <c r="G374">
        <v>3</v>
      </c>
      <c r="H374" s="4">
        <v>12.75</v>
      </c>
      <c r="I374" s="4">
        <v>17.59</v>
      </c>
      <c r="J374" s="4">
        <v>3.22</v>
      </c>
      <c r="K374" s="17">
        <v>25.28</v>
      </c>
      <c r="L374" t="s">
        <v>1</v>
      </c>
    </row>
    <row r="375" spans="1:12" x14ac:dyDescent="0.25">
      <c r="A375" s="8">
        <v>46171.5</v>
      </c>
      <c r="B375" t="s">
        <v>17</v>
      </c>
      <c r="C375" t="s">
        <v>3666</v>
      </c>
      <c r="D375" t="s">
        <v>182</v>
      </c>
      <c r="E375" t="s">
        <v>3825</v>
      </c>
      <c r="F375" t="s">
        <v>75</v>
      </c>
      <c r="G375">
        <v>3</v>
      </c>
      <c r="H375" s="4">
        <v>5.7</v>
      </c>
      <c r="I375" s="4">
        <v>7.75</v>
      </c>
      <c r="J375" s="4">
        <v>1.35</v>
      </c>
      <c r="K375" s="17">
        <v>23.65</v>
      </c>
      <c r="L375" t="s">
        <v>1</v>
      </c>
    </row>
    <row r="376" spans="1:12" x14ac:dyDescent="0.25">
      <c r="A376" s="8">
        <v>46171.5</v>
      </c>
      <c r="B376" t="s">
        <v>17</v>
      </c>
      <c r="C376" t="s">
        <v>3667</v>
      </c>
      <c r="D376" t="s">
        <v>185</v>
      </c>
      <c r="E376" t="s">
        <v>3826</v>
      </c>
      <c r="F376" t="s">
        <v>102</v>
      </c>
      <c r="G376">
        <v>3</v>
      </c>
      <c r="H376" s="4">
        <v>3.6</v>
      </c>
      <c r="I376" s="4">
        <v>4.28</v>
      </c>
      <c r="J376" s="4">
        <v>0.37</v>
      </c>
      <c r="K376" s="17">
        <v>10.18</v>
      </c>
      <c r="L376" t="s">
        <v>1</v>
      </c>
    </row>
    <row r="377" spans="1:12" x14ac:dyDescent="0.25">
      <c r="A377" s="8">
        <v>46170.5</v>
      </c>
      <c r="B377" t="s">
        <v>13</v>
      </c>
      <c r="C377" t="s">
        <v>604</v>
      </c>
      <c r="D377" t="s">
        <v>182</v>
      </c>
      <c r="E377" t="s">
        <v>3825</v>
      </c>
      <c r="F377" t="s">
        <v>75</v>
      </c>
      <c r="G377">
        <v>3</v>
      </c>
      <c r="H377" s="4">
        <v>5.7</v>
      </c>
      <c r="I377" s="4">
        <v>6.78</v>
      </c>
      <c r="J377" s="4">
        <v>0.32</v>
      </c>
      <c r="K377" s="17">
        <v>5.6</v>
      </c>
      <c r="L377" t="s">
        <v>1</v>
      </c>
    </row>
    <row r="378" spans="1:12" x14ac:dyDescent="0.25">
      <c r="A378" s="8">
        <v>46170.5</v>
      </c>
      <c r="B378" t="s">
        <v>14</v>
      </c>
      <c r="C378" t="s">
        <v>1345</v>
      </c>
      <c r="D378" t="s">
        <v>189</v>
      </c>
      <c r="E378" t="s">
        <v>3822</v>
      </c>
      <c r="F378" t="s">
        <v>66</v>
      </c>
      <c r="G378">
        <v>3</v>
      </c>
      <c r="H378" s="4">
        <v>10.5</v>
      </c>
      <c r="I378" s="4">
        <v>13.34</v>
      </c>
      <c r="J378" s="4">
        <v>-8.09</v>
      </c>
      <c r="K378" s="17">
        <v>-77.06</v>
      </c>
      <c r="L378" t="s">
        <v>1</v>
      </c>
    </row>
    <row r="379" spans="1:12" x14ac:dyDescent="0.25">
      <c r="A379" s="8">
        <v>46170.5</v>
      </c>
      <c r="B379" t="s">
        <v>14</v>
      </c>
      <c r="C379" t="s">
        <v>1346</v>
      </c>
      <c r="D379" t="s">
        <v>174</v>
      </c>
      <c r="E379" t="s">
        <v>3823</v>
      </c>
      <c r="F379" t="s">
        <v>66</v>
      </c>
      <c r="G379">
        <v>1</v>
      </c>
      <c r="H379" s="4">
        <v>4.25</v>
      </c>
      <c r="I379" s="4">
        <v>5.86</v>
      </c>
      <c r="J379" s="4">
        <v>-8.29</v>
      </c>
      <c r="K379" s="17">
        <v>-195.13</v>
      </c>
      <c r="L379" t="s">
        <v>1</v>
      </c>
    </row>
    <row r="380" spans="1:12" x14ac:dyDescent="0.25">
      <c r="A380" s="8">
        <v>46170.5</v>
      </c>
      <c r="B380" t="s">
        <v>15</v>
      </c>
      <c r="C380" t="s">
        <v>2132</v>
      </c>
      <c r="D380" t="s">
        <v>174</v>
      </c>
      <c r="E380" t="s">
        <v>3823</v>
      </c>
      <c r="F380" t="s">
        <v>66</v>
      </c>
      <c r="G380">
        <v>2</v>
      </c>
      <c r="H380" s="4">
        <v>8.5</v>
      </c>
      <c r="I380" s="4">
        <v>10.37</v>
      </c>
      <c r="J380" s="4">
        <v>0.26</v>
      </c>
      <c r="K380" s="17">
        <v>3.08</v>
      </c>
      <c r="L380" t="s">
        <v>1</v>
      </c>
    </row>
    <row r="381" spans="1:12" x14ac:dyDescent="0.25">
      <c r="A381" s="8">
        <v>46170.5</v>
      </c>
      <c r="B381" t="s">
        <v>15</v>
      </c>
      <c r="C381" t="s">
        <v>2133</v>
      </c>
      <c r="D381" t="s">
        <v>182</v>
      </c>
      <c r="E381" t="s">
        <v>3825</v>
      </c>
      <c r="F381" t="s">
        <v>75</v>
      </c>
      <c r="G381">
        <v>4</v>
      </c>
      <c r="H381" s="4">
        <v>7.6</v>
      </c>
      <c r="I381" s="4">
        <v>9.27</v>
      </c>
      <c r="J381" s="4">
        <v>0.18</v>
      </c>
      <c r="K381" s="17">
        <v>2.39</v>
      </c>
      <c r="L381" t="s">
        <v>1</v>
      </c>
    </row>
    <row r="382" spans="1:12" x14ac:dyDescent="0.25">
      <c r="A382" s="8">
        <v>46169.5</v>
      </c>
      <c r="B382" t="s">
        <v>13</v>
      </c>
      <c r="C382" t="s">
        <v>618</v>
      </c>
      <c r="D382" t="s">
        <v>182</v>
      </c>
      <c r="E382" t="s">
        <v>3825</v>
      </c>
      <c r="F382" t="s">
        <v>75</v>
      </c>
      <c r="G382">
        <v>2</v>
      </c>
      <c r="H382" s="4">
        <v>3.8</v>
      </c>
      <c r="I382" s="4">
        <v>5.21</v>
      </c>
      <c r="J382" s="4">
        <v>0.73</v>
      </c>
      <c r="K382" s="17">
        <v>19.17</v>
      </c>
      <c r="L382" t="s">
        <v>1</v>
      </c>
    </row>
    <row r="383" spans="1:12" x14ac:dyDescent="0.25">
      <c r="A383" s="8">
        <v>46169.5</v>
      </c>
      <c r="B383" t="s">
        <v>14</v>
      </c>
      <c r="C383" t="s">
        <v>1351</v>
      </c>
      <c r="D383" t="s">
        <v>189</v>
      </c>
      <c r="E383" t="s">
        <v>3822</v>
      </c>
      <c r="F383" t="s">
        <v>66</v>
      </c>
      <c r="G383">
        <v>1</v>
      </c>
      <c r="H383" s="4">
        <v>3.5</v>
      </c>
      <c r="I383" s="4">
        <v>4.09</v>
      </c>
      <c r="J383" s="4">
        <v>-8.95</v>
      </c>
      <c r="K383" s="17">
        <v>-255.66</v>
      </c>
      <c r="L383" t="s">
        <v>1</v>
      </c>
    </row>
    <row r="384" spans="1:12" x14ac:dyDescent="0.25">
      <c r="A384" s="8">
        <v>46169.5</v>
      </c>
      <c r="B384" t="s">
        <v>15</v>
      </c>
      <c r="C384" t="s">
        <v>2145</v>
      </c>
      <c r="D384" t="s">
        <v>185</v>
      </c>
      <c r="E384" t="s">
        <v>3826</v>
      </c>
      <c r="F384" t="s">
        <v>102</v>
      </c>
      <c r="G384">
        <v>3</v>
      </c>
      <c r="H384" s="4">
        <v>3.6</v>
      </c>
      <c r="I384" s="4">
        <v>4.39</v>
      </c>
      <c r="J384" s="4">
        <v>-0.17</v>
      </c>
      <c r="K384" s="17">
        <v>-4.65</v>
      </c>
      <c r="L384" t="s">
        <v>1</v>
      </c>
    </row>
    <row r="385" spans="1:12" x14ac:dyDescent="0.25">
      <c r="A385" s="8">
        <v>46169.5</v>
      </c>
      <c r="B385" t="s">
        <v>17</v>
      </c>
      <c r="C385" t="s">
        <v>3677</v>
      </c>
      <c r="D385" t="s">
        <v>189</v>
      </c>
      <c r="E385" t="s">
        <v>3822</v>
      </c>
      <c r="F385" t="s">
        <v>66</v>
      </c>
      <c r="G385">
        <v>3</v>
      </c>
      <c r="H385" s="4">
        <v>10.5</v>
      </c>
      <c r="I385" s="4">
        <v>14.39</v>
      </c>
      <c r="J385" s="4">
        <v>2.58</v>
      </c>
      <c r="K385" s="17">
        <v>24.59</v>
      </c>
      <c r="L385" t="s">
        <v>1</v>
      </c>
    </row>
    <row r="386" spans="1:12" x14ac:dyDescent="0.25">
      <c r="A386" s="8">
        <v>46169.5</v>
      </c>
      <c r="B386" t="s">
        <v>17</v>
      </c>
      <c r="C386" t="s">
        <v>3678</v>
      </c>
      <c r="D386" t="s">
        <v>254</v>
      </c>
      <c r="E386" t="s">
        <v>3827</v>
      </c>
      <c r="F386" t="s">
        <v>61</v>
      </c>
      <c r="G386">
        <v>2</v>
      </c>
      <c r="H386" s="4">
        <v>1.6</v>
      </c>
      <c r="I386" s="4">
        <v>1.92</v>
      </c>
      <c r="J386" s="4">
        <v>0.18</v>
      </c>
      <c r="K386" s="17">
        <v>11.04</v>
      </c>
      <c r="L386" t="s">
        <v>1</v>
      </c>
    </row>
    <row r="387" spans="1:12" x14ac:dyDescent="0.25">
      <c r="A387" s="8">
        <v>46169.5</v>
      </c>
      <c r="B387" t="s">
        <v>17</v>
      </c>
      <c r="C387" t="s">
        <v>3679</v>
      </c>
      <c r="D387" t="s">
        <v>185</v>
      </c>
      <c r="E387" t="s">
        <v>3826</v>
      </c>
      <c r="F387" t="s">
        <v>102</v>
      </c>
      <c r="G387">
        <v>4</v>
      </c>
      <c r="H387" s="4">
        <v>4.8</v>
      </c>
      <c r="I387" s="4">
        <v>5.81</v>
      </c>
      <c r="J387" s="4">
        <v>0.57</v>
      </c>
      <c r="K387" s="17">
        <v>11.91</v>
      </c>
      <c r="L387" t="s">
        <v>1</v>
      </c>
    </row>
    <row r="388" spans="1:12" x14ac:dyDescent="0.25">
      <c r="A388" s="8">
        <v>46168.5</v>
      </c>
      <c r="B388" t="s">
        <v>13</v>
      </c>
      <c r="C388" t="s">
        <v>626</v>
      </c>
      <c r="D388" t="s">
        <v>174</v>
      </c>
      <c r="E388" t="s">
        <v>3823</v>
      </c>
      <c r="F388" t="s">
        <v>66</v>
      </c>
      <c r="G388">
        <v>2</v>
      </c>
      <c r="H388" s="4">
        <v>8.5</v>
      </c>
      <c r="I388" s="4">
        <v>12.15</v>
      </c>
      <c r="J388" s="4">
        <v>2</v>
      </c>
      <c r="K388" s="17">
        <v>23.54</v>
      </c>
      <c r="L388" t="s">
        <v>1</v>
      </c>
    </row>
    <row r="389" spans="1:12" x14ac:dyDescent="0.25">
      <c r="A389" s="8">
        <v>46168.5</v>
      </c>
      <c r="B389" t="s">
        <v>13</v>
      </c>
      <c r="C389" t="s">
        <v>624</v>
      </c>
      <c r="D389" t="s">
        <v>177</v>
      </c>
      <c r="E389" t="s">
        <v>3824</v>
      </c>
      <c r="F389" t="s">
        <v>78</v>
      </c>
      <c r="G389">
        <v>4</v>
      </c>
      <c r="H389" s="4">
        <v>0.6</v>
      </c>
      <c r="I389" s="4">
        <v>0.86</v>
      </c>
      <c r="J389" s="4">
        <v>0.14</v>
      </c>
      <c r="K389" s="17">
        <v>23.83</v>
      </c>
      <c r="L389" t="s">
        <v>1</v>
      </c>
    </row>
    <row r="390" spans="1:12" x14ac:dyDescent="0.25">
      <c r="A390" s="8">
        <v>46168.5</v>
      </c>
      <c r="B390" t="s">
        <v>13</v>
      </c>
      <c r="C390" t="s">
        <v>625</v>
      </c>
      <c r="D390" t="s">
        <v>185</v>
      </c>
      <c r="E390" t="s">
        <v>3826</v>
      </c>
      <c r="F390" t="s">
        <v>102</v>
      </c>
      <c r="G390">
        <v>2</v>
      </c>
      <c r="H390" s="4">
        <v>2.4</v>
      </c>
      <c r="I390" s="4">
        <v>3.26</v>
      </c>
      <c r="J390" s="4">
        <v>0.44</v>
      </c>
      <c r="K390" s="17">
        <v>18.22</v>
      </c>
      <c r="L390" t="s">
        <v>1</v>
      </c>
    </row>
    <row r="391" spans="1:12" x14ac:dyDescent="0.25">
      <c r="A391" s="8">
        <v>46168.5</v>
      </c>
      <c r="B391" t="s">
        <v>16</v>
      </c>
      <c r="C391" t="s">
        <v>2928</v>
      </c>
      <c r="D391" t="s">
        <v>189</v>
      </c>
      <c r="E391" t="s">
        <v>3822</v>
      </c>
      <c r="F391" t="s">
        <v>66</v>
      </c>
      <c r="G391">
        <v>1</v>
      </c>
      <c r="H391" s="4">
        <v>3.5</v>
      </c>
      <c r="I391" s="4">
        <v>4.06</v>
      </c>
      <c r="J391" s="4">
        <v>0.13</v>
      </c>
      <c r="K391" s="17">
        <v>3.59</v>
      </c>
      <c r="L391" t="s">
        <v>1</v>
      </c>
    </row>
    <row r="392" spans="1:12" x14ac:dyDescent="0.25">
      <c r="A392" s="8">
        <v>46167.5</v>
      </c>
      <c r="B392" t="s">
        <v>14</v>
      </c>
      <c r="C392" t="s">
        <v>1360</v>
      </c>
      <c r="D392" t="s">
        <v>174</v>
      </c>
      <c r="E392" t="s">
        <v>3823</v>
      </c>
      <c r="F392" t="s">
        <v>66</v>
      </c>
      <c r="G392">
        <v>1</v>
      </c>
      <c r="H392" s="4">
        <v>4.25</v>
      </c>
      <c r="I392" s="4">
        <v>4.97</v>
      </c>
      <c r="J392" s="4">
        <v>-8.94</v>
      </c>
      <c r="K392" s="17">
        <v>-210.28</v>
      </c>
      <c r="L392" t="s">
        <v>1</v>
      </c>
    </row>
    <row r="393" spans="1:12" x14ac:dyDescent="0.25">
      <c r="A393" s="8">
        <v>46167.5</v>
      </c>
      <c r="B393" t="s">
        <v>14</v>
      </c>
      <c r="C393" t="s">
        <v>1361</v>
      </c>
      <c r="D393" t="s">
        <v>254</v>
      </c>
      <c r="E393" t="s">
        <v>3827</v>
      </c>
      <c r="F393" t="s">
        <v>61</v>
      </c>
      <c r="G393">
        <v>3</v>
      </c>
      <c r="H393" s="4">
        <v>2.4</v>
      </c>
      <c r="I393" s="4">
        <v>3.26</v>
      </c>
      <c r="J393" s="4">
        <v>-8.63</v>
      </c>
      <c r="K393" s="17">
        <v>-359.67</v>
      </c>
      <c r="L393" t="s">
        <v>1</v>
      </c>
    </row>
    <row r="394" spans="1:12" x14ac:dyDescent="0.25">
      <c r="A394" s="8">
        <v>46167.5</v>
      </c>
      <c r="B394" t="s">
        <v>15</v>
      </c>
      <c r="C394" t="s">
        <v>2158</v>
      </c>
      <c r="D394" t="s">
        <v>177</v>
      </c>
      <c r="E394" t="s">
        <v>3824</v>
      </c>
      <c r="F394" t="s">
        <v>78</v>
      </c>
      <c r="G394">
        <v>4</v>
      </c>
      <c r="H394" s="4">
        <v>0.6</v>
      </c>
      <c r="I394" s="4">
        <v>0.76</v>
      </c>
      <c r="J394" s="4">
        <v>-0.41</v>
      </c>
      <c r="K394" s="17">
        <v>-67.75</v>
      </c>
      <c r="L394" t="s">
        <v>1</v>
      </c>
    </row>
    <row r="395" spans="1:12" x14ac:dyDescent="0.25">
      <c r="A395" s="8">
        <v>46167.5</v>
      </c>
      <c r="B395" t="s">
        <v>15</v>
      </c>
      <c r="C395" t="s">
        <v>2159</v>
      </c>
      <c r="D395" t="s">
        <v>182</v>
      </c>
      <c r="E395" t="s">
        <v>3825</v>
      </c>
      <c r="F395" t="s">
        <v>75</v>
      </c>
      <c r="G395">
        <v>4</v>
      </c>
      <c r="H395" s="4">
        <v>7.6</v>
      </c>
      <c r="I395" s="4">
        <v>9.58</v>
      </c>
      <c r="J395" s="4">
        <v>0.42</v>
      </c>
      <c r="K395" s="17">
        <v>5.47</v>
      </c>
      <c r="L395" t="s">
        <v>1</v>
      </c>
    </row>
    <row r="396" spans="1:12" x14ac:dyDescent="0.25">
      <c r="A396" s="8">
        <v>46166.5</v>
      </c>
      <c r="B396" t="s">
        <v>13</v>
      </c>
      <c r="C396" t="s">
        <v>635</v>
      </c>
      <c r="D396" t="s">
        <v>189</v>
      </c>
      <c r="E396" t="s">
        <v>3822</v>
      </c>
      <c r="F396" t="s">
        <v>66</v>
      </c>
      <c r="G396">
        <v>1</v>
      </c>
      <c r="H396" s="4">
        <v>3.5</v>
      </c>
      <c r="I396" s="4">
        <v>4.97</v>
      </c>
      <c r="J396" s="4">
        <v>0.8</v>
      </c>
      <c r="K396" s="17">
        <v>22.83</v>
      </c>
      <c r="L396" t="s">
        <v>1</v>
      </c>
    </row>
    <row r="397" spans="1:12" x14ac:dyDescent="0.25">
      <c r="A397" s="8">
        <v>46166.5</v>
      </c>
      <c r="B397" t="s">
        <v>13</v>
      </c>
      <c r="C397" t="s">
        <v>633</v>
      </c>
      <c r="D397" t="s">
        <v>185</v>
      </c>
      <c r="E397" t="s">
        <v>3826</v>
      </c>
      <c r="F397" t="s">
        <v>102</v>
      </c>
      <c r="G397">
        <v>3</v>
      </c>
      <c r="H397" s="4">
        <v>3.6</v>
      </c>
      <c r="I397" s="4">
        <v>4.75</v>
      </c>
      <c r="J397" s="4">
        <v>0.55</v>
      </c>
      <c r="K397" s="17">
        <v>15.31</v>
      </c>
      <c r="L397" t="s">
        <v>1</v>
      </c>
    </row>
    <row r="398" spans="1:12" x14ac:dyDescent="0.25">
      <c r="A398" s="8">
        <v>46166.5</v>
      </c>
      <c r="B398" t="s">
        <v>16</v>
      </c>
      <c r="C398" t="s">
        <v>2947</v>
      </c>
      <c r="D398" t="s">
        <v>177</v>
      </c>
      <c r="E398" t="s">
        <v>3824</v>
      </c>
      <c r="F398" t="s">
        <v>78</v>
      </c>
      <c r="G398">
        <v>1</v>
      </c>
      <c r="H398" s="4">
        <v>0.15</v>
      </c>
      <c r="I398" s="4">
        <v>0.2</v>
      </c>
      <c r="J398" s="4">
        <v>0.02</v>
      </c>
      <c r="K398" s="17">
        <v>16.58</v>
      </c>
      <c r="L398" t="s">
        <v>1</v>
      </c>
    </row>
    <row r="399" spans="1:12" x14ac:dyDescent="0.25">
      <c r="A399" s="8">
        <v>46166.5</v>
      </c>
      <c r="B399" t="s">
        <v>16</v>
      </c>
      <c r="C399" t="s">
        <v>2946</v>
      </c>
      <c r="D399" t="s">
        <v>182</v>
      </c>
      <c r="E399" t="s">
        <v>3825</v>
      </c>
      <c r="F399" t="s">
        <v>75</v>
      </c>
      <c r="G399">
        <v>1</v>
      </c>
      <c r="H399" s="4">
        <v>1.9</v>
      </c>
      <c r="I399" s="4">
        <v>2.53</v>
      </c>
      <c r="J399" s="4">
        <v>0.31</v>
      </c>
      <c r="K399" s="17">
        <v>16.45</v>
      </c>
      <c r="L399" t="s">
        <v>1</v>
      </c>
    </row>
    <row r="400" spans="1:12" x14ac:dyDescent="0.25">
      <c r="A400" s="8">
        <v>46166.5</v>
      </c>
      <c r="B400" t="s">
        <v>17</v>
      </c>
      <c r="C400" t="s">
        <v>3692</v>
      </c>
      <c r="D400" t="s">
        <v>189</v>
      </c>
      <c r="E400" t="s">
        <v>3822</v>
      </c>
      <c r="F400" t="s">
        <v>66</v>
      </c>
      <c r="G400">
        <v>1</v>
      </c>
      <c r="H400" s="4">
        <v>3.5</v>
      </c>
      <c r="I400" s="4">
        <v>4.13</v>
      </c>
      <c r="J400" s="4">
        <v>0.33</v>
      </c>
      <c r="K400" s="17">
        <v>9.57</v>
      </c>
      <c r="L400" t="s">
        <v>1</v>
      </c>
    </row>
    <row r="401" spans="1:12" x14ac:dyDescent="0.25">
      <c r="A401" s="8">
        <v>46166.5</v>
      </c>
      <c r="B401" t="s">
        <v>17</v>
      </c>
      <c r="C401" t="s">
        <v>3693</v>
      </c>
      <c r="D401" t="s">
        <v>189</v>
      </c>
      <c r="E401" t="s">
        <v>3822</v>
      </c>
      <c r="F401" t="s">
        <v>66</v>
      </c>
      <c r="G401">
        <v>3</v>
      </c>
      <c r="H401" s="4">
        <v>10.5</v>
      </c>
      <c r="I401" s="4">
        <v>14.91</v>
      </c>
      <c r="J401" s="4">
        <v>2.98</v>
      </c>
      <c r="K401" s="17">
        <v>28.43</v>
      </c>
      <c r="L401" t="s">
        <v>1</v>
      </c>
    </row>
    <row r="402" spans="1:12" x14ac:dyDescent="0.25">
      <c r="A402" s="8">
        <v>46166.5</v>
      </c>
      <c r="B402" t="s">
        <v>17</v>
      </c>
      <c r="C402" t="s">
        <v>3694</v>
      </c>
      <c r="D402" t="s">
        <v>177</v>
      </c>
      <c r="E402" t="s">
        <v>3824</v>
      </c>
      <c r="F402" t="s">
        <v>78</v>
      </c>
      <c r="G402">
        <v>1</v>
      </c>
      <c r="H402" s="4">
        <v>0.15</v>
      </c>
      <c r="I402" s="4">
        <v>0.19</v>
      </c>
      <c r="J402" s="4">
        <v>0.02</v>
      </c>
      <c r="K402" s="17">
        <v>15.55</v>
      </c>
      <c r="L402" t="s">
        <v>1</v>
      </c>
    </row>
    <row r="403" spans="1:12" x14ac:dyDescent="0.25">
      <c r="A403" s="8">
        <v>46165.5</v>
      </c>
      <c r="B403" t="s">
        <v>14</v>
      </c>
      <c r="C403" t="s">
        <v>1370</v>
      </c>
      <c r="D403" t="s">
        <v>177</v>
      </c>
      <c r="E403" t="s">
        <v>3824</v>
      </c>
      <c r="F403" t="s">
        <v>78</v>
      </c>
      <c r="G403">
        <v>3</v>
      </c>
      <c r="H403" s="4">
        <v>0.45</v>
      </c>
      <c r="I403" s="4">
        <v>0.57</v>
      </c>
      <c r="J403" s="4">
        <v>-8.95</v>
      </c>
      <c r="K403" s="17">
        <v>-1989.49</v>
      </c>
      <c r="L403" t="s">
        <v>1</v>
      </c>
    </row>
    <row r="404" spans="1:12" x14ac:dyDescent="0.25">
      <c r="A404" s="8">
        <v>46165.5</v>
      </c>
      <c r="B404" t="s">
        <v>14</v>
      </c>
      <c r="C404" t="s">
        <v>1371</v>
      </c>
      <c r="D404" t="s">
        <v>254</v>
      </c>
      <c r="E404" t="s">
        <v>3827</v>
      </c>
      <c r="F404" t="s">
        <v>61</v>
      </c>
      <c r="G404">
        <v>4</v>
      </c>
      <c r="H404" s="4">
        <v>3.2</v>
      </c>
      <c r="I404" s="4">
        <v>4.13</v>
      </c>
      <c r="J404" s="4">
        <v>-8.67</v>
      </c>
      <c r="K404" s="17">
        <v>-270.92</v>
      </c>
      <c r="L404" t="s">
        <v>1</v>
      </c>
    </row>
    <row r="405" spans="1:12" x14ac:dyDescent="0.25">
      <c r="A405" s="8">
        <v>46165.5</v>
      </c>
      <c r="B405" t="s">
        <v>14</v>
      </c>
      <c r="C405" t="s">
        <v>1372</v>
      </c>
      <c r="D405" t="s">
        <v>185</v>
      </c>
      <c r="E405" t="s">
        <v>3826</v>
      </c>
      <c r="F405" t="s">
        <v>102</v>
      </c>
      <c r="G405">
        <v>3</v>
      </c>
      <c r="H405" s="4">
        <v>3.6</v>
      </c>
      <c r="I405" s="4">
        <v>4.61</v>
      </c>
      <c r="J405" s="4">
        <v>-8.66</v>
      </c>
      <c r="K405" s="17">
        <v>-240.43</v>
      </c>
      <c r="L405" t="s">
        <v>1</v>
      </c>
    </row>
    <row r="406" spans="1:12" x14ac:dyDescent="0.25">
      <c r="A406" s="8">
        <v>46165.5</v>
      </c>
      <c r="B406" t="s">
        <v>15</v>
      </c>
      <c r="C406" t="s">
        <v>2180</v>
      </c>
      <c r="D406" t="s">
        <v>185</v>
      </c>
      <c r="E406" t="s">
        <v>3826</v>
      </c>
      <c r="F406" t="s">
        <v>102</v>
      </c>
      <c r="G406">
        <v>1</v>
      </c>
      <c r="H406" s="4">
        <v>1.2</v>
      </c>
      <c r="I406" s="4">
        <v>1.4</v>
      </c>
      <c r="J406" s="4">
        <v>-0.42</v>
      </c>
      <c r="K406" s="17">
        <v>-35.3</v>
      </c>
      <c r="L406" t="s">
        <v>1</v>
      </c>
    </row>
    <row r="407" spans="1:12" x14ac:dyDescent="0.25">
      <c r="A407" s="8">
        <v>46165.5</v>
      </c>
      <c r="B407" t="s">
        <v>16</v>
      </c>
      <c r="C407" t="s">
        <v>2954</v>
      </c>
      <c r="D407" t="s">
        <v>177</v>
      </c>
      <c r="E407" t="s">
        <v>3824</v>
      </c>
      <c r="F407" t="s">
        <v>78</v>
      </c>
      <c r="G407">
        <v>1</v>
      </c>
      <c r="H407" s="4">
        <v>0.15</v>
      </c>
      <c r="I407" s="4">
        <v>0.18</v>
      </c>
      <c r="J407" s="4">
        <v>0.01</v>
      </c>
      <c r="K407" s="17">
        <v>6.59</v>
      </c>
      <c r="L407" t="s">
        <v>1</v>
      </c>
    </row>
    <row r="408" spans="1:12" x14ac:dyDescent="0.25">
      <c r="A408" s="8">
        <v>46164.5</v>
      </c>
      <c r="B408" t="s">
        <v>15</v>
      </c>
      <c r="C408" t="s">
        <v>2187</v>
      </c>
      <c r="D408" t="s">
        <v>174</v>
      </c>
      <c r="E408" t="s">
        <v>3823</v>
      </c>
      <c r="F408" t="s">
        <v>66</v>
      </c>
      <c r="G408">
        <v>3</v>
      </c>
      <c r="H408" s="4">
        <v>12.75</v>
      </c>
      <c r="I408" s="4">
        <v>15.43</v>
      </c>
      <c r="J408" s="4">
        <v>0.54</v>
      </c>
      <c r="K408" s="17">
        <v>4.22</v>
      </c>
      <c r="L408" t="s">
        <v>1</v>
      </c>
    </row>
    <row r="409" spans="1:12" x14ac:dyDescent="0.25">
      <c r="A409" s="8">
        <v>46164.5</v>
      </c>
      <c r="B409" t="s">
        <v>16</v>
      </c>
      <c r="C409" t="s">
        <v>2961</v>
      </c>
      <c r="D409" t="s">
        <v>185</v>
      </c>
      <c r="E409" t="s">
        <v>3826</v>
      </c>
      <c r="F409" t="s">
        <v>102</v>
      </c>
      <c r="G409">
        <v>1</v>
      </c>
      <c r="H409" s="4">
        <v>1.2</v>
      </c>
      <c r="I409" s="4">
        <v>1.5</v>
      </c>
      <c r="J409" s="4">
        <v>0.12</v>
      </c>
      <c r="K409" s="17">
        <v>10.33</v>
      </c>
      <c r="L409" t="s">
        <v>1</v>
      </c>
    </row>
    <row r="410" spans="1:12" x14ac:dyDescent="0.25">
      <c r="A410" s="8">
        <v>46164.5</v>
      </c>
      <c r="B410" t="s">
        <v>17</v>
      </c>
      <c r="C410" t="s">
        <v>3711</v>
      </c>
      <c r="D410" t="s">
        <v>189</v>
      </c>
      <c r="E410" t="s">
        <v>3822</v>
      </c>
      <c r="F410" t="s">
        <v>66</v>
      </c>
      <c r="G410">
        <v>4</v>
      </c>
      <c r="H410" s="4">
        <v>14</v>
      </c>
      <c r="I410" s="4">
        <v>19.32</v>
      </c>
      <c r="J410" s="4">
        <v>3.54</v>
      </c>
      <c r="K410" s="17">
        <v>25.31</v>
      </c>
      <c r="L410" t="s">
        <v>1</v>
      </c>
    </row>
    <row r="411" spans="1:12" x14ac:dyDescent="0.25">
      <c r="A411" s="8">
        <v>46164.5</v>
      </c>
      <c r="B411" t="s">
        <v>17</v>
      </c>
      <c r="C411" t="s">
        <v>3712</v>
      </c>
      <c r="D411" t="s">
        <v>174</v>
      </c>
      <c r="E411" t="s">
        <v>3823</v>
      </c>
      <c r="F411" t="s">
        <v>66</v>
      </c>
      <c r="G411">
        <v>4</v>
      </c>
      <c r="H411" s="4">
        <v>17</v>
      </c>
      <c r="I411" s="4">
        <v>21.59</v>
      </c>
      <c r="J411" s="4">
        <v>2.82</v>
      </c>
      <c r="K411" s="17">
        <v>16.62</v>
      </c>
      <c r="L411" t="s">
        <v>1</v>
      </c>
    </row>
    <row r="412" spans="1:12" x14ac:dyDescent="0.25">
      <c r="A412" s="8">
        <v>46163.5</v>
      </c>
      <c r="B412" t="s">
        <v>13</v>
      </c>
      <c r="C412" t="s">
        <v>646</v>
      </c>
      <c r="D412" t="s">
        <v>254</v>
      </c>
      <c r="E412" t="s">
        <v>3827</v>
      </c>
      <c r="F412" t="s">
        <v>61</v>
      </c>
      <c r="G412">
        <v>3</v>
      </c>
      <c r="H412" s="4">
        <v>2.4</v>
      </c>
      <c r="I412" s="4">
        <v>3.1</v>
      </c>
      <c r="J412" s="4">
        <v>0.32</v>
      </c>
      <c r="K412" s="17">
        <v>13.24</v>
      </c>
      <c r="L412" t="s">
        <v>1</v>
      </c>
    </row>
    <row r="413" spans="1:12" x14ac:dyDescent="0.25">
      <c r="A413" s="8">
        <v>46163.5</v>
      </c>
      <c r="B413" t="s">
        <v>14</v>
      </c>
      <c r="C413" t="s">
        <v>1395</v>
      </c>
      <c r="D413" t="s">
        <v>254</v>
      </c>
      <c r="E413" t="s">
        <v>3827</v>
      </c>
      <c r="F413" t="s">
        <v>61</v>
      </c>
      <c r="G413">
        <v>3</v>
      </c>
      <c r="H413" s="4">
        <v>2.4</v>
      </c>
      <c r="I413" s="4">
        <v>3.17</v>
      </c>
      <c r="J413" s="4">
        <v>-8.7</v>
      </c>
      <c r="K413" s="17">
        <v>-362.38</v>
      </c>
      <c r="L413" t="s">
        <v>1</v>
      </c>
    </row>
    <row r="414" spans="1:12" x14ac:dyDescent="0.25">
      <c r="A414" s="8">
        <v>46163.5</v>
      </c>
      <c r="B414" t="s">
        <v>15</v>
      </c>
      <c r="C414" t="s">
        <v>2190</v>
      </c>
      <c r="D414" t="s">
        <v>177</v>
      </c>
      <c r="E414" t="s">
        <v>3824</v>
      </c>
      <c r="F414" t="s">
        <v>78</v>
      </c>
      <c r="G414">
        <v>2</v>
      </c>
      <c r="H414" s="4">
        <v>0.3</v>
      </c>
      <c r="I414" s="4">
        <v>0.37</v>
      </c>
      <c r="J414" s="4">
        <v>-0.45</v>
      </c>
      <c r="K414" s="17">
        <v>-150.27</v>
      </c>
      <c r="L414" t="s">
        <v>1</v>
      </c>
    </row>
    <row r="415" spans="1:12" x14ac:dyDescent="0.25">
      <c r="A415" s="8">
        <v>46163.5</v>
      </c>
      <c r="B415" t="s">
        <v>17</v>
      </c>
      <c r="C415" t="s">
        <v>3715</v>
      </c>
      <c r="D415" t="s">
        <v>189</v>
      </c>
      <c r="E415" t="s">
        <v>3822</v>
      </c>
      <c r="F415" t="s">
        <v>66</v>
      </c>
      <c r="G415">
        <v>3</v>
      </c>
      <c r="H415" s="4">
        <v>10.5</v>
      </c>
      <c r="I415" s="4">
        <v>13.23</v>
      </c>
      <c r="J415" s="4">
        <v>1.66</v>
      </c>
      <c r="K415" s="17">
        <v>15.86</v>
      </c>
      <c r="L415" t="s">
        <v>1</v>
      </c>
    </row>
    <row r="416" spans="1:12" x14ac:dyDescent="0.25">
      <c r="A416" s="8">
        <v>46162.5</v>
      </c>
      <c r="B416" t="s">
        <v>13</v>
      </c>
      <c r="C416" t="s">
        <v>656</v>
      </c>
      <c r="D416" t="s">
        <v>189</v>
      </c>
      <c r="E416" t="s">
        <v>3822</v>
      </c>
      <c r="F416" t="s">
        <v>66</v>
      </c>
      <c r="G416">
        <v>1</v>
      </c>
      <c r="H416" s="4">
        <v>3.5</v>
      </c>
      <c r="I416" s="4">
        <v>4.41</v>
      </c>
      <c r="J416" s="4">
        <v>0.38</v>
      </c>
      <c r="K416" s="17">
        <v>10.87</v>
      </c>
      <c r="L416" t="s">
        <v>1</v>
      </c>
    </row>
    <row r="417" spans="1:12" x14ac:dyDescent="0.25">
      <c r="A417" s="8">
        <v>46162.5</v>
      </c>
      <c r="B417" t="s">
        <v>13</v>
      </c>
      <c r="C417" t="s">
        <v>655</v>
      </c>
      <c r="D417" t="s">
        <v>254</v>
      </c>
      <c r="E417" t="s">
        <v>3827</v>
      </c>
      <c r="F417" t="s">
        <v>61</v>
      </c>
      <c r="G417">
        <v>1</v>
      </c>
      <c r="H417" s="4">
        <v>0.8</v>
      </c>
      <c r="I417" s="4">
        <v>1.11</v>
      </c>
      <c r="J417" s="4">
        <v>0.16</v>
      </c>
      <c r="K417" s="17">
        <v>20.4</v>
      </c>
      <c r="L417" t="s">
        <v>1</v>
      </c>
    </row>
    <row r="418" spans="1:12" x14ac:dyDescent="0.25">
      <c r="A418" s="8">
        <v>46162.5</v>
      </c>
      <c r="B418" t="s">
        <v>14</v>
      </c>
      <c r="C418" t="s">
        <v>1396</v>
      </c>
      <c r="D418" t="s">
        <v>254</v>
      </c>
      <c r="E418" t="s">
        <v>3827</v>
      </c>
      <c r="F418" t="s">
        <v>61</v>
      </c>
      <c r="G418">
        <v>2</v>
      </c>
      <c r="H418" s="4">
        <v>1.6</v>
      </c>
      <c r="I418" s="4">
        <v>1.89</v>
      </c>
      <c r="J418" s="4">
        <v>-8.96</v>
      </c>
      <c r="K418" s="17">
        <v>-559.77</v>
      </c>
      <c r="L418" t="s">
        <v>1</v>
      </c>
    </row>
    <row r="419" spans="1:12" x14ac:dyDescent="0.25">
      <c r="A419" s="8">
        <v>46162.5</v>
      </c>
      <c r="B419" t="s">
        <v>14</v>
      </c>
      <c r="C419" t="s">
        <v>1397</v>
      </c>
      <c r="D419" t="s">
        <v>182</v>
      </c>
      <c r="E419" t="s">
        <v>3825</v>
      </c>
      <c r="F419" t="s">
        <v>75</v>
      </c>
      <c r="G419">
        <v>3</v>
      </c>
      <c r="H419" s="4">
        <v>5.7</v>
      </c>
      <c r="I419" s="4">
        <v>6.67</v>
      </c>
      <c r="J419" s="4">
        <v>-8.92</v>
      </c>
      <c r="K419" s="17">
        <v>-156.41</v>
      </c>
      <c r="L419" t="s">
        <v>1</v>
      </c>
    </row>
    <row r="420" spans="1:12" x14ac:dyDescent="0.25">
      <c r="A420" s="8">
        <v>46162.5</v>
      </c>
      <c r="B420" t="s">
        <v>14</v>
      </c>
      <c r="C420" t="s">
        <v>1398</v>
      </c>
      <c r="D420" t="s">
        <v>185</v>
      </c>
      <c r="E420" t="s">
        <v>3826</v>
      </c>
      <c r="F420" t="s">
        <v>102</v>
      </c>
      <c r="G420">
        <v>1</v>
      </c>
      <c r="H420" s="4">
        <v>1.2</v>
      </c>
      <c r="I420" s="4">
        <v>1.4</v>
      </c>
      <c r="J420" s="4">
        <v>-8.98</v>
      </c>
      <c r="K420" s="17">
        <v>-748.11</v>
      </c>
      <c r="L420" t="s">
        <v>1</v>
      </c>
    </row>
    <row r="421" spans="1:12" x14ac:dyDescent="0.25">
      <c r="A421" s="8">
        <v>46162.5</v>
      </c>
      <c r="B421" t="s">
        <v>16</v>
      </c>
      <c r="C421" t="s">
        <v>2974</v>
      </c>
      <c r="D421" t="s">
        <v>182</v>
      </c>
      <c r="E421" t="s">
        <v>3825</v>
      </c>
      <c r="F421" t="s">
        <v>75</v>
      </c>
      <c r="G421">
        <v>1</v>
      </c>
      <c r="H421" s="4">
        <v>1.9</v>
      </c>
      <c r="I421" s="4">
        <v>2.22</v>
      </c>
      <c r="J421" s="4">
        <v>0.08</v>
      </c>
      <c r="K421" s="17">
        <v>4.22</v>
      </c>
      <c r="L421" t="s">
        <v>1</v>
      </c>
    </row>
    <row r="422" spans="1:12" x14ac:dyDescent="0.25">
      <c r="A422" s="8">
        <v>46162.5</v>
      </c>
      <c r="B422" t="s">
        <v>17</v>
      </c>
      <c r="C422" t="s">
        <v>3722</v>
      </c>
      <c r="D422" t="s">
        <v>174</v>
      </c>
      <c r="E422" t="s">
        <v>3823</v>
      </c>
      <c r="F422" t="s">
        <v>66</v>
      </c>
      <c r="G422">
        <v>2</v>
      </c>
      <c r="H422" s="4">
        <v>8.5</v>
      </c>
      <c r="I422" s="4">
        <v>12.15</v>
      </c>
      <c r="J422" s="4">
        <v>2.48</v>
      </c>
      <c r="K422" s="17">
        <v>29.19</v>
      </c>
      <c r="L422" t="s">
        <v>1</v>
      </c>
    </row>
    <row r="423" spans="1:12" x14ac:dyDescent="0.25">
      <c r="A423" s="8">
        <v>46161.5</v>
      </c>
      <c r="B423" t="s">
        <v>13</v>
      </c>
      <c r="C423" t="s">
        <v>659</v>
      </c>
      <c r="D423" t="s">
        <v>174</v>
      </c>
      <c r="E423" t="s">
        <v>3823</v>
      </c>
      <c r="F423" t="s">
        <v>66</v>
      </c>
      <c r="G423">
        <v>1</v>
      </c>
      <c r="H423" s="4">
        <v>4.25</v>
      </c>
      <c r="I423" s="4">
        <v>5.1</v>
      </c>
      <c r="J423" s="4">
        <v>0.27</v>
      </c>
      <c r="K423" s="17">
        <v>6.38</v>
      </c>
      <c r="L423" t="s">
        <v>1</v>
      </c>
    </row>
    <row r="424" spans="1:12" x14ac:dyDescent="0.25">
      <c r="A424" s="8">
        <v>46161.5</v>
      </c>
      <c r="B424" t="s">
        <v>15</v>
      </c>
      <c r="C424" t="s">
        <v>2205</v>
      </c>
      <c r="D424" t="s">
        <v>174</v>
      </c>
      <c r="E424" t="s">
        <v>3823</v>
      </c>
      <c r="F424" t="s">
        <v>66</v>
      </c>
      <c r="G424">
        <v>4</v>
      </c>
      <c r="H424" s="4">
        <v>17</v>
      </c>
      <c r="I424" s="4">
        <v>21.08</v>
      </c>
      <c r="J424" s="4">
        <v>1.26</v>
      </c>
      <c r="K424" s="17">
        <v>7.41</v>
      </c>
      <c r="L424" t="s">
        <v>1</v>
      </c>
    </row>
    <row r="425" spans="1:12" x14ac:dyDescent="0.25">
      <c r="A425" s="8">
        <v>46161.5</v>
      </c>
      <c r="B425" t="s">
        <v>15</v>
      </c>
      <c r="C425" t="s">
        <v>2206</v>
      </c>
      <c r="D425" t="s">
        <v>185</v>
      </c>
      <c r="E425" t="s">
        <v>3826</v>
      </c>
      <c r="F425" t="s">
        <v>102</v>
      </c>
      <c r="G425">
        <v>1</v>
      </c>
      <c r="H425" s="4">
        <v>1.2</v>
      </c>
      <c r="I425" s="4">
        <v>1.64</v>
      </c>
      <c r="J425" s="4">
        <v>-0.24</v>
      </c>
      <c r="K425" s="17">
        <v>-20.2</v>
      </c>
      <c r="L425" t="s">
        <v>1</v>
      </c>
    </row>
    <row r="426" spans="1:12" x14ac:dyDescent="0.25">
      <c r="A426" s="8">
        <v>46161.5</v>
      </c>
      <c r="B426" t="s">
        <v>16</v>
      </c>
      <c r="C426" t="s">
        <v>2989</v>
      </c>
      <c r="D426" t="s">
        <v>174</v>
      </c>
      <c r="E426" t="s">
        <v>3823</v>
      </c>
      <c r="F426" t="s">
        <v>66</v>
      </c>
      <c r="G426">
        <v>1</v>
      </c>
      <c r="H426" s="4">
        <v>4.25</v>
      </c>
      <c r="I426" s="4">
        <v>5.74</v>
      </c>
      <c r="J426" s="4">
        <v>0.76</v>
      </c>
      <c r="K426" s="17">
        <v>17.87</v>
      </c>
      <c r="L426" t="s">
        <v>1</v>
      </c>
    </row>
    <row r="427" spans="1:12" x14ac:dyDescent="0.25">
      <c r="A427" s="8">
        <v>46161.5</v>
      </c>
      <c r="B427" t="s">
        <v>17</v>
      </c>
      <c r="C427" t="s">
        <v>3729</v>
      </c>
      <c r="D427" t="s">
        <v>254</v>
      </c>
      <c r="E427" t="s">
        <v>3827</v>
      </c>
      <c r="F427" t="s">
        <v>61</v>
      </c>
      <c r="G427">
        <v>2</v>
      </c>
      <c r="H427" s="4">
        <v>1.6</v>
      </c>
      <c r="I427" s="4">
        <v>2.21</v>
      </c>
      <c r="J427" s="4">
        <v>0.41</v>
      </c>
      <c r="K427" s="17">
        <v>25.52</v>
      </c>
      <c r="L427" t="s">
        <v>1</v>
      </c>
    </row>
    <row r="428" spans="1:12" x14ac:dyDescent="0.25">
      <c r="A428" s="8">
        <v>46161.5</v>
      </c>
      <c r="B428" t="s">
        <v>17</v>
      </c>
      <c r="C428" t="s">
        <v>3730</v>
      </c>
      <c r="D428" t="s">
        <v>182</v>
      </c>
      <c r="E428" t="s">
        <v>3825</v>
      </c>
      <c r="F428" t="s">
        <v>75</v>
      </c>
      <c r="G428">
        <v>4</v>
      </c>
      <c r="H428" s="4">
        <v>7.6</v>
      </c>
      <c r="I428" s="4">
        <v>10.87</v>
      </c>
      <c r="J428" s="4">
        <v>2.22</v>
      </c>
      <c r="K428" s="17">
        <v>29.27</v>
      </c>
      <c r="L428" t="s">
        <v>1</v>
      </c>
    </row>
    <row r="429" spans="1:12" x14ac:dyDescent="0.25">
      <c r="A429" s="8">
        <v>46160.5</v>
      </c>
      <c r="B429" t="s">
        <v>14</v>
      </c>
      <c r="C429" t="s">
        <v>1407</v>
      </c>
      <c r="D429" t="s">
        <v>185</v>
      </c>
      <c r="E429" t="s">
        <v>3826</v>
      </c>
      <c r="F429" t="s">
        <v>102</v>
      </c>
      <c r="G429">
        <v>3</v>
      </c>
      <c r="H429" s="4">
        <v>3.6</v>
      </c>
      <c r="I429" s="4">
        <v>4.32</v>
      </c>
      <c r="J429" s="4">
        <v>-8.87</v>
      </c>
      <c r="K429" s="17">
        <v>-246.26</v>
      </c>
      <c r="L429" t="s">
        <v>1</v>
      </c>
    </row>
    <row r="430" spans="1:12" x14ac:dyDescent="0.25">
      <c r="A430" s="8">
        <v>46160.5</v>
      </c>
      <c r="B430" t="s">
        <v>15</v>
      </c>
      <c r="C430" t="s">
        <v>2222</v>
      </c>
      <c r="D430" t="s">
        <v>174</v>
      </c>
      <c r="E430" t="s">
        <v>3823</v>
      </c>
      <c r="F430" t="s">
        <v>66</v>
      </c>
      <c r="G430">
        <v>2</v>
      </c>
      <c r="H430" s="4">
        <v>8.5</v>
      </c>
      <c r="I430" s="4">
        <v>11.3</v>
      </c>
      <c r="J430" s="4">
        <v>0.96</v>
      </c>
      <c r="K430" s="17">
        <v>11.34</v>
      </c>
      <c r="L430" t="s">
        <v>1</v>
      </c>
    </row>
    <row r="431" spans="1:12" x14ac:dyDescent="0.25">
      <c r="A431" s="8">
        <v>46160.5</v>
      </c>
      <c r="B431" t="s">
        <v>15</v>
      </c>
      <c r="C431" t="s">
        <v>2223</v>
      </c>
      <c r="D431" t="s">
        <v>177</v>
      </c>
      <c r="E431" t="s">
        <v>3824</v>
      </c>
      <c r="F431" t="s">
        <v>78</v>
      </c>
      <c r="G431">
        <v>3</v>
      </c>
      <c r="H431" s="4">
        <v>0.45</v>
      </c>
      <c r="I431" s="4">
        <v>0.58</v>
      </c>
      <c r="J431" s="4">
        <v>-0.42</v>
      </c>
      <c r="K431" s="17">
        <v>-92.74</v>
      </c>
      <c r="L431" t="s">
        <v>1</v>
      </c>
    </row>
    <row r="432" spans="1:12" x14ac:dyDescent="0.25">
      <c r="A432" s="8">
        <v>46160.5</v>
      </c>
      <c r="B432" t="s">
        <v>17</v>
      </c>
      <c r="C432" t="s">
        <v>3739</v>
      </c>
      <c r="D432" t="s">
        <v>174</v>
      </c>
      <c r="E432" t="s">
        <v>3823</v>
      </c>
      <c r="F432" t="s">
        <v>66</v>
      </c>
      <c r="G432">
        <v>2</v>
      </c>
      <c r="H432" s="4">
        <v>8.5</v>
      </c>
      <c r="I432" s="4">
        <v>10.2</v>
      </c>
      <c r="J432" s="4">
        <v>0.95</v>
      </c>
      <c r="K432" s="17">
        <v>11.14</v>
      </c>
      <c r="L432" t="s">
        <v>1</v>
      </c>
    </row>
    <row r="433" spans="1:12" x14ac:dyDescent="0.25">
      <c r="A433" s="8">
        <v>46160.5</v>
      </c>
      <c r="B433" t="s">
        <v>17</v>
      </c>
      <c r="C433" t="s">
        <v>3740</v>
      </c>
      <c r="D433" t="s">
        <v>254</v>
      </c>
      <c r="E433" t="s">
        <v>3827</v>
      </c>
      <c r="F433" t="s">
        <v>61</v>
      </c>
      <c r="G433">
        <v>3</v>
      </c>
      <c r="H433" s="4">
        <v>2.4</v>
      </c>
      <c r="I433" s="4">
        <v>3.05</v>
      </c>
      <c r="J433" s="4">
        <v>0.4</v>
      </c>
      <c r="K433" s="17">
        <v>16.74</v>
      </c>
      <c r="L433" t="s">
        <v>1</v>
      </c>
    </row>
    <row r="434" spans="1:12" x14ac:dyDescent="0.25">
      <c r="A434" s="8">
        <v>46159.5</v>
      </c>
      <c r="B434" t="s">
        <v>14</v>
      </c>
      <c r="C434" t="s">
        <v>1420</v>
      </c>
      <c r="D434" t="s">
        <v>174</v>
      </c>
      <c r="E434" t="s">
        <v>3823</v>
      </c>
      <c r="F434" t="s">
        <v>66</v>
      </c>
      <c r="G434">
        <v>1</v>
      </c>
      <c r="H434" s="4">
        <v>4.25</v>
      </c>
      <c r="I434" s="4">
        <v>5.48</v>
      </c>
      <c r="J434" s="4">
        <v>-8.57</v>
      </c>
      <c r="K434" s="17">
        <v>-201.6</v>
      </c>
      <c r="L434" t="s">
        <v>1</v>
      </c>
    </row>
    <row r="435" spans="1:12" x14ac:dyDescent="0.25">
      <c r="A435" s="8">
        <v>46159.5</v>
      </c>
      <c r="B435" t="s">
        <v>15</v>
      </c>
      <c r="C435" t="s">
        <v>2232</v>
      </c>
      <c r="D435" t="s">
        <v>177</v>
      </c>
      <c r="E435" t="s">
        <v>3824</v>
      </c>
      <c r="F435" t="s">
        <v>78</v>
      </c>
      <c r="G435">
        <v>3</v>
      </c>
      <c r="H435" s="4">
        <v>0.45</v>
      </c>
      <c r="I435" s="4">
        <v>0.63</v>
      </c>
      <c r="J435" s="4">
        <v>-0.38</v>
      </c>
      <c r="K435" s="17">
        <v>-84.36</v>
      </c>
      <c r="L435" t="s">
        <v>1</v>
      </c>
    </row>
    <row r="436" spans="1:12" x14ac:dyDescent="0.25">
      <c r="A436" s="8">
        <v>46159.5</v>
      </c>
      <c r="B436" t="s">
        <v>15</v>
      </c>
      <c r="C436" t="s">
        <v>2233</v>
      </c>
      <c r="D436" t="s">
        <v>182</v>
      </c>
      <c r="E436" t="s">
        <v>3825</v>
      </c>
      <c r="F436" t="s">
        <v>75</v>
      </c>
      <c r="G436">
        <v>3</v>
      </c>
      <c r="H436" s="4">
        <v>5.7</v>
      </c>
      <c r="I436" s="4">
        <v>7.92</v>
      </c>
      <c r="J436" s="4">
        <v>0.75</v>
      </c>
      <c r="K436" s="17">
        <v>13.1</v>
      </c>
      <c r="L436" t="s">
        <v>1</v>
      </c>
    </row>
    <row r="437" spans="1:12" x14ac:dyDescent="0.25">
      <c r="A437" s="8">
        <v>46159.5</v>
      </c>
      <c r="B437" t="s">
        <v>15</v>
      </c>
      <c r="C437" t="s">
        <v>2234</v>
      </c>
      <c r="D437" t="s">
        <v>185</v>
      </c>
      <c r="E437" t="s">
        <v>3826</v>
      </c>
      <c r="F437" t="s">
        <v>102</v>
      </c>
      <c r="G437">
        <v>2</v>
      </c>
      <c r="H437" s="4">
        <v>2.4</v>
      </c>
      <c r="I437" s="4">
        <v>3.07</v>
      </c>
      <c r="J437" s="4">
        <v>-0.16</v>
      </c>
      <c r="K437" s="17">
        <v>-6.81</v>
      </c>
      <c r="L437" t="s">
        <v>1</v>
      </c>
    </row>
    <row r="438" spans="1:12" x14ac:dyDescent="0.25">
      <c r="A438" s="8">
        <v>46159.5</v>
      </c>
      <c r="B438" t="s">
        <v>16</v>
      </c>
      <c r="C438" t="s">
        <v>3006</v>
      </c>
      <c r="D438" t="s">
        <v>182</v>
      </c>
      <c r="E438" t="s">
        <v>3825</v>
      </c>
      <c r="F438" t="s">
        <v>75</v>
      </c>
      <c r="G438">
        <v>1</v>
      </c>
      <c r="H438" s="4">
        <v>1.9</v>
      </c>
      <c r="I438" s="4">
        <v>2.58</v>
      </c>
      <c r="J438" s="4">
        <v>0.35</v>
      </c>
      <c r="K438" s="17">
        <v>18.42</v>
      </c>
      <c r="L438" t="s">
        <v>1</v>
      </c>
    </row>
    <row r="439" spans="1:12" x14ac:dyDescent="0.25">
      <c r="A439" s="8">
        <v>46159.5</v>
      </c>
      <c r="B439" t="s">
        <v>17</v>
      </c>
      <c r="C439" t="s">
        <v>3745</v>
      </c>
      <c r="D439" t="s">
        <v>174</v>
      </c>
      <c r="E439" t="s">
        <v>3823</v>
      </c>
      <c r="F439" t="s">
        <v>66</v>
      </c>
      <c r="G439">
        <v>3</v>
      </c>
      <c r="H439" s="4">
        <v>12.75</v>
      </c>
      <c r="I439" s="4">
        <v>16.7</v>
      </c>
      <c r="J439" s="4">
        <v>2.52</v>
      </c>
      <c r="K439" s="17">
        <v>19.78</v>
      </c>
      <c r="L439" t="s">
        <v>1</v>
      </c>
    </row>
    <row r="440" spans="1:12" x14ac:dyDescent="0.25">
      <c r="A440" s="8">
        <v>46158.5</v>
      </c>
      <c r="B440" t="s">
        <v>14</v>
      </c>
      <c r="C440" t="s">
        <v>1427</v>
      </c>
      <c r="D440" t="s">
        <v>185</v>
      </c>
      <c r="E440" t="s">
        <v>3826</v>
      </c>
      <c r="F440" t="s">
        <v>102</v>
      </c>
      <c r="G440">
        <v>4</v>
      </c>
      <c r="H440" s="4">
        <v>4.8</v>
      </c>
      <c r="I440" s="4">
        <v>5.86</v>
      </c>
      <c r="J440" s="4">
        <v>-8.75</v>
      </c>
      <c r="K440" s="17">
        <v>-182.32</v>
      </c>
      <c r="L440" t="s">
        <v>1</v>
      </c>
    </row>
    <row r="441" spans="1:12" x14ac:dyDescent="0.25">
      <c r="A441" s="8">
        <v>46158.5</v>
      </c>
      <c r="B441" t="s">
        <v>15</v>
      </c>
      <c r="C441" t="s">
        <v>2241</v>
      </c>
      <c r="D441" t="s">
        <v>177</v>
      </c>
      <c r="E441" t="s">
        <v>3824</v>
      </c>
      <c r="F441" t="s">
        <v>78</v>
      </c>
      <c r="G441">
        <v>2</v>
      </c>
      <c r="H441" s="4">
        <v>0.3</v>
      </c>
      <c r="I441" s="4">
        <v>0.36</v>
      </c>
      <c r="J441" s="4">
        <v>-0.46</v>
      </c>
      <c r="K441" s="17">
        <v>-152.78</v>
      </c>
      <c r="L441" t="s">
        <v>1</v>
      </c>
    </row>
    <row r="442" spans="1:12" x14ac:dyDescent="0.25">
      <c r="A442" s="8">
        <v>46158.5</v>
      </c>
      <c r="B442" t="s">
        <v>15</v>
      </c>
      <c r="C442" t="s">
        <v>2242</v>
      </c>
      <c r="D442" t="s">
        <v>182</v>
      </c>
      <c r="E442" t="s">
        <v>3825</v>
      </c>
      <c r="F442" t="s">
        <v>75</v>
      </c>
      <c r="G442">
        <v>4</v>
      </c>
      <c r="H442" s="4">
        <v>7.6</v>
      </c>
      <c r="I442" s="4">
        <v>8.74</v>
      </c>
      <c r="J442" s="4">
        <v>-0.22</v>
      </c>
      <c r="K442" s="17">
        <v>-2.87</v>
      </c>
      <c r="L442" t="s">
        <v>1</v>
      </c>
    </row>
    <row r="443" spans="1:12" x14ac:dyDescent="0.25">
      <c r="A443" s="8">
        <v>46158.5</v>
      </c>
      <c r="B443" t="s">
        <v>16</v>
      </c>
      <c r="C443" t="s">
        <v>3011</v>
      </c>
      <c r="D443" t="s">
        <v>177</v>
      </c>
      <c r="E443" t="s">
        <v>3824</v>
      </c>
      <c r="F443" t="s">
        <v>78</v>
      </c>
      <c r="G443">
        <v>1</v>
      </c>
      <c r="H443" s="4">
        <v>0.15</v>
      </c>
      <c r="I443" s="4">
        <v>0.2</v>
      </c>
      <c r="J443" s="4">
        <v>0.02</v>
      </c>
      <c r="K443" s="17">
        <v>16.58</v>
      </c>
      <c r="L443" t="s">
        <v>1</v>
      </c>
    </row>
    <row r="444" spans="1:12" x14ac:dyDescent="0.25">
      <c r="A444" s="8">
        <v>46158.5</v>
      </c>
      <c r="B444" t="s">
        <v>16</v>
      </c>
      <c r="C444" t="s">
        <v>3012</v>
      </c>
      <c r="D444" t="s">
        <v>254</v>
      </c>
      <c r="E444" t="s">
        <v>3827</v>
      </c>
      <c r="F444" t="s">
        <v>61</v>
      </c>
      <c r="G444">
        <v>1</v>
      </c>
      <c r="H444" s="4">
        <v>0.8</v>
      </c>
      <c r="I444" s="4">
        <v>1.14</v>
      </c>
      <c r="J444" s="4">
        <v>0.19</v>
      </c>
      <c r="K444" s="17">
        <v>23.45</v>
      </c>
      <c r="L444" t="s">
        <v>1</v>
      </c>
    </row>
    <row r="445" spans="1:12" x14ac:dyDescent="0.25">
      <c r="A445" s="8">
        <v>46157.5</v>
      </c>
      <c r="B445" t="s">
        <v>13</v>
      </c>
      <c r="C445" t="s">
        <v>686</v>
      </c>
      <c r="D445" t="s">
        <v>189</v>
      </c>
      <c r="E445" t="s">
        <v>3822</v>
      </c>
      <c r="F445" t="s">
        <v>66</v>
      </c>
      <c r="G445">
        <v>4</v>
      </c>
      <c r="H445" s="4">
        <v>14</v>
      </c>
      <c r="I445" s="4">
        <v>18.76</v>
      </c>
      <c r="J445" s="4">
        <v>2.36</v>
      </c>
      <c r="K445" s="17">
        <v>16.85</v>
      </c>
      <c r="L445" t="s">
        <v>1</v>
      </c>
    </row>
    <row r="446" spans="1:12" x14ac:dyDescent="0.25">
      <c r="A446" s="8">
        <v>46157.5</v>
      </c>
      <c r="B446" t="s">
        <v>13</v>
      </c>
      <c r="C446" t="s">
        <v>684</v>
      </c>
      <c r="D446" t="s">
        <v>254</v>
      </c>
      <c r="E446" t="s">
        <v>3827</v>
      </c>
      <c r="F446" t="s">
        <v>61</v>
      </c>
      <c r="G446">
        <v>3</v>
      </c>
      <c r="H446" s="4">
        <v>2.4</v>
      </c>
      <c r="I446" s="4">
        <v>3.19</v>
      </c>
      <c r="J446" s="4">
        <v>0.38</v>
      </c>
      <c r="K446" s="17">
        <v>16.04</v>
      </c>
      <c r="L446" t="s">
        <v>1</v>
      </c>
    </row>
    <row r="447" spans="1:12" x14ac:dyDescent="0.25">
      <c r="A447" s="8">
        <v>46157.5</v>
      </c>
      <c r="B447" t="s">
        <v>13</v>
      </c>
      <c r="C447" t="s">
        <v>685</v>
      </c>
      <c r="D447" t="s">
        <v>182</v>
      </c>
      <c r="E447" t="s">
        <v>3825</v>
      </c>
      <c r="F447" t="s">
        <v>75</v>
      </c>
      <c r="G447">
        <v>1</v>
      </c>
      <c r="H447" s="4">
        <v>1.9</v>
      </c>
      <c r="I447" s="4">
        <v>2.6</v>
      </c>
      <c r="J447" s="4">
        <v>0.36</v>
      </c>
      <c r="K447" s="17">
        <v>18.98</v>
      </c>
      <c r="L447" t="s">
        <v>1</v>
      </c>
    </row>
    <row r="448" spans="1:12" x14ac:dyDescent="0.25">
      <c r="A448" s="8">
        <v>46157.5</v>
      </c>
      <c r="B448" t="s">
        <v>14</v>
      </c>
      <c r="C448" t="s">
        <v>1438</v>
      </c>
      <c r="D448" t="s">
        <v>185</v>
      </c>
      <c r="E448" t="s">
        <v>3826</v>
      </c>
      <c r="F448" t="s">
        <v>102</v>
      </c>
      <c r="G448">
        <v>2</v>
      </c>
      <c r="H448" s="4">
        <v>2.4</v>
      </c>
      <c r="I448" s="4">
        <v>2.76</v>
      </c>
      <c r="J448" s="4">
        <v>-8.99</v>
      </c>
      <c r="K448" s="17">
        <v>-374.73</v>
      </c>
      <c r="L448" t="s">
        <v>1</v>
      </c>
    </row>
    <row r="449" spans="1:12" x14ac:dyDescent="0.25">
      <c r="A449" s="8">
        <v>46157.5</v>
      </c>
      <c r="B449" t="s">
        <v>15</v>
      </c>
      <c r="C449" t="s">
        <v>2251</v>
      </c>
      <c r="D449" t="s">
        <v>189</v>
      </c>
      <c r="E449" t="s">
        <v>3822</v>
      </c>
      <c r="F449" t="s">
        <v>66</v>
      </c>
      <c r="G449">
        <v>1</v>
      </c>
      <c r="H449" s="4">
        <v>3.5</v>
      </c>
      <c r="I449" s="4">
        <v>4.34</v>
      </c>
      <c r="J449" s="4">
        <v>-0.12</v>
      </c>
      <c r="K449" s="17">
        <v>-3.48</v>
      </c>
      <c r="L449" t="s">
        <v>1</v>
      </c>
    </row>
    <row r="450" spans="1:12" x14ac:dyDescent="0.25">
      <c r="A450" s="8">
        <v>46157.5</v>
      </c>
      <c r="B450" t="s">
        <v>15</v>
      </c>
      <c r="C450" t="s">
        <v>2252</v>
      </c>
      <c r="D450" t="s">
        <v>182</v>
      </c>
      <c r="E450" t="s">
        <v>3825</v>
      </c>
      <c r="F450" t="s">
        <v>75</v>
      </c>
      <c r="G450">
        <v>1</v>
      </c>
      <c r="H450" s="4">
        <v>1.9</v>
      </c>
      <c r="I450" s="4">
        <v>2.32</v>
      </c>
      <c r="J450" s="4">
        <v>-0.31</v>
      </c>
      <c r="K450" s="17">
        <v>-16.45</v>
      </c>
      <c r="L450" t="s">
        <v>1</v>
      </c>
    </row>
    <row r="451" spans="1:12" x14ac:dyDescent="0.25">
      <c r="A451" s="8">
        <v>46157.5</v>
      </c>
      <c r="B451" t="s">
        <v>16</v>
      </c>
      <c r="C451" t="s">
        <v>3017</v>
      </c>
      <c r="D451" t="s">
        <v>177</v>
      </c>
      <c r="E451" t="s">
        <v>3824</v>
      </c>
      <c r="F451" t="s">
        <v>78</v>
      </c>
      <c r="G451">
        <v>1</v>
      </c>
      <c r="H451" s="4">
        <v>0.15</v>
      </c>
      <c r="I451" s="4">
        <v>0.21</v>
      </c>
      <c r="J451" s="4">
        <v>0.03</v>
      </c>
      <c r="K451" s="17">
        <v>21.57</v>
      </c>
      <c r="L451" t="s">
        <v>1</v>
      </c>
    </row>
    <row r="452" spans="1:12" x14ac:dyDescent="0.25">
      <c r="A452" s="8">
        <v>46157.5</v>
      </c>
      <c r="B452" t="s">
        <v>16</v>
      </c>
      <c r="C452" t="s">
        <v>3018</v>
      </c>
      <c r="D452" t="s">
        <v>182</v>
      </c>
      <c r="E452" t="s">
        <v>3825</v>
      </c>
      <c r="F452" t="s">
        <v>75</v>
      </c>
      <c r="G452">
        <v>1</v>
      </c>
      <c r="H452" s="4">
        <v>1.9</v>
      </c>
      <c r="I452" s="4">
        <v>2.58</v>
      </c>
      <c r="J452" s="4">
        <v>0.35</v>
      </c>
      <c r="K452" s="17">
        <v>18.42</v>
      </c>
      <c r="L452" t="s">
        <v>1</v>
      </c>
    </row>
    <row r="453" spans="1:12" x14ac:dyDescent="0.25">
      <c r="A453" s="8">
        <v>46157.5</v>
      </c>
      <c r="B453" t="s">
        <v>17</v>
      </c>
      <c r="C453" t="s">
        <v>3755</v>
      </c>
      <c r="D453" t="s">
        <v>174</v>
      </c>
      <c r="E453" t="s">
        <v>3823</v>
      </c>
      <c r="F453" t="s">
        <v>66</v>
      </c>
      <c r="G453">
        <v>1</v>
      </c>
      <c r="H453" s="4">
        <v>4.25</v>
      </c>
      <c r="I453" s="4">
        <v>5.74</v>
      </c>
      <c r="J453" s="4">
        <v>0.98</v>
      </c>
      <c r="K453" s="17">
        <v>23.1</v>
      </c>
      <c r="L453" t="s">
        <v>1</v>
      </c>
    </row>
    <row r="454" spans="1:12" x14ac:dyDescent="0.25">
      <c r="A454" s="8">
        <v>46156.5</v>
      </c>
      <c r="B454" t="s">
        <v>13</v>
      </c>
      <c r="C454" t="s">
        <v>693</v>
      </c>
      <c r="D454" t="s">
        <v>177</v>
      </c>
      <c r="E454" t="s">
        <v>3824</v>
      </c>
      <c r="F454" t="s">
        <v>78</v>
      </c>
      <c r="G454">
        <v>1</v>
      </c>
      <c r="H454" s="4">
        <v>0.15</v>
      </c>
      <c r="I454" s="4">
        <v>0.21</v>
      </c>
      <c r="J454" s="4">
        <v>0.03</v>
      </c>
      <c r="K454" s="17">
        <v>21.34</v>
      </c>
      <c r="L454" t="s">
        <v>1</v>
      </c>
    </row>
    <row r="455" spans="1:12" x14ac:dyDescent="0.25">
      <c r="A455" s="8">
        <v>46156.5</v>
      </c>
      <c r="B455" t="s">
        <v>14</v>
      </c>
      <c r="C455" t="s">
        <v>1443</v>
      </c>
      <c r="D455" t="s">
        <v>189</v>
      </c>
      <c r="E455" t="s">
        <v>3822</v>
      </c>
      <c r="F455" t="s">
        <v>66</v>
      </c>
      <c r="G455">
        <v>1</v>
      </c>
      <c r="H455" s="4">
        <v>3.5</v>
      </c>
      <c r="I455" s="4">
        <v>4.38</v>
      </c>
      <c r="J455" s="4">
        <v>-8.74</v>
      </c>
      <c r="K455" s="17">
        <v>-249.67</v>
      </c>
      <c r="L455" t="s">
        <v>1</v>
      </c>
    </row>
    <row r="456" spans="1:12" x14ac:dyDescent="0.25">
      <c r="A456" s="8">
        <v>46156.5</v>
      </c>
      <c r="B456" t="s">
        <v>14</v>
      </c>
      <c r="C456" t="s">
        <v>1444</v>
      </c>
      <c r="D456" t="s">
        <v>254</v>
      </c>
      <c r="E456" t="s">
        <v>3827</v>
      </c>
      <c r="F456" t="s">
        <v>61</v>
      </c>
      <c r="G456">
        <v>2</v>
      </c>
      <c r="H456" s="4">
        <v>1.6</v>
      </c>
      <c r="I456" s="4">
        <v>1.84</v>
      </c>
      <c r="J456" s="4">
        <v>-8.99</v>
      </c>
      <c r="K456" s="17">
        <v>-562.03</v>
      </c>
      <c r="L456" t="s">
        <v>1</v>
      </c>
    </row>
    <row r="457" spans="1:12" x14ac:dyDescent="0.25">
      <c r="A457" s="8">
        <v>46156.5</v>
      </c>
      <c r="B457" t="s">
        <v>14</v>
      </c>
      <c r="C457" t="s">
        <v>1445</v>
      </c>
      <c r="D457" t="s">
        <v>182</v>
      </c>
      <c r="E457" t="s">
        <v>3825</v>
      </c>
      <c r="F457" t="s">
        <v>75</v>
      </c>
      <c r="G457">
        <v>2</v>
      </c>
      <c r="H457" s="4">
        <v>3.8</v>
      </c>
      <c r="I457" s="4">
        <v>4.56</v>
      </c>
      <c r="J457" s="4">
        <v>-8.86</v>
      </c>
      <c r="K457" s="17">
        <v>-233.11</v>
      </c>
      <c r="L457" t="s">
        <v>1</v>
      </c>
    </row>
    <row r="458" spans="1:12" x14ac:dyDescent="0.25">
      <c r="A458" s="8">
        <v>46156.5</v>
      </c>
      <c r="B458" t="s">
        <v>15</v>
      </c>
      <c r="C458" t="s">
        <v>2263</v>
      </c>
      <c r="D458" t="s">
        <v>254</v>
      </c>
      <c r="E458" t="s">
        <v>3827</v>
      </c>
      <c r="F458" t="s">
        <v>61</v>
      </c>
      <c r="G458">
        <v>3</v>
      </c>
      <c r="H458" s="4">
        <v>2.4</v>
      </c>
      <c r="I458" s="4">
        <v>3.34</v>
      </c>
      <c r="J458" s="4">
        <v>0.04</v>
      </c>
      <c r="K458" s="17">
        <v>1.68</v>
      </c>
      <c r="L458" t="s">
        <v>1</v>
      </c>
    </row>
    <row r="459" spans="1:12" x14ac:dyDescent="0.25">
      <c r="A459" s="8">
        <v>46156.5</v>
      </c>
      <c r="B459" t="s">
        <v>17</v>
      </c>
      <c r="C459" t="s">
        <v>3758</v>
      </c>
      <c r="D459" t="s">
        <v>189</v>
      </c>
      <c r="E459" t="s">
        <v>3822</v>
      </c>
      <c r="F459" t="s">
        <v>66</v>
      </c>
      <c r="G459">
        <v>1</v>
      </c>
      <c r="H459" s="4">
        <v>3.5</v>
      </c>
      <c r="I459" s="4">
        <v>4.76</v>
      </c>
      <c r="J459" s="4">
        <v>0.83</v>
      </c>
      <c r="K459" s="17">
        <v>23.71</v>
      </c>
      <c r="L459" t="s">
        <v>1</v>
      </c>
    </row>
    <row r="460" spans="1:12" x14ac:dyDescent="0.25">
      <c r="A460" s="8">
        <v>46155.5</v>
      </c>
      <c r="B460" t="s">
        <v>14</v>
      </c>
      <c r="C460" t="s">
        <v>1448</v>
      </c>
      <c r="D460" t="s">
        <v>254</v>
      </c>
      <c r="E460" t="s">
        <v>3827</v>
      </c>
      <c r="F460" t="s">
        <v>61</v>
      </c>
      <c r="G460">
        <v>4</v>
      </c>
      <c r="H460" s="4">
        <v>3.2</v>
      </c>
      <c r="I460" s="4">
        <v>4.19</v>
      </c>
      <c r="J460" s="4">
        <v>-8.63</v>
      </c>
      <c r="K460" s="17">
        <v>-269.56</v>
      </c>
      <c r="L460" t="s">
        <v>1</v>
      </c>
    </row>
    <row r="461" spans="1:12" x14ac:dyDescent="0.25">
      <c r="A461" s="8">
        <v>46155.5</v>
      </c>
      <c r="B461" t="s">
        <v>16</v>
      </c>
      <c r="C461" t="s">
        <v>3021</v>
      </c>
      <c r="D461" t="s">
        <v>182</v>
      </c>
      <c r="E461" t="s">
        <v>3825</v>
      </c>
      <c r="F461" t="s">
        <v>75</v>
      </c>
      <c r="G461">
        <v>1</v>
      </c>
      <c r="H461" s="4">
        <v>1.9</v>
      </c>
      <c r="I461" s="4">
        <v>2.38</v>
      </c>
      <c r="J461" s="4">
        <v>0.2</v>
      </c>
      <c r="K461" s="17">
        <v>10.53</v>
      </c>
      <c r="L461" t="s">
        <v>1</v>
      </c>
    </row>
    <row r="462" spans="1:12" x14ac:dyDescent="0.25">
      <c r="A462" s="8">
        <v>46155.5</v>
      </c>
      <c r="B462" t="s">
        <v>17</v>
      </c>
      <c r="C462" t="s">
        <v>3771</v>
      </c>
      <c r="D462" t="s">
        <v>189</v>
      </c>
      <c r="E462" t="s">
        <v>3822</v>
      </c>
      <c r="F462" t="s">
        <v>66</v>
      </c>
      <c r="G462">
        <v>1</v>
      </c>
      <c r="H462" s="4">
        <v>3.5</v>
      </c>
      <c r="I462" s="4">
        <v>4.55</v>
      </c>
      <c r="J462" s="4">
        <v>0.66</v>
      </c>
      <c r="K462" s="17">
        <v>19</v>
      </c>
      <c r="L462" t="s">
        <v>1</v>
      </c>
    </row>
    <row r="463" spans="1:12" x14ac:dyDescent="0.25">
      <c r="A463" s="8">
        <v>46155.5</v>
      </c>
      <c r="B463" t="s">
        <v>17</v>
      </c>
      <c r="C463" t="s">
        <v>3772</v>
      </c>
      <c r="D463" t="s">
        <v>177</v>
      </c>
      <c r="E463" t="s">
        <v>3824</v>
      </c>
      <c r="F463" t="s">
        <v>78</v>
      </c>
      <c r="G463">
        <v>4</v>
      </c>
      <c r="H463" s="4">
        <v>0.6</v>
      </c>
      <c r="I463" s="4">
        <v>0.7</v>
      </c>
      <c r="J463" s="4">
        <v>0.05</v>
      </c>
      <c r="K463" s="17">
        <v>8.89</v>
      </c>
      <c r="L463" t="s">
        <v>1</v>
      </c>
    </row>
    <row r="464" spans="1:12" x14ac:dyDescent="0.25">
      <c r="A464" s="8">
        <v>46154.5</v>
      </c>
      <c r="B464" t="s">
        <v>13</v>
      </c>
      <c r="C464" t="s">
        <v>705</v>
      </c>
      <c r="D464" t="s">
        <v>174</v>
      </c>
      <c r="E464" t="s">
        <v>3823</v>
      </c>
      <c r="F464" t="s">
        <v>66</v>
      </c>
      <c r="G464">
        <v>4</v>
      </c>
      <c r="H464" s="4">
        <v>17</v>
      </c>
      <c r="I464" s="4">
        <v>22.1</v>
      </c>
      <c r="J464" s="4">
        <v>2.36</v>
      </c>
      <c r="K464" s="17">
        <v>13.86</v>
      </c>
      <c r="L464" t="s">
        <v>1</v>
      </c>
    </row>
    <row r="465" spans="1:12" x14ac:dyDescent="0.25">
      <c r="A465" s="8">
        <v>46154.5</v>
      </c>
      <c r="B465" t="s">
        <v>13</v>
      </c>
      <c r="C465" t="s">
        <v>706</v>
      </c>
      <c r="D465" t="s">
        <v>182</v>
      </c>
      <c r="E465" t="s">
        <v>3825</v>
      </c>
      <c r="F465" t="s">
        <v>75</v>
      </c>
      <c r="G465">
        <v>4</v>
      </c>
      <c r="H465" s="4">
        <v>7.6</v>
      </c>
      <c r="I465" s="4">
        <v>8.89</v>
      </c>
      <c r="J465" s="4">
        <v>0.31</v>
      </c>
      <c r="K465" s="17">
        <v>4.12</v>
      </c>
      <c r="L465" t="s">
        <v>1</v>
      </c>
    </row>
    <row r="466" spans="1:12" x14ac:dyDescent="0.25">
      <c r="A466" s="8">
        <v>46154.5</v>
      </c>
      <c r="B466" t="s">
        <v>17</v>
      </c>
      <c r="C466" t="s">
        <v>3774</v>
      </c>
      <c r="D466" t="s">
        <v>254</v>
      </c>
      <c r="E466" t="s">
        <v>3827</v>
      </c>
      <c r="F466" t="s">
        <v>61</v>
      </c>
      <c r="G466">
        <v>3</v>
      </c>
      <c r="H466" s="4">
        <v>2.4</v>
      </c>
      <c r="I466" s="4">
        <v>3.34</v>
      </c>
      <c r="J466" s="4">
        <v>0.63</v>
      </c>
      <c r="K466" s="17">
        <v>26.39</v>
      </c>
      <c r="L466" t="s">
        <v>1</v>
      </c>
    </row>
    <row r="467" spans="1:12" x14ac:dyDescent="0.25">
      <c r="A467" s="8">
        <v>46154.5</v>
      </c>
      <c r="B467" t="s">
        <v>17</v>
      </c>
      <c r="C467" t="s">
        <v>3775</v>
      </c>
      <c r="D467" t="s">
        <v>185</v>
      </c>
      <c r="E467" t="s">
        <v>3826</v>
      </c>
      <c r="F467" t="s">
        <v>102</v>
      </c>
      <c r="G467">
        <v>2</v>
      </c>
      <c r="H467" s="4">
        <v>2.4</v>
      </c>
      <c r="I467" s="4">
        <v>3.43</v>
      </c>
      <c r="J467" s="4">
        <v>0.7</v>
      </c>
      <c r="K467" s="17">
        <v>29.1</v>
      </c>
      <c r="L467" t="s">
        <v>1</v>
      </c>
    </row>
    <row r="468" spans="1:12" x14ac:dyDescent="0.25">
      <c r="A468" s="8">
        <v>46153.5</v>
      </c>
      <c r="B468" t="s">
        <v>13</v>
      </c>
      <c r="C468" t="s">
        <v>715</v>
      </c>
      <c r="D468" t="s">
        <v>254</v>
      </c>
      <c r="E468" t="s">
        <v>3827</v>
      </c>
      <c r="F468" t="s">
        <v>61</v>
      </c>
      <c r="G468">
        <v>3</v>
      </c>
      <c r="H468" s="4">
        <v>2.4</v>
      </c>
      <c r="I468" s="4">
        <v>3.48</v>
      </c>
      <c r="J468" s="4">
        <v>0.6</v>
      </c>
      <c r="K468" s="17">
        <v>25.07</v>
      </c>
      <c r="L468" t="s">
        <v>1</v>
      </c>
    </row>
    <row r="469" spans="1:12" x14ac:dyDescent="0.25">
      <c r="A469" s="8">
        <v>46153.5</v>
      </c>
      <c r="B469" t="s">
        <v>14</v>
      </c>
      <c r="C469" t="s">
        <v>1457</v>
      </c>
      <c r="D469" t="s">
        <v>174</v>
      </c>
      <c r="E469" t="s">
        <v>3823</v>
      </c>
      <c r="F469" t="s">
        <v>66</v>
      </c>
      <c r="G469">
        <v>1</v>
      </c>
      <c r="H469" s="4">
        <v>4.25</v>
      </c>
      <c r="I469" s="4">
        <v>4.93</v>
      </c>
      <c r="J469" s="4">
        <v>-8.97</v>
      </c>
      <c r="K469" s="17">
        <v>-210.96</v>
      </c>
      <c r="L469" t="s">
        <v>1</v>
      </c>
    </row>
    <row r="470" spans="1:12" x14ac:dyDescent="0.25">
      <c r="A470" s="8">
        <v>46153.5</v>
      </c>
      <c r="B470" t="s">
        <v>17</v>
      </c>
      <c r="C470" t="s">
        <v>3778</v>
      </c>
      <c r="D470" t="s">
        <v>177</v>
      </c>
      <c r="E470" t="s">
        <v>3824</v>
      </c>
      <c r="F470" t="s">
        <v>78</v>
      </c>
      <c r="G470">
        <v>1</v>
      </c>
      <c r="H470" s="4">
        <v>0.15</v>
      </c>
      <c r="I470" s="4">
        <v>0.21</v>
      </c>
      <c r="J470" s="4">
        <v>0.04</v>
      </c>
      <c r="K470" s="17">
        <v>26.67</v>
      </c>
      <c r="L470" t="s">
        <v>1</v>
      </c>
    </row>
    <row r="471" spans="1:12" x14ac:dyDescent="0.25">
      <c r="A471" s="8">
        <v>46152.5</v>
      </c>
      <c r="B471" t="s">
        <v>13</v>
      </c>
      <c r="C471" t="s">
        <v>720</v>
      </c>
      <c r="D471" t="s">
        <v>174</v>
      </c>
      <c r="E471" t="s">
        <v>3823</v>
      </c>
      <c r="F471" t="s">
        <v>66</v>
      </c>
      <c r="G471">
        <v>4</v>
      </c>
      <c r="H471" s="4">
        <v>17</v>
      </c>
      <c r="I471" s="4">
        <v>22.78</v>
      </c>
      <c r="J471" s="4">
        <v>2.86</v>
      </c>
      <c r="K471" s="17">
        <v>16.85</v>
      </c>
      <c r="L471" t="s">
        <v>1</v>
      </c>
    </row>
    <row r="472" spans="1:12" x14ac:dyDescent="0.25">
      <c r="A472" s="8">
        <v>46152.5</v>
      </c>
      <c r="B472" t="s">
        <v>13</v>
      </c>
      <c r="C472" t="s">
        <v>721</v>
      </c>
      <c r="D472" t="s">
        <v>185</v>
      </c>
      <c r="E472" t="s">
        <v>3826</v>
      </c>
      <c r="F472" t="s">
        <v>102</v>
      </c>
      <c r="G472">
        <v>3</v>
      </c>
      <c r="H472" s="4">
        <v>3.6</v>
      </c>
      <c r="I472" s="4">
        <v>4.43</v>
      </c>
      <c r="J472" s="4">
        <v>0.31</v>
      </c>
      <c r="K472" s="17">
        <v>8.67</v>
      </c>
      <c r="L472" t="s">
        <v>1</v>
      </c>
    </row>
    <row r="473" spans="1:12" x14ac:dyDescent="0.25">
      <c r="A473" s="8">
        <v>46152.5</v>
      </c>
      <c r="B473" t="s">
        <v>14</v>
      </c>
      <c r="C473" t="s">
        <v>1460</v>
      </c>
      <c r="D473" t="s">
        <v>254</v>
      </c>
      <c r="E473" t="s">
        <v>3827</v>
      </c>
      <c r="F473" t="s">
        <v>61</v>
      </c>
      <c r="G473">
        <v>1</v>
      </c>
      <c r="H473" s="4">
        <v>0.8</v>
      </c>
      <c r="I473" s="4">
        <v>1.09</v>
      </c>
      <c r="J473" s="4">
        <v>-8.87</v>
      </c>
      <c r="K473" s="17">
        <v>-1108.53</v>
      </c>
      <c r="L473" t="s">
        <v>1</v>
      </c>
    </row>
    <row r="474" spans="1:12" x14ac:dyDescent="0.25">
      <c r="A474" s="8">
        <v>46152.5</v>
      </c>
      <c r="B474" t="s">
        <v>15</v>
      </c>
      <c r="C474" t="s">
        <v>2286</v>
      </c>
      <c r="D474" t="s">
        <v>174</v>
      </c>
      <c r="E474" t="s">
        <v>3823</v>
      </c>
      <c r="F474" t="s">
        <v>66</v>
      </c>
      <c r="G474">
        <v>4</v>
      </c>
      <c r="H474" s="4">
        <v>17</v>
      </c>
      <c r="I474" s="4">
        <v>20.23</v>
      </c>
      <c r="J474" s="4">
        <v>0.62</v>
      </c>
      <c r="K474" s="17">
        <v>3.64</v>
      </c>
      <c r="L474" t="s">
        <v>1</v>
      </c>
    </row>
    <row r="475" spans="1:12" x14ac:dyDescent="0.25">
      <c r="A475" s="8">
        <v>46152.5</v>
      </c>
      <c r="B475" t="s">
        <v>15</v>
      </c>
      <c r="C475" t="s">
        <v>2287</v>
      </c>
      <c r="D475" t="s">
        <v>177</v>
      </c>
      <c r="E475" t="s">
        <v>3824</v>
      </c>
      <c r="F475" t="s">
        <v>78</v>
      </c>
      <c r="G475">
        <v>3</v>
      </c>
      <c r="H475" s="4">
        <v>0.45</v>
      </c>
      <c r="I475" s="4">
        <v>0.55</v>
      </c>
      <c r="J475" s="4">
        <v>-0.44</v>
      </c>
      <c r="K475" s="17">
        <v>-97.77</v>
      </c>
      <c r="L475" t="s">
        <v>1</v>
      </c>
    </row>
    <row r="476" spans="1:12" x14ac:dyDescent="0.25">
      <c r="A476" s="8">
        <v>46152.5</v>
      </c>
      <c r="B476" t="s">
        <v>15</v>
      </c>
      <c r="C476" t="s">
        <v>2285</v>
      </c>
      <c r="D476" t="s">
        <v>185</v>
      </c>
      <c r="E476" t="s">
        <v>3826</v>
      </c>
      <c r="F476" t="s">
        <v>102</v>
      </c>
      <c r="G476">
        <v>4</v>
      </c>
      <c r="H476" s="4">
        <v>4.8</v>
      </c>
      <c r="I476" s="4">
        <v>6.19</v>
      </c>
      <c r="J476" s="4">
        <v>0.19</v>
      </c>
      <c r="K476" s="17">
        <v>3.98</v>
      </c>
      <c r="L476" t="s">
        <v>1</v>
      </c>
    </row>
    <row r="477" spans="1:12" x14ac:dyDescent="0.25">
      <c r="A477" s="8">
        <v>46152.5</v>
      </c>
      <c r="B477" t="s">
        <v>17</v>
      </c>
      <c r="C477" t="s">
        <v>3783</v>
      </c>
      <c r="D477" t="s">
        <v>177</v>
      </c>
      <c r="E477" t="s">
        <v>3824</v>
      </c>
      <c r="F477" t="s">
        <v>78</v>
      </c>
      <c r="G477">
        <v>1</v>
      </c>
      <c r="H477" s="4">
        <v>0.15</v>
      </c>
      <c r="I477" s="4">
        <v>0.21</v>
      </c>
      <c r="J477" s="4">
        <v>0.04</v>
      </c>
      <c r="K477" s="17">
        <v>26.67</v>
      </c>
      <c r="L477" t="s">
        <v>1</v>
      </c>
    </row>
    <row r="478" spans="1:12" x14ac:dyDescent="0.25">
      <c r="A478" s="8">
        <v>46151.5</v>
      </c>
      <c r="B478" t="s">
        <v>14</v>
      </c>
      <c r="C478" t="s">
        <v>1463</v>
      </c>
      <c r="D478" t="s">
        <v>189</v>
      </c>
      <c r="E478" t="s">
        <v>3822</v>
      </c>
      <c r="F478" t="s">
        <v>66</v>
      </c>
      <c r="G478">
        <v>1</v>
      </c>
      <c r="H478" s="4">
        <v>3.5</v>
      </c>
      <c r="I478" s="4">
        <v>4.97</v>
      </c>
      <c r="J478" s="4">
        <v>-8.31</v>
      </c>
      <c r="K478" s="17">
        <v>-237.48</v>
      </c>
      <c r="L478" t="s">
        <v>1</v>
      </c>
    </row>
    <row r="479" spans="1:12" x14ac:dyDescent="0.25">
      <c r="A479" s="8">
        <v>46151.5</v>
      </c>
      <c r="B479" t="s">
        <v>14</v>
      </c>
      <c r="C479" t="s">
        <v>1464</v>
      </c>
      <c r="D479" t="s">
        <v>189</v>
      </c>
      <c r="E479" t="s">
        <v>3822</v>
      </c>
      <c r="F479" t="s">
        <v>66</v>
      </c>
      <c r="G479">
        <v>2</v>
      </c>
      <c r="H479" s="4">
        <v>7</v>
      </c>
      <c r="I479" s="4">
        <v>9.87</v>
      </c>
      <c r="J479" s="4">
        <v>-7.68</v>
      </c>
      <c r="K479" s="17">
        <v>-109.77</v>
      </c>
      <c r="L479" t="s">
        <v>1</v>
      </c>
    </row>
    <row r="480" spans="1:12" x14ac:dyDescent="0.25">
      <c r="A480" s="8">
        <v>46151.5</v>
      </c>
      <c r="B480" t="s">
        <v>14</v>
      </c>
      <c r="C480" t="s">
        <v>1465</v>
      </c>
      <c r="D480" t="s">
        <v>182</v>
      </c>
      <c r="E480" t="s">
        <v>3825</v>
      </c>
      <c r="F480" t="s">
        <v>75</v>
      </c>
      <c r="G480">
        <v>4</v>
      </c>
      <c r="H480" s="4">
        <v>7.6</v>
      </c>
      <c r="I480" s="4">
        <v>9.8</v>
      </c>
      <c r="J480" s="4">
        <v>-8.23</v>
      </c>
      <c r="K480" s="17">
        <v>-108.35</v>
      </c>
      <c r="L480" t="s">
        <v>1</v>
      </c>
    </row>
    <row r="481" spans="1:12" x14ac:dyDescent="0.25">
      <c r="A481" s="8">
        <v>46151.5</v>
      </c>
      <c r="B481" t="s">
        <v>14</v>
      </c>
      <c r="C481" t="s">
        <v>1466</v>
      </c>
      <c r="D481" t="s">
        <v>185</v>
      </c>
      <c r="E481" t="s">
        <v>3826</v>
      </c>
      <c r="F481" t="s">
        <v>102</v>
      </c>
      <c r="G481">
        <v>1</v>
      </c>
      <c r="H481" s="4">
        <v>1.2</v>
      </c>
      <c r="I481" s="4">
        <v>1.58</v>
      </c>
      <c r="J481" s="4">
        <v>-8.85</v>
      </c>
      <c r="K481" s="17">
        <v>-737.26</v>
      </c>
      <c r="L481" t="s">
        <v>1</v>
      </c>
    </row>
    <row r="482" spans="1:12" x14ac:dyDescent="0.25">
      <c r="A482" s="8">
        <v>46151.5</v>
      </c>
      <c r="B482" t="s">
        <v>16</v>
      </c>
      <c r="C482" t="s">
        <v>3032</v>
      </c>
      <c r="D482" t="s">
        <v>254</v>
      </c>
      <c r="E482" t="s">
        <v>3827</v>
      </c>
      <c r="F482" t="s">
        <v>61</v>
      </c>
      <c r="G482">
        <v>1</v>
      </c>
      <c r="H482" s="4">
        <v>0.8</v>
      </c>
      <c r="I482" s="4">
        <v>1.09</v>
      </c>
      <c r="J482" s="4">
        <v>0.15</v>
      </c>
      <c r="K482" s="17">
        <v>18.76</v>
      </c>
      <c r="L482" t="s">
        <v>1</v>
      </c>
    </row>
    <row r="483" spans="1:12" x14ac:dyDescent="0.25">
      <c r="A483" s="8">
        <v>46151.5</v>
      </c>
      <c r="B483" t="s">
        <v>17</v>
      </c>
      <c r="C483" t="s">
        <v>3788</v>
      </c>
      <c r="D483" t="s">
        <v>189</v>
      </c>
      <c r="E483" t="s">
        <v>3822</v>
      </c>
      <c r="F483" t="s">
        <v>66</v>
      </c>
      <c r="G483">
        <v>2</v>
      </c>
      <c r="H483" s="4">
        <v>7</v>
      </c>
      <c r="I483" s="4">
        <v>8.82</v>
      </c>
      <c r="J483" s="4">
        <v>1.11</v>
      </c>
      <c r="K483" s="17">
        <v>15.81</v>
      </c>
      <c r="L483" t="s">
        <v>1</v>
      </c>
    </row>
    <row r="484" spans="1:12" x14ac:dyDescent="0.25">
      <c r="A484" s="8">
        <v>46150.5</v>
      </c>
      <c r="B484" t="s">
        <v>13</v>
      </c>
      <c r="C484" t="s">
        <v>722</v>
      </c>
      <c r="D484" t="s">
        <v>189</v>
      </c>
      <c r="E484" t="s">
        <v>3822</v>
      </c>
      <c r="F484" t="s">
        <v>66</v>
      </c>
      <c r="G484">
        <v>1</v>
      </c>
      <c r="H484" s="4">
        <v>3.5</v>
      </c>
      <c r="I484" s="4">
        <v>4.83</v>
      </c>
      <c r="J484" s="4">
        <v>0.69</v>
      </c>
      <c r="K484" s="17">
        <v>19.84</v>
      </c>
      <c r="L484" t="s">
        <v>1</v>
      </c>
    </row>
    <row r="485" spans="1:12" x14ac:dyDescent="0.25">
      <c r="A485" s="8">
        <v>46150.5</v>
      </c>
      <c r="B485" t="s">
        <v>15</v>
      </c>
      <c r="C485" t="s">
        <v>2302</v>
      </c>
      <c r="D485" t="s">
        <v>185</v>
      </c>
      <c r="E485" t="s">
        <v>3826</v>
      </c>
      <c r="F485" t="s">
        <v>102</v>
      </c>
      <c r="G485">
        <v>4</v>
      </c>
      <c r="H485" s="4">
        <v>4.8</v>
      </c>
      <c r="I485" s="4">
        <v>6.91</v>
      </c>
      <c r="J485" s="4">
        <v>0.73</v>
      </c>
      <c r="K485" s="17">
        <v>15.3</v>
      </c>
      <c r="L485" t="s">
        <v>1</v>
      </c>
    </row>
    <row r="486" spans="1:12" x14ac:dyDescent="0.25">
      <c r="A486" s="8">
        <v>46150.5</v>
      </c>
      <c r="B486" t="s">
        <v>16</v>
      </c>
      <c r="C486" t="s">
        <v>3037</v>
      </c>
      <c r="D486" t="s">
        <v>189</v>
      </c>
      <c r="E486" t="s">
        <v>3822</v>
      </c>
      <c r="F486" t="s">
        <v>66</v>
      </c>
      <c r="G486">
        <v>1</v>
      </c>
      <c r="H486" s="4">
        <v>3.5</v>
      </c>
      <c r="I486" s="4">
        <v>4.52</v>
      </c>
      <c r="J486" s="4">
        <v>0.47</v>
      </c>
      <c r="K486" s="17">
        <v>13.44</v>
      </c>
      <c r="L486" t="s">
        <v>1</v>
      </c>
    </row>
    <row r="487" spans="1:12" x14ac:dyDescent="0.25">
      <c r="A487" s="8">
        <v>46150.5</v>
      </c>
      <c r="B487" t="s">
        <v>16</v>
      </c>
      <c r="C487" t="s">
        <v>3038</v>
      </c>
      <c r="D487" t="s">
        <v>177</v>
      </c>
      <c r="E487" t="s">
        <v>3824</v>
      </c>
      <c r="F487" t="s">
        <v>78</v>
      </c>
      <c r="G487">
        <v>1</v>
      </c>
      <c r="H487" s="4">
        <v>0.15</v>
      </c>
      <c r="I487" s="4">
        <v>0.21</v>
      </c>
      <c r="J487" s="4">
        <v>0.03</v>
      </c>
      <c r="K487" s="17">
        <v>21.57</v>
      </c>
      <c r="L487" t="s">
        <v>1</v>
      </c>
    </row>
    <row r="488" spans="1:12" x14ac:dyDescent="0.25">
      <c r="A488" s="8">
        <v>46149.5</v>
      </c>
      <c r="B488" t="s">
        <v>14</v>
      </c>
      <c r="C488" t="s">
        <v>1469</v>
      </c>
      <c r="D488" t="s">
        <v>185</v>
      </c>
      <c r="E488" t="s">
        <v>3826</v>
      </c>
      <c r="F488" t="s">
        <v>102</v>
      </c>
      <c r="G488">
        <v>2</v>
      </c>
      <c r="H488" s="4">
        <v>2.4</v>
      </c>
      <c r="I488" s="4">
        <v>3</v>
      </c>
      <c r="J488" s="4">
        <v>-8.82</v>
      </c>
      <c r="K488" s="17">
        <v>-367.5</v>
      </c>
      <c r="L488" t="s">
        <v>1</v>
      </c>
    </row>
    <row r="489" spans="1:12" x14ac:dyDescent="0.25">
      <c r="A489" s="8">
        <v>46149.5</v>
      </c>
      <c r="B489" t="s">
        <v>16</v>
      </c>
      <c r="C489" t="s">
        <v>3043</v>
      </c>
      <c r="D489" t="s">
        <v>254</v>
      </c>
      <c r="E489" t="s">
        <v>3827</v>
      </c>
      <c r="F489" t="s">
        <v>61</v>
      </c>
      <c r="G489">
        <v>1</v>
      </c>
      <c r="H489" s="4">
        <v>0.8</v>
      </c>
      <c r="I489" s="4">
        <v>0.92</v>
      </c>
      <c r="J489" s="4">
        <v>0.02</v>
      </c>
      <c r="K489" s="17">
        <v>2.84</v>
      </c>
      <c r="L489" t="s">
        <v>1</v>
      </c>
    </row>
    <row r="490" spans="1:12" x14ac:dyDescent="0.25">
      <c r="A490" s="8">
        <v>46149.5</v>
      </c>
      <c r="B490" t="s">
        <v>17</v>
      </c>
      <c r="C490" t="s">
        <v>3793</v>
      </c>
      <c r="D490" t="s">
        <v>174</v>
      </c>
      <c r="E490" t="s">
        <v>3823</v>
      </c>
      <c r="F490" t="s">
        <v>66</v>
      </c>
      <c r="G490">
        <v>4</v>
      </c>
      <c r="H490" s="4">
        <v>17</v>
      </c>
      <c r="I490" s="4">
        <v>20.4</v>
      </c>
      <c r="J490" s="4">
        <v>1.89</v>
      </c>
      <c r="K490" s="17">
        <v>11.14</v>
      </c>
      <c r="L490" t="s">
        <v>1</v>
      </c>
    </row>
    <row r="491" spans="1:12" x14ac:dyDescent="0.25">
      <c r="A491" s="8">
        <v>46149.5</v>
      </c>
      <c r="B491" t="s">
        <v>17</v>
      </c>
      <c r="C491" t="s">
        <v>3794</v>
      </c>
      <c r="D491" t="s">
        <v>182</v>
      </c>
      <c r="E491" t="s">
        <v>3825</v>
      </c>
      <c r="F491" t="s">
        <v>75</v>
      </c>
      <c r="G491">
        <v>1</v>
      </c>
      <c r="H491" s="4">
        <v>1.9</v>
      </c>
      <c r="I491" s="4">
        <v>2.72</v>
      </c>
      <c r="J491" s="4">
        <v>0.55</v>
      </c>
      <c r="K491" s="17">
        <v>29.12</v>
      </c>
      <c r="L491" t="s">
        <v>1</v>
      </c>
    </row>
    <row r="492" spans="1:12" x14ac:dyDescent="0.25">
      <c r="A492" s="8">
        <v>46149.5</v>
      </c>
      <c r="B492" t="s">
        <v>17</v>
      </c>
      <c r="C492" t="s">
        <v>3795</v>
      </c>
      <c r="D492" t="s">
        <v>185</v>
      </c>
      <c r="E492" t="s">
        <v>3826</v>
      </c>
      <c r="F492" t="s">
        <v>102</v>
      </c>
      <c r="G492">
        <v>3</v>
      </c>
      <c r="H492" s="4">
        <v>3.6</v>
      </c>
      <c r="I492" s="4">
        <v>4.79</v>
      </c>
      <c r="J492" s="4">
        <v>0.77</v>
      </c>
      <c r="K492" s="17">
        <v>21.43</v>
      </c>
      <c r="L492" t="s">
        <v>1</v>
      </c>
    </row>
    <row r="493" spans="1:12" x14ac:dyDescent="0.25">
      <c r="A493" s="8">
        <v>46148.5</v>
      </c>
      <c r="B493" t="s">
        <v>13</v>
      </c>
      <c r="C493" t="s">
        <v>727</v>
      </c>
      <c r="D493" t="s">
        <v>189</v>
      </c>
      <c r="E493" t="s">
        <v>3822</v>
      </c>
      <c r="F493" t="s">
        <v>66</v>
      </c>
      <c r="G493">
        <v>4</v>
      </c>
      <c r="H493" s="4">
        <v>14</v>
      </c>
      <c r="I493" s="4">
        <v>20.02</v>
      </c>
      <c r="J493" s="4">
        <v>3.3</v>
      </c>
      <c r="K493" s="17">
        <v>23.58</v>
      </c>
      <c r="L493" t="s">
        <v>1</v>
      </c>
    </row>
    <row r="494" spans="1:12" x14ac:dyDescent="0.25">
      <c r="A494" s="8">
        <v>46148.5</v>
      </c>
      <c r="B494" t="s">
        <v>14</v>
      </c>
      <c r="C494" t="s">
        <v>1470</v>
      </c>
      <c r="D494" t="s">
        <v>185</v>
      </c>
      <c r="E494" t="s">
        <v>3826</v>
      </c>
      <c r="F494" t="s">
        <v>102</v>
      </c>
      <c r="G494">
        <v>1</v>
      </c>
      <c r="H494" s="4">
        <v>1.2</v>
      </c>
      <c r="I494" s="4">
        <v>1.73</v>
      </c>
      <c r="J494" s="4">
        <v>-8.74</v>
      </c>
      <c r="K494" s="17">
        <v>-728.22</v>
      </c>
      <c r="L494" t="s">
        <v>1</v>
      </c>
    </row>
    <row r="495" spans="1:12" x14ac:dyDescent="0.25">
      <c r="A495" s="8">
        <v>46148.5</v>
      </c>
      <c r="B495" t="s">
        <v>14</v>
      </c>
      <c r="C495" t="s">
        <v>1471</v>
      </c>
      <c r="D495" t="s">
        <v>185</v>
      </c>
      <c r="E495" t="s">
        <v>3826</v>
      </c>
      <c r="F495" t="s">
        <v>102</v>
      </c>
      <c r="G495">
        <v>1</v>
      </c>
      <c r="H495" s="4">
        <v>1.2</v>
      </c>
      <c r="I495" s="4">
        <v>1.74</v>
      </c>
      <c r="J495" s="4">
        <v>-8.73</v>
      </c>
      <c r="K495" s="17">
        <v>-727.62</v>
      </c>
      <c r="L495" t="s">
        <v>1</v>
      </c>
    </row>
    <row r="496" spans="1:12" x14ac:dyDescent="0.25">
      <c r="A496" s="8">
        <v>46148.5</v>
      </c>
      <c r="B496" t="s">
        <v>14</v>
      </c>
      <c r="C496" t="s">
        <v>1472</v>
      </c>
      <c r="D496" t="s">
        <v>185</v>
      </c>
      <c r="E496" t="s">
        <v>3826</v>
      </c>
      <c r="F496" t="s">
        <v>102</v>
      </c>
      <c r="G496">
        <v>1</v>
      </c>
      <c r="H496" s="4">
        <v>1.2</v>
      </c>
      <c r="I496" s="4">
        <v>1.48</v>
      </c>
      <c r="J496" s="4">
        <v>-8.92</v>
      </c>
      <c r="K496" s="17">
        <v>-743.29</v>
      </c>
      <c r="L496" t="s">
        <v>1</v>
      </c>
    </row>
    <row r="497" spans="1:12" x14ac:dyDescent="0.25">
      <c r="A497" s="8">
        <v>46148.5</v>
      </c>
      <c r="B497" t="s">
        <v>16</v>
      </c>
      <c r="C497" t="s">
        <v>3048</v>
      </c>
      <c r="D497" t="s">
        <v>177</v>
      </c>
      <c r="E497" t="s">
        <v>3824</v>
      </c>
      <c r="F497" t="s">
        <v>78</v>
      </c>
      <c r="G497">
        <v>1</v>
      </c>
      <c r="H497" s="4">
        <v>0.15</v>
      </c>
      <c r="I497" s="4">
        <v>0.21</v>
      </c>
      <c r="J497" s="4">
        <v>0.03</v>
      </c>
      <c r="K497" s="17">
        <v>21.57</v>
      </c>
      <c r="L497" t="s">
        <v>1</v>
      </c>
    </row>
    <row r="498" spans="1:12" x14ac:dyDescent="0.25">
      <c r="A498" s="8">
        <v>46148.5</v>
      </c>
      <c r="B498" t="s">
        <v>16</v>
      </c>
      <c r="C498" t="s">
        <v>3049</v>
      </c>
      <c r="D498" t="s">
        <v>182</v>
      </c>
      <c r="E498" t="s">
        <v>3825</v>
      </c>
      <c r="F498" t="s">
        <v>75</v>
      </c>
      <c r="G498">
        <v>1</v>
      </c>
      <c r="H498" s="4">
        <v>1.9</v>
      </c>
      <c r="I498" s="4">
        <v>2.39</v>
      </c>
      <c r="J498" s="4">
        <v>0.21</v>
      </c>
      <c r="K498" s="17">
        <v>10.92</v>
      </c>
      <c r="L498" t="s">
        <v>1</v>
      </c>
    </row>
    <row r="499" spans="1:12" x14ac:dyDescent="0.25">
      <c r="A499" s="8">
        <v>46148.5</v>
      </c>
      <c r="B499" t="s">
        <v>17</v>
      </c>
      <c r="C499" t="s">
        <v>3798</v>
      </c>
      <c r="D499" t="s">
        <v>182</v>
      </c>
      <c r="E499" t="s">
        <v>3825</v>
      </c>
      <c r="F499" t="s">
        <v>75</v>
      </c>
      <c r="G499">
        <v>3</v>
      </c>
      <c r="H499" s="4">
        <v>5.7</v>
      </c>
      <c r="I499" s="4">
        <v>7.52</v>
      </c>
      <c r="J499" s="4">
        <v>1.17</v>
      </c>
      <c r="K499" s="17">
        <v>20.47</v>
      </c>
      <c r="L499" t="s">
        <v>1</v>
      </c>
    </row>
    <row r="500" spans="1:12" x14ac:dyDescent="0.25">
      <c r="A500" s="8">
        <v>46147.5</v>
      </c>
      <c r="B500" t="s">
        <v>14</v>
      </c>
      <c r="C500" t="s">
        <v>1473</v>
      </c>
      <c r="D500" t="s">
        <v>189</v>
      </c>
      <c r="E500" t="s">
        <v>3822</v>
      </c>
      <c r="F500" t="s">
        <v>66</v>
      </c>
      <c r="G500">
        <v>3</v>
      </c>
      <c r="H500" s="4">
        <v>10.5</v>
      </c>
      <c r="I500" s="4">
        <v>12.91</v>
      </c>
      <c r="J500" s="4">
        <v>-8.4</v>
      </c>
      <c r="K500" s="17">
        <v>-80.02</v>
      </c>
      <c r="L500" t="s">
        <v>1</v>
      </c>
    </row>
    <row r="501" spans="1:12" x14ac:dyDescent="0.25">
      <c r="A501" s="8">
        <v>46147.5</v>
      </c>
      <c r="B501" t="s">
        <v>15</v>
      </c>
      <c r="C501" t="s">
        <v>2316</v>
      </c>
      <c r="D501" t="s">
        <v>177</v>
      </c>
      <c r="E501" t="s">
        <v>3824</v>
      </c>
      <c r="F501" t="s">
        <v>78</v>
      </c>
      <c r="G501">
        <v>1</v>
      </c>
      <c r="H501" s="4">
        <v>0.15</v>
      </c>
      <c r="I501" s="4">
        <v>0.21</v>
      </c>
      <c r="J501" s="4">
        <v>-0.45</v>
      </c>
      <c r="K501" s="17">
        <v>-297.69</v>
      </c>
      <c r="L501" t="s">
        <v>1</v>
      </c>
    </row>
    <row r="502" spans="1:12" x14ac:dyDescent="0.25">
      <c r="A502" s="8">
        <v>46147.5</v>
      </c>
      <c r="B502" t="s">
        <v>15</v>
      </c>
      <c r="C502" t="s">
        <v>2317</v>
      </c>
      <c r="D502" t="s">
        <v>185</v>
      </c>
      <c r="E502" t="s">
        <v>3826</v>
      </c>
      <c r="F502" t="s">
        <v>102</v>
      </c>
      <c r="G502">
        <v>4</v>
      </c>
      <c r="H502" s="4">
        <v>4.8</v>
      </c>
      <c r="I502" s="4">
        <v>6.91</v>
      </c>
      <c r="J502" s="4">
        <v>0.73</v>
      </c>
      <c r="K502" s="17">
        <v>15.3</v>
      </c>
      <c r="L502" t="s">
        <v>1</v>
      </c>
    </row>
    <row r="503" spans="1:12" x14ac:dyDescent="0.25">
      <c r="A503" s="8">
        <v>46147.5</v>
      </c>
      <c r="B503" t="s">
        <v>16</v>
      </c>
      <c r="C503" t="s">
        <v>3052</v>
      </c>
      <c r="D503" t="s">
        <v>189</v>
      </c>
      <c r="E503" t="s">
        <v>3822</v>
      </c>
      <c r="F503" t="s">
        <v>66</v>
      </c>
      <c r="G503">
        <v>1</v>
      </c>
      <c r="H503" s="4">
        <v>3.5</v>
      </c>
      <c r="I503" s="4">
        <v>4.06</v>
      </c>
      <c r="J503" s="4">
        <v>0.13</v>
      </c>
      <c r="K503" s="17">
        <v>3.59</v>
      </c>
      <c r="L503" t="s">
        <v>1</v>
      </c>
    </row>
    <row r="504" spans="1:12" x14ac:dyDescent="0.25">
      <c r="A504" s="8">
        <v>46146.5</v>
      </c>
      <c r="B504" t="s">
        <v>13</v>
      </c>
      <c r="C504" t="s">
        <v>734</v>
      </c>
      <c r="D504" t="s">
        <v>182</v>
      </c>
      <c r="E504" t="s">
        <v>3825</v>
      </c>
      <c r="F504" t="s">
        <v>75</v>
      </c>
      <c r="G504">
        <v>2</v>
      </c>
      <c r="H504" s="4">
        <v>3.8</v>
      </c>
      <c r="I504" s="4">
        <v>5.09</v>
      </c>
      <c r="J504" s="4">
        <v>0.64</v>
      </c>
      <c r="K504" s="17">
        <v>16.81</v>
      </c>
      <c r="L504" t="s">
        <v>1</v>
      </c>
    </row>
    <row r="505" spans="1:12" x14ac:dyDescent="0.25">
      <c r="A505" s="8">
        <v>46146.5</v>
      </c>
      <c r="B505" t="s">
        <v>15</v>
      </c>
      <c r="C505" t="s">
        <v>2318</v>
      </c>
      <c r="D505" t="s">
        <v>177</v>
      </c>
      <c r="E505" t="s">
        <v>3824</v>
      </c>
      <c r="F505" t="s">
        <v>78</v>
      </c>
      <c r="G505">
        <v>3</v>
      </c>
      <c r="H505" s="4">
        <v>0.45</v>
      </c>
      <c r="I505" s="4">
        <v>0.53</v>
      </c>
      <c r="J505" s="4">
        <v>-0.46</v>
      </c>
      <c r="K505" s="17">
        <v>-101.12</v>
      </c>
      <c r="L505" t="s">
        <v>1</v>
      </c>
    </row>
    <row r="506" spans="1:12" x14ac:dyDescent="0.25">
      <c r="A506" s="8">
        <v>46146.5</v>
      </c>
      <c r="B506" t="s">
        <v>16</v>
      </c>
      <c r="C506" t="s">
        <v>3054</v>
      </c>
      <c r="D506" t="s">
        <v>182</v>
      </c>
      <c r="E506" t="s">
        <v>3825</v>
      </c>
      <c r="F506" t="s">
        <v>75</v>
      </c>
      <c r="G506">
        <v>1</v>
      </c>
      <c r="H506" s="4">
        <v>1.9</v>
      </c>
      <c r="I506" s="4">
        <v>2.32</v>
      </c>
      <c r="J506" s="4">
        <v>0.16</v>
      </c>
      <c r="K506" s="17">
        <v>8.16</v>
      </c>
      <c r="L506" t="s">
        <v>1</v>
      </c>
    </row>
    <row r="507" spans="1:12" x14ac:dyDescent="0.25">
      <c r="A507" s="8">
        <v>46146.5</v>
      </c>
      <c r="B507" t="s">
        <v>17</v>
      </c>
      <c r="C507" t="s">
        <v>3799</v>
      </c>
      <c r="D507" t="s">
        <v>254</v>
      </c>
      <c r="E507" t="s">
        <v>3827</v>
      </c>
      <c r="F507" t="s">
        <v>61</v>
      </c>
      <c r="G507">
        <v>1</v>
      </c>
      <c r="H507" s="4">
        <v>0.8</v>
      </c>
      <c r="I507" s="4">
        <v>1.02</v>
      </c>
      <c r="J507" s="4">
        <v>0.13</v>
      </c>
      <c r="K507" s="17">
        <v>16.67</v>
      </c>
      <c r="L507" t="s">
        <v>1</v>
      </c>
    </row>
    <row r="508" spans="1:12" x14ac:dyDescent="0.25">
      <c r="A508" s="8">
        <v>46146.5</v>
      </c>
      <c r="B508" t="s">
        <v>17</v>
      </c>
      <c r="C508" t="s">
        <v>3800</v>
      </c>
      <c r="D508" t="s">
        <v>185</v>
      </c>
      <c r="E508" t="s">
        <v>3826</v>
      </c>
      <c r="F508" t="s">
        <v>102</v>
      </c>
      <c r="G508">
        <v>3</v>
      </c>
      <c r="H508" s="4">
        <v>3.6</v>
      </c>
      <c r="I508" s="4">
        <v>4.97</v>
      </c>
      <c r="J508" s="4">
        <v>0.91</v>
      </c>
      <c r="K508" s="17">
        <v>25.32</v>
      </c>
      <c r="L508" t="s">
        <v>1</v>
      </c>
    </row>
    <row r="509" spans="1:12" x14ac:dyDescent="0.25">
      <c r="A509" s="8">
        <v>46145.5</v>
      </c>
      <c r="B509" t="s">
        <v>13</v>
      </c>
      <c r="C509" t="s">
        <v>735</v>
      </c>
      <c r="D509" t="s">
        <v>189</v>
      </c>
      <c r="E509" t="s">
        <v>3822</v>
      </c>
      <c r="F509" t="s">
        <v>66</v>
      </c>
      <c r="G509">
        <v>2</v>
      </c>
      <c r="H509" s="4">
        <v>7</v>
      </c>
      <c r="I509" s="4">
        <v>9.59</v>
      </c>
      <c r="J509" s="4">
        <v>1.34</v>
      </c>
      <c r="K509" s="17">
        <v>19.09</v>
      </c>
      <c r="L509" t="s">
        <v>1</v>
      </c>
    </row>
    <row r="510" spans="1:12" x14ac:dyDescent="0.25">
      <c r="A510" s="8">
        <v>46145.5</v>
      </c>
      <c r="B510" t="s">
        <v>13</v>
      </c>
      <c r="C510" t="s">
        <v>736</v>
      </c>
      <c r="D510" t="s">
        <v>182</v>
      </c>
      <c r="E510" t="s">
        <v>3825</v>
      </c>
      <c r="F510" t="s">
        <v>75</v>
      </c>
      <c r="G510">
        <v>4</v>
      </c>
      <c r="H510" s="4">
        <v>7.6</v>
      </c>
      <c r="I510" s="4">
        <v>8.82</v>
      </c>
      <c r="J510" s="4">
        <v>0.26</v>
      </c>
      <c r="K510" s="17">
        <v>3.43</v>
      </c>
      <c r="L510" t="s">
        <v>1</v>
      </c>
    </row>
    <row r="511" spans="1:12" x14ac:dyDescent="0.25">
      <c r="A511" s="8">
        <v>46145.5</v>
      </c>
      <c r="B511" t="s">
        <v>14</v>
      </c>
      <c r="C511" t="s">
        <v>1478</v>
      </c>
      <c r="D511" t="s">
        <v>177</v>
      </c>
      <c r="E511" t="s">
        <v>3824</v>
      </c>
      <c r="F511" t="s">
        <v>78</v>
      </c>
      <c r="G511">
        <v>1</v>
      </c>
      <c r="H511" s="4">
        <v>0.15</v>
      </c>
      <c r="I511" s="4">
        <v>0.2</v>
      </c>
      <c r="J511" s="4">
        <v>-8.97</v>
      </c>
      <c r="K511" s="17">
        <v>-5980.22</v>
      </c>
      <c r="L511" t="s">
        <v>1</v>
      </c>
    </row>
    <row r="512" spans="1:12" x14ac:dyDescent="0.25">
      <c r="A512" s="8">
        <v>46145.5</v>
      </c>
      <c r="B512" t="s">
        <v>14</v>
      </c>
      <c r="C512" t="s">
        <v>1479</v>
      </c>
      <c r="D512" t="s">
        <v>177</v>
      </c>
      <c r="E512" t="s">
        <v>3824</v>
      </c>
      <c r="F512" t="s">
        <v>78</v>
      </c>
      <c r="G512">
        <v>4</v>
      </c>
      <c r="H512" s="4">
        <v>0.6</v>
      </c>
      <c r="I512" s="4">
        <v>0.76</v>
      </c>
      <c r="J512" s="4">
        <v>-8.94</v>
      </c>
      <c r="K512" s="17">
        <v>-1490.05</v>
      </c>
      <c r="L512" t="s">
        <v>1</v>
      </c>
    </row>
    <row r="513" spans="1:12" x14ac:dyDescent="0.25">
      <c r="A513" s="8">
        <v>46145.5</v>
      </c>
      <c r="B513" t="s">
        <v>15</v>
      </c>
      <c r="C513" t="s">
        <v>2321</v>
      </c>
      <c r="D513" t="s">
        <v>182</v>
      </c>
      <c r="E513" t="s">
        <v>3825</v>
      </c>
      <c r="F513" t="s">
        <v>75</v>
      </c>
      <c r="G513">
        <v>3</v>
      </c>
      <c r="H513" s="4">
        <v>5.7</v>
      </c>
      <c r="I513" s="4">
        <v>6.73</v>
      </c>
      <c r="J513" s="4">
        <v>-0.15</v>
      </c>
      <c r="K513" s="17">
        <v>-2.66</v>
      </c>
      <c r="L513" t="s">
        <v>1</v>
      </c>
    </row>
    <row r="514" spans="1:12" x14ac:dyDescent="0.25">
      <c r="A514" s="8">
        <v>46144.5</v>
      </c>
      <c r="B514" t="s">
        <v>14</v>
      </c>
      <c r="C514" t="s">
        <v>1482</v>
      </c>
      <c r="D514" t="s">
        <v>174</v>
      </c>
      <c r="E514" t="s">
        <v>3823</v>
      </c>
      <c r="F514" t="s">
        <v>66</v>
      </c>
      <c r="G514">
        <v>2</v>
      </c>
      <c r="H514" s="4">
        <v>8.5</v>
      </c>
      <c r="I514" s="4">
        <v>9.77</v>
      </c>
      <c r="J514" s="4">
        <v>-9.01</v>
      </c>
      <c r="K514" s="17">
        <v>-105.96</v>
      </c>
      <c r="L514" t="s">
        <v>1</v>
      </c>
    </row>
    <row r="515" spans="1:12" x14ac:dyDescent="0.25">
      <c r="A515" s="8">
        <v>46144.5</v>
      </c>
      <c r="B515" t="s">
        <v>14</v>
      </c>
      <c r="C515" t="s">
        <v>1483</v>
      </c>
      <c r="D515" t="s">
        <v>182</v>
      </c>
      <c r="E515" t="s">
        <v>3825</v>
      </c>
      <c r="F515" t="s">
        <v>75</v>
      </c>
      <c r="G515">
        <v>2</v>
      </c>
      <c r="H515" s="4">
        <v>3.8</v>
      </c>
      <c r="I515" s="4">
        <v>4.98</v>
      </c>
      <c r="J515" s="4">
        <v>-8.55</v>
      </c>
      <c r="K515" s="17">
        <v>-225.12</v>
      </c>
      <c r="L515" t="s">
        <v>1</v>
      </c>
    </row>
    <row r="516" spans="1:12" x14ac:dyDescent="0.25">
      <c r="A516" s="8">
        <v>46144.5</v>
      </c>
      <c r="B516" t="s">
        <v>15</v>
      </c>
      <c r="C516" t="s">
        <v>2322</v>
      </c>
      <c r="D516" t="s">
        <v>174</v>
      </c>
      <c r="E516" t="s">
        <v>3823</v>
      </c>
      <c r="F516" t="s">
        <v>66</v>
      </c>
      <c r="G516">
        <v>2</v>
      </c>
      <c r="H516" s="4">
        <v>8.5</v>
      </c>
      <c r="I516" s="4">
        <v>10.46</v>
      </c>
      <c r="J516" s="4">
        <v>0.33</v>
      </c>
      <c r="K516" s="17">
        <v>3.88</v>
      </c>
      <c r="L516" t="s">
        <v>1</v>
      </c>
    </row>
    <row r="517" spans="1:12" x14ac:dyDescent="0.25">
      <c r="A517" s="8">
        <v>46144.5</v>
      </c>
      <c r="B517" t="s">
        <v>15</v>
      </c>
      <c r="C517" t="s">
        <v>2323</v>
      </c>
      <c r="D517" t="s">
        <v>177</v>
      </c>
      <c r="E517" t="s">
        <v>3824</v>
      </c>
      <c r="F517" t="s">
        <v>78</v>
      </c>
      <c r="G517">
        <v>2</v>
      </c>
      <c r="H517" s="4">
        <v>0.3</v>
      </c>
      <c r="I517" s="4">
        <v>0.43</v>
      </c>
      <c r="J517" s="4">
        <v>-0.41</v>
      </c>
      <c r="K517" s="17">
        <v>-135.17</v>
      </c>
      <c r="L517" t="s">
        <v>1</v>
      </c>
    </row>
    <row r="518" spans="1:12" x14ac:dyDescent="0.25">
      <c r="A518" s="8">
        <v>46144.5</v>
      </c>
      <c r="B518" t="s">
        <v>16</v>
      </c>
      <c r="C518" t="s">
        <v>3055</v>
      </c>
      <c r="D518" t="s">
        <v>177</v>
      </c>
      <c r="E518" t="s">
        <v>3824</v>
      </c>
      <c r="F518" t="s">
        <v>78</v>
      </c>
      <c r="G518">
        <v>1</v>
      </c>
      <c r="H518" s="4">
        <v>0.15</v>
      </c>
      <c r="I518" s="4">
        <v>0.2</v>
      </c>
      <c r="J518" s="4">
        <v>0.02</v>
      </c>
      <c r="K518" s="17">
        <v>16.58</v>
      </c>
      <c r="L518" t="s">
        <v>1</v>
      </c>
    </row>
    <row r="519" spans="1:12" x14ac:dyDescent="0.25">
      <c r="A519" s="8">
        <v>46144.5</v>
      </c>
      <c r="B519" t="s">
        <v>17</v>
      </c>
      <c r="C519" t="s">
        <v>3805</v>
      </c>
      <c r="D519" t="s">
        <v>174</v>
      </c>
      <c r="E519" t="s">
        <v>3823</v>
      </c>
      <c r="F519" t="s">
        <v>66</v>
      </c>
      <c r="G519">
        <v>2</v>
      </c>
      <c r="H519" s="4">
        <v>8.5</v>
      </c>
      <c r="I519" s="4">
        <v>12.32</v>
      </c>
      <c r="J519" s="4">
        <v>2.61</v>
      </c>
      <c r="K519" s="17">
        <v>30.74</v>
      </c>
      <c r="L519" t="s">
        <v>1</v>
      </c>
    </row>
    <row r="520" spans="1:12" x14ac:dyDescent="0.25">
      <c r="A520" s="8">
        <v>46144.5</v>
      </c>
      <c r="B520" t="s">
        <v>17</v>
      </c>
      <c r="C520" t="s">
        <v>3806</v>
      </c>
      <c r="D520" t="s">
        <v>254</v>
      </c>
      <c r="E520" t="s">
        <v>3827</v>
      </c>
      <c r="F520" t="s">
        <v>61</v>
      </c>
      <c r="G520">
        <v>1</v>
      </c>
      <c r="H520" s="4">
        <v>0.8</v>
      </c>
      <c r="I520" s="4">
        <v>0.94</v>
      </c>
      <c r="J520" s="4">
        <v>0.08</v>
      </c>
      <c r="K520" s="17">
        <v>9.58</v>
      </c>
      <c r="L520" t="s">
        <v>1</v>
      </c>
    </row>
    <row r="521" spans="1:12" x14ac:dyDescent="0.25">
      <c r="A521" s="8">
        <v>46144.5</v>
      </c>
      <c r="B521" t="s">
        <v>17</v>
      </c>
      <c r="C521" t="s">
        <v>3807</v>
      </c>
      <c r="D521" t="s">
        <v>254</v>
      </c>
      <c r="E521" t="s">
        <v>3827</v>
      </c>
      <c r="F521" t="s">
        <v>61</v>
      </c>
      <c r="G521">
        <v>3</v>
      </c>
      <c r="H521" s="4">
        <v>2.4</v>
      </c>
      <c r="I521" s="4">
        <v>3.36</v>
      </c>
      <c r="J521" s="4">
        <v>0.65</v>
      </c>
      <c r="K521" s="17">
        <v>27.08</v>
      </c>
      <c r="L521" t="s">
        <v>1</v>
      </c>
    </row>
    <row r="522" spans="1:12" x14ac:dyDescent="0.25">
      <c r="A522" s="8">
        <v>46143.5</v>
      </c>
      <c r="B522" t="s">
        <v>13</v>
      </c>
      <c r="C522" t="s">
        <v>739</v>
      </c>
      <c r="D522" t="s">
        <v>174</v>
      </c>
      <c r="E522" t="s">
        <v>3823</v>
      </c>
      <c r="F522" t="s">
        <v>66</v>
      </c>
      <c r="G522">
        <v>4</v>
      </c>
      <c r="H522" s="4">
        <v>17</v>
      </c>
      <c r="I522" s="4">
        <v>24.65</v>
      </c>
      <c r="J522" s="4">
        <v>4.26</v>
      </c>
      <c r="K522" s="17">
        <v>25.07</v>
      </c>
      <c r="L522" t="s">
        <v>1</v>
      </c>
    </row>
    <row r="523" spans="1:12" x14ac:dyDescent="0.25">
      <c r="A523" s="8">
        <v>46143.5</v>
      </c>
      <c r="B523" t="s">
        <v>13</v>
      </c>
      <c r="C523" t="s">
        <v>740</v>
      </c>
      <c r="D523" t="s">
        <v>182</v>
      </c>
      <c r="E523" t="s">
        <v>3825</v>
      </c>
      <c r="F523" t="s">
        <v>75</v>
      </c>
      <c r="G523">
        <v>3</v>
      </c>
      <c r="H523" s="4">
        <v>5.7</v>
      </c>
      <c r="I523" s="4">
        <v>7.52</v>
      </c>
      <c r="J523" s="4">
        <v>0.87</v>
      </c>
      <c r="K523" s="17">
        <v>15.3</v>
      </c>
      <c r="L523" t="s">
        <v>1</v>
      </c>
    </row>
    <row r="524" spans="1:12" x14ac:dyDescent="0.25">
      <c r="A524" s="8">
        <v>46143.5</v>
      </c>
      <c r="B524" t="s">
        <v>14</v>
      </c>
      <c r="C524" t="s">
        <v>1486</v>
      </c>
      <c r="D524" t="s">
        <v>254</v>
      </c>
      <c r="E524" t="s">
        <v>3827</v>
      </c>
      <c r="F524" t="s">
        <v>61</v>
      </c>
      <c r="G524">
        <v>1</v>
      </c>
      <c r="H524" s="4">
        <v>0.8</v>
      </c>
      <c r="I524" s="4">
        <v>1.03</v>
      </c>
      <c r="J524" s="4">
        <v>-8.91</v>
      </c>
      <c r="K524" s="17">
        <v>-1113.96</v>
      </c>
      <c r="L524" t="s">
        <v>1</v>
      </c>
    </row>
    <row r="525" spans="1:12" x14ac:dyDescent="0.25">
      <c r="A525" s="8">
        <v>46143.5</v>
      </c>
      <c r="B525" t="s">
        <v>16</v>
      </c>
      <c r="C525" t="s">
        <v>3056</v>
      </c>
      <c r="D525" t="s">
        <v>189</v>
      </c>
      <c r="E525" t="s">
        <v>3822</v>
      </c>
      <c r="F525" t="s">
        <v>66</v>
      </c>
      <c r="G525">
        <v>1</v>
      </c>
      <c r="H525" s="4">
        <v>3.5</v>
      </c>
      <c r="I525" s="4">
        <v>4.17</v>
      </c>
      <c r="J525" s="4">
        <v>0.21</v>
      </c>
      <c r="K525" s="17">
        <v>5.94</v>
      </c>
      <c r="L525" t="s">
        <v>1</v>
      </c>
    </row>
    <row r="526" spans="1:12" x14ac:dyDescent="0.25">
      <c r="A526" s="8">
        <v>46142.5</v>
      </c>
      <c r="B526" t="s">
        <v>14</v>
      </c>
      <c r="C526" t="s">
        <v>1487</v>
      </c>
      <c r="D526" t="s">
        <v>254</v>
      </c>
      <c r="E526" t="s">
        <v>3827</v>
      </c>
      <c r="F526" t="s">
        <v>61</v>
      </c>
      <c r="G526">
        <v>4</v>
      </c>
      <c r="H526" s="4">
        <v>3.2</v>
      </c>
      <c r="I526" s="4">
        <v>3.97</v>
      </c>
      <c r="J526" s="4">
        <v>-8.79</v>
      </c>
      <c r="K526" s="17">
        <v>-274.53</v>
      </c>
      <c r="L526" t="s">
        <v>1</v>
      </c>
    </row>
    <row r="527" spans="1:12" x14ac:dyDescent="0.25">
      <c r="A527" s="8">
        <v>46142.5</v>
      </c>
      <c r="B527" t="s">
        <v>15</v>
      </c>
      <c r="C527" t="s">
        <v>2325</v>
      </c>
      <c r="D527" t="s">
        <v>177</v>
      </c>
      <c r="E527" t="s">
        <v>3824</v>
      </c>
      <c r="F527" t="s">
        <v>78</v>
      </c>
      <c r="G527">
        <v>2</v>
      </c>
      <c r="H527" s="4">
        <v>0.3</v>
      </c>
      <c r="I527" s="4">
        <v>0.42</v>
      </c>
      <c r="J527" s="4">
        <v>-0.41</v>
      </c>
      <c r="K527" s="17">
        <v>-137.69</v>
      </c>
      <c r="L527" t="s">
        <v>1</v>
      </c>
    </row>
    <row r="528" spans="1:12" x14ac:dyDescent="0.25">
      <c r="A528" s="8">
        <v>46142.5</v>
      </c>
      <c r="B528" t="s">
        <v>15</v>
      </c>
      <c r="C528" t="s">
        <v>2326</v>
      </c>
      <c r="D528" t="s">
        <v>254</v>
      </c>
      <c r="E528" t="s">
        <v>3827</v>
      </c>
      <c r="F528" t="s">
        <v>61</v>
      </c>
      <c r="G528">
        <v>3</v>
      </c>
      <c r="H528" s="4">
        <v>2.4</v>
      </c>
      <c r="I528" s="4">
        <v>3.31</v>
      </c>
      <c r="J528" s="4">
        <v>0.02</v>
      </c>
      <c r="K528" s="17">
        <v>0.74</v>
      </c>
      <c r="L528" t="s">
        <v>1</v>
      </c>
    </row>
    <row r="529" spans="1:12" x14ac:dyDescent="0.25">
      <c r="A529" s="8">
        <v>46142.5</v>
      </c>
      <c r="B529" t="s">
        <v>15</v>
      </c>
      <c r="C529" t="s">
        <v>2327</v>
      </c>
      <c r="D529" t="s">
        <v>182</v>
      </c>
      <c r="E529" t="s">
        <v>3825</v>
      </c>
      <c r="F529" t="s">
        <v>75</v>
      </c>
      <c r="G529">
        <v>4</v>
      </c>
      <c r="H529" s="4">
        <v>7.6</v>
      </c>
      <c r="I529" s="4">
        <v>9.8</v>
      </c>
      <c r="J529" s="4">
        <v>0.58</v>
      </c>
      <c r="K529" s="17">
        <v>7.66</v>
      </c>
      <c r="L529" t="s">
        <v>1</v>
      </c>
    </row>
    <row r="530" spans="1:12" x14ac:dyDescent="0.25">
      <c r="A530" s="8">
        <v>46142.5</v>
      </c>
      <c r="B530" t="s">
        <v>15</v>
      </c>
      <c r="C530" t="s">
        <v>2324</v>
      </c>
      <c r="D530" t="s">
        <v>185</v>
      </c>
      <c r="E530" t="s">
        <v>3826</v>
      </c>
      <c r="F530" t="s">
        <v>102</v>
      </c>
      <c r="G530">
        <v>3</v>
      </c>
      <c r="H530" s="4">
        <v>3.6</v>
      </c>
      <c r="I530" s="4">
        <v>4.46</v>
      </c>
      <c r="J530" s="4">
        <v>-0.11</v>
      </c>
      <c r="K530" s="17">
        <v>-3.18</v>
      </c>
      <c r="L530" t="s">
        <v>1</v>
      </c>
    </row>
    <row r="531" spans="1:12" x14ac:dyDescent="0.25">
      <c r="A531" s="8">
        <v>46142.5</v>
      </c>
      <c r="B531" t="s">
        <v>16</v>
      </c>
      <c r="C531" t="s">
        <v>3057</v>
      </c>
      <c r="D531" t="s">
        <v>189</v>
      </c>
      <c r="E531" t="s">
        <v>3822</v>
      </c>
      <c r="F531" t="s">
        <v>66</v>
      </c>
      <c r="G531">
        <v>1</v>
      </c>
      <c r="H531" s="4">
        <v>3.5</v>
      </c>
      <c r="I531" s="4">
        <v>4.17</v>
      </c>
      <c r="J531" s="4">
        <v>0.21</v>
      </c>
      <c r="K531" s="17">
        <v>5.94</v>
      </c>
      <c r="L531" t="s">
        <v>1</v>
      </c>
    </row>
    <row r="532" spans="1:12" x14ac:dyDescent="0.25">
      <c r="A532" s="8">
        <v>46142.5</v>
      </c>
      <c r="B532" t="s">
        <v>16</v>
      </c>
      <c r="C532" t="s">
        <v>3058</v>
      </c>
      <c r="D532" t="s">
        <v>189</v>
      </c>
      <c r="E532" t="s">
        <v>3822</v>
      </c>
      <c r="F532" t="s">
        <v>66</v>
      </c>
      <c r="G532">
        <v>1</v>
      </c>
      <c r="H532" s="4">
        <v>3.5</v>
      </c>
      <c r="I532" s="4">
        <v>4.9</v>
      </c>
      <c r="J532" s="4">
        <v>0.76</v>
      </c>
      <c r="K532" s="17">
        <v>21.57</v>
      </c>
      <c r="L532" t="s">
        <v>1</v>
      </c>
    </row>
    <row r="533" spans="1:12" x14ac:dyDescent="0.25">
      <c r="A533" s="8">
        <v>46142.5</v>
      </c>
      <c r="B533" t="s">
        <v>16</v>
      </c>
      <c r="C533" t="s">
        <v>3059</v>
      </c>
      <c r="D533" t="s">
        <v>174</v>
      </c>
      <c r="E533" t="s">
        <v>3823</v>
      </c>
      <c r="F533" t="s">
        <v>66</v>
      </c>
      <c r="G533">
        <v>1</v>
      </c>
      <c r="H533" s="4">
        <v>4.25</v>
      </c>
      <c r="I533" s="4">
        <v>5.99</v>
      </c>
      <c r="J533" s="4">
        <v>0.95</v>
      </c>
      <c r="K533" s="17">
        <v>22.28</v>
      </c>
      <c r="L533" t="s">
        <v>1</v>
      </c>
    </row>
    <row r="534" spans="1:12" x14ac:dyDescent="0.25">
      <c r="A534" s="8">
        <v>46142.5</v>
      </c>
      <c r="B534" t="s">
        <v>17</v>
      </c>
      <c r="C534" t="s">
        <v>3808</v>
      </c>
      <c r="D534" t="s">
        <v>174</v>
      </c>
      <c r="E534" t="s">
        <v>3823</v>
      </c>
      <c r="F534" t="s">
        <v>66</v>
      </c>
      <c r="G534">
        <v>2</v>
      </c>
      <c r="H534" s="4">
        <v>8.5</v>
      </c>
      <c r="I534" s="4">
        <v>11.48</v>
      </c>
      <c r="J534" s="4">
        <v>1.95</v>
      </c>
      <c r="K534" s="17">
        <v>22.98</v>
      </c>
      <c r="L534" t="s">
        <v>1</v>
      </c>
    </row>
    <row r="535" spans="1:12" x14ac:dyDescent="0.25">
      <c r="A535" s="8">
        <v>46142.5</v>
      </c>
      <c r="B535" t="s">
        <v>17</v>
      </c>
      <c r="C535" t="s">
        <v>3809</v>
      </c>
      <c r="D535" t="s">
        <v>254</v>
      </c>
      <c r="E535" t="s">
        <v>3827</v>
      </c>
      <c r="F535" t="s">
        <v>61</v>
      </c>
      <c r="G535">
        <v>1</v>
      </c>
      <c r="H535" s="4">
        <v>0.8</v>
      </c>
      <c r="I535" s="4">
        <v>1.16</v>
      </c>
      <c r="J535" s="4">
        <v>0.25</v>
      </c>
      <c r="K535" s="17">
        <v>31.25</v>
      </c>
      <c r="L535" t="s">
        <v>1</v>
      </c>
    </row>
    <row r="536" spans="1:12" s="7" customFormat="1" x14ac:dyDescent="0.25">
      <c r="A536" s="7" t="s">
        <v>18</v>
      </c>
      <c r="B536" s="7" t="s">
        <v>1</v>
      </c>
      <c r="C536" s="7" t="s">
        <v>1</v>
      </c>
      <c r="D536" s="7" t="s">
        <v>1</v>
      </c>
      <c r="E536" s="7" t="s">
        <v>1</v>
      </c>
      <c r="F536" s="7" t="s">
        <v>1</v>
      </c>
      <c r="G536" s="7">
        <f>SUM(G2:G535)</f>
      </c>
      <c r="H536" s="14">
        <f>SUM(H2:H535)</f>
      </c>
      <c r="I536" s="14">
        <f>SUM(I2:I535)</f>
      </c>
      <c r="J536" s="14">
        <f>SUM(J2:J535)</f>
      </c>
      <c r="K536" s="7" t="s">
        <v>1</v>
      </c>
      <c r="L536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3828</v>
      </c>
      <c r="B1" t="s">
        <v>3829</v>
      </c>
    </row>
    <row r="2" spans="1:2" x14ac:dyDescent="0.25">
      <c r="A2" s="7" t="s">
        <v>3830</v>
      </c>
      <c r="B2">
        <v>11</v>
      </c>
    </row>
    <row r="3" spans="1:2" x14ac:dyDescent="0.25">
      <c r="A3" s="7" t="s">
        <v>6</v>
      </c>
      <c r="B3">
        <v>10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3831</v>
      </c>
      <c r="B6" s="4">
        <v>0</v>
      </c>
    </row>
    <row r="7" spans="1:2" x14ac:dyDescent="0.25">
      <c r="A7" s="7" t="s">
        <v>3832</v>
      </c>
      <c r="B7" s="4">
        <v>0</v>
      </c>
    </row>
    <row r="9" spans="1:2" x14ac:dyDescent="0.25">
      <c r="A9" s="7" t="s">
        <v>3833</v>
      </c>
      <c r="B9" s="7" t="s">
        <v>3834</v>
      </c>
    </row>
    <row r="10" spans="1:2" x14ac:dyDescent="0.25">
      <c r="A10" s="7" t="s">
        <v>13</v>
      </c>
      <c r="B10" t="s">
        <v>3835</v>
      </c>
    </row>
    <row r="11" spans="1:2" x14ac:dyDescent="0.25">
      <c r="A11" s="7" t="s">
        <v>14</v>
      </c>
      <c r="B11" t="s">
        <v>3836</v>
      </c>
    </row>
    <row r="12" spans="1:2" x14ac:dyDescent="0.25">
      <c r="A12" s="7" t="s">
        <v>15</v>
      </c>
      <c r="B12" t="s">
        <v>3837</v>
      </c>
    </row>
    <row r="13" spans="1:2" x14ac:dyDescent="0.25">
      <c r="A13" s="7" t="s">
        <v>17</v>
      </c>
      <c r="B13" t="s">
        <v>3836</v>
      </c>
    </row>
    <row r="15" spans="1:2" x14ac:dyDescent="0.25">
      <c r="A15" s="7" t="s">
        <v>3838</v>
      </c>
      <c r="B15" t="s">
        <v>1</v>
      </c>
    </row>
    <row r="16" spans="1:2" x14ac:dyDescent="0.25">
      <c r="A16" t="s">
        <v>3839</v>
      </c>
      <c r="B16" t="s">
        <v>3840</v>
      </c>
    </row>
    <row r="17" spans="1:2" x14ac:dyDescent="0.25">
      <c r="A17" t="s">
        <v>3841</v>
      </c>
      <c r="B17" t="s">
        <v>3842</v>
      </c>
    </row>
    <row r="18" spans="1:2" x14ac:dyDescent="0.25">
      <c r="A18" t="s">
        <v>3843</v>
      </c>
      <c r="B18" t="s">
        <v>3844</v>
      </c>
    </row>
    <row r="20" spans="1:2" x14ac:dyDescent="0.25">
      <c r="A20" s="7" t="s">
        <v>3845</v>
      </c>
      <c r="B20" t="s">
        <v>1</v>
      </c>
    </row>
    <row r="21" spans="1:2" x14ac:dyDescent="0.25">
      <c r="A21" t="s">
        <v>3846</v>
      </c>
      <c r="B21" t="s">
        <v>3847</v>
      </c>
    </row>
    <row r="22" spans="1:2" x14ac:dyDescent="0.25">
      <c r="A22" t="s">
        <v>3848</v>
      </c>
      <c r="B22" s="18">
        <v>11</v>
      </c>
    </row>
    <row r="23" spans="1:2" x14ac:dyDescent="0.25">
      <c r="A23" t="s">
        <v>3849</v>
      </c>
      <c r="B23" t="s">
        <v>3850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"/>
  <sheetFormatPr defaultRowHeight="15" outlineLevelRow="0" outlineLevelCol="0" x14ac:dyDescent="55"/>
  <sheetData>
    <row r="1" spans="1:16" x14ac:dyDescent="0.25">
      <c r="A1" t="s">
        <v>51</v>
      </c>
      <c r="B1" t="s">
        <v>3851</v>
      </c>
      <c r="C1" t="s">
        <v>30</v>
      </c>
      <c r="D1" t="s">
        <v>32</v>
      </c>
      <c r="E1" t="s">
        <v>31</v>
      </c>
      <c r="F1" t="s">
        <v>33</v>
      </c>
      <c r="G1" t="s">
        <v>3852</v>
      </c>
      <c r="H1" t="s">
        <v>3853</v>
      </c>
      <c r="I1" t="s">
        <v>4</v>
      </c>
      <c r="J1" t="s">
        <v>3854</v>
      </c>
      <c r="K1" t="s">
        <v>52</v>
      </c>
      <c r="L1" t="s">
        <v>3855</v>
      </c>
      <c r="M1" t="s">
        <v>55</v>
      </c>
      <c r="N1" t="s">
        <v>3856</v>
      </c>
      <c r="O1" t="s">
        <v>53</v>
      </c>
      <c r="P1" t="s">
        <v>10</v>
      </c>
    </row>
    <row r="2" spans="1:16" x14ac:dyDescent="0.25">
      <c r="A2" s="10">
        <v>46241.5</v>
      </c>
      <c r="B2" s="12" t="s">
        <v>3802</v>
      </c>
      <c r="C2" s="11" t="s">
        <v>94</v>
      </c>
      <c r="D2" s="11" t="s">
        <v>95</v>
      </c>
      <c r="E2" s="11" t="s">
        <v>88</v>
      </c>
      <c r="F2" s="11" t="s">
        <v>102</v>
      </c>
      <c r="G2" s="10">
        <v>46144.5</v>
      </c>
      <c r="H2" s="13">
        <v>107.73</v>
      </c>
      <c r="I2" s="11" t="s">
        <v>17</v>
      </c>
      <c r="J2" s="11" t="s">
        <v>3857</v>
      </c>
      <c r="K2" s="11" t="s">
        <v>3803</v>
      </c>
      <c r="L2" s="11" t="s">
        <v>3858</v>
      </c>
      <c r="M2" s="11" t="s">
        <v>3859</v>
      </c>
      <c r="N2" s="13"/>
      <c r="O2" s="11"/>
      <c r="P2" s="13"/>
    </row>
    <row r="3" spans="1:16" x14ac:dyDescent="0.25">
      <c r="A3" s="10">
        <v>46241.5</v>
      </c>
      <c r="B3" s="12" t="s">
        <v>677</v>
      </c>
      <c r="C3" s="11" t="s">
        <v>234</v>
      </c>
      <c r="D3" s="11" t="s">
        <v>65</v>
      </c>
      <c r="E3" s="11" t="s">
        <v>74</v>
      </c>
      <c r="F3" s="11" t="s">
        <v>66</v>
      </c>
      <c r="G3" s="10">
        <v>46158.5</v>
      </c>
      <c r="H3" s="13">
        <v>236.6</v>
      </c>
      <c r="I3" s="11" t="s">
        <v>13</v>
      </c>
      <c r="J3" s="11" t="s">
        <v>3857</v>
      </c>
      <c r="K3" s="11" t="s">
        <v>678</v>
      </c>
      <c r="L3" s="11" t="s">
        <v>3860</v>
      </c>
      <c r="M3" s="11" t="s">
        <v>3861</v>
      </c>
      <c r="N3" s="13"/>
      <c r="O3" s="11"/>
      <c r="P3" s="13"/>
    </row>
    <row r="4" spans="1:16" x14ac:dyDescent="0.25">
      <c r="A4" s="10">
        <v>46241.5</v>
      </c>
      <c r="B4" s="12" t="s">
        <v>683</v>
      </c>
      <c r="C4" s="11" t="s">
        <v>172</v>
      </c>
      <c r="D4" s="11" t="s">
        <v>65</v>
      </c>
      <c r="E4" s="11" t="s">
        <v>88</v>
      </c>
      <c r="F4" s="11" t="s">
        <v>66</v>
      </c>
      <c r="G4" s="10">
        <v>46157.5</v>
      </c>
      <c r="H4" s="13">
        <v>191.18</v>
      </c>
      <c r="I4" s="11" t="s">
        <v>13</v>
      </c>
      <c r="J4" s="11" t="s">
        <v>3857</v>
      </c>
      <c r="K4" s="11" t="s">
        <v>678</v>
      </c>
      <c r="L4" s="11" t="s">
        <v>3860</v>
      </c>
      <c r="M4" s="11" t="s">
        <v>3861</v>
      </c>
      <c r="N4" s="13"/>
      <c r="O4" s="11"/>
      <c r="P4" s="13"/>
    </row>
    <row r="5" spans="1:16" x14ac:dyDescent="0.25">
      <c r="A5" s="10">
        <v>46241.5</v>
      </c>
      <c r="B5" s="12" t="s">
        <v>2250</v>
      </c>
      <c r="C5" s="11" t="s">
        <v>134</v>
      </c>
      <c r="D5" s="11" t="s">
        <v>95</v>
      </c>
      <c r="E5" s="11" t="s">
        <v>99</v>
      </c>
      <c r="F5" s="11" t="s">
        <v>102</v>
      </c>
      <c r="G5" s="10">
        <v>46157.5</v>
      </c>
      <c r="H5" s="13">
        <v>152.22</v>
      </c>
      <c r="I5" s="11" t="s">
        <v>15</v>
      </c>
      <c r="J5" s="11" t="s">
        <v>3857</v>
      </c>
      <c r="K5" s="11" t="s">
        <v>678</v>
      </c>
      <c r="L5" s="11" t="s">
        <v>3860</v>
      </c>
      <c r="M5" s="11" t="s">
        <v>3861</v>
      </c>
      <c r="N5" s="13"/>
      <c r="O5" s="11"/>
      <c r="P5" s="13"/>
    </row>
    <row r="6" spans="1:16" x14ac:dyDescent="0.25">
      <c r="A6" s="10">
        <v>46241.5</v>
      </c>
      <c r="B6" s="12" t="s">
        <v>726</v>
      </c>
      <c r="C6" s="11" t="s">
        <v>84</v>
      </c>
      <c r="D6" s="11" t="s">
        <v>60</v>
      </c>
      <c r="E6" s="11" t="s">
        <v>59</v>
      </c>
      <c r="F6" s="11" t="s">
        <v>102</v>
      </c>
      <c r="G6" s="10">
        <v>46148.5</v>
      </c>
      <c r="H6" s="13">
        <v>836.55</v>
      </c>
      <c r="I6" s="11" t="s">
        <v>13</v>
      </c>
      <c r="J6" s="11" t="s">
        <v>3857</v>
      </c>
      <c r="K6" s="11" t="s">
        <v>678</v>
      </c>
      <c r="L6" s="11" t="s">
        <v>3860</v>
      </c>
      <c r="M6" s="11" t="s">
        <v>3861</v>
      </c>
      <c r="N6" s="13"/>
      <c r="O6" s="11"/>
      <c r="P6" s="13"/>
    </row>
    <row r="7" spans="1:16" x14ac:dyDescent="0.25">
      <c r="A7" s="10">
        <v>46241.5</v>
      </c>
      <c r="B7" s="12" t="s">
        <v>2192</v>
      </c>
      <c r="C7" s="11" t="s">
        <v>94</v>
      </c>
      <c r="D7" s="11" t="s">
        <v>95</v>
      </c>
      <c r="E7" s="11" t="s">
        <v>59</v>
      </c>
      <c r="F7" s="11" t="s">
        <v>102</v>
      </c>
      <c r="G7" s="10">
        <v>46162.5</v>
      </c>
      <c r="H7" s="13">
        <v>106.2</v>
      </c>
      <c r="I7" s="11" t="s">
        <v>15</v>
      </c>
      <c r="J7" s="11" t="s">
        <v>3857</v>
      </c>
      <c r="K7" s="11" t="s">
        <v>678</v>
      </c>
      <c r="L7" s="11" t="s">
        <v>3860</v>
      </c>
      <c r="M7" s="11" t="s">
        <v>3861</v>
      </c>
      <c r="N7" s="13"/>
      <c r="O7" s="11"/>
      <c r="P7" s="13"/>
    </row>
    <row r="8" spans="1:16" x14ac:dyDescent="0.25">
      <c r="A8" s="10">
        <v>46241.5</v>
      </c>
      <c r="B8" s="12" t="s">
        <v>708</v>
      </c>
      <c r="C8" s="11" t="s">
        <v>84</v>
      </c>
      <c r="D8" s="11" t="s">
        <v>60</v>
      </c>
      <c r="E8" s="11" t="s">
        <v>59</v>
      </c>
      <c r="F8" s="11" t="s">
        <v>102</v>
      </c>
      <c r="G8" s="10">
        <v>46153.5</v>
      </c>
      <c r="H8" s="13">
        <v>968.96</v>
      </c>
      <c r="I8" s="11" t="s">
        <v>13</v>
      </c>
      <c r="J8" s="11" t="s">
        <v>3857</v>
      </c>
      <c r="K8" s="11" t="s">
        <v>678</v>
      </c>
      <c r="L8" s="11" t="s">
        <v>3860</v>
      </c>
      <c r="M8" s="11" t="s">
        <v>3861</v>
      </c>
      <c r="N8" s="13"/>
      <c r="O8" s="11"/>
      <c r="P8" s="13"/>
    </row>
    <row r="9" spans="1:16" x14ac:dyDescent="0.25">
      <c r="A9" s="10">
        <v>46241.5</v>
      </c>
      <c r="B9" s="12" t="s">
        <v>2244</v>
      </c>
      <c r="C9" s="11" t="s">
        <v>58</v>
      </c>
      <c r="D9" s="11" t="s">
        <v>60</v>
      </c>
      <c r="E9" s="11" t="s">
        <v>59</v>
      </c>
      <c r="F9" s="11" t="s">
        <v>61</v>
      </c>
      <c r="G9" s="10">
        <v>46157.5</v>
      </c>
      <c r="H9" s="13">
        <v>602.48</v>
      </c>
      <c r="I9" s="11" t="s">
        <v>15</v>
      </c>
      <c r="J9" s="11" t="s">
        <v>3857</v>
      </c>
      <c r="K9" s="11" t="s">
        <v>678</v>
      </c>
      <c r="L9" s="11" t="s">
        <v>3860</v>
      </c>
      <c r="M9" s="11" t="s">
        <v>3861</v>
      </c>
      <c r="N9" s="13"/>
      <c r="O9" s="11"/>
      <c r="P9" s="13"/>
    </row>
    <row r="10" spans="1:16" x14ac:dyDescent="0.25">
      <c r="A10" s="10">
        <v>46241.5</v>
      </c>
      <c r="B10" s="12" t="s">
        <v>2293</v>
      </c>
      <c r="C10" s="11" t="s">
        <v>131</v>
      </c>
      <c r="D10" s="11" t="s">
        <v>65</v>
      </c>
      <c r="E10" s="11" t="s">
        <v>99</v>
      </c>
      <c r="F10" s="11" t="s">
        <v>102</v>
      </c>
      <c r="G10" s="10">
        <v>46150.5</v>
      </c>
      <c r="H10" s="13">
        <v>395.67</v>
      </c>
      <c r="I10" s="11" t="s">
        <v>15</v>
      </c>
      <c r="J10" s="11" t="s">
        <v>3857</v>
      </c>
      <c r="K10" s="11" t="s">
        <v>678</v>
      </c>
      <c r="L10" s="11" t="s">
        <v>3860</v>
      </c>
      <c r="M10" s="11" t="s">
        <v>3861</v>
      </c>
      <c r="N10" s="13"/>
      <c r="O10" s="11"/>
      <c r="P10" s="13"/>
    </row>
    <row r="11" spans="1:16" x14ac:dyDescent="0.25">
      <c r="A11" s="10">
        <v>46241.5</v>
      </c>
      <c r="B11" s="12" t="s">
        <v>729</v>
      </c>
      <c r="C11" s="11" t="s">
        <v>64</v>
      </c>
      <c r="D11" s="11" t="s">
        <v>65</v>
      </c>
      <c r="E11" s="11" t="s">
        <v>105</v>
      </c>
      <c r="F11" s="11" t="s">
        <v>66</v>
      </c>
      <c r="G11" s="10">
        <v>46147.5</v>
      </c>
      <c r="H11" s="13">
        <v>295.55</v>
      </c>
      <c r="I11" s="11" t="s">
        <v>13</v>
      </c>
      <c r="J11" s="11" t="s">
        <v>3857</v>
      </c>
      <c r="K11" s="11" t="s">
        <v>678</v>
      </c>
      <c r="L11" s="11" t="s">
        <v>3860</v>
      </c>
      <c r="M11" s="11" t="s">
        <v>3861</v>
      </c>
      <c r="N11" s="13"/>
      <c r="O11" s="11"/>
      <c r="P11" s="13"/>
    </row>
    <row r="12" spans="1:16" x14ac:dyDescent="0.25">
      <c r="A12" s="10">
        <v>46241.5</v>
      </c>
      <c r="B12" s="12" t="s">
        <v>1394</v>
      </c>
      <c r="C12" s="11" t="s">
        <v>73</v>
      </c>
      <c r="D12" s="11" t="s">
        <v>60</v>
      </c>
      <c r="E12" s="11" t="s">
        <v>74</v>
      </c>
      <c r="F12" s="11" t="s">
        <v>66</v>
      </c>
      <c r="G12" s="10">
        <v>46163.5</v>
      </c>
      <c r="H12" s="13">
        <v>423.34</v>
      </c>
      <c r="I12" s="11" t="s">
        <v>14</v>
      </c>
      <c r="J12" s="11" t="s">
        <v>3857</v>
      </c>
      <c r="K12" s="11" t="s">
        <v>678</v>
      </c>
      <c r="L12" s="11" t="s">
        <v>3860</v>
      </c>
      <c r="M12" s="11" t="s">
        <v>3861</v>
      </c>
      <c r="N12" s="13"/>
      <c r="O12" s="11"/>
      <c r="P12" s="1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FormatPr defaultRowHeight="15" outlineLevelRow="0" outlineLevelCol="0" x14ac:dyDescent="55"/>
  <sheetData>
    <row r="1" spans="1:7" x14ac:dyDescent="0.25">
      <c r="A1" t="s">
        <v>3851</v>
      </c>
      <c r="B1" t="s">
        <v>30</v>
      </c>
      <c r="C1" t="s">
        <v>3862</v>
      </c>
      <c r="D1" t="s">
        <v>3863</v>
      </c>
      <c r="E1" t="s">
        <v>3864</v>
      </c>
      <c r="F1" t="s">
        <v>3865</v>
      </c>
      <c r="G1" t="s">
        <v>55</v>
      </c>
    </row>
    <row r="2" spans="1:7" x14ac:dyDescent="0.25">
      <c r="A2" s="9" t="s">
        <v>3802</v>
      </c>
      <c r="B2" t="s">
        <v>94</v>
      </c>
      <c r="C2" s="8">
        <v>46142.5</v>
      </c>
      <c r="D2" t="s">
        <v>3866</v>
      </c>
      <c r="E2" t="s">
        <v>102</v>
      </c>
      <c r="F2" s="4">
        <v>81</v>
      </c>
      <c r="G2" t="s">
        <v>1</v>
      </c>
    </row>
    <row r="3" spans="1:7" x14ac:dyDescent="0.25">
      <c r="A3" s="9" t="s">
        <v>3802</v>
      </c>
      <c r="B3" t="s">
        <v>94</v>
      </c>
      <c r="C3" s="8">
        <v>46144.5</v>
      </c>
      <c r="D3" t="s">
        <v>3867</v>
      </c>
      <c r="E3" t="s">
        <v>3868</v>
      </c>
      <c r="F3" s="4">
        <v>107.73</v>
      </c>
      <c r="G3" t="s">
        <v>1</v>
      </c>
    </row>
    <row r="4" spans="1:7" x14ac:dyDescent="0.25">
      <c r="A4" s="12" t="s">
        <v>3802</v>
      </c>
      <c r="B4" s="11" t="s">
        <v>94</v>
      </c>
      <c r="C4" s="10">
        <v>46241.5</v>
      </c>
      <c r="D4" s="11" t="s">
        <v>3869</v>
      </c>
      <c r="E4" s="11" t="s">
        <v>3870</v>
      </c>
      <c r="F4" s="13"/>
      <c r="G4" s="11" t="s">
        <v>3859</v>
      </c>
    </row>
    <row r="5" spans="1:7" x14ac:dyDescent="0.25">
      <c r="A5" s="9" t="s">
        <v>677</v>
      </c>
      <c r="B5" t="s">
        <v>234</v>
      </c>
      <c r="C5" s="8">
        <v>46142.5</v>
      </c>
      <c r="D5" t="s">
        <v>3866</v>
      </c>
      <c r="E5" t="s">
        <v>66</v>
      </c>
      <c r="F5" s="4">
        <v>182</v>
      </c>
      <c r="G5" t="s">
        <v>1</v>
      </c>
    </row>
    <row r="6" spans="1:7" x14ac:dyDescent="0.25">
      <c r="A6" s="9" t="s">
        <v>677</v>
      </c>
      <c r="B6" t="s">
        <v>234</v>
      </c>
      <c r="C6" s="8">
        <v>46158.5</v>
      </c>
      <c r="D6" t="s">
        <v>3867</v>
      </c>
      <c r="E6" t="s">
        <v>3871</v>
      </c>
      <c r="F6" s="4">
        <v>236.6</v>
      </c>
      <c r="G6" t="s">
        <v>1</v>
      </c>
    </row>
    <row r="7" spans="1:7" x14ac:dyDescent="0.25">
      <c r="A7" s="12" t="s">
        <v>677</v>
      </c>
      <c r="B7" s="11" t="s">
        <v>234</v>
      </c>
      <c r="C7" s="10">
        <v>46241.5</v>
      </c>
      <c r="D7" s="11" t="s">
        <v>3869</v>
      </c>
      <c r="E7" s="11" t="s">
        <v>3872</v>
      </c>
      <c r="F7" s="13"/>
      <c r="G7" s="11" t="s">
        <v>3861</v>
      </c>
    </row>
    <row r="8" spans="1:7" x14ac:dyDescent="0.25">
      <c r="A8" s="9" t="s">
        <v>683</v>
      </c>
      <c r="B8" t="s">
        <v>172</v>
      </c>
      <c r="C8" s="8">
        <v>46142.5</v>
      </c>
      <c r="D8" t="s">
        <v>3866</v>
      </c>
      <c r="E8" t="s">
        <v>66</v>
      </c>
      <c r="F8" s="4">
        <v>158</v>
      </c>
      <c r="G8" t="s">
        <v>1</v>
      </c>
    </row>
    <row r="9" spans="1:7" x14ac:dyDescent="0.25">
      <c r="A9" s="9" t="s">
        <v>683</v>
      </c>
      <c r="B9" t="s">
        <v>172</v>
      </c>
      <c r="C9" s="8">
        <v>46157.5</v>
      </c>
      <c r="D9" t="s">
        <v>3867</v>
      </c>
      <c r="E9" t="s">
        <v>3873</v>
      </c>
      <c r="F9" s="4">
        <v>191.18</v>
      </c>
      <c r="G9" t="s">
        <v>1</v>
      </c>
    </row>
    <row r="10" spans="1:7" x14ac:dyDescent="0.25">
      <c r="A10" s="12" t="s">
        <v>683</v>
      </c>
      <c r="B10" s="11" t="s">
        <v>172</v>
      </c>
      <c r="C10" s="10">
        <v>46241.5</v>
      </c>
      <c r="D10" s="11" t="s">
        <v>3869</v>
      </c>
      <c r="E10" s="11" t="s">
        <v>3872</v>
      </c>
      <c r="F10" s="13"/>
      <c r="G10" s="11" t="s">
        <v>3861</v>
      </c>
    </row>
    <row r="11" spans="1:7" x14ac:dyDescent="0.25">
      <c r="A11" s="9" t="s">
        <v>2250</v>
      </c>
      <c r="B11" t="s">
        <v>134</v>
      </c>
      <c r="C11" s="8">
        <v>46142.5</v>
      </c>
      <c r="D11" t="s">
        <v>3866</v>
      </c>
      <c r="E11" t="s">
        <v>102</v>
      </c>
      <c r="F11" s="4">
        <v>118</v>
      </c>
      <c r="G11" t="s">
        <v>1</v>
      </c>
    </row>
    <row r="12" spans="1:7" x14ac:dyDescent="0.25">
      <c r="A12" s="9" t="s">
        <v>2250</v>
      </c>
      <c r="B12" t="s">
        <v>134</v>
      </c>
      <c r="C12" s="8">
        <v>46157.5</v>
      </c>
      <c r="D12" t="s">
        <v>3867</v>
      </c>
      <c r="E12" t="s">
        <v>3874</v>
      </c>
      <c r="F12" s="4">
        <v>152.22</v>
      </c>
      <c r="G12" t="s">
        <v>1</v>
      </c>
    </row>
    <row r="13" spans="1:7" x14ac:dyDescent="0.25">
      <c r="A13" s="12" t="s">
        <v>2250</v>
      </c>
      <c r="B13" s="11" t="s">
        <v>134</v>
      </c>
      <c r="C13" s="10">
        <v>46241.5</v>
      </c>
      <c r="D13" s="11" t="s">
        <v>3869</v>
      </c>
      <c r="E13" s="11" t="s">
        <v>3872</v>
      </c>
      <c r="F13" s="13"/>
      <c r="G13" s="11" t="s">
        <v>3861</v>
      </c>
    </row>
    <row r="14" spans="1:7" x14ac:dyDescent="0.25">
      <c r="A14" s="9" t="s">
        <v>2192</v>
      </c>
      <c r="B14" t="s">
        <v>94</v>
      </c>
      <c r="C14" s="8">
        <v>46144.5</v>
      </c>
      <c r="D14" t="s">
        <v>3866</v>
      </c>
      <c r="E14" t="s">
        <v>102</v>
      </c>
      <c r="F14" s="4">
        <v>90</v>
      </c>
      <c r="G14" t="s">
        <v>1</v>
      </c>
    </row>
    <row r="15" spans="1:7" x14ac:dyDescent="0.25">
      <c r="A15" s="9" t="s">
        <v>2192</v>
      </c>
      <c r="B15" t="s">
        <v>94</v>
      </c>
      <c r="C15" s="8">
        <v>46162.5</v>
      </c>
      <c r="D15" t="s">
        <v>3867</v>
      </c>
      <c r="E15" t="s">
        <v>3875</v>
      </c>
      <c r="F15" s="4">
        <v>106.2</v>
      </c>
      <c r="G15" t="s">
        <v>1</v>
      </c>
    </row>
    <row r="16" spans="1:7" x14ac:dyDescent="0.25">
      <c r="A16" s="12" t="s">
        <v>2192</v>
      </c>
      <c r="B16" s="11" t="s">
        <v>94</v>
      </c>
      <c r="C16" s="10">
        <v>46241.5</v>
      </c>
      <c r="D16" s="11" t="s">
        <v>3869</v>
      </c>
      <c r="E16" s="11" t="s">
        <v>3872</v>
      </c>
      <c r="F16" s="13"/>
      <c r="G16" s="11" t="s">
        <v>3861</v>
      </c>
    </row>
    <row r="17" spans="1:7" x14ac:dyDescent="0.25">
      <c r="A17" s="9" t="s">
        <v>2244</v>
      </c>
      <c r="B17" t="s">
        <v>58</v>
      </c>
      <c r="C17" s="8">
        <v>46144.5</v>
      </c>
      <c r="D17" t="s">
        <v>3866</v>
      </c>
      <c r="E17" t="s">
        <v>61</v>
      </c>
      <c r="F17" s="4">
        <v>443</v>
      </c>
      <c r="G17" t="s">
        <v>1</v>
      </c>
    </row>
    <row r="18" spans="1:7" x14ac:dyDescent="0.25">
      <c r="A18" s="9" t="s">
        <v>2244</v>
      </c>
      <c r="B18" t="s">
        <v>58</v>
      </c>
      <c r="C18" s="8">
        <v>46157.5</v>
      </c>
      <c r="D18" t="s">
        <v>3867</v>
      </c>
      <c r="E18" t="s">
        <v>3876</v>
      </c>
      <c r="F18" s="4">
        <v>602.48</v>
      </c>
      <c r="G18" t="s">
        <v>1</v>
      </c>
    </row>
    <row r="19" spans="1:7" x14ac:dyDescent="0.25">
      <c r="A19" s="12" t="s">
        <v>2244</v>
      </c>
      <c r="B19" s="11" t="s">
        <v>58</v>
      </c>
      <c r="C19" s="10">
        <v>46241.5</v>
      </c>
      <c r="D19" s="11" t="s">
        <v>3869</v>
      </c>
      <c r="E19" s="11" t="s">
        <v>3872</v>
      </c>
      <c r="F19" s="13"/>
      <c r="G19" s="11" t="s">
        <v>3861</v>
      </c>
    </row>
    <row r="20" spans="1:7" x14ac:dyDescent="0.25">
      <c r="A20" s="9" t="s">
        <v>2293</v>
      </c>
      <c r="B20" t="s">
        <v>131</v>
      </c>
      <c r="C20" s="8">
        <v>46144.5</v>
      </c>
      <c r="D20" t="s">
        <v>3866</v>
      </c>
      <c r="E20" t="s">
        <v>102</v>
      </c>
      <c r="F20" s="4">
        <v>327</v>
      </c>
      <c r="G20" t="s">
        <v>1</v>
      </c>
    </row>
    <row r="21" spans="1:7" x14ac:dyDescent="0.25">
      <c r="A21" s="9" t="s">
        <v>2293</v>
      </c>
      <c r="B21" t="s">
        <v>131</v>
      </c>
      <c r="C21" s="8">
        <v>46150.5</v>
      </c>
      <c r="D21" t="s">
        <v>3867</v>
      </c>
      <c r="E21" t="s">
        <v>3877</v>
      </c>
      <c r="F21" s="4">
        <v>395.67</v>
      </c>
      <c r="G21" t="s">
        <v>1</v>
      </c>
    </row>
    <row r="22" spans="1:7" x14ac:dyDescent="0.25">
      <c r="A22" s="12" t="s">
        <v>2293</v>
      </c>
      <c r="B22" s="11" t="s">
        <v>131</v>
      </c>
      <c r="C22" s="10">
        <v>46241.5</v>
      </c>
      <c r="D22" s="11" t="s">
        <v>3869</v>
      </c>
      <c r="E22" s="11" t="s">
        <v>3872</v>
      </c>
      <c r="F22" s="13"/>
      <c r="G22" s="11" t="s">
        <v>3861</v>
      </c>
    </row>
    <row r="23" spans="1:7" x14ac:dyDescent="0.25">
      <c r="A23" s="9" t="s">
        <v>729</v>
      </c>
      <c r="B23" t="s">
        <v>64</v>
      </c>
      <c r="C23" s="8">
        <v>46144.5</v>
      </c>
      <c r="D23" t="s">
        <v>3866</v>
      </c>
      <c r="E23" t="s">
        <v>66</v>
      </c>
      <c r="F23" s="4">
        <v>257</v>
      </c>
      <c r="G23" t="s">
        <v>1</v>
      </c>
    </row>
    <row r="24" spans="1:7" x14ac:dyDescent="0.25">
      <c r="A24" s="9" t="s">
        <v>729</v>
      </c>
      <c r="B24" t="s">
        <v>64</v>
      </c>
      <c r="C24" s="8">
        <v>46147.5</v>
      </c>
      <c r="D24" t="s">
        <v>3867</v>
      </c>
      <c r="E24" t="s">
        <v>3878</v>
      </c>
      <c r="F24" s="4">
        <v>295.55</v>
      </c>
      <c r="G24" t="s">
        <v>1</v>
      </c>
    </row>
    <row r="25" spans="1:7" x14ac:dyDescent="0.25">
      <c r="A25" s="12" t="s">
        <v>729</v>
      </c>
      <c r="B25" s="11" t="s">
        <v>64</v>
      </c>
      <c r="C25" s="10">
        <v>46241.5</v>
      </c>
      <c r="D25" s="11" t="s">
        <v>3869</v>
      </c>
      <c r="E25" s="11" t="s">
        <v>3872</v>
      </c>
      <c r="F25" s="13"/>
      <c r="G25" s="11" t="s">
        <v>3861</v>
      </c>
    </row>
    <row r="26" spans="1:7" x14ac:dyDescent="0.25">
      <c r="A26" s="9" t="s">
        <v>1394</v>
      </c>
      <c r="B26" t="s">
        <v>73</v>
      </c>
      <c r="C26" s="8">
        <v>46146.5</v>
      </c>
      <c r="D26" t="s">
        <v>3866</v>
      </c>
      <c r="E26" t="s">
        <v>66</v>
      </c>
      <c r="F26" s="4">
        <v>347</v>
      </c>
      <c r="G26" t="s">
        <v>1</v>
      </c>
    </row>
    <row r="27" spans="1:7" x14ac:dyDescent="0.25">
      <c r="A27" s="9" t="s">
        <v>1394</v>
      </c>
      <c r="B27" t="s">
        <v>73</v>
      </c>
      <c r="C27" s="8">
        <v>46163.5</v>
      </c>
      <c r="D27" t="s">
        <v>3867</v>
      </c>
      <c r="E27" t="s">
        <v>3879</v>
      </c>
      <c r="F27" s="4">
        <v>423.34</v>
      </c>
      <c r="G27" t="s">
        <v>1</v>
      </c>
    </row>
    <row r="28" spans="1:7" x14ac:dyDescent="0.25">
      <c r="A28" s="12" t="s">
        <v>1394</v>
      </c>
      <c r="B28" s="11" t="s">
        <v>73</v>
      </c>
      <c r="C28" s="10">
        <v>46241.5</v>
      </c>
      <c r="D28" s="11" t="s">
        <v>3869</v>
      </c>
      <c r="E28" s="11" t="s">
        <v>3872</v>
      </c>
      <c r="F28" s="13"/>
      <c r="G28" s="11" t="s">
        <v>3861</v>
      </c>
    </row>
    <row r="29" spans="1:7" x14ac:dyDescent="0.25">
      <c r="A29" s="9" t="s">
        <v>726</v>
      </c>
      <c r="B29" t="s">
        <v>84</v>
      </c>
      <c r="C29" s="8">
        <v>46143.5</v>
      </c>
      <c r="D29" t="s">
        <v>3866</v>
      </c>
      <c r="E29" t="s">
        <v>102</v>
      </c>
      <c r="F29" s="4">
        <v>715</v>
      </c>
      <c r="G29" t="s">
        <v>1</v>
      </c>
    </row>
    <row r="30" spans="1:7" x14ac:dyDescent="0.25">
      <c r="A30" s="9" t="s">
        <v>726</v>
      </c>
      <c r="B30" t="s">
        <v>84</v>
      </c>
      <c r="C30" s="8">
        <v>46148.5</v>
      </c>
      <c r="D30" t="s">
        <v>3867</v>
      </c>
      <c r="E30" t="s">
        <v>3880</v>
      </c>
      <c r="F30" s="4">
        <v>836.55</v>
      </c>
      <c r="G30" t="s">
        <v>1</v>
      </c>
    </row>
    <row r="31" spans="1:7" x14ac:dyDescent="0.25">
      <c r="A31" s="12" t="s">
        <v>726</v>
      </c>
      <c r="B31" s="11" t="s">
        <v>84</v>
      </c>
      <c r="C31" s="10">
        <v>46241.5</v>
      </c>
      <c r="D31" s="11" t="s">
        <v>3869</v>
      </c>
      <c r="E31" s="11" t="s">
        <v>3872</v>
      </c>
      <c r="F31" s="13"/>
      <c r="G31" s="11" t="s">
        <v>3861</v>
      </c>
    </row>
    <row r="32" spans="1:7" x14ac:dyDescent="0.25">
      <c r="A32" s="9" t="s">
        <v>708</v>
      </c>
      <c r="B32" t="s">
        <v>84</v>
      </c>
      <c r="C32" s="8">
        <v>46144.5</v>
      </c>
      <c r="D32" t="s">
        <v>3866</v>
      </c>
      <c r="E32" t="s">
        <v>102</v>
      </c>
      <c r="F32" s="4">
        <v>757</v>
      </c>
      <c r="G32" t="s">
        <v>1</v>
      </c>
    </row>
    <row r="33" spans="1:7" x14ac:dyDescent="0.25">
      <c r="A33" s="9" t="s">
        <v>708</v>
      </c>
      <c r="B33" t="s">
        <v>84</v>
      </c>
      <c r="C33" s="8">
        <v>46153.5</v>
      </c>
      <c r="D33" t="s">
        <v>3867</v>
      </c>
      <c r="E33" t="s">
        <v>3881</v>
      </c>
      <c r="F33" s="4">
        <v>968.96</v>
      </c>
      <c r="G33" t="s">
        <v>1</v>
      </c>
    </row>
    <row r="34" spans="1:7" x14ac:dyDescent="0.25">
      <c r="A34" s="12" t="s">
        <v>708</v>
      </c>
      <c r="B34" s="11" t="s">
        <v>84</v>
      </c>
      <c r="C34" s="10">
        <v>46241.5</v>
      </c>
      <c r="D34" s="11" t="s">
        <v>3869</v>
      </c>
      <c r="E34" s="11" t="s">
        <v>3872</v>
      </c>
      <c r="F34" s="13"/>
      <c r="G34" s="11" t="s">
        <v>3861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2026-08-07T18:41:24Z</dcterms:created>
  <dcterms:modified xsi:type="dcterms:W3CDTF">2026-08-07T18:41:24Z</dcterms:modified>
</cp:coreProperties>
</file>