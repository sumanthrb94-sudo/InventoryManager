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<sst xmlns="http://schemas.openxmlformats.org/spreadsheetml/2006/main" count="279" uniqueCount="105">
  <si>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</si>
  <si>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</si>
  <si>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</si>
  <si>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</si>
  <si>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</si>
  <si>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</si>
  <si>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</si>
  <si>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</si>
  <si>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</si>
  <si>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</si>
  <si>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</si>
  <si>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</si>
  <si>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</si>
  <si>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</si>
  <si>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</si>
  <si>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</si>
  <si>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</si>
  <si>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</si>
  <si>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</si>
  <si>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</si>
  <si>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</si>
  <si>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</si>
  <si>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</si>
  <si>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</si>
  <si>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</si>
  <si>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</si>
  <si>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</si>
  <si>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</si>
  <si>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</si>
  <si>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</si>
  <si>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</si>
  <si>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</si>
  <si>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</si>
  <si>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</si>
  <si>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</si>
  <si>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</si>
  <si>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</si>
  <si>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</si>
  <si>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</si>
  <si>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</si>
  <si>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</si>
  <si>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</si>
  <si>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</si>
  <si>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</si>
  <si>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</si>
  <si>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</si>
  <si>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</si>
  <si>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</si>
  <si>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</si>
  <si>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</si>
  <si>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</si>
  <si>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</si>
  <si>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</si>
  <si>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</si>
  <si>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</si>
  <si>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ACC-RET-9001</t>
  </si>
  <si>
    <t>USB-C-20W</t>
  </si>
  <si>
    <t>MOBILE WHOLESALE LTD</t>
  </si>
  <si>
    <t>Refund</t>
  </si>
  <si>
    <t>wrong item ordered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</si>
  <si>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</si>
  <si>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</si>
  <si>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</si>
  <si>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</si>
  <si>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</si>
  <si>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</si>
  <si>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</si>
  <si>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</si>
  <si>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</si>
  <si>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</si>
  <si>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Name</t>
  </si>
  <si>
    <t>USB-C 20W Charger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</si>
  <si>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</si>
  <si>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</si>
  <si>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</si>
  <si>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</si>
  <si>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</si>
  <si>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</si>
  <si>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</si>
  <si>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£0.00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</si>
  <si>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</si>
  <si>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</si>
  <si>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</si>
  <si>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</si>
  <si>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</si>
  <si>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</si>
  <si>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</si>
  <si>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</si>
  <si>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</si>
  <si>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no costed returns in this period</t>
  </si>
  <si>
    <t>Uncosted (pre-tracking) returns</t>
  </si>
  <si>
    <t>Note</t>
  </si>
  <si>
    <t>1 return predate carriage tracking and contribute £0 — lifetime loss understates these.</t>
  </si>
  <si>
    <t>Unit IMEI</t>
  </si>
  <si>
    <t>Original Sale Date</t>
  </si>
  <si>
    <t>Original Sale Price</t>
  </si>
  <si>
    <t>Return Type</t>
  </si>
  <si>
    <t>Reason</t>
  </si>
  <si>
    <t>Leg Cost £</t>
  </si>
  <si>
    <t>Accessory</t>
  </si>
  <si>
    <t>Event Date</t>
  </si>
  <si>
    <t>Event</t>
  </si>
  <si>
    <t>Detail</t>
  </si>
  <si>
    <t>Amount £</t>
  </si>
  <si>
    <t>Returns are recorded on the Sales side, but no unit has a Return Type on file yet — process the return, or re-upload a Sales Report with its Returns Detail filled in, to populate a history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</si>
</sst>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b/>
      <color rgb="FFB45309"/>
    </font>
    <font>
      <i/>
      <color rgb="FF64748B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2" fillId="0" borderId="0" xfId="0" applyNumberFormat="1" applyFont="1"/>
    <xf numFmtId="165" fontId="0" fillId="4" borderId="0" xfId="0" applyNumberFormat="1" applyFill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1</v>
      </c>
      <c r="D5">
        <v>0</v>
      </c>
      <c r="E5">
        <v>0</v>
      </c>
      <c r="F5" s="3">
        <v>0</v>
      </c>
      <c r="G5" s="3">
        <v>0</v>
      </c>
      <c r="H5" s="3">
        <v>0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0</v>
      </c>
      <c r="C10" s="4">
        <v>1</v>
      </c>
      <c r="D10" s="4">
        <v>0</v>
      </c>
      <c r="E10" s="4">
        <v>0</v>
      </c>
      <c r="F10" s="5">
        <v>0</v>
      </c>
      <c r="G10" s="5">
        <v>0</v>
      </c>
      <c r="H10" s="5">
        <v>0</v>
      </c>
      <c r="I10" s="5">
        <v>0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10</v>
      </c>
      <c r="AD1" t="s">
        <v>53</v>
      </c>
      <c r="AE1" t="s">
        <v>54</v>
      </c>
    </row>
    <row r="2" spans="1:31" x14ac:dyDescent="0.25">
      <c r="A2" s="7">
        <v>46225.5</v>
      </c>
      <c r="B2" s="8" t="s">
        <v>55</v>
      </c>
      <c r="C2" s="8" t="s">
        <v>56</v>
      </c>
      <c r="D2" s="9" t="s">
        <v>1</v>
      </c>
      <c r="E2" s="8" t="s">
        <v>57</v>
      </c>
      <c r="F2" s="8">
        <v>3</v>
      </c>
      <c r="G2" s="10">
        <v>3.5</v>
      </c>
      <c r="H2" s="10">
        <v>8.99</v>
      </c>
      <c r="I2" s="10">
        <f>H2-G2</f>
      </c>
      <c r="J2" s="10">
        <f>I2*16.67%</f>
      </c>
      <c r="K2" s="10">
        <f>H2/100*7</f>
      </c>
      <c r="L2" s="10">
        <f>K2*20%</f>
      </c>
      <c r="M2" s="10">
        <f>K2*2%</f>
      </c>
      <c r="N2" s="10">
        <f>M2*20%</f>
      </c>
      <c r="O2" s="10">
        <v>0</v>
      </c>
      <c r="P2" s="10">
        <f>O2*20%</f>
      </c>
      <c r="Q2" s="10">
        <v>1</v>
      </c>
      <c r="R2" s="10">
        <f>L2+N2+P2</f>
      </c>
      <c r="S2" s="10">
        <f>I2-J2-K2-L2-M2-N2-O2-P2-Q2</f>
      </c>
      <c r="T2" s="10">
        <f>(S2-AB2)/G2*100</f>
      </c>
      <c r="U2" s="10">
        <f>J2-R2</f>
      </c>
      <c r="V2" s="8" t="s">
        <v>58</v>
      </c>
      <c r="W2" s="8" t="s">
        <v>56</v>
      </c>
      <c r="X2" s="7">
        <v>46232.5</v>
      </c>
      <c r="Y2" s="8" t="s">
        <v>58</v>
      </c>
      <c r="Z2" s="8" t="s">
        <v>59</v>
      </c>
      <c r="AA2" s="8">
        <v>2</v>
      </c>
      <c r="AB2" s="8"/>
      <c r="AC2" s="10">
        <f>S2-AB2</f>
      </c>
      <c r="AD2" s="8" t="s">
        <v>1</v>
      </c>
      <c r="AE2" s="8" t="s">
        <v>1</v>
      </c>
    </row>
    <row r="3" spans="1:31" s="6" customFormat="1" x14ac:dyDescent="0.25">
      <c r="A3" s="2" t="s">
        <v>17</v>
      </c>
      <c r="B3" s="6"/>
      <c r="C3" s="6"/>
      <c r="D3" s="6"/>
      <c r="E3" s="6"/>
      <c r="F3" s="11">
        <f>SUM(F2:F2)</f>
      </c>
      <c r="G3" s="11">
        <f>SUM(G2:G2)</f>
      </c>
      <c r="H3" s="11">
        <f>SUM(H2:H2)</f>
      </c>
      <c r="I3" s="11">
        <f>SUM(I2:I2)</f>
      </c>
      <c r="J3" s="11">
        <f>SUM(J2:J2)</f>
      </c>
      <c r="K3" s="11">
        <f>SUM(K2:K2)</f>
      </c>
      <c r="L3" s="11">
        <f>SUM(L2:L2)</f>
      </c>
      <c r="M3" s="11">
        <f>SUM(M2:M2)</f>
      </c>
      <c r="N3" s="11">
        <f>SUM(N2:N2)</f>
      </c>
      <c r="O3" s="11">
        <f>SUM(O2:O2)</f>
      </c>
      <c r="P3" s="11">
        <f>SUM(P2:P2)</f>
      </c>
      <c r="Q3" s="11">
        <f>SUM(Q2:Q2)</f>
      </c>
      <c r="R3" s="11">
        <f>SUM(R2:R2)</f>
      </c>
      <c r="S3" s="11">
        <f>SUM(S2:S2)</f>
      </c>
      <c r="T3" s="11">
        <f>IFERROR((S3-AB3)/G3*100,0)</f>
      </c>
      <c r="U3" s="11">
        <f>SUM(U2:U2)</f>
      </c>
      <c r="V3" s="6"/>
      <c r="W3" s="6"/>
      <c r="X3" s="6"/>
      <c r="Y3" s="6"/>
      <c r="Z3" s="6"/>
      <c r="AA3" s="6"/>
      <c r="AB3" s="11">
        <f>SUM(AB2:AB2)</f>
      </c>
      <c r="AC3" s="11">
        <f>SUM(AC2:AC2)</f>
      </c>
      <c r="AD3" s="6"/>
      <c r="AE3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60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"/>
  <sheetFormatPr defaultRowHeight="15" outlineLevelRow="0" outlineLevelCol="0" x14ac:dyDescent="55"/>
  <sheetData>
    <row r="1" spans="1:34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61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62</v>
      </c>
      <c r="M1" t="s">
        <v>63</v>
      </c>
      <c r="N1" t="s">
        <v>64</v>
      </c>
      <c r="O1" t="s">
        <v>65</v>
      </c>
      <c r="P1" t="s">
        <v>39</v>
      </c>
      <c r="Q1" t="s">
        <v>40</v>
      </c>
      <c r="R1" t="s">
        <v>66</v>
      </c>
      <c r="S1" t="s">
        <v>67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52</v>
      </c>
      <c r="AF1" t="s">
        <v>10</v>
      </c>
      <c r="AG1" t="s">
        <v>53</v>
      </c>
      <c r="AH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68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"/>
  <sheetFormatPr defaultRowHeight="15" outlineLevelRow="0" outlineLevelCol="0" x14ac:dyDescent="55"/>
  <sheetData>
    <row r="1" spans="1:29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69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10</v>
      </c>
      <c r="AB1" t="s">
        <v>53</v>
      </c>
      <c r="AC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6" customFormat="1" x14ac:dyDescent="0.25">
      <c r="A1" s="6" t="s">
        <v>25</v>
      </c>
      <c r="B1" s="6" t="s">
        <v>3</v>
      </c>
      <c r="C1" s="6" t="s">
        <v>26</v>
      </c>
      <c r="D1" s="6" t="s">
        <v>27</v>
      </c>
      <c r="E1" s="6" t="s">
        <v>70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43</v>
      </c>
      <c r="K1" s="6" t="s">
        <v>44</v>
      </c>
      <c r="L1" s="6" t="s">
        <v>46</v>
      </c>
    </row>
    <row r="2" spans="1:12" x14ac:dyDescent="0.25">
      <c r="A2" s="7">
        <v>46225.5</v>
      </c>
      <c r="B2" s="8" t="s">
        <v>12</v>
      </c>
      <c r="C2" s="8" t="s">
        <v>55</v>
      </c>
      <c r="D2" s="8" t="s">
        <v>56</v>
      </c>
      <c r="E2" s="8" t="s">
        <v>71</v>
      </c>
      <c r="F2" s="8" t="s">
        <v>57</v>
      </c>
      <c r="G2" s="8">
        <v>3</v>
      </c>
      <c r="H2" s="10">
        <v>3.5</v>
      </c>
      <c r="I2" s="10">
        <v>8.99</v>
      </c>
      <c r="J2" s="10">
        <v>2.8</v>
      </c>
      <c r="K2" s="12">
        <v>80.13</v>
      </c>
      <c r="L2" s="8" t="s">
        <v>58</v>
      </c>
    </row>
    <row r="3" spans="1:12" s="6" customFormat="1" x14ac:dyDescent="0.25">
      <c r="A3" s="6" t="s">
        <v>17</v>
      </c>
      <c r="B3" s="6" t="s">
        <v>1</v>
      </c>
      <c r="C3" s="6" t="s">
        <v>1</v>
      </c>
      <c r="D3" s="6" t="s">
        <v>1</v>
      </c>
      <c r="E3" s="6" t="s">
        <v>1</v>
      </c>
      <c r="F3" s="6" t="s">
        <v>1</v>
      </c>
      <c r="G3" s="6">
        <f>SUM(G2:G2)</f>
      </c>
      <c r="H3" s="11">
        <f>SUM(H2:H2)</f>
      </c>
      <c r="I3" s="11">
        <f>SUM(I2:I2)</f>
      </c>
      <c r="J3" s="11">
        <f>SUM(J2:J2)</f>
      </c>
      <c r="K3" s="6" t="s">
        <v>1</v>
      </c>
      <c r="L3" s="6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72</v>
      </c>
      <c r="B1" t="s">
        <v>73</v>
      </c>
    </row>
    <row r="2" spans="1:2" x14ac:dyDescent="0.25">
      <c r="A2" s="6" t="s">
        <v>74</v>
      </c>
      <c r="B2">
        <v>1</v>
      </c>
    </row>
    <row r="3" spans="1:2" x14ac:dyDescent="0.25">
      <c r="A3" s="6" t="s">
        <v>5</v>
      </c>
      <c r="B3">
        <v>1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0</v>
      </c>
    </row>
    <row r="6" spans="1:2" x14ac:dyDescent="0.25">
      <c r="A6" s="6" t="s">
        <v>75</v>
      </c>
      <c r="B6" s="3">
        <v>0</v>
      </c>
    </row>
    <row r="7" spans="1:2" x14ac:dyDescent="0.25">
      <c r="A7" s="6" t="s">
        <v>76</v>
      </c>
      <c r="B7" s="3">
        <v>0</v>
      </c>
    </row>
    <row r="9" spans="1:2" x14ac:dyDescent="0.25">
      <c r="A9" s="6" t="s">
        <v>77</v>
      </c>
      <c r="B9" s="6" t="s">
        <v>78</v>
      </c>
    </row>
    <row r="10" spans="1:2" x14ac:dyDescent="0.25">
      <c r="A10" s="6" t="s">
        <v>12</v>
      </c>
      <c r="B10" t="s">
        <v>79</v>
      </c>
    </row>
    <row r="12" spans="1:2" x14ac:dyDescent="0.25">
      <c r="A12" s="6" t="s">
        <v>80</v>
      </c>
      <c r="B12" t="s">
        <v>1</v>
      </c>
    </row>
    <row r="13" spans="1:2" x14ac:dyDescent="0.25">
      <c r="A13" t="s">
        <v>81</v>
      </c>
      <c r="B13" t="s">
        <v>82</v>
      </c>
    </row>
    <row r="14" spans="1:2" x14ac:dyDescent="0.25">
      <c r="A14" t="s">
        <v>83</v>
      </c>
      <c r="B14" t="s">
        <v>84</v>
      </c>
    </row>
    <row r="15" spans="1:2" x14ac:dyDescent="0.25">
      <c r="A15" t="s">
        <v>85</v>
      </c>
      <c r="B15" t="s">
        <v>86</v>
      </c>
    </row>
    <row r="17" spans="1:2" x14ac:dyDescent="0.25">
      <c r="A17" s="6" t="s">
        <v>87</v>
      </c>
      <c r="B17" t="s">
        <v>1</v>
      </c>
    </row>
    <row r="18" spans="1:2" x14ac:dyDescent="0.25">
      <c r="A18" t="s">
        <v>88</v>
      </c>
      <c r="B18" t="s">
        <v>89</v>
      </c>
    </row>
    <row r="19" spans="1:2" x14ac:dyDescent="0.25">
      <c r="A19" t="s">
        <v>90</v>
      </c>
      <c r="B19" s="13">
        <v>1</v>
      </c>
    </row>
    <row r="20" spans="1:2" x14ac:dyDescent="0.25">
      <c r="A20" t="s">
        <v>91</v>
      </c>
      <c r="B20" t="s">
        <v>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48</v>
      </c>
      <c r="B1" t="s">
        <v>93</v>
      </c>
      <c r="C1" t="s">
        <v>47</v>
      </c>
      <c r="D1" t="s">
        <v>53</v>
      </c>
      <c r="E1" t="s">
        <v>54</v>
      </c>
      <c r="F1" t="s">
        <v>29</v>
      </c>
      <c r="G1" t="s">
        <v>94</v>
      </c>
      <c r="H1" t="s">
        <v>95</v>
      </c>
      <c r="I1" t="s">
        <v>3</v>
      </c>
      <c r="J1" t="s">
        <v>96</v>
      </c>
      <c r="K1" t="s">
        <v>49</v>
      </c>
      <c r="L1" t="s">
        <v>97</v>
      </c>
      <c r="M1" t="s">
        <v>46</v>
      </c>
      <c r="N1" t="s">
        <v>98</v>
      </c>
      <c r="O1" t="s">
        <v>51</v>
      </c>
      <c r="P1" t="s">
        <v>9</v>
      </c>
    </row>
    <row r="2" spans="1:16" x14ac:dyDescent="0.25">
      <c r="A2" s="7">
        <v>46232.5</v>
      </c>
      <c r="B2" s="9" t="s">
        <v>1</v>
      </c>
      <c r="C2" s="8" t="s">
        <v>71</v>
      </c>
      <c r="D2" s="8" t="s">
        <v>1</v>
      </c>
      <c r="E2" s="8" t="s">
        <v>1</v>
      </c>
      <c r="F2" s="8" t="s">
        <v>57</v>
      </c>
      <c r="G2" s="7">
        <v>46225.5</v>
      </c>
      <c r="H2" s="10">
        <v>8.99</v>
      </c>
      <c r="I2" s="8" t="s">
        <v>12</v>
      </c>
      <c r="J2" s="8" t="s">
        <v>99</v>
      </c>
      <c r="K2" s="8" t="s">
        <v>58</v>
      </c>
      <c r="L2" s="8" t="s">
        <v>59</v>
      </c>
      <c r="M2" s="8" t="s">
        <v>58</v>
      </c>
      <c r="N2" s="10"/>
      <c r="O2" s="8">
        <v>2</v>
      </c>
      <c r="P2" s="10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93</v>
      </c>
      <c r="B1" t="s">
        <v>47</v>
      </c>
      <c r="C1" t="s">
        <v>100</v>
      </c>
      <c r="D1" t="s">
        <v>101</v>
      </c>
      <c r="E1" t="s">
        <v>102</v>
      </c>
      <c r="F1" t="s">
        <v>103</v>
      </c>
      <c r="G1" t="s">
        <v>46</v>
      </c>
    </row>
    <row r="2" spans="1:1" x14ac:dyDescent="0.25">
      <c r="A2" s="14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2026-08-02T15:41:14Z</dcterms:created>
  <dcterms:modified xsi:type="dcterms:W3CDTF">2026-08-02T15:41:14Z</dcterms:modified>
</cp:coreProperties>
</file>