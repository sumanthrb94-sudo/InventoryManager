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MAZON" state="visible" r:id="rId5"/>
    <sheet sheetId="3" name="BM" state="visible" r:id="rId6"/>
    <sheet sheetId="4" name="EBAY" state="visible" r:id="rId7"/>
    <sheet sheetId="5" name="ONBUY" state="visible" r:id="rId8"/>
    <sheet sheetId="6" name="TEMU" state="visible" r:id="rId9"/>
    <sheet sheetId="7" name="Returns Summary" state="visible" r:id="rId10"/>
    <sheet sheetId="8" name="Returns Detail" state="visible" r:id="rId11"/>
    <sheet sheetId="9" name="Unit Histories" state="visible" r:id="rId12"/>
  </sheets>
  <calcPr calcId="171027"/>
</workbook>
</file>

<file path=xl/sharedStrings.xml><?xml version="1.0" encoding="utf-8"?>
<sst xmlns="http://schemas.openxmlformats.org/spreadsheetml/2006/main" count="233" uniqueCount="102">
  <si>
    <t>Sales Report — Audit Summary</t>
  </si>
  <si>
    <t/>
  </si>
  <si>
    <t>Period: All Time</t>
  </si>
  <si>
    <t>Marketplace</t>
  </si>
  <si>
    <t>Sales</t>
  </si>
  <si>
    <t>Refunds</t>
  </si>
  <si>
    <t>Replacements</t>
  </si>
  <si>
    <t>Repairs</t>
  </si>
  <si>
    <t>Gross GP £</t>
  </si>
  <si>
    <t>Postage Loss £</t>
  </si>
  <si>
    <t>Net GP £</t>
  </si>
  <si>
    <t>Net GP %</t>
  </si>
  <si>
    <t>AMAZON</t>
  </si>
  <si>
    <t>BM</t>
  </si>
  <si>
    <t>EBAY</t>
  </si>
  <si>
    <t>ONBUY</t>
  </si>
  <si>
    <t>TEMU</t>
  </si>
  <si>
    <t>TOTAL</t>
  </si>
  <si>
    <t>Notes</t>
  </si>
  <si>
    <t>• Refunds + Repairs + Return-to-Supplier each eat 2 shipping legs (outbound + inbound). Replacements eat 3 (plus the replacement outbound).</t>
  </si>
  <si>
    <t>• Repair: the unit comes back to stock, but both carriage legs were still paid — so it carries the same 2-leg loss as a refund.</t>
  </si>
  <si>
    <t>• Postage Loss = (postage + P.VAT) × legs, snapshotted at Process Return time.</t>
  </si>
  <si>
    <t>• Net GP = Gross GP − Postage Loss. Net GP % = Net GP ÷ BP (× 100). eBay rows divide by SP per platform convention.</t>
  </si>
  <si>
    <t>• Sales / Gross GP / BP above count ACTIVE sales only — matching the app's ALL-TIME SOLD figure. Refunds, Replacements and Repairs are tracked separately in the columns to the left; add them to Sales for this sheet's row count on each marketplace tab.</t>
  </si>
  <si>
    <t>• Per-marketplace sheets carry a TOTAL row at the bottom summing every row shown there (active + returned) via SUM formulas — the Returns tab breaks the returned rows out on their own.</t>
  </si>
  <si>
    <t>Date</t>
  </si>
  <si>
    <t>Order Number</t>
  </si>
  <si>
    <t>SKU</t>
  </si>
  <si>
    <t>IMEI</t>
  </si>
  <si>
    <t>Supplier</t>
  </si>
  <si>
    <t>Quantity</t>
  </si>
  <si>
    <t>BP</t>
  </si>
  <si>
    <t>SP</t>
  </si>
  <si>
    <t>SP-BP</t>
  </si>
  <si>
    <t>Marginal Tax</t>
  </si>
  <si>
    <t>Commission</t>
  </si>
  <si>
    <t>C. VAT</t>
  </si>
  <si>
    <t>DSF</t>
  </si>
  <si>
    <t>DSF. VAT</t>
  </si>
  <si>
    <t>Postage</t>
  </si>
  <si>
    <t>P. VAT</t>
  </si>
  <si>
    <t>Accessories</t>
  </si>
  <si>
    <t>Total VAT</t>
  </si>
  <si>
    <t>GP</t>
  </si>
  <si>
    <t>GP %</t>
  </si>
  <si>
    <t>Total VAT NTP</t>
  </si>
  <si>
    <t>Comments</t>
  </si>
  <si>
    <t>Return Date</t>
  </si>
  <si>
    <t>Outcome</t>
  </si>
  <si>
    <t>Return Reason</t>
  </si>
  <si>
    <t>Shipping Legs</t>
  </si>
  <si>
    <t>Postage Loss</t>
  </si>
  <si>
    <t>ACC-RET-9001</t>
  </si>
  <si>
    <t>USB-C-20W</t>
  </si>
  <si>
    <t>MOBILE WHOLESALE LTD</t>
  </si>
  <si>
    <t>Refund</t>
  </si>
  <si>
    <t>wrong item ordered</t>
  </si>
  <si>
    <t>Customer Care Fees</t>
  </si>
  <si>
    <t>Units</t>
  </si>
  <si>
    <t>ROF</t>
  </si>
  <si>
    <t>FVF</t>
  </si>
  <si>
    <t>VAT</t>
  </si>
  <si>
    <t>T.COM</t>
  </si>
  <si>
    <t>Marketing</t>
  </si>
  <si>
    <t>M. VAT</t>
  </si>
  <si>
    <t>VAT 20%</t>
  </si>
  <si>
    <t>Commission VAT</t>
  </si>
  <si>
    <t>Period</t>
  </si>
  <si>
    <t>All Time</t>
  </si>
  <si>
    <t>Total Returns</t>
  </si>
  <si>
    <t>Total Postage Loss £</t>
  </si>
  <si>
    <t>Avg Loss per Return £</t>
  </si>
  <si>
    <t>By Marketplace</t>
  </si>
  <si>
    <t>Returns · Loss £</t>
  </si>
  <si>
    <t>1 · £6.00</t>
  </si>
  <si>
    <t>Carriage cost policy</t>
  </si>
  <si>
    <t>Refund / Repair / To-Supplier</t>
  </si>
  <si>
    <t>2 legs (outbound + inbound)</t>
  </si>
  <si>
    <t>Replacement</t>
  </si>
  <si>
    <t>3 legs (+ replacement outbound)</t>
  </si>
  <si>
    <t>Leg cost</t>
  </si>
  <si>
    <t>postage + P.VAT, snapshotted at return time</t>
  </si>
  <si>
    <t>Pre-tracking cutoff</t>
  </si>
  <si>
    <t>Carriage costed from</t>
  </si>
  <si>
    <t>2026-07-28</t>
  </si>
  <si>
    <t>Uncosted (pre-tracking) returns</t>
  </si>
  <si>
    <t>Unit IMEI</t>
  </si>
  <si>
    <t>Model</t>
  </si>
  <si>
    <t>Storage</t>
  </si>
  <si>
    <t>Colour</t>
  </si>
  <si>
    <t>Original Sale Date</t>
  </si>
  <si>
    <t>Original Sale Price</t>
  </si>
  <si>
    <t>Return Type</t>
  </si>
  <si>
    <t>Reason</t>
  </si>
  <si>
    <t>Leg Cost £</t>
  </si>
  <si>
    <t>USB-C 20W Charger</t>
  </si>
  <si>
    <t>Accessory</t>
  </si>
  <si>
    <t>Event Date</t>
  </si>
  <si>
    <t>Event</t>
  </si>
  <si>
    <t>Detail</t>
  </si>
  <si>
    <t>Amount £</t>
  </si>
  <si>
    <t>Returns are recorded on the Sales side, but no unit has a Return Type on file yet — process the return, or re-upload a Sales Report with its Returns Detail filled in, to populate a history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</si>
</sst>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"/>
  </numFmts>
  <fonts count="4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i/>
      <color rgb="FF64748B"/>
    </font>
  </fonts>
  <fills count="5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E2E8F0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/>
    <xf numFmtId="2" fontId="0" fillId="0" borderId="0" xfId="0" applyNumberFormat="1"/>
    <xf numFmtId="0" fontId="2" fillId="3" borderId="0" xfId="0" applyFont="1" applyFill="1"/>
    <xf numFmtId="2" fontId="2" fillId="3" borderId="0" xfId="0" applyNumberFormat="1" applyFont="1" applyFill="1"/>
    <xf numFmtId="0" fontId="2" fillId="0" borderId="0" xfId="0" applyFont="1"/>
    <xf numFmtId="164" fontId="0" fillId="4" borderId="0" xfId="0" applyNumberFormat="1" applyFill="1"/>
    <xf numFmtId="0" fontId="0" fillId="4" borderId="0" xfId="0" applyFill="1"/>
    <xf numFmtId="1" fontId="0" fillId="4" borderId="0" xfId="0" applyNumberFormat="1" applyFill="1"/>
    <xf numFmtId="2" fontId="0" fillId="4" borderId="0" xfId="0" applyNumberFormat="1" applyFill="1"/>
    <xf numFmtId="2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FormatPr defaultRowHeight="15" outlineLevelRow="0" outlineLevelCol="0" x14ac:dyDescent="55"/>
  <cols>
    <col min="1" max="1" width="18" customWidth="1"/>
    <col min="2" max="2" width="10" customWidth="1"/>
    <col min="3" max="3" width="11" customWidth="1"/>
    <col min="4" max="4" width="14" customWidth="1"/>
    <col min="5" max="5" width="13" customWidth="1"/>
    <col min="6" max="6" width="14" customWidth="1"/>
    <col min="7" max="7" width="13" customWidth="1"/>
    <col min="8" max="8" width="11" customWidth="1"/>
  </cols>
  <sheetData>
    <row r="1" spans="1:8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1" x14ac:dyDescent="0.25">
      <c r="A2" t="s">
        <v>2</v>
      </c>
    </row>
    <row r="4" spans="1:9" s="2" customForma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</row>
    <row r="5" spans="1:9" x14ac:dyDescent="0.25">
      <c r="A5" t="s">
        <v>12</v>
      </c>
      <c r="B5">
        <v>0</v>
      </c>
      <c r="C5">
        <v>1</v>
      </c>
      <c r="D5">
        <v>0</v>
      </c>
      <c r="E5">
        <v>0</v>
      </c>
      <c r="F5" s="3">
        <v>0</v>
      </c>
      <c r="G5" s="3">
        <v>6</v>
      </c>
      <c r="H5" s="3">
        <v>-6</v>
      </c>
      <c r="I5" s="3">
        <v>0</v>
      </c>
    </row>
    <row r="6" spans="1:9" x14ac:dyDescent="0.25">
      <c r="A6" t="s">
        <v>13</v>
      </c>
      <c r="B6">
        <v>0</v>
      </c>
      <c r="C6">
        <v>0</v>
      </c>
      <c r="D6">
        <v>0</v>
      </c>
      <c r="E6">
        <v>0</v>
      </c>
      <c r="F6" s="3">
        <v>0</v>
      </c>
      <c r="G6" s="3">
        <v>0</v>
      </c>
      <c r="H6" s="3">
        <v>0</v>
      </c>
      <c r="I6" s="3">
        <v>0</v>
      </c>
    </row>
    <row r="7" spans="1:9" x14ac:dyDescent="0.25">
      <c r="A7" t="s">
        <v>14</v>
      </c>
      <c r="B7">
        <v>0</v>
      </c>
      <c r="C7">
        <v>0</v>
      </c>
      <c r="D7">
        <v>0</v>
      </c>
      <c r="E7">
        <v>0</v>
      </c>
      <c r="F7" s="3">
        <v>0</v>
      </c>
      <c r="G7" s="3">
        <v>0</v>
      </c>
      <c r="H7" s="3">
        <v>0</v>
      </c>
      <c r="I7" s="3">
        <v>0</v>
      </c>
    </row>
    <row r="8" spans="1:9" x14ac:dyDescent="0.25">
      <c r="A8" t="s">
        <v>15</v>
      </c>
      <c r="B8">
        <v>0</v>
      </c>
      <c r="C8">
        <v>0</v>
      </c>
      <c r="D8">
        <v>0</v>
      </c>
      <c r="E8">
        <v>0</v>
      </c>
      <c r="F8" s="3">
        <v>0</v>
      </c>
      <c r="G8" s="3">
        <v>0</v>
      </c>
      <c r="H8" s="3">
        <v>0</v>
      </c>
      <c r="I8" s="3">
        <v>0</v>
      </c>
    </row>
    <row r="9" spans="1:9" x14ac:dyDescent="0.25">
      <c r="A9" t="s">
        <v>16</v>
      </c>
      <c r="B9">
        <v>0</v>
      </c>
      <c r="C9">
        <v>0</v>
      </c>
      <c r="D9">
        <v>0</v>
      </c>
      <c r="E9">
        <v>0</v>
      </c>
      <c r="F9" s="3">
        <v>0</v>
      </c>
      <c r="G9" s="3">
        <v>0</v>
      </c>
      <c r="H9" s="3">
        <v>0</v>
      </c>
      <c r="I9" s="3">
        <v>0</v>
      </c>
    </row>
    <row r="10" spans="1:9" s="4" customFormat="1" x14ac:dyDescent="0.25">
      <c r="A10" s="4" t="s">
        <v>17</v>
      </c>
      <c r="B10" s="4">
        <v>0</v>
      </c>
      <c r="C10" s="4">
        <v>1</v>
      </c>
      <c r="D10" s="4">
        <v>0</v>
      </c>
      <c r="E10" s="4">
        <v>0</v>
      </c>
      <c r="F10" s="5">
        <v>0</v>
      </c>
      <c r="G10" s="5">
        <v>6</v>
      </c>
      <c r="H10" s="5">
        <v>-6</v>
      </c>
      <c r="I10" s="5">
        <v>0</v>
      </c>
    </row>
    <row r="12" spans="1:1" s="6" customFormat="1" x14ac:dyDescent="0.25">
      <c r="A12" s="6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FormatPr defaultRowHeight="15" outlineLevelRow="0" outlineLevelCol="0" x14ac:dyDescent="55"/>
  <sheetData>
    <row r="1" spans="1:28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10</v>
      </c>
    </row>
    <row r="2" spans="1:28" x14ac:dyDescent="0.25">
      <c r="A2" s="7">
        <v>46225.5</v>
      </c>
      <c r="B2" s="8" t="s">
        <v>52</v>
      </c>
      <c r="C2" s="8" t="s">
        <v>53</v>
      </c>
      <c r="D2" s="9" t="s">
        <v>1</v>
      </c>
      <c r="E2" s="8" t="s">
        <v>54</v>
      </c>
      <c r="F2" s="8">
        <v>3</v>
      </c>
      <c r="G2" s="10">
        <v>3.5</v>
      </c>
      <c r="H2" s="10">
        <v>8.99</v>
      </c>
      <c r="I2" s="10">
        <f>H2-G2</f>
      </c>
      <c r="J2" s="10">
        <f>I2*16.67%</f>
      </c>
      <c r="K2" s="10">
        <f>H2/100*7</f>
      </c>
      <c r="L2" s="10">
        <f>K2*20%</f>
      </c>
      <c r="M2" s="10">
        <f>K2*2%</f>
      </c>
      <c r="N2" s="10">
        <f>M2*20%</f>
      </c>
      <c r="O2" s="10">
        <v>2.5</v>
      </c>
      <c r="P2" s="10">
        <f>O2*20%</f>
      </c>
      <c r="Q2" s="10">
        <v>1</v>
      </c>
      <c r="R2" s="10">
        <f>L2+N2+P2</f>
      </c>
      <c r="S2" s="10">
        <f>I2-J2-K2-L2-M2-N2-O2-P2-Q2</f>
      </c>
      <c r="T2" s="10">
        <f>(S2-AA2)/G2*100</f>
      </c>
      <c r="U2" s="10">
        <f>J2-R2</f>
      </c>
      <c r="V2" s="8" t="s">
        <v>1</v>
      </c>
      <c r="W2" s="7">
        <v>46231.5</v>
      </c>
      <c r="X2" s="8" t="s">
        <v>55</v>
      </c>
      <c r="Y2" s="8" t="s">
        <v>56</v>
      </c>
      <c r="Z2" s="8">
        <v>2</v>
      </c>
      <c r="AA2" s="10">
        <v>6</v>
      </c>
      <c r="AB2" s="10">
        <f>S2-AA2</f>
      </c>
    </row>
    <row r="3" spans="1:28" s="6" customFormat="1" x14ac:dyDescent="0.25">
      <c r="A3" s="2" t="s">
        <v>17</v>
      </c>
      <c r="B3" s="6"/>
      <c r="C3" s="6"/>
      <c r="D3" s="6"/>
      <c r="E3" s="6"/>
      <c r="F3" s="11">
        <f>SUM(F2:F2)</f>
      </c>
      <c r="G3" s="11">
        <f>SUM(G2:G2)</f>
      </c>
      <c r="H3" s="11">
        <f>SUM(H2:H2)</f>
      </c>
      <c r="I3" s="11">
        <f>SUM(I2:I2)</f>
      </c>
      <c r="J3" s="11">
        <f>SUM(J2:J2)</f>
      </c>
      <c r="K3" s="11">
        <f>SUM(K2:K2)</f>
      </c>
      <c r="L3" s="11">
        <f>SUM(L2:L2)</f>
      </c>
      <c r="M3" s="11">
        <f>SUM(M2:M2)</f>
      </c>
      <c r="N3" s="11">
        <f>SUM(N2:N2)</f>
      </c>
      <c r="O3" s="11">
        <f>SUM(O2:O2)</f>
      </c>
      <c r="P3" s="11">
        <f>SUM(P2:P2)</f>
      </c>
      <c r="Q3" s="11">
        <f>SUM(Q2:Q2)</f>
      </c>
      <c r="R3" s="11">
        <f>SUM(R2:R2)</f>
      </c>
      <c r="S3" s="11">
        <f>SUM(S2:S2)</f>
      </c>
      <c r="T3" s="11">
        <f>IFERROR((S3-AA3)/G3*100,0)</f>
      </c>
      <c r="U3" s="11">
        <f>SUM(U2:U2)</f>
      </c>
      <c r="V3" s="6"/>
      <c r="W3" s="6"/>
      <c r="X3" s="6"/>
      <c r="Y3" s="6"/>
      <c r="Z3" s="6"/>
      <c r="AA3" s="11">
        <f>SUM(AA2:AA2)</f>
      </c>
      <c r="AB3" s="11">
        <f>SUM(AB2:AB2)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FormatPr defaultRowHeight="15" outlineLevelRow="0" outlineLevelCol="0" x14ac:dyDescent="55"/>
  <sheetData>
    <row r="1" spans="1:25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57</v>
      </c>
      <c r="M1" t="s">
        <v>39</v>
      </c>
      <c r="N1" t="s">
        <v>40</v>
      </c>
      <c r="O1" t="s">
        <v>41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FormatPr defaultRowHeight="15" outlineLevelRow="0" outlineLevelCol="0" x14ac:dyDescent="55"/>
  <sheetData>
    <row r="1" spans="1:31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58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59</v>
      </c>
      <c r="M1" t="s">
        <v>60</v>
      </c>
      <c r="N1" t="s">
        <v>61</v>
      </c>
      <c r="O1" t="s">
        <v>62</v>
      </c>
      <c r="P1" t="s">
        <v>39</v>
      </c>
      <c r="Q1" t="s">
        <v>40</v>
      </c>
      <c r="R1" t="s">
        <v>63</v>
      </c>
      <c r="S1" t="s">
        <v>64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FormatPr defaultRowHeight="15" outlineLevelRow="0" outlineLevelCol="0" x14ac:dyDescent="55"/>
  <sheetData>
    <row r="1" spans="1:25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65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FormatPr defaultRowHeight="15" outlineLevelRow="0" outlineLevelCol="0" x14ac:dyDescent="55"/>
  <sheetData>
    <row r="1" spans="1:26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66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8" customWidth="1"/>
    <col min="2" max="2" width="24" customWidth="1"/>
  </cols>
  <sheetData>
    <row r="1" spans="1:2" x14ac:dyDescent="0.25">
      <c r="A1" s="6" t="s">
        <v>67</v>
      </c>
      <c r="B1" t="s">
        <v>68</v>
      </c>
    </row>
    <row r="2" spans="1:2" x14ac:dyDescent="0.25">
      <c r="A2" s="6" t="s">
        <v>69</v>
      </c>
      <c r="B2">
        <v>1</v>
      </c>
    </row>
    <row r="3" spans="1:2" x14ac:dyDescent="0.25">
      <c r="A3" s="6" t="s">
        <v>5</v>
      </c>
      <c r="B3">
        <v>1</v>
      </c>
    </row>
    <row r="4" spans="1:2" x14ac:dyDescent="0.25">
      <c r="A4" s="6" t="s">
        <v>6</v>
      </c>
      <c r="B4">
        <v>0</v>
      </c>
    </row>
    <row r="5" spans="1:2" x14ac:dyDescent="0.25">
      <c r="A5" s="6" t="s">
        <v>7</v>
      </c>
      <c r="B5">
        <v>0</v>
      </c>
    </row>
    <row r="6" spans="1:2" x14ac:dyDescent="0.25">
      <c r="A6" s="6" t="s">
        <v>70</v>
      </c>
      <c r="B6" s="3">
        <v>6</v>
      </c>
    </row>
    <row r="7" spans="1:2" x14ac:dyDescent="0.25">
      <c r="A7" s="6" t="s">
        <v>71</v>
      </c>
      <c r="B7" s="3">
        <v>6</v>
      </c>
    </row>
    <row r="9" spans="1:2" x14ac:dyDescent="0.25">
      <c r="A9" s="6" t="s">
        <v>72</v>
      </c>
      <c r="B9" s="6" t="s">
        <v>73</v>
      </c>
    </row>
    <row r="10" spans="1:2" x14ac:dyDescent="0.25">
      <c r="A10" s="6" t="s">
        <v>12</v>
      </c>
      <c r="B10" t="s">
        <v>74</v>
      </c>
    </row>
    <row r="12" spans="1:2" x14ac:dyDescent="0.25">
      <c r="A12" s="6" t="s">
        <v>75</v>
      </c>
      <c r="B12" t="s">
        <v>1</v>
      </c>
    </row>
    <row r="13" spans="1:2" x14ac:dyDescent="0.25">
      <c r="A13" t="s">
        <v>76</v>
      </c>
      <c r="B13" t="s">
        <v>77</v>
      </c>
    </row>
    <row r="14" spans="1:2" x14ac:dyDescent="0.25">
      <c r="A14" t="s">
        <v>78</v>
      </c>
      <c r="B14" t="s">
        <v>79</v>
      </c>
    </row>
    <row r="15" spans="1:2" x14ac:dyDescent="0.25">
      <c r="A15" t="s">
        <v>80</v>
      </c>
      <c r="B15" t="s">
        <v>81</v>
      </c>
    </row>
    <row r="17" spans="1:2" x14ac:dyDescent="0.25">
      <c r="A17" s="6" t="s">
        <v>82</v>
      </c>
      <c r="B17" t="s">
        <v>1</v>
      </c>
    </row>
    <row r="18" spans="1:2" x14ac:dyDescent="0.25">
      <c r="A18" t="s">
        <v>83</v>
      </c>
      <c r="B18" t="s">
        <v>84</v>
      </c>
    </row>
    <row r="19" spans="1:2" x14ac:dyDescent="0.25">
      <c r="A19" t="s">
        <v>85</v>
      </c>
      <c r="B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sheetData>
    <row r="1" spans="1:16" x14ac:dyDescent="0.25">
      <c r="A1" t="s">
        <v>47</v>
      </c>
      <c r="B1" t="s">
        <v>86</v>
      </c>
      <c r="C1" t="s">
        <v>87</v>
      </c>
      <c r="D1" t="s">
        <v>88</v>
      </c>
      <c r="E1" t="s">
        <v>89</v>
      </c>
      <c r="F1" t="s">
        <v>29</v>
      </c>
      <c r="G1" t="s">
        <v>90</v>
      </c>
      <c r="H1" t="s">
        <v>91</v>
      </c>
      <c r="I1" t="s">
        <v>3</v>
      </c>
      <c r="J1" t="s">
        <v>92</v>
      </c>
      <c r="K1" t="s">
        <v>48</v>
      </c>
      <c r="L1" t="s">
        <v>93</v>
      </c>
      <c r="M1" t="s">
        <v>46</v>
      </c>
      <c r="N1" t="s">
        <v>94</v>
      </c>
      <c r="O1" t="s">
        <v>50</v>
      </c>
      <c r="P1" t="s">
        <v>9</v>
      </c>
    </row>
    <row r="2" spans="1:16" x14ac:dyDescent="0.25">
      <c r="A2" s="7">
        <v>46231.5</v>
      </c>
      <c r="B2" s="9" t="s">
        <v>1</v>
      </c>
      <c r="C2" s="8" t="s">
        <v>95</v>
      </c>
      <c r="D2" s="8" t="s">
        <v>1</v>
      </c>
      <c r="E2" s="8" t="s">
        <v>1</v>
      </c>
      <c r="F2" s="8" t="s">
        <v>54</v>
      </c>
      <c r="G2" s="7">
        <v>46225.5</v>
      </c>
      <c r="H2" s="10">
        <v>8.99</v>
      </c>
      <c r="I2" s="8" t="s">
        <v>12</v>
      </c>
      <c r="J2" s="8" t="s">
        <v>96</v>
      </c>
      <c r="K2" s="8" t="s">
        <v>55</v>
      </c>
      <c r="L2" s="8" t="s">
        <v>56</v>
      </c>
      <c r="M2" s="8" t="s">
        <v>1</v>
      </c>
      <c r="N2" s="10">
        <v>3</v>
      </c>
      <c r="O2" s="8">
        <v>2</v>
      </c>
      <c r="P2" s="10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86</v>
      </c>
      <c r="B1" t="s">
        <v>87</v>
      </c>
      <c r="C1" t="s">
        <v>97</v>
      </c>
      <c r="D1" t="s">
        <v>98</v>
      </c>
      <c r="E1" t="s">
        <v>99</v>
      </c>
      <c r="F1" t="s">
        <v>100</v>
      </c>
      <c r="G1" t="s">
        <v>46</v>
      </c>
    </row>
    <row r="2" spans="1:1" x14ac:dyDescent="0.25">
      <c r="A2" s="12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AMAZON</vt:lpstr>
      <vt:lpstr>BM</vt:lpstr>
      <vt:lpstr>EBAY</vt:lpstr>
      <vt:lpstr>ONBUY</vt:lpstr>
      <vt:lpstr>TEMU</vt:lpstr>
      <vt:lpstr>Returns Summary</vt:lpstr>
      <vt:lpstr>Returns Detail</vt:lpstr>
      <vt:lpstr>Unit Histories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2026-07-28T18:25:53Z</dcterms:created>
  <dcterms:modified xsi:type="dcterms:W3CDTF">2026-07-28T18:25:53Z</dcterms:modified>
</cp:coreProperties>
</file>