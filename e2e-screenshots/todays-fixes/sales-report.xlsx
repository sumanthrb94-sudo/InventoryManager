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<sst xmlns="http://schemas.openxmlformats.org/spreadsheetml/2006/main" count="363" uniqueCount="139">
  <si>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</si>
  <si>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</si>
  <si>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</si>
  <si>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</si>
  <si>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</si>
  <si>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</si>
  <si>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</si>
  <si>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</si>
  <si>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</si>
  <si>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</si>
  <si>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</si>
  <si>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</si>
  <si>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</si>
  <si>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</si>
  <si>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</si>
  <si>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</si>
  <si>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</si>
  <si>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</si>
  <si>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</si>
  <si>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</si>
  <si>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</si>
  <si>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</si>
  <si>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</si>
  <si>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</si>
  <si>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</si>
  <si>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</si>
  <si>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</si>
  <si>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</si>
  <si>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</si>
  <si>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</si>
  <si>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</si>
  <si>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</si>
  <si>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</si>
  <si>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</si>
  <si>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</si>
  <si>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</si>
  <si>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</si>
  <si>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</si>
  <si>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</si>
  <si>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</si>
  <si>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</si>
  <si>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</si>
  <si>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</si>
  <si>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</si>
  <si>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</si>
  <si>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</si>
  <si>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</si>
  <si>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</si>
  <si>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</si>
  <si>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</si>
  <si>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</si>
  <si>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</si>
  <si>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</si>
  <si>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</si>
  <si>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</si>
  <si>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</si>
  <si>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FIX-RESOLD-1</t>
  </si>
  <si>
    <t>350770000000301</t>
  </si>
  <si>
    <t>FIXVERIFY 15</t>
  </si>
  <si>
    <t>BLACK</t>
  </si>
  <si>
    <t>256GB</t>
  </si>
  <si>
    <t>FIXVERIFY WHOLESALE</t>
  </si>
  <si>
    <t>In Repair</t>
  </si>
  <si>
    <t>In Repair — Faulty again</t>
  </si>
  <si>
    <t>FIX-SOLDOUT</t>
  </si>
  <si>
    <t>350770000000101</t>
  </si>
  <si>
    <t>FIXVERIFY 12</t>
  </si>
  <si>
    <t>128GB</t>
  </si>
  <si>
    <t>FIX-TODAY-1</t>
  </si>
  <si>
    <t>In Repair — Cracked screen</t>
  </si>
  <si>
    <t>FIX-TODAY-2</t>
  </si>
  <si>
    <t>350770000000302</t>
  </si>
  <si>
    <t>FIX-OLD-1</t>
  </si>
  <si>
    <t>350770000000303</t>
  </si>
  <si>
    <t>FIX-OLD-2</t>
  </si>
  <si>
    <t>350770000000304</t>
  </si>
  <si>
    <t>FIX-OLD-3</t>
  </si>
  <si>
    <t>350770000000305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</si>
  <si>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</si>
  <si>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</si>
  <si>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</si>
  <si>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</si>
  <si>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</si>
  <si>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</si>
  <si>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</si>
  <si>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</si>
  <si>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</si>
  <si>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</si>
  <si>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</si>
  <si>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</si>
  <si>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</si>
  <si>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</si>
  <si>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</si>
  <si>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</si>
  <si>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</si>
  <si>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</si>
  <si>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</si>
  <si>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</si>
  <si>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2 return costs have not been entered yet (a repair invoice, or a supplier credit that has not landed). Return Cost is therefore a floor and Net GP an optimistic ceiling.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</si>
  <si>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</si>
  <si>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</si>
  <si>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</si>
  <si>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</si>
  <si>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</si>
  <si>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</si>
  <si>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</si>
  <si>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</si>
  <si>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</si>
  <si>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</si>
  <si>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</si>
  <si>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</si>
  <si>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</si>
  <si>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</si>
  <si>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</si>
  <si>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</si>
  <si>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</si>
  <si>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</si>
  <si>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2026-08-07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</si>
  <si>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</si>
  <si>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</si>
  <si>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</si>
  <si>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</si>
  <si>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</si>
  <si>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</si>
  <si>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</si>
  <si>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Back to Inventory</t>
  </si>
  <si>
    <t>Faulty again</t>
  </si>
  <si>
    <t>Customer: Customer reports a fault. · Tech QC: QC: fault confirmed.</t>
  </si>
  <si>
    <t>Event Date</t>
  </si>
  <si>
    <t>Event</t>
  </si>
  <si>
    <t>Detail</t>
  </si>
  <si>
    <t>Amount £</t>
  </si>
  <si>
    <t>STOCK IN</t>
  </si>
  <si>
    <t>SOLD</t>
  </si>
  <si>
    <t>AMAZON · FIX-TODAY-1</t>
  </si>
  <si>
    <t>AMAZON · FIX-RESOLD-1</t>
  </si>
  <si>
    <t>RETURNED</t>
  </si>
  <si>
    <t>In Repair · In Repair — Cracked screen</t>
  </si>
  <si>
    <t>In Repair · In Repair — Faulty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</si>
</sst>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5+COUNT('AMAZON'!$H$9:$H$208)</f>
      </c>
      <c r="C6">
        <v>0</v>
      </c>
      <c r="D6">
        <v>0</v>
      </c>
      <c r="E6">
        <v>1</v>
      </c>
      <c r="F6" s="4">
        <f>513.20+SUM('AMAZON'!$V$9:$V$208)</f>
      </c>
      <c r="G6" s="4">
        <v>15.12</v>
      </c>
      <c r="H6" s="4">
        <f>F6-G6</f>
      </c>
      <c r="I6" s="4">
        <f>IFERROR((F6-G6)/(1800.00+SUM('AMAZON'!$G$9:$G$208))*100,0)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0.00+SUM('BM'!$S$2:$S$201)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0.00+SUM('TEMU'!$T$2:$T$201)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IFERROR((F11-G11)/(1800.00+SUM('AMAZON'!$G$9:$G$208)+SUM('BM'!$G$2:$G$201)+SUM('EBAY'!$G$2:$G$201)+SUM('ONBUY'!$F$2:$F$201)+SUM('TEMU'!$G$2:$G$201))*100,0)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46241.5</v>
      </c>
      <c r="B2" s="9" t="s">
        <v>56</v>
      </c>
      <c r="C2" s="9" t="s">
        <v>1</v>
      </c>
      <c r="D2" s="10" t="s">
        <v>57</v>
      </c>
      <c r="E2" s="9" t="s">
        <v>58</v>
      </c>
      <c r="F2" s="9" t="s">
        <v>59</v>
      </c>
      <c r="G2" s="9" t="s">
        <v>60</v>
      </c>
      <c r="H2" s="9" t="s">
        <v>61</v>
      </c>
      <c r="I2" s="9">
        <v>1</v>
      </c>
      <c r="J2" s="11">
        <v>400</v>
      </c>
      <c r="K2" s="11">
        <v>610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6.3</v>
      </c>
      <c r="S2" s="11">
        <f>R2*20%</f>
      </c>
      <c r="T2" s="11">
        <v>1</v>
      </c>
      <c r="U2" s="11">
        <f>O2+Q2+S2</f>
      </c>
      <c r="V2" s="11">
        <v>0</v>
      </c>
      <c r="W2" s="11">
        <f>(V2-Y2)/J2*100</f>
      </c>
      <c r="X2" s="11">
        <f>M2-U2</f>
      </c>
      <c r="Y2" s="11">
        <v>15.12</v>
      </c>
      <c r="Z2" s="11">
        <f>V2-Y2</f>
      </c>
      <c r="AA2" s="8">
        <v>46241.5</v>
      </c>
      <c r="AB2" s="9" t="s">
        <v>62</v>
      </c>
      <c r="AC2" s="9">
        <v>2</v>
      </c>
      <c r="AD2" s="9" t="s">
        <v>63</v>
      </c>
      <c r="AE2" s="9" t="s">
        <v>1</v>
      </c>
    </row>
    <row r="3" spans="1:31" x14ac:dyDescent="0.25">
      <c r="A3" s="12">
        <v>46241.5</v>
      </c>
      <c r="B3" t="s">
        <v>64</v>
      </c>
      <c r="C3" t="s">
        <v>1</v>
      </c>
      <c r="D3" s="13" t="s">
        <v>65</v>
      </c>
      <c r="E3" t="s">
        <v>66</v>
      </c>
      <c r="F3" t="s">
        <v>59</v>
      </c>
      <c r="G3" t="s">
        <v>67</v>
      </c>
      <c r="H3" t="s">
        <v>61</v>
      </c>
      <c r="I3">
        <v>1</v>
      </c>
      <c r="J3" s="4">
        <v>200</v>
      </c>
      <c r="K3" s="4">
        <v>330</v>
      </c>
      <c r="L3" s="4">
        <f>K3-J3</f>
      </c>
      <c r="M3" s="4">
        <f>L3*16.67%</f>
      </c>
      <c r="N3" s="4">
        <f>K3/100*7</f>
      </c>
      <c r="O3" s="4">
        <f>N3*20%</f>
      </c>
      <c r="P3" s="4">
        <f>N3*2%</f>
      </c>
      <c r="Q3" s="4">
        <f>P3*20%</f>
      </c>
      <c r="R3" s="4">
        <v>6.3</v>
      </c>
      <c r="S3" s="4">
        <f>R3*20%</f>
      </c>
      <c r="T3" s="4">
        <v>1</v>
      </c>
      <c r="U3" s="4">
        <f>O3+Q3+S3</f>
      </c>
      <c r="V3" s="4">
        <f>L3-M3-N3-O3-P3-Q3-R3-S3-T3</f>
      </c>
      <c r="W3" s="4">
        <f>(V3-Y3)/J3*100</f>
      </c>
      <c r="X3" s="4">
        <f>M3-U3</f>
      </c>
      <c r="Z3" s="4">
        <f>V3-Y3</f>
      </c>
      <c r="AE3" t="s">
        <v>1</v>
      </c>
    </row>
    <row r="4" spans="1:31" x14ac:dyDescent="0.25">
      <c r="A4" s="8">
        <v>46241.5</v>
      </c>
      <c r="B4" s="9" t="s">
        <v>68</v>
      </c>
      <c r="C4" s="9" t="s">
        <v>1</v>
      </c>
      <c r="D4" s="10" t="s">
        <v>57</v>
      </c>
      <c r="E4" s="9" t="s">
        <v>58</v>
      </c>
      <c r="F4" s="9" t="s">
        <v>59</v>
      </c>
      <c r="G4" s="9" t="s">
        <v>60</v>
      </c>
      <c r="H4" s="9" t="s">
        <v>61</v>
      </c>
      <c r="I4" s="9">
        <v>1</v>
      </c>
      <c r="J4" s="11">
        <v>400</v>
      </c>
      <c r="K4" s="11">
        <v>620</v>
      </c>
      <c r="L4" s="11">
        <f>K4-J4</f>
      </c>
      <c r="M4" s="11">
        <f>L4*16.67%</f>
      </c>
      <c r="N4" s="11">
        <f>K4/100*7</f>
      </c>
      <c r="O4" s="11">
        <f>N4*20%</f>
      </c>
      <c r="P4" s="11">
        <f>N4*2%</f>
      </c>
      <c r="Q4" s="11">
        <f>P4*20%</f>
      </c>
      <c r="R4" s="11">
        <v>6.3</v>
      </c>
      <c r="S4" s="11">
        <f>R4*20%</f>
      </c>
      <c r="T4" s="11">
        <v>1</v>
      </c>
      <c r="U4" s="11">
        <f>O4+Q4+S4</f>
      </c>
      <c r="V4" s="11">
        <v>0</v>
      </c>
      <c r="W4" s="11">
        <f>(V4-Y4)/J4*100</f>
      </c>
      <c r="X4" s="11">
        <f>M4-U4</f>
      </c>
      <c r="Y4" s="11">
        <v>15.12</v>
      </c>
      <c r="Z4" s="11">
        <f>V4-Y4</f>
      </c>
      <c r="AA4" s="8">
        <v>46241.5</v>
      </c>
      <c r="AB4" s="9" t="s">
        <v>62</v>
      </c>
      <c r="AC4" s="9">
        <v>2</v>
      </c>
      <c r="AD4" s="9" t="s">
        <v>69</v>
      </c>
      <c r="AE4" s="9" t="s">
        <v>1</v>
      </c>
    </row>
    <row r="5" spans="1:31" x14ac:dyDescent="0.25">
      <c r="A5" s="12">
        <v>46241.5</v>
      </c>
      <c r="B5" t="s">
        <v>70</v>
      </c>
      <c r="C5" t="s">
        <v>1</v>
      </c>
      <c r="D5" s="13" t="s">
        <v>71</v>
      </c>
      <c r="E5" t="s">
        <v>58</v>
      </c>
      <c r="F5" t="s">
        <v>59</v>
      </c>
      <c r="G5" t="s">
        <v>60</v>
      </c>
      <c r="H5" t="s">
        <v>61</v>
      </c>
      <c r="I5">
        <v>1</v>
      </c>
      <c r="J5" s="4">
        <v>400</v>
      </c>
      <c r="K5" s="4">
        <v>620</v>
      </c>
      <c r="L5" s="4">
        <f>K5-J5</f>
      </c>
      <c r="M5" s="4">
        <f>L5*16.67%</f>
      </c>
      <c r="N5" s="4">
        <f>K5/100*7</f>
      </c>
      <c r="O5" s="4">
        <f>N5*20%</f>
      </c>
      <c r="P5" s="4">
        <f>N5*2%</f>
      </c>
      <c r="Q5" s="4">
        <f>P5*20%</f>
      </c>
      <c r="R5" s="4">
        <v>6.3</v>
      </c>
      <c r="S5" s="4">
        <f>R5*20%</f>
      </c>
      <c r="T5" s="4">
        <v>1</v>
      </c>
      <c r="U5" s="4">
        <f>O5+Q5+S5</f>
      </c>
      <c r="V5" s="4">
        <f>L5-M5-N5-O5-P5-Q5-R5-S5-T5</f>
      </c>
      <c r="W5" s="4">
        <f>(V5-Y5)/J5*100</f>
      </c>
      <c r="X5" s="4">
        <f>M5-U5</f>
      </c>
      <c r="Z5" s="4">
        <f>V5-Y5</f>
      </c>
      <c r="AE5" t="s">
        <v>1</v>
      </c>
    </row>
    <row r="6" spans="1:31" x14ac:dyDescent="0.25">
      <c r="A6" s="12">
        <v>46213.5</v>
      </c>
      <c r="B6" t="s">
        <v>72</v>
      </c>
      <c r="C6" t="s">
        <v>1</v>
      </c>
      <c r="D6" s="13" t="s">
        <v>73</v>
      </c>
      <c r="E6" t="s">
        <v>58</v>
      </c>
      <c r="F6" t="s">
        <v>59</v>
      </c>
      <c r="G6" t="s">
        <v>60</v>
      </c>
      <c r="H6" t="s">
        <v>61</v>
      </c>
      <c r="I6">
        <v>1</v>
      </c>
      <c r="J6" s="4">
        <v>400</v>
      </c>
      <c r="K6" s="4">
        <v>600</v>
      </c>
      <c r="L6" s="4">
        <f>K6-J6</f>
      </c>
      <c r="M6" s="4">
        <f>L6*16.67%</f>
      </c>
      <c r="N6" s="4">
        <f>K6/100*7</f>
      </c>
      <c r="O6" s="4">
        <f>N6*20%</f>
      </c>
      <c r="P6" s="4">
        <f>N6*2%</f>
      </c>
      <c r="Q6" s="4">
        <f>P6*20%</f>
      </c>
      <c r="R6" s="4">
        <v>6.3</v>
      </c>
      <c r="S6" s="4">
        <f>R6*20%</f>
      </c>
      <c r="T6" s="4">
        <v>1</v>
      </c>
      <c r="U6" s="4">
        <f>O6+Q6+S6</f>
      </c>
      <c r="V6" s="4">
        <f>L6-M6-N6-O6-P6-Q6-R6-S6-T6</f>
      </c>
      <c r="W6" s="4">
        <f>(V6-Y6)/J6*100</f>
      </c>
      <c r="X6" s="4">
        <f>M6-U6</f>
      </c>
      <c r="Z6" s="4">
        <f>V6-Y6</f>
      </c>
      <c r="AE6" t="s">
        <v>1</v>
      </c>
    </row>
    <row r="7" spans="1:31" x14ac:dyDescent="0.25">
      <c r="A7" s="12">
        <v>46213.5</v>
      </c>
      <c r="B7" t="s">
        <v>74</v>
      </c>
      <c r="C7" t="s">
        <v>1</v>
      </c>
      <c r="D7" s="13" t="s">
        <v>75</v>
      </c>
      <c r="E7" t="s">
        <v>58</v>
      </c>
      <c r="F7" t="s">
        <v>59</v>
      </c>
      <c r="G7" t="s">
        <v>60</v>
      </c>
      <c r="H7" t="s">
        <v>61</v>
      </c>
      <c r="I7">
        <v>1</v>
      </c>
      <c r="J7" s="4">
        <v>400</v>
      </c>
      <c r="K7" s="4">
        <v>600</v>
      </c>
      <c r="L7" s="4">
        <f>K7-J7</f>
      </c>
      <c r="M7" s="4">
        <f>L7*16.67%</f>
      </c>
      <c r="N7" s="4">
        <f>K7/100*7</f>
      </c>
      <c r="O7" s="4">
        <f>N7*20%</f>
      </c>
      <c r="P7" s="4">
        <f>N7*2%</f>
      </c>
      <c r="Q7" s="4">
        <f>P7*20%</f>
      </c>
      <c r="R7" s="4">
        <v>6.3</v>
      </c>
      <c r="S7" s="4">
        <f>R7*20%</f>
      </c>
      <c r="T7" s="4">
        <v>1</v>
      </c>
      <c r="U7" s="4">
        <f>O7+Q7+S7</f>
      </c>
      <c r="V7" s="4">
        <f>L7-M7-N7-O7-P7-Q7-R7-S7-T7</f>
      </c>
      <c r="W7" s="4">
        <f>(V7-Y7)/J7*100</f>
      </c>
      <c r="X7" s="4">
        <f>M7-U7</f>
      </c>
      <c r="Z7" s="4">
        <f>V7-Y7</f>
      </c>
      <c r="AE7" t="s">
        <v>1</v>
      </c>
    </row>
    <row r="8" spans="1:31" x14ac:dyDescent="0.25">
      <c r="A8" s="12">
        <v>46213.5</v>
      </c>
      <c r="B8" t="s">
        <v>76</v>
      </c>
      <c r="C8" t="s">
        <v>1</v>
      </c>
      <c r="D8" s="13" t="s">
        <v>77</v>
      </c>
      <c r="E8" t="s">
        <v>58</v>
      </c>
      <c r="F8" t="s">
        <v>59</v>
      </c>
      <c r="G8" t="s">
        <v>60</v>
      </c>
      <c r="H8" t="s">
        <v>61</v>
      </c>
      <c r="I8">
        <v>1</v>
      </c>
      <c r="J8" s="4">
        <v>400</v>
      </c>
      <c r="K8" s="4">
        <v>600</v>
      </c>
      <c r="L8" s="4">
        <f>K8-J8</f>
      </c>
      <c r="M8" s="4">
        <f>L8*16.67%</f>
      </c>
      <c r="N8" s="4">
        <f>K8/100*7</f>
      </c>
      <c r="O8" s="4">
        <f>N8*20%</f>
      </c>
      <c r="P8" s="4">
        <f>N8*2%</f>
      </c>
      <c r="Q8" s="4">
        <f>P8*20%</f>
      </c>
      <c r="R8" s="4">
        <v>6.3</v>
      </c>
      <c r="S8" s="4">
        <f>R8*20%</f>
      </c>
      <c r="T8" s="4">
        <v>1</v>
      </c>
      <c r="U8" s="4">
        <f>O8+Q8+S8</f>
      </c>
      <c r="V8" s="4">
        <f>L8-M8-N8-O8-P8-Q8-R8-S8-T8</f>
      </c>
      <c r="W8" s="4">
        <f>(V8-Y8)/J8*100</f>
      </c>
      <c r="X8" s="4">
        <f>M8-U8</f>
      </c>
      <c r="Z8" s="4">
        <f>V8-Y8</f>
      </c>
      <c r="AE8" t="s">
        <v>1</v>
      </c>
    </row>
    <row r="9" spans="1:31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x14ac:dyDescent="0.25">
      <c r="A203" s="12"/>
      <c r="D203" s="13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IF($K203="","",(V203-Y203)/J203*100)</f>
      </c>
      <c r="X203" s="4">
        <f>IF($K203="","",M203-U203)</f>
      </c>
      <c r="Z203" s="4">
        <f>IF($K203="","",V203-Y203)</f>
      </c>
    </row>
    <row r="204" spans="1:31" x14ac:dyDescent="0.25">
      <c r="A204" s="12"/>
      <c r="D204" s="13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IF($K204="","",(V204-Y204)/J204*100)</f>
      </c>
      <c r="X204" s="4">
        <f>IF($K204="","",M204-U204)</f>
      </c>
      <c r="Z204" s="4">
        <f>IF($K204="","",V204-Y204)</f>
      </c>
    </row>
    <row r="205" spans="1:31" x14ac:dyDescent="0.25">
      <c r="A205" s="12"/>
      <c r="D205" s="13"/>
      <c r="J205" s="4"/>
      <c r="K205" s="4"/>
      <c r="L205" s="4">
        <f>IF($K205="","",K205-J205)</f>
      </c>
      <c r="M205" s="4">
        <f>IF($K205="","",L205*16.67%)</f>
      </c>
      <c r="N205" s="4">
        <f>IF($K205="","",K205/100*7)</f>
      </c>
      <c r="O205" s="4">
        <f>IF($K205="","",N205*20%)</f>
      </c>
      <c r="P205" s="4">
        <f>IF($K205="","",N205*2%)</f>
      </c>
      <c r="Q205" s="4">
        <f>IF($K205="","",P205*20%)</f>
      </c>
      <c r="R205" s="4"/>
      <c r="S205" s="4">
        <f>IF($K205="","",R205*20%)</f>
      </c>
      <c r="T205" s="4">
        <v>1</v>
      </c>
      <c r="U205" s="4">
        <f>IF($K205="","",O205+Q205+S205)</f>
      </c>
      <c r="V205" s="4">
        <f>IF($K205="","",L205-M205-N205-O205-P205-Q205-R205-S205-T205)</f>
      </c>
      <c r="W205" s="4">
        <f>IF($K205="","",(V205-Y205)/J205*100)</f>
      </c>
      <c r="X205" s="4">
        <f>IF($K205="","",M205-U205)</f>
      </c>
      <c r="Z205" s="4">
        <f>IF($K205="","",V205-Y205)</f>
      </c>
    </row>
    <row r="206" spans="1:31" x14ac:dyDescent="0.25">
      <c r="A206" s="12"/>
      <c r="D206" s="13"/>
      <c r="J206" s="4"/>
      <c r="K206" s="4"/>
      <c r="L206" s="4">
        <f>IF($K206="","",K206-J206)</f>
      </c>
      <c r="M206" s="4">
        <f>IF($K206="","",L206*16.67%)</f>
      </c>
      <c r="N206" s="4">
        <f>IF($K206="","",K206/100*7)</f>
      </c>
      <c r="O206" s="4">
        <f>IF($K206="","",N206*20%)</f>
      </c>
      <c r="P206" s="4">
        <f>IF($K206="","",N206*2%)</f>
      </c>
      <c r="Q206" s="4">
        <f>IF($K206="","",P206*20%)</f>
      </c>
      <c r="R206" s="4"/>
      <c r="S206" s="4">
        <f>IF($K206="","",R206*20%)</f>
      </c>
      <c r="T206" s="4">
        <v>1</v>
      </c>
      <c r="U206" s="4">
        <f>IF($K206="","",O206+Q206+S206)</f>
      </c>
      <c r="V206" s="4">
        <f>IF($K206="","",L206-M206-N206-O206-P206-Q206-R206-S206-T206)</f>
      </c>
      <c r="W206" s="4">
        <f>IF($K206="","",(V206-Y206)/J206*100)</f>
      </c>
      <c r="X206" s="4">
        <f>IF($K206="","",M206-U206)</f>
      </c>
      <c r="Z206" s="4">
        <f>IF($K206="","",V206-Y206)</f>
      </c>
    </row>
    <row r="207" spans="1:31" x14ac:dyDescent="0.25">
      <c r="A207" s="12"/>
      <c r="D207" s="13"/>
      <c r="J207" s="4"/>
      <c r="K207" s="4"/>
      <c r="L207" s="4">
        <f>IF($K207="","",K207-J207)</f>
      </c>
      <c r="M207" s="4">
        <f>IF($K207="","",L207*16.67%)</f>
      </c>
      <c r="N207" s="4">
        <f>IF($K207="","",K207/100*7)</f>
      </c>
      <c r="O207" s="4">
        <f>IF($K207="","",N207*20%)</f>
      </c>
      <c r="P207" s="4">
        <f>IF($K207="","",N207*2%)</f>
      </c>
      <c r="Q207" s="4">
        <f>IF($K207="","",P207*20%)</f>
      </c>
      <c r="R207" s="4"/>
      <c r="S207" s="4">
        <f>IF($K207="","",R207*20%)</f>
      </c>
      <c r="T207" s="4">
        <v>1</v>
      </c>
      <c r="U207" s="4">
        <f>IF($K207="","",O207+Q207+S207)</f>
      </c>
      <c r="V207" s="4">
        <f>IF($K207="","",L207-M207-N207-O207-P207-Q207-R207-S207-T207)</f>
      </c>
      <c r="W207" s="4">
        <f>IF($K207="","",(V207-Y207)/J207*100)</f>
      </c>
      <c r="X207" s="4">
        <f>IF($K207="","",M207-U207)</f>
      </c>
      <c r="Z207" s="4">
        <f>IF($K207="","",V207-Y207)</f>
      </c>
    </row>
    <row r="208" spans="1:31" x14ac:dyDescent="0.25">
      <c r="A208" s="12"/>
      <c r="D208" s="13"/>
      <c r="J208" s="4"/>
      <c r="K208" s="4"/>
      <c r="L208" s="4">
        <f>IF($K208="","",K208-J208)</f>
      </c>
      <c r="M208" s="4">
        <f>IF($K208="","",L208*16.67%)</f>
      </c>
      <c r="N208" s="4">
        <f>IF($K208="","",K208/100*7)</f>
      </c>
      <c r="O208" s="4">
        <f>IF($K208="","",N208*20%)</f>
      </c>
      <c r="P208" s="4">
        <f>IF($K208="","",N208*2%)</f>
      </c>
      <c r="Q208" s="4">
        <f>IF($K208="","",P208*20%)</f>
      </c>
      <c r="R208" s="4"/>
      <c r="S208" s="4">
        <f>IF($K208="","",R208*20%)</f>
      </c>
      <c r="T208" s="4">
        <v>1</v>
      </c>
      <c r="U208" s="4">
        <f>IF($K208="","",O208+Q208+S208)</f>
      </c>
      <c r="V208" s="4">
        <f>IF($K208="","",L208-M208-N208-O208-P208-Q208-R208-S208-T208)</f>
      </c>
      <c r="W208" s="4">
        <f>IF($K208="","",(V208-Y208)/J208*100)</f>
      </c>
      <c r="X208" s="4">
        <f>IF($K208="","",M208-U208)</f>
      </c>
      <c r="Z208" s="4">
        <f>IF($K208="","",V208-Y208)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7"/>
      <c r="G209" s="7"/>
      <c r="H209" s="7"/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SUM(T2:T208)</f>
      </c>
      <c r="U209" s="14">
        <f>SUM(U2:U208)</f>
      </c>
      <c r="V209" s="14">
        <f>SUM(V2:V208)</f>
      </c>
      <c r="W209" s="14">
        <f>IFERROR((V209-Y209)/J209*100,0)</f>
      </c>
      <c r="X209" s="14">
        <f>SUM(X2:X208)</f>
      </c>
      <c r="Y209" s="14">
        <f>SUM(Y2:Y208)</f>
      </c>
      <c r="Z209" s="14">
        <f>SUM(Z2:Z208)</f>
      </c>
      <c r="AA209" s="7"/>
      <c r="AB209" s="7"/>
      <c r="AC209" s="7"/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78</v>
      </c>
      <c r="P1" t="s">
        <v>43</v>
      </c>
      <c r="Q1" t="s">
        <v>44</v>
      </c>
      <c r="R1" t="s">
        <v>45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IF($K2="","",K2/100*11)</f>
      </c>
      <c r="O2" s="4">
        <v>8.99</v>
      </c>
      <c r="P2" s="4"/>
      <c r="Q2" s="4">
        <f>IF($K2="","",P2*20%)</f>
      </c>
      <c r="R2" s="4">
        <v>1</v>
      </c>
      <c r="S2" s="4">
        <f>IF($K2="","",L2-M2-N2-O2-P2-Q2-R2)</f>
      </c>
      <c r="T2" s="4">
        <f>IF($K2="","",(S2-V2)/J2*100)</f>
      </c>
      <c r="U2" s="4">
        <f>IF($K2="","",M2-Q2)</f>
      </c>
      <c r="W2" s="4">
        <f>IF($K2="","",S2-V2)</f>
      </c>
    </row>
    <row r="3" spans="1:28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IF($K3="","",K3/100*11)</f>
      </c>
      <c r="O3" s="4">
        <v>8.99</v>
      </c>
      <c r="P3" s="4"/>
      <c r="Q3" s="4">
        <f>IF($K3="","",P3*20%)</f>
      </c>
      <c r="R3" s="4">
        <v>1</v>
      </c>
      <c r="S3" s="4">
        <f>IF($K3="","",L3-M3-N3-O3-P3-Q3-R3)</f>
      </c>
      <c r="T3" s="4">
        <f>IF($K3="","",(S3-V3)/J3*100)</f>
      </c>
      <c r="U3" s="4">
        <f>IF($K3="","",M3-Q3)</f>
      </c>
      <c r="W3" s="4">
        <f>IF($K3="","",S3-V3)</f>
      </c>
    </row>
    <row r="4" spans="1:28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IF($K4="","",K4/100*11)</f>
      </c>
      <c r="O4" s="4">
        <v>8.99</v>
      </c>
      <c r="P4" s="4"/>
      <c r="Q4" s="4">
        <f>IF($K4="","",P4*20%)</f>
      </c>
      <c r="R4" s="4">
        <v>1</v>
      </c>
      <c r="S4" s="4">
        <f>IF($K4="","",L4-M4-N4-O4-P4-Q4-R4)</f>
      </c>
      <c r="T4" s="4">
        <f>IF($K4="","",(S4-V4)/J4*100)</f>
      </c>
      <c r="U4" s="4">
        <f>IF($K4="","",M4-Q4)</f>
      </c>
      <c r="W4" s="4">
        <f>IF($K4="","",S4-V4)</f>
      </c>
    </row>
    <row r="5" spans="1:28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IF($K5="","",K5/100*11)</f>
      </c>
      <c r="O5" s="4">
        <v>8.99</v>
      </c>
      <c r="P5" s="4"/>
      <c r="Q5" s="4">
        <f>IF($K5="","",P5*20%)</f>
      </c>
      <c r="R5" s="4">
        <v>1</v>
      </c>
      <c r="S5" s="4">
        <f>IF($K5="","",L5-M5-N5-O5-P5-Q5-R5)</f>
      </c>
      <c r="T5" s="4">
        <f>IF($K5="","",(S5-V5)/J5*100)</f>
      </c>
      <c r="U5" s="4">
        <f>IF($K5="","",M5-Q5)</f>
      </c>
      <c r="W5" s="4">
        <f>IF($K5="","",S5-V5)</f>
      </c>
    </row>
    <row r="6" spans="1:28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IF($K6="","",K6/100*11)</f>
      </c>
      <c r="O6" s="4">
        <v>8.99</v>
      </c>
      <c r="P6" s="4"/>
      <c r="Q6" s="4">
        <f>IF($K6="","",P6*20%)</f>
      </c>
      <c r="R6" s="4">
        <v>1</v>
      </c>
      <c r="S6" s="4">
        <f>IF($K6="","",L6-M6-N6-O6-P6-Q6-R6)</f>
      </c>
      <c r="T6" s="4">
        <f>IF($K6="","",(S6-V6)/J6*100)</f>
      </c>
      <c r="U6" s="4">
        <f>IF($K6="","",M6-Q6)</f>
      </c>
      <c r="W6" s="4">
        <f>IF($K6="","",S6-V6)</f>
      </c>
    </row>
    <row r="7" spans="1:28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IF($K7="","",K7/100*11)</f>
      </c>
      <c r="O7" s="4">
        <v>8.99</v>
      </c>
      <c r="P7" s="4"/>
      <c r="Q7" s="4">
        <f>IF($K7="","",P7*20%)</f>
      </c>
      <c r="R7" s="4">
        <v>1</v>
      </c>
      <c r="S7" s="4">
        <f>IF($K7="","",L7-M7-N7-O7-P7-Q7-R7)</f>
      </c>
      <c r="T7" s="4">
        <f>IF($K7="","",(S7-V7)/J7*100)</f>
      </c>
      <c r="U7" s="4">
        <f>IF($K7="","",M7-Q7)</f>
      </c>
      <c r="W7" s="4">
        <f>IF($K7="","",S7-V7)</f>
      </c>
    </row>
    <row r="8" spans="1:28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IF($K8="","",K8/100*11)</f>
      </c>
      <c r="O8" s="4">
        <v>8.99</v>
      </c>
      <c r="P8" s="4"/>
      <c r="Q8" s="4">
        <f>IF($K8="","",P8*20%)</f>
      </c>
      <c r="R8" s="4">
        <v>1</v>
      </c>
      <c r="S8" s="4">
        <f>IF($K8="","",L8-M8-N8-O8-P8-Q8-R8)</f>
      </c>
      <c r="T8" s="4">
        <f>IF($K8="","",(S8-V8)/J8*100)</f>
      </c>
      <c r="U8" s="4">
        <f>IF($K8="","",M8-Q8)</f>
      </c>
      <c r="W8" s="4">
        <f>IF($K8="","",S8-V8)</f>
      </c>
    </row>
    <row r="9" spans="1:28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IF($K9="","",K9/100*11)</f>
      </c>
      <c r="O9" s="4">
        <v>8.99</v>
      </c>
      <c r="P9" s="4"/>
      <c r="Q9" s="4">
        <f>IF($K9="","",P9*20%)</f>
      </c>
      <c r="R9" s="4">
        <v>1</v>
      </c>
      <c r="S9" s="4">
        <f>IF($K9="","",L9-M9-N9-O9-P9-Q9-R9)</f>
      </c>
      <c r="T9" s="4">
        <f>IF($K9="","",(S9-V9)/J9*100)</f>
      </c>
      <c r="U9" s="4">
        <f>IF($K9="","",M9-Q9)</f>
      </c>
      <c r="W9" s="4">
        <f>IF($K9="","",S9-V9)</f>
      </c>
    </row>
    <row r="10" spans="1:28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IF($K10="","",K10/100*11)</f>
      </c>
      <c r="O10" s="4">
        <v>8.99</v>
      </c>
      <c r="P10" s="4"/>
      <c r="Q10" s="4">
        <f>IF($K10="","",P10*20%)</f>
      </c>
      <c r="R10" s="4">
        <v>1</v>
      </c>
      <c r="S10" s="4">
        <f>IF($K10="","",L10-M10-N10-O10-P10-Q10-R10)</f>
      </c>
      <c r="T10" s="4">
        <f>IF($K10="","",(S10-V10)/J10*100)</f>
      </c>
      <c r="U10" s="4">
        <f>IF($K10="","",M10-Q10)</f>
      </c>
      <c r="W10" s="4">
        <f>IF($K10="","",S10-V10)</f>
      </c>
    </row>
    <row r="11" spans="1:28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IF($K11="","",K11/100*11)</f>
      </c>
      <c r="O11" s="4">
        <v>8.99</v>
      </c>
      <c r="P11" s="4"/>
      <c r="Q11" s="4">
        <f>IF($K11="","",P11*20%)</f>
      </c>
      <c r="R11" s="4">
        <v>1</v>
      </c>
      <c r="S11" s="4">
        <f>IF($K11="","",L11-M11-N11-O11-P11-Q11-R11)</f>
      </c>
      <c r="T11" s="4">
        <f>IF($K11="","",(S11-V11)/J11*100)</f>
      </c>
      <c r="U11" s="4">
        <f>IF($K11="","",M11-Q11)</f>
      </c>
      <c r="W11" s="4">
        <f>IF($K11="","",S11-V11)</f>
      </c>
    </row>
    <row r="12" spans="1:28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IF($K12="","",K12/100*11)</f>
      </c>
      <c r="O12" s="4">
        <v>8.99</v>
      </c>
      <c r="P12" s="4"/>
      <c r="Q12" s="4">
        <f>IF($K12="","",P12*20%)</f>
      </c>
      <c r="R12" s="4">
        <v>1</v>
      </c>
      <c r="S12" s="4">
        <f>IF($K12="","",L12-M12-N12-O12-P12-Q12-R12)</f>
      </c>
      <c r="T12" s="4">
        <f>IF($K12="","",(S12-V12)/J12*100)</f>
      </c>
      <c r="U12" s="4">
        <f>IF($K12="","",M12-Q12)</f>
      </c>
      <c r="W12" s="4">
        <f>IF($K12="","",S12-V12)</f>
      </c>
    </row>
    <row r="13" spans="1:28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IF($K13="","",K13/100*11)</f>
      </c>
      <c r="O13" s="4">
        <v>8.99</v>
      </c>
      <c r="P13" s="4"/>
      <c r="Q13" s="4">
        <f>IF($K13="","",P13*20%)</f>
      </c>
      <c r="R13" s="4">
        <v>1</v>
      </c>
      <c r="S13" s="4">
        <f>IF($K13="","",L13-M13-N13-O13-P13-Q13-R13)</f>
      </c>
      <c r="T13" s="4">
        <f>IF($K13="","",(S13-V13)/J13*100)</f>
      </c>
      <c r="U13" s="4">
        <f>IF($K13="","",M13-Q13)</f>
      </c>
      <c r="W13" s="4">
        <f>IF($K13="","",S13-V13)</f>
      </c>
    </row>
    <row r="14" spans="1:28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IF($K14="","",K14/100*11)</f>
      </c>
      <c r="O14" s="4">
        <v>8.99</v>
      </c>
      <c r="P14" s="4"/>
      <c r="Q14" s="4">
        <f>IF($K14="","",P14*20%)</f>
      </c>
      <c r="R14" s="4">
        <v>1</v>
      </c>
      <c r="S14" s="4">
        <f>IF($K14="","",L14-M14-N14-O14-P14-Q14-R14)</f>
      </c>
      <c r="T14" s="4">
        <f>IF($K14="","",(S14-V14)/J14*100)</f>
      </c>
      <c r="U14" s="4">
        <f>IF($K14="","",M14-Q14)</f>
      </c>
      <c r="W14" s="4">
        <f>IF($K14="","",S14-V14)</f>
      </c>
    </row>
    <row r="15" spans="1:28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IF($K15="","",K15/100*11)</f>
      </c>
      <c r="O15" s="4">
        <v>8.99</v>
      </c>
      <c r="P15" s="4"/>
      <c r="Q15" s="4">
        <f>IF($K15="","",P15*20%)</f>
      </c>
      <c r="R15" s="4">
        <v>1</v>
      </c>
      <c r="S15" s="4">
        <f>IF($K15="","",L15-M15-N15-O15-P15-Q15-R15)</f>
      </c>
      <c r="T15" s="4">
        <f>IF($K15="","",(S15-V15)/J15*100)</f>
      </c>
      <c r="U15" s="4">
        <f>IF($K15="","",M15-Q15)</f>
      </c>
      <c r="W15" s="4">
        <f>IF($K15="","",S15-V15)</f>
      </c>
    </row>
    <row r="16" spans="1:28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IF($K16="","",K16/100*11)</f>
      </c>
      <c r="O16" s="4">
        <v>8.99</v>
      </c>
      <c r="P16" s="4"/>
      <c r="Q16" s="4">
        <f>IF($K16="","",P16*20%)</f>
      </c>
      <c r="R16" s="4">
        <v>1</v>
      </c>
      <c r="S16" s="4">
        <f>IF($K16="","",L16-M16-N16-O16-P16-Q16-R16)</f>
      </c>
      <c r="T16" s="4">
        <f>IF($K16="","",(S16-V16)/J16*100)</f>
      </c>
      <c r="U16" s="4">
        <f>IF($K16="","",M16-Q16)</f>
      </c>
      <c r="W16" s="4">
        <f>IF($K16="","",S16-V16)</f>
      </c>
    </row>
    <row r="17" spans="1:28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IF($K17="","",K17/100*11)</f>
      </c>
      <c r="O17" s="4">
        <v>8.99</v>
      </c>
      <c r="P17" s="4"/>
      <c r="Q17" s="4">
        <f>IF($K17="","",P17*20%)</f>
      </c>
      <c r="R17" s="4">
        <v>1</v>
      </c>
      <c r="S17" s="4">
        <f>IF($K17="","",L17-M17-N17-O17-P17-Q17-R17)</f>
      </c>
      <c r="T17" s="4">
        <f>IF($K17="","",(S17-V17)/J17*100)</f>
      </c>
      <c r="U17" s="4">
        <f>IF($K17="","",M17-Q17)</f>
      </c>
      <c r="W17" s="4">
        <f>IF($K17="","",S17-V17)</f>
      </c>
    </row>
    <row r="18" spans="1:28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IF($K18="","",K18/100*11)</f>
      </c>
      <c r="O18" s="4">
        <v>8.99</v>
      </c>
      <c r="P18" s="4"/>
      <c r="Q18" s="4">
        <f>IF($K18="","",P18*20%)</f>
      </c>
      <c r="R18" s="4">
        <v>1</v>
      </c>
      <c r="S18" s="4">
        <f>IF($K18="","",L18-M18-N18-O18-P18-Q18-R18)</f>
      </c>
      <c r="T18" s="4">
        <f>IF($K18="","",(S18-V18)/J18*100)</f>
      </c>
      <c r="U18" s="4">
        <f>IF($K18="","",M18-Q18)</f>
      </c>
      <c r="W18" s="4">
        <f>IF($K18="","",S18-V18)</f>
      </c>
    </row>
    <row r="19" spans="1:28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IF($K19="","",K19/100*11)</f>
      </c>
      <c r="O19" s="4">
        <v>8.99</v>
      </c>
      <c r="P19" s="4"/>
      <c r="Q19" s="4">
        <f>IF($K19="","",P19*20%)</f>
      </c>
      <c r="R19" s="4">
        <v>1</v>
      </c>
      <c r="S19" s="4">
        <f>IF($K19="","",L19-M19-N19-O19-P19-Q19-R19)</f>
      </c>
      <c r="T19" s="4">
        <f>IF($K19="","",(S19-V19)/J19*100)</f>
      </c>
      <c r="U19" s="4">
        <f>IF($K19="","",M19-Q19)</f>
      </c>
      <c r="W19" s="4">
        <f>IF($K19="","",S19-V19)</f>
      </c>
    </row>
    <row r="20" spans="1:28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IF($K20="","",K20/100*11)</f>
      </c>
      <c r="O20" s="4">
        <v>8.99</v>
      </c>
      <c r="P20" s="4"/>
      <c r="Q20" s="4">
        <f>IF($K20="","",P20*20%)</f>
      </c>
      <c r="R20" s="4">
        <v>1</v>
      </c>
      <c r="S20" s="4">
        <f>IF($K20="","",L20-M20-N20-O20-P20-Q20-R20)</f>
      </c>
      <c r="T20" s="4">
        <f>IF($K20="","",(S20-V20)/J20*100)</f>
      </c>
      <c r="U20" s="4">
        <f>IF($K20="","",M20-Q20)</f>
      </c>
      <c r="W20" s="4">
        <f>IF($K20="","",S20-V20)</f>
      </c>
    </row>
    <row r="21" spans="1:28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IF($K21="","",K21/100*11)</f>
      </c>
      <c r="O21" s="4">
        <v>8.99</v>
      </c>
      <c r="P21" s="4"/>
      <c r="Q21" s="4">
        <f>IF($K21="","",P21*20%)</f>
      </c>
      <c r="R21" s="4">
        <v>1</v>
      </c>
      <c r="S21" s="4">
        <f>IF($K21="","",L21-M21-N21-O21-P21-Q21-R21)</f>
      </c>
      <c r="T21" s="4">
        <f>IF($K21="","",(S21-V21)/J21*100)</f>
      </c>
      <c r="U21" s="4">
        <f>IF($K21="","",M21-Q21)</f>
      </c>
      <c r="W21" s="4">
        <f>IF($K21="","",S21-V21)</f>
      </c>
    </row>
    <row r="22" spans="1:28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IF($K22="","",K22/100*11)</f>
      </c>
      <c r="O22" s="4">
        <v>8.99</v>
      </c>
      <c r="P22" s="4"/>
      <c r="Q22" s="4">
        <f>IF($K22="","",P22*20%)</f>
      </c>
      <c r="R22" s="4">
        <v>1</v>
      </c>
      <c r="S22" s="4">
        <f>IF($K22="","",L22-M22-N22-O22-P22-Q22-R22)</f>
      </c>
      <c r="T22" s="4">
        <f>IF($K22="","",(S22-V22)/J22*100)</f>
      </c>
      <c r="U22" s="4">
        <f>IF($K22="","",M22-Q22)</f>
      </c>
      <c r="W22" s="4">
        <f>IF($K22="","",S22-V22)</f>
      </c>
    </row>
    <row r="23" spans="1:28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IF($K23="","",K23/100*11)</f>
      </c>
      <c r="O23" s="4">
        <v>8.99</v>
      </c>
      <c r="P23" s="4"/>
      <c r="Q23" s="4">
        <f>IF($K23="","",P23*20%)</f>
      </c>
      <c r="R23" s="4">
        <v>1</v>
      </c>
      <c r="S23" s="4">
        <f>IF($K23="","",L23-M23-N23-O23-P23-Q23-R23)</f>
      </c>
      <c r="T23" s="4">
        <f>IF($K23="","",(S23-V23)/J23*100)</f>
      </c>
      <c r="U23" s="4">
        <f>IF($K23="","",M23-Q23)</f>
      </c>
      <c r="W23" s="4">
        <f>IF($K23="","",S23-V23)</f>
      </c>
    </row>
    <row r="24" spans="1:28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IF($K24="","",K24/100*11)</f>
      </c>
      <c r="O24" s="4">
        <v>8.99</v>
      </c>
      <c r="P24" s="4"/>
      <c r="Q24" s="4">
        <f>IF($K24="","",P24*20%)</f>
      </c>
      <c r="R24" s="4">
        <v>1</v>
      </c>
      <c r="S24" s="4">
        <f>IF($K24="","",L24-M24-N24-O24-P24-Q24-R24)</f>
      </c>
      <c r="T24" s="4">
        <f>IF($K24="","",(S24-V24)/J24*100)</f>
      </c>
      <c r="U24" s="4">
        <f>IF($K24="","",M24-Q24)</f>
      </c>
      <c r="W24" s="4">
        <f>IF($K24="","",S24-V24)</f>
      </c>
    </row>
    <row r="25" spans="1:28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IF($K25="","",K25/100*11)</f>
      </c>
      <c r="O25" s="4">
        <v>8.99</v>
      </c>
      <c r="P25" s="4"/>
      <c r="Q25" s="4">
        <f>IF($K25="","",P25*20%)</f>
      </c>
      <c r="R25" s="4">
        <v>1</v>
      </c>
      <c r="S25" s="4">
        <f>IF($K25="","",L25-M25-N25-O25-P25-Q25-R25)</f>
      </c>
      <c r="T25" s="4">
        <f>IF($K25="","",(S25-V25)/J25*100)</f>
      </c>
      <c r="U25" s="4">
        <f>IF($K25="","",M25-Q25)</f>
      </c>
      <c r="W25" s="4">
        <f>IF($K25="","",S25-V25)</f>
      </c>
    </row>
    <row r="26" spans="1:28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IF($K26="","",K26/100*11)</f>
      </c>
      <c r="O26" s="4">
        <v>8.99</v>
      </c>
      <c r="P26" s="4"/>
      <c r="Q26" s="4">
        <f>IF($K26="","",P26*20%)</f>
      </c>
      <c r="R26" s="4">
        <v>1</v>
      </c>
      <c r="S26" s="4">
        <f>IF($K26="","",L26-M26-N26-O26-P26-Q26-R26)</f>
      </c>
      <c r="T26" s="4">
        <f>IF($K26="","",(S26-V26)/J26*100)</f>
      </c>
      <c r="U26" s="4">
        <f>IF($K26="","",M26-Q26)</f>
      </c>
      <c r="W26" s="4">
        <f>IF($K26="","",S26-V26)</f>
      </c>
    </row>
    <row r="27" spans="1:28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IF($K27="","",K27/100*11)</f>
      </c>
      <c r="O27" s="4">
        <v>8.99</v>
      </c>
      <c r="P27" s="4"/>
      <c r="Q27" s="4">
        <f>IF($K27="","",P27*20%)</f>
      </c>
      <c r="R27" s="4">
        <v>1</v>
      </c>
      <c r="S27" s="4">
        <f>IF($K27="","",L27-M27-N27-O27-P27-Q27-R27)</f>
      </c>
      <c r="T27" s="4">
        <f>IF($K27="","",(S27-V27)/J27*100)</f>
      </c>
      <c r="U27" s="4">
        <f>IF($K27="","",M27-Q27)</f>
      </c>
      <c r="W27" s="4">
        <f>IF($K27="","",S27-V27)</f>
      </c>
    </row>
    <row r="28" spans="1:28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IF($K28="","",K28/100*11)</f>
      </c>
      <c r="O28" s="4">
        <v>8.99</v>
      </c>
      <c r="P28" s="4"/>
      <c r="Q28" s="4">
        <f>IF($K28="","",P28*20%)</f>
      </c>
      <c r="R28" s="4">
        <v>1</v>
      </c>
      <c r="S28" s="4">
        <f>IF($K28="","",L28-M28-N28-O28-P28-Q28-R28)</f>
      </c>
      <c r="T28" s="4">
        <f>IF($K28="","",(S28-V28)/J28*100)</f>
      </c>
      <c r="U28" s="4">
        <f>IF($K28="","",M28-Q28)</f>
      </c>
      <c r="W28" s="4">
        <f>IF($K28="","",S28-V28)</f>
      </c>
    </row>
    <row r="29" spans="1:28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IF($K29="","",K29/100*11)</f>
      </c>
      <c r="O29" s="4">
        <v>8.99</v>
      </c>
      <c r="P29" s="4"/>
      <c r="Q29" s="4">
        <f>IF($K29="","",P29*20%)</f>
      </c>
      <c r="R29" s="4">
        <v>1</v>
      </c>
      <c r="S29" s="4">
        <f>IF($K29="","",L29-M29-N29-O29-P29-Q29-R29)</f>
      </c>
      <c r="T29" s="4">
        <f>IF($K29="","",(S29-V29)/J29*100)</f>
      </c>
      <c r="U29" s="4">
        <f>IF($K29="","",M29-Q29)</f>
      </c>
      <c r="W29" s="4">
        <f>IF($K29="","",S29-V29)</f>
      </c>
    </row>
    <row r="30" spans="1:28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IF($K30="","",K30/100*11)</f>
      </c>
      <c r="O30" s="4">
        <v>8.99</v>
      </c>
      <c r="P30" s="4"/>
      <c r="Q30" s="4">
        <f>IF($K30="","",P30*20%)</f>
      </c>
      <c r="R30" s="4">
        <v>1</v>
      </c>
      <c r="S30" s="4">
        <f>IF($K30="","",L30-M30-N30-O30-P30-Q30-R30)</f>
      </c>
      <c r="T30" s="4">
        <f>IF($K30="","",(S30-V30)/J30*100)</f>
      </c>
      <c r="U30" s="4">
        <f>IF($K30="","",M30-Q30)</f>
      </c>
      <c r="W30" s="4">
        <f>IF($K30="","",S30-V30)</f>
      </c>
    </row>
    <row r="31" spans="1:28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IF($K31="","",K31/100*11)</f>
      </c>
      <c r="O31" s="4">
        <v>8.99</v>
      </c>
      <c r="P31" s="4"/>
      <c r="Q31" s="4">
        <f>IF($K31="","",P31*20%)</f>
      </c>
      <c r="R31" s="4">
        <v>1</v>
      </c>
      <c r="S31" s="4">
        <f>IF($K31="","",L31-M31-N31-O31-P31-Q31-R31)</f>
      </c>
      <c r="T31" s="4">
        <f>IF($K31="","",(S31-V31)/J31*100)</f>
      </c>
      <c r="U31" s="4">
        <f>IF($K31="","",M31-Q31)</f>
      </c>
      <c r="W31" s="4">
        <f>IF($K31="","",S31-V31)</f>
      </c>
    </row>
    <row r="32" spans="1:28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IF($K32="","",K32/100*11)</f>
      </c>
      <c r="O32" s="4">
        <v>8.99</v>
      </c>
      <c r="P32" s="4"/>
      <c r="Q32" s="4">
        <f>IF($K32="","",P32*20%)</f>
      </c>
      <c r="R32" s="4">
        <v>1</v>
      </c>
      <c r="S32" s="4">
        <f>IF($K32="","",L32-M32-N32-O32-P32-Q32-R32)</f>
      </c>
      <c r="T32" s="4">
        <f>IF($K32="","",(S32-V32)/J32*100)</f>
      </c>
      <c r="U32" s="4">
        <f>IF($K32="","",M32-Q32)</f>
      </c>
      <c r="W32" s="4">
        <f>IF($K32="","",S32-V32)</f>
      </c>
    </row>
    <row r="33" spans="1:28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IF($K33="","",K33/100*11)</f>
      </c>
      <c r="O33" s="4">
        <v>8.99</v>
      </c>
      <c r="P33" s="4"/>
      <c r="Q33" s="4">
        <f>IF($K33="","",P33*20%)</f>
      </c>
      <c r="R33" s="4">
        <v>1</v>
      </c>
      <c r="S33" s="4">
        <f>IF($K33="","",L33-M33-N33-O33-P33-Q33-R33)</f>
      </c>
      <c r="T33" s="4">
        <f>IF($K33="","",(S33-V33)/J33*100)</f>
      </c>
      <c r="U33" s="4">
        <f>IF($K33="","",M33-Q33)</f>
      </c>
      <c r="W33" s="4">
        <f>IF($K33="","",S33-V33)</f>
      </c>
    </row>
    <row r="34" spans="1:28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IF($K34="","",K34/100*11)</f>
      </c>
      <c r="O34" s="4">
        <v>8.99</v>
      </c>
      <c r="P34" s="4"/>
      <c r="Q34" s="4">
        <f>IF($K34="","",P34*20%)</f>
      </c>
      <c r="R34" s="4">
        <v>1</v>
      </c>
      <c r="S34" s="4">
        <f>IF($K34="","",L34-M34-N34-O34-P34-Q34-R34)</f>
      </c>
      <c r="T34" s="4">
        <f>IF($K34="","",(S34-V34)/J34*100)</f>
      </c>
      <c r="U34" s="4">
        <f>IF($K34="","",M34-Q34)</f>
      </c>
      <c r="W34" s="4">
        <f>IF($K34="","",S34-V34)</f>
      </c>
    </row>
    <row r="35" spans="1:28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IF($K35="","",K35/100*11)</f>
      </c>
      <c r="O35" s="4">
        <v>8.99</v>
      </c>
      <c r="P35" s="4"/>
      <c r="Q35" s="4">
        <f>IF($K35="","",P35*20%)</f>
      </c>
      <c r="R35" s="4">
        <v>1</v>
      </c>
      <c r="S35" s="4">
        <f>IF($K35="","",L35-M35-N35-O35-P35-Q35-R35)</f>
      </c>
      <c r="T35" s="4">
        <f>IF($K35="","",(S35-V35)/J35*100)</f>
      </c>
      <c r="U35" s="4">
        <f>IF($K35="","",M35-Q35)</f>
      </c>
      <c r="W35" s="4">
        <f>IF($K35="","",S35-V35)</f>
      </c>
    </row>
    <row r="36" spans="1:28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IF($K36="","",K36/100*11)</f>
      </c>
      <c r="O36" s="4">
        <v>8.99</v>
      </c>
      <c r="P36" s="4"/>
      <c r="Q36" s="4">
        <f>IF($K36="","",P36*20%)</f>
      </c>
      <c r="R36" s="4">
        <v>1</v>
      </c>
      <c r="S36" s="4">
        <f>IF($K36="","",L36-M36-N36-O36-P36-Q36-R36)</f>
      </c>
      <c r="T36" s="4">
        <f>IF($K36="","",(S36-V36)/J36*100)</f>
      </c>
      <c r="U36" s="4">
        <f>IF($K36="","",M36-Q36)</f>
      </c>
      <c r="W36" s="4">
        <f>IF($K36="","",S36-V36)</f>
      </c>
    </row>
    <row r="37" spans="1:28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IF($K37="","",K37/100*11)</f>
      </c>
      <c r="O37" s="4">
        <v>8.99</v>
      </c>
      <c r="P37" s="4"/>
      <c r="Q37" s="4">
        <f>IF($K37="","",P37*20%)</f>
      </c>
      <c r="R37" s="4">
        <v>1</v>
      </c>
      <c r="S37" s="4">
        <f>IF($K37="","",L37-M37-N37-O37-P37-Q37-R37)</f>
      </c>
      <c r="T37" s="4">
        <f>IF($K37="","",(S37-V37)/J37*100)</f>
      </c>
      <c r="U37" s="4">
        <f>IF($K37="","",M37-Q37)</f>
      </c>
      <c r="W37" s="4">
        <f>IF($K37="","",S37-V37)</f>
      </c>
    </row>
    <row r="38" spans="1:28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IF($K38="","",K38/100*11)</f>
      </c>
      <c r="O38" s="4">
        <v>8.99</v>
      </c>
      <c r="P38" s="4"/>
      <c r="Q38" s="4">
        <f>IF($K38="","",P38*20%)</f>
      </c>
      <c r="R38" s="4">
        <v>1</v>
      </c>
      <c r="S38" s="4">
        <f>IF($K38="","",L38-M38-N38-O38-P38-Q38-R38)</f>
      </c>
      <c r="T38" s="4">
        <f>IF($K38="","",(S38-V38)/J38*100)</f>
      </c>
      <c r="U38" s="4">
        <f>IF($K38="","",M38-Q38)</f>
      </c>
      <c r="W38" s="4">
        <f>IF($K38="","",S38-V38)</f>
      </c>
    </row>
    <row r="39" spans="1:28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IF($K39="","",K39/100*11)</f>
      </c>
      <c r="O39" s="4">
        <v>8.99</v>
      </c>
      <c r="P39" s="4"/>
      <c r="Q39" s="4">
        <f>IF($K39="","",P39*20%)</f>
      </c>
      <c r="R39" s="4">
        <v>1</v>
      </c>
      <c r="S39" s="4">
        <f>IF($K39="","",L39-M39-N39-O39-P39-Q39-R39)</f>
      </c>
      <c r="T39" s="4">
        <f>IF($K39="","",(S39-V39)/J39*100)</f>
      </c>
      <c r="U39" s="4">
        <f>IF($K39="","",M39-Q39)</f>
      </c>
      <c r="W39" s="4">
        <f>IF($K39="","",S39-V39)</f>
      </c>
    </row>
    <row r="40" spans="1:28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IF($K40="","",K40/100*11)</f>
      </c>
      <c r="O40" s="4">
        <v>8.99</v>
      </c>
      <c r="P40" s="4"/>
      <c r="Q40" s="4">
        <f>IF($K40="","",P40*20%)</f>
      </c>
      <c r="R40" s="4">
        <v>1</v>
      </c>
      <c r="S40" s="4">
        <f>IF($K40="","",L40-M40-N40-O40-P40-Q40-R40)</f>
      </c>
      <c r="T40" s="4">
        <f>IF($K40="","",(S40-V40)/J40*100)</f>
      </c>
      <c r="U40" s="4">
        <f>IF($K40="","",M40-Q40)</f>
      </c>
      <c r="W40" s="4">
        <f>IF($K40="","",S40-V40)</f>
      </c>
    </row>
    <row r="41" spans="1:28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IF($K41="","",K41/100*11)</f>
      </c>
      <c r="O41" s="4">
        <v>8.99</v>
      </c>
      <c r="P41" s="4"/>
      <c r="Q41" s="4">
        <f>IF($K41="","",P41*20%)</f>
      </c>
      <c r="R41" s="4">
        <v>1</v>
      </c>
      <c r="S41" s="4">
        <f>IF($K41="","",L41-M41-N41-O41-P41-Q41-R41)</f>
      </c>
      <c r="T41" s="4">
        <f>IF($K41="","",(S41-V41)/J41*100)</f>
      </c>
      <c r="U41" s="4">
        <f>IF($K41="","",M41-Q41)</f>
      </c>
      <c r="W41" s="4">
        <f>IF($K41="","",S41-V41)</f>
      </c>
    </row>
    <row r="42" spans="1:28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IF($K42="","",K42/100*11)</f>
      </c>
      <c r="O42" s="4">
        <v>8.99</v>
      </c>
      <c r="P42" s="4"/>
      <c r="Q42" s="4">
        <f>IF($K42="","",P42*20%)</f>
      </c>
      <c r="R42" s="4">
        <v>1</v>
      </c>
      <c r="S42" s="4">
        <f>IF($K42="","",L42-M42-N42-O42-P42-Q42-R42)</f>
      </c>
      <c r="T42" s="4">
        <f>IF($K42="","",(S42-V42)/J42*100)</f>
      </c>
      <c r="U42" s="4">
        <f>IF($K42="","",M42-Q42)</f>
      </c>
      <c r="W42" s="4">
        <f>IF($K42="","",S42-V42)</f>
      </c>
    </row>
    <row r="43" spans="1:28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IF($K43="","",K43/100*11)</f>
      </c>
      <c r="O43" s="4">
        <v>8.99</v>
      </c>
      <c r="P43" s="4"/>
      <c r="Q43" s="4">
        <f>IF($K43="","",P43*20%)</f>
      </c>
      <c r="R43" s="4">
        <v>1</v>
      </c>
      <c r="S43" s="4">
        <f>IF($K43="","",L43-M43-N43-O43-P43-Q43-R43)</f>
      </c>
      <c r="T43" s="4">
        <f>IF($K43="","",(S43-V43)/J43*100)</f>
      </c>
      <c r="U43" s="4">
        <f>IF($K43="","",M43-Q43)</f>
      </c>
      <c r="W43" s="4">
        <f>IF($K43="","",S43-V43)</f>
      </c>
    </row>
    <row r="44" spans="1:28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IF($K44="","",K44/100*11)</f>
      </c>
      <c r="O44" s="4">
        <v>8.99</v>
      </c>
      <c r="P44" s="4"/>
      <c r="Q44" s="4">
        <f>IF($K44="","",P44*20%)</f>
      </c>
      <c r="R44" s="4">
        <v>1</v>
      </c>
      <c r="S44" s="4">
        <f>IF($K44="","",L44-M44-N44-O44-P44-Q44-R44)</f>
      </c>
      <c r="T44" s="4">
        <f>IF($K44="","",(S44-V44)/J44*100)</f>
      </c>
      <c r="U44" s="4">
        <f>IF($K44="","",M44-Q44)</f>
      </c>
      <c r="W44" s="4">
        <f>IF($K44="","",S44-V44)</f>
      </c>
    </row>
    <row r="45" spans="1:28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IF($K45="","",K45/100*11)</f>
      </c>
      <c r="O45" s="4">
        <v>8.99</v>
      </c>
      <c r="P45" s="4"/>
      <c r="Q45" s="4">
        <f>IF($K45="","",P45*20%)</f>
      </c>
      <c r="R45" s="4">
        <v>1</v>
      </c>
      <c r="S45" s="4">
        <f>IF($K45="","",L45-M45-N45-O45-P45-Q45-R45)</f>
      </c>
      <c r="T45" s="4">
        <f>IF($K45="","",(S45-V45)/J45*100)</f>
      </c>
      <c r="U45" s="4">
        <f>IF($K45="","",M45-Q45)</f>
      </c>
      <c r="W45" s="4">
        <f>IF($K45="","",S45-V45)</f>
      </c>
    </row>
    <row r="46" spans="1:28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IF($K46="","",K46/100*11)</f>
      </c>
      <c r="O46" s="4">
        <v>8.99</v>
      </c>
      <c r="P46" s="4"/>
      <c r="Q46" s="4">
        <f>IF($K46="","",P46*20%)</f>
      </c>
      <c r="R46" s="4">
        <v>1</v>
      </c>
      <c r="S46" s="4">
        <f>IF($K46="","",L46-M46-N46-O46-P46-Q46-R46)</f>
      </c>
      <c r="T46" s="4">
        <f>IF($K46="","",(S46-V46)/J46*100)</f>
      </c>
      <c r="U46" s="4">
        <f>IF($K46="","",M46-Q46)</f>
      </c>
      <c r="W46" s="4">
        <f>IF($K46="","",S46-V46)</f>
      </c>
    </row>
    <row r="47" spans="1:28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IF($K47="","",K47/100*11)</f>
      </c>
      <c r="O47" s="4">
        <v>8.99</v>
      </c>
      <c r="P47" s="4"/>
      <c r="Q47" s="4">
        <f>IF($K47="","",P47*20%)</f>
      </c>
      <c r="R47" s="4">
        <v>1</v>
      </c>
      <c r="S47" s="4">
        <f>IF($K47="","",L47-M47-N47-O47-P47-Q47-R47)</f>
      </c>
      <c r="T47" s="4">
        <f>IF($K47="","",(S47-V47)/J47*100)</f>
      </c>
      <c r="U47" s="4">
        <f>IF($K47="","",M47-Q47)</f>
      </c>
      <c r="W47" s="4">
        <f>IF($K47="","",S47-V47)</f>
      </c>
    </row>
    <row r="48" spans="1:28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IF($K48="","",K48/100*11)</f>
      </c>
      <c r="O48" s="4">
        <v>8.99</v>
      </c>
      <c r="P48" s="4"/>
      <c r="Q48" s="4">
        <f>IF($K48="","",P48*20%)</f>
      </c>
      <c r="R48" s="4">
        <v>1</v>
      </c>
      <c r="S48" s="4">
        <f>IF($K48="","",L48-M48-N48-O48-P48-Q48-R48)</f>
      </c>
      <c r="T48" s="4">
        <f>IF($K48="","",(S48-V48)/J48*100)</f>
      </c>
      <c r="U48" s="4">
        <f>IF($K48="","",M48-Q48)</f>
      </c>
      <c r="W48" s="4">
        <f>IF($K48="","",S48-V48)</f>
      </c>
    </row>
    <row r="49" spans="1:28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IF($K49="","",K49/100*11)</f>
      </c>
      <c r="O49" s="4">
        <v>8.99</v>
      </c>
      <c r="P49" s="4"/>
      <c r="Q49" s="4">
        <f>IF($K49="","",P49*20%)</f>
      </c>
      <c r="R49" s="4">
        <v>1</v>
      </c>
      <c r="S49" s="4">
        <f>IF($K49="","",L49-M49-N49-O49-P49-Q49-R49)</f>
      </c>
      <c r="T49" s="4">
        <f>IF($K49="","",(S49-V49)/J49*100)</f>
      </c>
      <c r="U49" s="4">
        <f>IF($K49="","",M49-Q49)</f>
      </c>
      <c r="W49" s="4">
        <f>IF($K49="","",S49-V49)</f>
      </c>
    </row>
    <row r="50" spans="1:28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IF($K50="","",K50/100*11)</f>
      </c>
      <c r="O50" s="4">
        <v>8.99</v>
      </c>
      <c r="P50" s="4"/>
      <c r="Q50" s="4">
        <f>IF($K50="","",P50*20%)</f>
      </c>
      <c r="R50" s="4">
        <v>1</v>
      </c>
      <c r="S50" s="4">
        <f>IF($K50="","",L50-M50-N50-O50-P50-Q50-R50)</f>
      </c>
      <c r="T50" s="4">
        <f>IF($K50="","",(S50-V50)/J50*100)</f>
      </c>
      <c r="U50" s="4">
        <f>IF($K50="","",M50-Q50)</f>
      </c>
      <c r="W50" s="4">
        <f>IF($K50="","",S50-V50)</f>
      </c>
    </row>
    <row r="51" spans="1:28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IF($K51="","",K51/100*11)</f>
      </c>
      <c r="O51" s="4">
        <v>8.99</v>
      </c>
      <c r="P51" s="4"/>
      <c r="Q51" s="4">
        <f>IF($K51="","",P51*20%)</f>
      </c>
      <c r="R51" s="4">
        <v>1</v>
      </c>
      <c r="S51" s="4">
        <f>IF($K51="","",L51-M51-N51-O51-P51-Q51-R51)</f>
      </c>
      <c r="T51" s="4">
        <f>IF($K51="","",(S51-V51)/J51*100)</f>
      </c>
      <c r="U51" s="4">
        <f>IF($K51="","",M51-Q51)</f>
      </c>
      <c r="W51" s="4">
        <f>IF($K51="","",S51-V51)</f>
      </c>
    </row>
    <row r="52" spans="1:28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IF($K52="","",K52/100*11)</f>
      </c>
      <c r="O52" s="4">
        <v>8.99</v>
      </c>
      <c r="P52" s="4"/>
      <c r="Q52" s="4">
        <f>IF($K52="","",P52*20%)</f>
      </c>
      <c r="R52" s="4">
        <v>1</v>
      </c>
      <c r="S52" s="4">
        <f>IF($K52="","",L52-M52-N52-O52-P52-Q52-R52)</f>
      </c>
      <c r="T52" s="4">
        <f>IF($K52="","",(S52-V52)/J52*100)</f>
      </c>
      <c r="U52" s="4">
        <f>IF($K52="","",M52-Q52)</f>
      </c>
      <c r="W52" s="4">
        <f>IF($K52="","",S52-V52)</f>
      </c>
    </row>
    <row r="53" spans="1:28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IF($K53="","",K53/100*11)</f>
      </c>
      <c r="O53" s="4">
        <v>8.99</v>
      </c>
      <c r="P53" s="4"/>
      <c r="Q53" s="4">
        <f>IF($K53="","",P53*20%)</f>
      </c>
      <c r="R53" s="4">
        <v>1</v>
      </c>
      <c r="S53" s="4">
        <f>IF($K53="","",L53-M53-N53-O53-P53-Q53-R53)</f>
      </c>
      <c r="T53" s="4">
        <f>IF($K53="","",(S53-V53)/J53*100)</f>
      </c>
      <c r="U53" s="4">
        <f>IF($K53="","",M53-Q53)</f>
      </c>
      <c r="W53" s="4">
        <f>IF($K53="","",S53-V53)</f>
      </c>
    </row>
    <row r="54" spans="1:28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IF($K54="","",K54/100*11)</f>
      </c>
      <c r="O54" s="4">
        <v>8.99</v>
      </c>
      <c r="P54" s="4"/>
      <c r="Q54" s="4">
        <f>IF($K54="","",P54*20%)</f>
      </c>
      <c r="R54" s="4">
        <v>1</v>
      </c>
      <c r="S54" s="4">
        <f>IF($K54="","",L54-M54-N54-O54-P54-Q54-R54)</f>
      </c>
      <c r="T54" s="4">
        <f>IF($K54="","",(S54-V54)/J54*100)</f>
      </c>
      <c r="U54" s="4">
        <f>IF($K54="","",M54-Q54)</f>
      </c>
      <c r="W54" s="4">
        <f>IF($K54="","",S54-V54)</f>
      </c>
    </row>
    <row r="55" spans="1:28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IF($K55="","",K55/100*11)</f>
      </c>
      <c r="O55" s="4">
        <v>8.99</v>
      </c>
      <c r="P55" s="4"/>
      <c r="Q55" s="4">
        <f>IF($K55="","",P55*20%)</f>
      </c>
      <c r="R55" s="4">
        <v>1</v>
      </c>
      <c r="S55" s="4">
        <f>IF($K55="","",L55-M55-N55-O55-P55-Q55-R55)</f>
      </c>
      <c r="T55" s="4">
        <f>IF($K55="","",(S55-V55)/J55*100)</f>
      </c>
      <c r="U55" s="4">
        <f>IF($K55="","",M55-Q55)</f>
      </c>
      <c r="W55" s="4">
        <f>IF($K55="","",S55-V55)</f>
      </c>
    </row>
    <row r="56" spans="1:28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IF($K56="","",K56/100*11)</f>
      </c>
      <c r="O56" s="4">
        <v>8.99</v>
      </c>
      <c r="P56" s="4"/>
      <c r="Q56" s="4">
        <f>IF($K56="","",P56*20%)</f>
      </c>
      <c r="R56" s="4">
        <v>1</v>
      </c>
      <c r="S56" s="4">
        <f>IF($K56="","",L56-M56-N56-O56-P56-Q56-R56)</f>
      </c>
      <c r="T56" s="4">
        <f>IF($K56="","",(S56-V56)/J56*100)</f>
      </c>
      <c r="U56" s="4">
        <f>IF($K56="","",M56-Q56)</f>
      </c>
      <c r="W56" s="4">
        <f>IF($K56="","",S56-V56)</f>
      </c>
    </row>
    <row r="57" spans="1:28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IF($K57="","",K57/100*11)</f>
      </c>
      <c r="O57" s="4">
        <v>8.99</v>
      </c>
      <c r="P57" s="4"/>
      <c r="Q57" s="4">
        <f>IF($K57="","",P57*20%)</f>
      </c>
      <c r="R57" s="4">
        <v>1</v>
      </c>
      <c r="S57" s="4">
        <f>IF($K57="","",L57-M57-N57-O57-P57-Q57-R57)</f>
      </c>
      <c r="T57" s="4">
        <f>IF($K57="","",(S57-V57)/J57*100)</f>
      </c>
      <c r="U57" s="4">
        <f>IF($K57="","",M57-Q57)</f>
      </c>
      <c r="W57" s="4">
        <f>IF($K57="","",S57-V57)</f>
      </c>
    </row>
    <row r="58" spans="1:28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IF($K58="","",K58/100*11)</f>
      </c>
      <c r="O58" s="4">
        <v>8.99</v>
      </c>
      <c r="P58" s="4"/>
      <c r="Q58" s="4">
        <f>IF($K58="","",P58*20%)</f>
      </c>
      <c r="R58" s="4">
        <v>1</v>
      </c>
      <c r="S58" s="4">
        <f>IF($K58="","",L58-M58-N58-O58-P58-Q58-R58)</f>
      </c>
      <c r="T58" s="4">
        <f>IF($K58="","",(S58-V58)/J58*100)</f>
      </c>
      <c r="U58" s="4">
        <f>IF($K58="","",M58-Q58)</f>
      </c>
      <c r="W58" s="4">
        <f>IF($K58="","",S58-V58)</f>
      </c>
    </row>
    <row r="59" spans="1:28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IF($K59="","",K59/100*11)</f>
      </c>
      <c r="O59" s="4">
        <v>8.99</v>
      </c>
      <c r="P59" s="4"/>
      <c r="Q59" s="4">
        <f>IF($K59="","",P59*20%)</f>
      </c>
      <c r="R59" s="4">
        <v>1</v>
      </c>
      <c r="S59" s="4">
        <f>IF($K59="","",L59-M59-N59-O59-P59-Q59-R59)</f>
      </c>
      <c r="T59" s="4">
        <f>IF($K59="","",(S59-V59)/J59*100)</f>
      </c>
      <c r="U59" s="4">
        <f>IF($K59="","",M59-Q59)</f>
      </c>
      <c r="W59" s="4">
        <f>IF($K59="","",S59-V59)</f>
      </c>
    </row>
    <row r="60" spans="1:28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IF($K60="","",K60/100*11)</f>
      </c>
      <c r="O60" s="4">
        <v>8.99</v>
      </c>
      <c r="P60" s="4"/>
      <c r="Q60" s="4">
        <f>IF($K60="","",P60*20%)</f>
      </c>
      <c r="R60" s="4">
        <v>1</v>
      </c>
      <c r="S60" s="4">
        <f>IF($K60="","",L60-M60-N60-O60-P60-Q60-R60)</f>
      </c>
      <c r="T60" s="4">
        <f>IF($K60="","",(S60-V60)/J60*100)</f>
      </c>
      <c r="U60" s="4">
        <f>IF($K60="","",M60-Q60)</f>
      </c>
      <c r="W60" s="4">
        <f>IF($K60="","",S60-V60)</f>
      </c>
    </row>
    <row r="61" spans="1:28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IF($K61="","",K61/100*11)</f>
      </c>
      <c r="O61" s="4">
        <v>8.99</v>
      </c>
      <c r="P61" s="4"/>
      <c r="Q61" s="4">
        <f>IF($K61="","",P61*20%)</f>
      </c>
      <c r="R61" s="4">
        <v>1</v>
      </c>
      <c r="S61" s="4">
        <f>IF($K61="","",L61-M61-N61-O61-P61-Q61-R61)</f>
      </c>
      <c r="T61" s="4">
        <f>IF($K61="","",(S61-V61)/J61*100)</f>
      </c>
      <c r="U61" s="4">
        <f>IF($K61="","",M61-Q61)</f>
      </c>
      <c r="W61" s="4">
        <f>IF($K61="","",S61-V61)</f>
      </c>
    </row>
    <row r="62" spans="1:28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IF($K62="","",K62/100*11)</f>
      </c>
      <c r="O62" s="4">
        <v>8.99</v>
      </c>
      <c r="P62" s="4"/>
      <c r="Q62" s="4">
        <f>IF($K62="","",P62*20%)</f>
      </c>
      <c r="R62" s="4">
        <v>1</v>
      </c>
      <c r="S62" s="4">
        <f>IF($K62="","",L62-M62-N62-O62-P62-Q62-R62)</f>
      </c>
      <c r="T62" s="4">
        <f>IF($K62="","",(S62-V62)/J62*100)</f>
      </c>
      <c r="U62" s="4">
        <f>IF($K62="","",M62-Q62)</f>
      </c>
      <c r="W62" s="4">
        <f>IF($K62="","",S62-V62)</f>
      </c>
    </row>
    <row r="63" spans="1:28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IF($K63="","",K63/100*11)</f>
      </c>
      <c r="O63" s="4">
        <v>8.99</v>
      </c>
      <c r="P63" s="4"/>
      <c r="Q63" s="4">
        <f>IF($K63="","",P63*20%)</f>
      </c>
      <c r="R63" s="4">
        <v>1</v>
      </c>
      <c r="S63" s="4">
        <f>IF($K63="","",L63-M63-N63-O63-P63-Q63-R63)</f>
      </c>
      <c r="T63" s="4">
        <f>IF($K63="","",(S63-V63)/J63*100)</f>
      </c>
      <c r="U63" s="4">
        <f>IF($K63="","",M63-Q63)</f>
      </c>
      <c r="W63" s="4">
        <f>IF($K63="","",S63-V63)</f>
      </c>
    </row>
    <row r="64" spans="1:28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IF($K64="","",K64/100*11)</f>
      </c>
      <c r="O64" s="4">
        <v>8.99</v>
      </c>
      <c r="P64" s="4"/>
      <c r="Q64" s="4">
        <f>IF($K64="","",P64*20%)</f>
      </c>
      <c r="R64" s="4">
        <v>1</v>
      </c>
      <c r="S64" s="4">
        <f>IF($K64="","",L64-M64-N64-O64-P64-Q64-R64)</f>
      </c>
      <c r="T64" s="4">
        <f>IF($K64="","",(S64-V64)/J64*100)</f>
      </c>
      <c r="U64" s="4">
        <f>IF($K64="","",M64-Q64)</f>
      </c>
      <c r="W64" s="4">
        <f>IF($K64="","",S64-V64)</f>
      </c>
    </row>
    <row r="65" spans="1:28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IF($K65="","",K65/100*11)</f>
      </c>
      <c r="O65" s="4">
        <v>8.99</v>
      </c>
      <c r="P65" s="4"/>
      <c r="Q65" s="4">
        <f>IF($K65="","",P65*20%)</f>
      </c>
      <c r="R65" s="4">
        <v>1</v>
      </c>
      <c r="S65" s="4">
        <f>IF($K65="","",L65-M65-N65-O65-P65-Q65-R65)</f>
      </c>
      <c r="T65" s="4">
        <f>IF($K65="","",(S65-V65)/J65*100)</f>
      </c>
      <c r="U65" s="4">
        <f>IF($K65="","",M65-Q65)</f>
      </c>
      <c r="W65" s="4">
        <f>IF($K65="","",S65-V65)</f>
      </c>
    </row>
    <row r="66" spans="1:28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IF($K66="","",K66/100*11)</f>
      </c>
      <c r="O66" s="4">
        <v>8.99</v>
      </c>
      <c r="P66" s="4"/>
      <c r="Q66" s="4">
        <f>IF($K66="","",P66*20%)</f>
      </c>
      <c r="R66" s="4">
        <v>1</v>
      </c>
      <c r="S66" s="4">
        <f>IF($K66="","",L66-M66-N66-O66-P66-Q66-R66)</f>
      </c>
      <c r="T66" s="4">
        <f>IF($K66="","",(S66-V66)/J66*100)</f>
      </c>
      <c r="U66" s="4">
        <f>IF($K66="","",M66-Q66)</f>
      </c>
      <c r="W66" s="4">
        <f>IF($K66="","",S66-V66)</f>
      </c>
    </row>
    <row r="67" spans="1:28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IF($K67="","",K67/100*11)</f>
      </c>
      <c r="O67" s="4">
        <v>8.99</v>
      </c>
      <c r="P67" s="4"/>
      <c r="Q67" s="4">
        <f>IF($K67="","",P67*20%)</f>
      </c>
      <c r="R67" s="4">
        <v>1</v>
      </c>
      <c r="S67" s="4">
        <f>IF($K67="","",L67-M67-N67-O67-P67-Q67-R67)</f>
      </c>
      <c r="T67" s="4">
        <f>IF($K67="","",(S67-V67)/J67*100)</f>
      </c>
      <c r="U67" s="4">
        <f>IF($K67="","",M67-Q67)</f>
      </c>
      <c r="W67" s="4">
        <f>IF($K67="","",S67-V67)</f>
      </c>
    </row>
    <row r="68" spans="1:28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IF($K68="","",K68/100*11)</f>
      </c>
      <c r="O68" s="4">
        <v>8.99</v>
      </c>
      <c r="P68" s="4"/>
      <c r="Q68" s="4">
        <f>IF($K68="","",P68*20%)</f>
      </c>
      <c r="R68" s="4">
        <v>1</v>
      </c>
      <c r="S68" s="4">
        <f>IF($K68="","",L68-M68-N68-O68-P68-Q68-R68)</f>
      </c>
      <c r="T68" s="4">
        <f>IF($K68="","",(S68-V68)/J68*100)</f>
      </c>
      <c r="U68" s="4">
        <f>IF($K68="","",M68-Q68)</f>
      </c>
      <c r="W68" s="4">
        <f>IF($K68="","",S68-V68)</f>
      </c>
    </row>
    <row r="69" spans="1:28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IF($K69="","",K69/100*11)</f>
      </c>
      <c r="O69" s="4">
        <v>8.99</v>
      </c>
      <c r="P69" s="4"/>
      <c r="Q69" s="4">
        <f>IF($K69="","",P69*20%)</f>
      </c>
      <c r="R69" s="4">
        <v>1</v>
      </c>
      <c r="S69" s="4">
        <f>IF($K69="","",L69-M69-N69-O69-P69-Q69-R69)</f>
      </c>
      <c r="T69" s="4">
        <f>IF($K69="","",(S69-V69)/J69*100)</f>
      </c>
      <c r="U69" s="4">
        <f>IF($K69="","",M69-Q69)</f>
      </c>
      <c r="W69" s="4">
        <f>IF($K69="","",S69-V69)</f>
      </c>
    </row>
    <row r="70" spans="1:28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IF($K70="","",K70/100*11)</f>
      </c>
      <c r="O70" s="4">
        <v>8.99</v>
      </c>
      <c r="P70" s="4"/>
      <c r="Q70" s="4">
        <f>IF($K70="","",P70*20%)</f>
      </c>
      <c r="R70" s="4">
        <v>1</v>
      </c>
      <c r="S70" s="4">
        <f>IF($K70="","",L70-M70-N70-O70-P70-Q70-R70)</f>
      </c>
      <c r="T70" s="4">
        <f>IF($K70="","",(S70-V70)/J70*100)</f>
      </c>
      <c r="U70" s="4">
        <f>IF($K70="","",M70-Q70)</f>
      </c>
      <c r="W70" s="4">
        <f>IF($K70="","",S70-V70)</f>
      </c>
    </row>
    <row r="71" spans="1:28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IF($K71="","",K71/100*11)</f>
      </c>
      <c r="O71" s="4">
        <v>8.99</v>
      </c>
      <c r="P71" s="4"/>
      <c r="Q71" s="4">
        <f>IF($K71="","",P71*20%)</f>
      </c>
      <c r="R71" s="4">
        <v>1</v>
      </c>
      <c r="S71" s="4">
        <f>IF($K71="","",L71-M71-N71-O71-P71-Q71-R71)</f>
      </c>
      <c r="T71" s="4">
        <f>IF($K71="","",(S71-V71)/J71*100)</f>
      </c>
      <c r="U71" s="4">
        <f>IF($K71="","",M71-Q71)</f>
      </c>
      <c r="W71" s="4">
        <f>IF($K71="","",S71-V71)</f>
      </c>
    </row>
    <row r="72" spans="1:28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IF($K72="","",K72/100*11)</f>
      </c>
      <c r="O72" s="4">
        <v>8.99</v>
      </c>
      <c r="P72" s="4"/>
      <c r="Q72" s="4">
        <f>IF($K72="","",P72*20%)</f>
      </c>
      <c r="R72" s="4">
        <v>1</v>
      </c>
      <c r="S72" s="4">
        <f>IF($K72="","",L72-M72-N72-O72-P72-Q72-R72)</f>
      </c>
      <c r="T72" s="4">
        <f>IF($K72="","",(S72-V72)/J72*100)</f>
      </c>
      <c r="U72" s="4">
        <f>IF($K72="","",M72-Q72)</f>
      </c>
      <c r="W72" s="4">
        <f>IF($K72="","",S72-V72)</f>
      </c>
    </row>
    <row r="73" spans="1:28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IF($K73="","",K73/100*11)</f>
      </c>
      <c r="O73" s="4">
        <v>8.99</v>
      </c>
      <c r="P73" s="4"/>
      <c r="Q73" s="4">
        <f>IF($K73="","",P73*20%)</f>
      </c>
      <c r="R73" s="4">
        <v>1</v>
      </c>
      <c r="S73" s="4">
        <f>IF($K73="","",L73-M73-N73-O73-P73-Q73-R73)</f>
      </c>
      <c r="T73" s="4">
        <f>IF($K73="","",(S73-V73)/J73*100)</f>
      </c>
      <c r="U73" s="4">
        <f>IF($K73="","",M73-Q73)</f>
      </c>
      <c r="W73" s="4">
        <f>IF($K73="","",S73-V73)</f>
      </c>
    </row>
    <row r="74" spans="1:28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IF($K74="","",K74/100*11)</f>
      </c>
      <c r="O74" s="4">
        <v>8.99</v>
      </c>
      <c r="P74" s="4"/>
      <c r="Q74" s="4">
        <f>IF($K74="","",P74*20%)</f>
      </c>
      <c r="R74" s="4">
        <v>1</v>
      </c>
      <c r="S74" s="4">
        <f>IF($K74="","",L74-M74-N74-O74-P74-Q74-R74)</f>
      </c>
      <c r="T74" s="4">
        <f>IF($K74="","",(S74-V74)/J74*100)</f>
      </c>
      <c r="U74" s="4">
        <f>IF($K74="","",M74-Q74)</f>
      </c>
      <c r="W74" s="4">
        <f>IF($K74="","",S74-V74)</f>
      </c>
    </row>
    <row r="75" spans="1:28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IF($K75="","",K75/100*11)</f>
      </c>
      <c r="O75" s="4">
        <v>8.99</v>
      </c>
      <c r="P75" s="4"/>
      <c r="Q75" s="4">
        <f>IF($K75="","",P75*20%)</f>
      </c>
      <c r="R75" s="4">
        <v>1</v>
      </c>
      <c r="S75" s="4">
        <f>IF($K75="","",L75-M75-N75-O75-P75-Q75-R75)</f>
      </c>
      <c r="T75" s="4">
        <f>IF($K75="","",(S75-V75)/J75*100)</f>
      </c>
      <c r="U75" s="4">
        <f>IF($K75="","",M75-Q75)</f>
      </c>
      <c r="W75" s="4">
        <f>IF($K75="","",S75-V75)</f>
      </c>
    </row>
    <row r="76" spans="1:28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IF($K76="","",K76/100*11)</f>
      </c>
      <c r="O76" s="4">
        <v>8.99</v>
      </c>
      <c r="P76" s="4"/>
      <c r="Q76" s="4">
        <f>IF($K76="","",P76*20%)</f>
      </c>
      <c r="R76" s="4">
        <v>1</v>
      </c>
      <c r="S76" s="4">
        <f>IF($K76="","",L76-M76-N76-O76-P76-Q76-R76)</f>
      </c>
      <c r="T76" s="4">
        <f>IF($K76="","",(S76-V76)/J76*100)</f>
      </c>
      <c r="U76" s="4">
        <f>IF($K76="","",M76-Q76)</f>
      </c>
      <c r="W76" s="4">
        <f>IF($K76="","",S76-V76)</f>
      </c>
    </row>
    <row r="77" spans="1:28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IF($K77="","",K77/100*11)</f>
      </c>
      <c r="O77" s="4">
        <v>8.99</v>
      </c>
      <c r="P77" s="4"/>
      <c r="Q77" s="4">
        <f>IF($K77="","",P77*20%)</f>
      </c>
      <c r="R77" s="4">
        <v>1</v>
      </c>
      <c r="S77" s="4">
        <f>IF($K77="","",L77-M77-N77-O77-P77-Q77-R77)</f>
      </c>
      <c r="T77" s="4">
        <f>IF($K77="","",(S77-V77)/J77*100)</f>
      </c>
      <c r="U77" s="4">
        <f>IF($K77="","",M77-Q77)</f>
      </c>
      <c r="W77" s="4">
        <f>IF($K77="","",S77-V77)</f>
      </c>
    </row>
    <row r="78" spans="1:28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IF($K78="","",K78/100*11)</f>
      </c>
      <c r="O78" s="4">
        <v>8.99</v>
      </c>
      <c r="P78" s="4"/>
      <c r="Q78" s="4">
        <f>IF($K78="","",P78*20%)</f>
      </c>
      <c r="R78" s="4">
        <v>1</v>
      </c>
      <c r="S78" s="4">
        <f>IF($K78="","",L78-M78-N78-O78-P78-Q78-R78)</f>
      </c>
      <c r="T78" s="4">
        <f>IF($K78="","",(S78-V78)/J78*100)</f>
      </c>
      <c r="U78" s="4">
        <f>IF($K78="","",M78-Q78)</f>
      </c>
      <c r="W78" s="4">
        <f>IF($K78="","",S78-V78)</f>
      </c>
    </row>
    <row r="79" spans="1:28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IF($K79="","",K79/100*11)</f>
      </c>
      <c r="O79" s="4">
        <v>8.99</v>
      </c>
      <c r="P79" s="4"/>
      <c r="Q79" s="4">
        <f>IF($K79="","",P79*20%)</f>
      </c>
      <c r="R79" s="4">
        <v>1</v>
      </c>
      <c r="S79" s="4">
        <f>IF($K79="","",L79-M79-N79-O79-P79-Q79-R79)</f>
      </c>
      <c r="T79" s="4">
        <f>IF($K79="","",(S79-V79)/J79*100)</f>
      </c>
      <c r="U79" s="4">
        <f>IF($K79="","",M79-Q79)</f>
      </c>
      <c r="W79" s="4">
        <f>IF($K79="","",S79-V79)</f>
      </c>
    </row>
    <row r="80" spans="1:28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IF($K80="","",K80/100*11)</f>
      </c>
      <c r="O80" s="4">
        <v>8.99</v>
      </c>
      <c r="P80" s="4"/>
      <c r="Q80" s="4">
        <f>IF($K80="","",P80*20%)</f>
      </c>
      <c r="R80" s="4">
        <v>1</v>
      </c>
      <c r="S80" s="4">
        <f>IF($K80="","",L80-M80-N80-O80-P80-Q80-R80)</f>
      </c>
      <c r="T80" s="4">
        <f>IF($K80="","",(S80-V80)/J80*100)</f>
      </c>
      <c r="U80" s="4">
        <f>IF($K80="","",M80-Q80)</f>
      </c>
      <c r="W80" s="4">
        <f>IF($K80="","",S80-V80)</f>
      </c>
    </row>
    <row r="81" spans="1:28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IF($K81="","",K81/100*11)</f>
      </c>
      <c r="O81" s="4">
        <v>8.99</v>
      </c>
      <c r="P81" s="4"/>
      <c r="Q81" s="4">
        <f>IF($K81="","",P81*20%)</f>
      </c>
      <c r="R81" s="4">
        <v>1</v>
      </c>
      <c r="S81" s="4">
        <f>IF($K81="","",L81-M81-N81-O81-P81-Q81-R81)</f>
      </c>
      <c r="T81" s="4">
        <f>IF($K81="","",(S81-V81)/J81*100)</f>
      </c>
      <c r="U81" s="4">
        <f>IF($K81="","",M81-Q81)</f>
      </c>
      <c r="W81" s="4">
        <f>IF($K81="","",S81-V81)</f>
      </c>
    </row>
    <row r="82" spans="1:28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IF($K82="","",K82/100*11)</f>
      </c>
      <c r="O82" s="4">
        <v>8.99</v>
      </c>
      <c r="P82" s="4"/>
      <c r="Q82" s="4">
        <f>IF($K82="","",P82*20%)</f>
      </c>
      <c r="R82" s="4">
        <v>1</v>
      </c>
      <c r="S82" s="4">
        <f>IF($K82="","",L82-M82-N82-O82-P82-Q82-R82)</f>
      </c>
      <c r="T82" s="4">
        <f>IF($K82="","",(S82-V82)/J82*100)</f>
      </c>
      <c r="U82" s="4">
        <f>IF($K82="","",M82-Q82)</f>
      </c>
      <c r="W82" s="4">
        <f>IF($K82="","",S82-V82)</f>
      </c>
    </row>
    <row r="83" spans="1:28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IF($K83="","",K83/100*11)</f>
      </c>
      <c r="O83" s="4">
        <v>8.99</v>
      </c>
      <c r="P83" s="4"/>
      <c r="Q83" s="4">
        <f>IF($K83="","",P83*20%)</f>
      </c>
      <c r="R83" s="4">
        <v>1</v>
      </c>
      <c r="S83" s="4">
        <f>IF($K83="","",L83-M83-N83-O83-P83-Q83-R83)</f>
      </c>
      <c r="T83" s="4">
        <f>IF($K83="","",(S83-V83)/J83*100)</f>
      </c>
      <c r="U83" s="4">
        <f>IF($K83="","",M83-Q83)</f>
      </c>
      <c r="W83" s="4">
        <f>IF($K83="","",S83-V83)</f>
      </c>
    </row>
    <row r="84" spans="1:28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IF($K84="","",K84/100*11)</f>
      </c>
      <c r="O84" s="4">
        <v>8.99</v>
      </c>
      <c r="P84" s="4"/>
      <c r="Q84" s="4">
        <f>IF($K84="","",P84*20%)</f>
      </c>
      <c r="R84" s="4">
        <v>1</v>
      </c>
      <c r="S84" s="4">
        <f>IF($K84="","",L84-M84-N84-O84-P84-Q84-R84)</f>
      </c>
      <c r="T84" s="4">
        <f>IF($K84="","",(S84-V84)/J84*100)</f>
      </c>
      <c r="U84" s="4">
        <f>IF($K84="","",M84-Q84)</f>
      </c>
      <c r="W84" s="4">
        <f>IF($K84="","",S84-V84)</f>
      </c>
    </row>
    <row r="85" spans="1:28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IF($K85="","",K85/100*11)</f>
      </c>
      <c r="O85" s="4">
        <v>8.99</v>
      </c>
      <c r="P85" s="4"/>
      <c r="Q85" s="4">
        <f>IF($K85="","",P85*20%)</f>
      </c>
      <c r="R85" s="4">
        <v>1</v>
      </c>
      <c r="S85" s="4">
        <f>IF($K85="","",L85-M85-N85-O85-P85-Q85-R85)</f>
      </c>
      <c r="T85" s="4">
        <f>IF($K85="","",(S85-V85)/J85*100)</f>
      </c>
      <c r="U85" s="4">
        <f>IF($K85="","",M85-Q85)</f>
      </c>
      <c r="W85" s="4">
        <f>IF($K85="","",S85-V85)</f>
      </c>
    </row>
    <row r="86" spans="1:28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IF($K86="","",K86/100*11)</f>
      </c>
      <c r="O86" s="4">
        <v>8.99</v>
      </c>
      <c r="P86" s="4"/>
      <c r="Q86" s="4">
        <f>IF($K86="","",P86*20%)</f>
      </c>
      <c r="R86" s="4">
        <v>1</v>
      </c>
      <c r="S86" s="4">
        <f>IF($K86="","",L86-M86-N86-O86-P86-Q86-R86)</f>
      </c>
      <c r="T86" s="4">
        <f>IF($K86="","",(S86-V86)/J86*100)</f>
      </c>
      <c r="U86" s="4">
        <f>IF($K86="","",M86-Q86)</f>
      </c>
      <c r="W86" s="4">
        <f>IF($K86="","",S86-V86)</f>
      </c>
    </row>
    <row r="87" spans="1:28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IF($K87="","",K87/100*11)</f>
      </c>
      <c r="O87" s="4">
        <v>8.99</v>
      </c>
      <c r="P87" s="4"/>
      <c r="Q87" s="4">
        <f>IF($K87="","",P87*20%)</f>
      </c>
      <c r="R87" s="4">
        <v>1</v>
      </c>
      <c r="S87" s="4">
        <f>IF($K87="","",L87-M87-N87-O87-P87-Q87-R87)</f>
      </c>
      <c r="T87" s="4">
        <f>IF($K87="","",(S87-V87)/J87*100)</f>
      </c>
      <c r="U87" s="4">
        <f>IF($K87="","",M87-Q87)</f>
      </c>
      <c r="W87" s="4">
        <f>IF($K87="","",S87-V87)</f>
      </c>
    </row>
    <row r="88" spans="1:28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IF($K88="","",K88/100*11)</f>
      </c>
      <c r="O88" s="4">
        <v>8.99</v>
      </c>
      <c r="P88" s="4"/>
      <c r="Q88" s="4">
        <f>IF($K88="","",P88*20%)</f>
      </c>
      <c r="R88" s="4">
        <v>1</v>
      </c>
      <c r="S88" s="4">
        <f>IF($K88="","",L88-M88-N88-O88-P88-Q88-R88)</f>
      </c>
      <c r="T88" s="4">
        <f>IF($K88="","",(S88-V88)/J88*100)</f>
      </c>
      <c r="U88" s="4">
        <f>IF($K88="","",M88-Q88)</f>
      </c>
      <c r="W88" s="4">
        <f>IF($K88="","",S88-V88)</f>
      </c>
    </row>
    <row r="89" spans="1:28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IF($K89="","",K89/100*11)</f>
      </c>
      <c r="O89" s="4">
        <v>8.99</v>
      </c>
      <c r="P89" s="4"/>
      <c r="Q89" s="4">
        <f>IF($K89="","",P89*20%)</f>
      </c>
      <c r="R89" s="4">
        <v>1</v>
      </c>
      <c r="S89" s="4">
        <f>IF($K89="","",L89-M89-N89-O89-P89-Q89-R89)</f>
      </c>
      <c r="T89" s="4">
        <f>IF($K89="","",(S89-V89)/J89*100)</f>
      </c>
      <c r="U89" s="4">
        <f>IF($K89="","",M89-Q89)</f>
      </c>
      <c r="W89" s="4">
        <f>IF($K89="","",S89-V89)</f>
      </c>
    </row>
    <row r="90" spans="1:28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IF($K90="","",K90/100*11)</f>
      </c>
      <c r="O90" s="4">
        <v>8.99</v>
      </c>
      <c r="P90" s="4"/>
      <c r="Q90" s="4">
        <f>IF($K90="","",P90*20%)</f>
      </c>
      <c r="R90" s="4">
        <v>1</v>
      </c>
      <c r="S90" s="4">
        <f>IF($K90="","",L90-M90-N90-O90-P90-Q90-R90)</f>
      </c>
      <c r="T90" s="4">
        <f>IF($K90="","",(S90-V90)/J90*100)</f>
      </c>
      <c r="U90" s="4">
        <f>IF($K90="","",M90-Q90)</f>
      </c>
      <c r="W90" s="4">
        <f>IF($K90="","",S90-V90)</f>
      </c>
    </row>
    <row r="91" spans="1:28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IF($K91="","",K91/100*11)</f>
      </c>
      <c r="O91" s="4">
        <v>8.99</v>
      </c>
      <c r="P91" s="4"/>
      <c r="Q91" s="4">
        <f>IF($K91="","",P91*20%)</f>
      </c>
      <c r="R91" s="4">
        <v>1</v>
      </c>
      <c r="S91" s="4">
        <f>IF($K91="","",L91-M91-N91-O91-P91-Q91-R91)</f>
      </c>
      <c r="T91" s="4">
        <f>IF($K91="","",(S91-V91)/J91*100)</f>
      </c>
      <c r="U91" s="4">
        <f>IF($K91="","",M91-Q91)</f>
      </c>
      <c r="W91" s="4">
        <f>IF($K91="","",S91-V91)</f>
      </c>
    </row>
    <row r="92" spans="1:28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IF($K92="","",K92/100*11)</f>
      </c>
      <c r="O92" s="4">
        <v>8.99</v>
      </c>
      <c r="P92" s="4"/>
      <c r="Q92" s="4">
        <f>IF($K92="","",P92*20%)</f>
      </c>
      <c r="R92" s="4">
        <v>1</v>
      </c>
      <c r="S92" s="4">
        <f>IF($K92="","",L92-M92-N92-O92-P92-Q92-R92)</f>
      </c>
      <c r="T92" s="4">
        <f>IF($K92="","",(S92-V92)/J92*100)</f>
      </c>
      <c r="U92" s="4">
        <f>IF($K92="","",M92-Q92)</f>
      </c>
      <c r="W92" s="4">
        <f>IF($K92="","",S92-V92)</f>
      </c>
    </row>
    <row r="93" spans="1:28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IF($K93="","",K93/100*11)</f>
      </c>
      <c r="O93" s="4">
        <v>8.99</v>
      </c>
      <c r="P93" s="4"/>
      <c r="Q93" s="4">
        <f>IF($K93="","",P93*20%)</f>
      </c>
      <c r="R93" s="4">
        <v>1</v>
      </c>
      <c r="S93" s="4">
        <f>IF($K93="","",L93-M93-N93-O93-P93-Q93-R93)</f>
      </c>
      <c r="T93" s="4">
        <f>IF($K93="","",(S93-V93)/J93*100)</f>
      </c>
      <c r="U93" s="4">
        <f>IF($K93="","",M93-Q93)</f>
      </c>
      <c r="W93" s="4">
        <f>IF($K93="","",S93-V93)</f>
      </c>
    </row>
    <row r="94" spans="1:28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IF($K94="","",K94/100*11)</f>
      </c>
      <c r="O94" s="4">
        <v>8.99</v>
      </c>
      <c r="P94" s="4"/>
      <c r="Q94" s="4">
        <f>IF($K94="","",P94*20%)</f>
      </c>
      <c r="R94" s="4">
        <v>1</v>
      </c>
      <c r="S94" s="4">
        <f>IF($K94="","",L94-M94-N94-O94-P94-Q94-R94)</f>
      </c>
      <c r="T94" s="4">
        <f>IF($K94="","",(S94-V94)/J94*100)</f>
      </c>
      <c r="U94" s="4">
        <f>IF($K94="","",M94-Q94)</f>
      </c>
      <c r="W94" s="4">
        <f>IF($K94="","",S94-V94)</f>
      </c>
    </row>
    <row r="95" spans="1:28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IF($K95="","",K95/100*11)</f>
      </c>
      <c r="O95" s="4">
        <v>8.99</v>
      </c>
      <c r="P95" s="4"/>
      <c r="Q95" s="4">
        <f>IF($K95="","",P95*20%)</f>
      </c>
      <c r="R95" s="4">
        <v>1</v>
      </c>
      <c r="S95" s="4">
        <f>IF($K95="","",L95-M95-N95-O95-P95-Q95-R95)</f>
      </c>
      <c r="T95" s="4">
        <f>IF($K95="","",(S95-V95)/J95*100)</f>
      </c>
      <c r="U95" s="4">
        <f>IF($K95="","",M95-Q95)</f>
      </c>
      <c r="W95" s="4">
        <f>IF($K95="","",S95-V95)</f>
      </c>
    </row>
    <row r="96" spans="1:28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IF($K96="","",K96/100*11)</f>
      </c>
      <c r="O96" s="4">
        <v>8.99</v>
      </c>
      <c r="P96" s="4"/>
      <c r="Q96" s="4">
        <f>IF($K96="","",P96*20%)</f>
      </c>
      <c r="R96" s="4">
        <v>1</v>
      </c>
      <c r="S96" s="4">
        <f>IF($K96="","",L96-M96-N96-O96-P96-Q96-R96)</f>
      </c>
      <c r="T96" s="4">
        <f>IF($K96="","",(S96-V96)/J96*100)</f>
      </c>
      <c r="U96" s="4">
        <f>IF($K96="","",M96-Q96)</f>
      </c>
      <c r="W96" s="4">
        <f>IF($K96="","",S96-V96)</f>
      </c>
    </row>
    <row r="97" spans="1:28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IF($K97="","",K97/100*11)</f>
      </c>
      <c r="O97" s="4">
        <v>8.99</v>
      </c>
      <c r="P97" s="4"/>
      <c r="Q97" s="4">
        <f>IF($K97="","",P97*20%)</f>
      </c>
      <c r="R97" s="4">
        <v>1</v>
      </c>
      <c r="S97" s="4">
        <f>IF($K97="","",L97-M97-N97-O97-P97-Q97-R97)</f>
      </c>
      <c r="T97" s="4">
        <f>IF($K97="","",(S97-V97)/J97*100)</f>
      </c>
      <c r="U97" s="4">
        <f>IF($K97="","",M97-Q97)</f>
      </c>
      <c r="W97" s="4">
        <f>IF($K97="","",S97-V97)</f>
      </c>
    </row>
    <row r="98" spans="1:28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IF($K98="","",K98/100*11)</f>
      </c>
      <c r="O98" s="4">
        <v>8.99</v>
      </c>
      <c r="P98" s="4"/>
      <c r="Q98" s="4">
        <f>IF($K98="","",P98*20%)</f>
      </c>
      <c r="R98" s="4">
        <v>1</v>
      </c>
      <c r="S98" s="4">
        <f>IF($K98="","",L98-M98-N98-O98-P98-Q98-R98)</f>
      </c>
      <c r="T98" s="4">
        <f>IF($K98="","",(S98-V98)/J98*100)</f>
      </c>
      <c r="U98" s="4">
        <f>IF($K98="","",M98-Q98)</f>
      </c>
      <c r="W98" s="4">
        <f>IF($K98="","",S98-V98)</f>
      </c>
    </row>
    <row r="99" spans="1:28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IF($K99="","",K99/100*11)</f>
      </c>
      <c r="O99" s="4">
        <v>8.99</v>
      </c>
      <c r="P99" s="4"/>
      <c r="Q99" s="4">
        <f>IF($K99="","",P99*20%)</f>
      </c>
      <c r="R99" s="4">
        <v>1</v>
      </c>
      <c r="S99" s="4">
        <f>IF($K99="","",L99-M99-N99-O99-P99-Q99-R99)</f>
      </c>
      <c r="T99" s="4">
        <f>IF($K99="","",(S99-V99)/J99*100)</f>
      </c>
      <c r="U99" s="4">
        <f>IF($K99="","",M99-Q99)</f>
      </c>
      <c r="W99" s="4">
        <f>IF($K99="","",S99-V99)</f>
      </c>
    </row>
    <row r="100" spans="1:28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IF($K100="","",K100/100*11)</f>
      </c>
      <c r="O100" s="4">
        <v>8.99</v>
      </c>
      <c r="P100" s="4"/>
      <c r="Q100" s="4">
        <f>IF($K100="","",P100*20%)</f>
      </c>
      <c r="R100" s="4">
        <v>1</v>
      </c>
      <c r="S100" s="4">
        <f>IF($K100="","",L100-M100-N100-O100-P100-Q100-R100)</f>
      </c>
      <c r="T100" s="4">
        <f>IF($K100="","",(S100-V100)/J100*100)</f>
      </c>
      <c r="U100" s="4">
        <f>IF($K100="","",M100-Q100)</f>
      </c>
      <c r="W100" s="4">
        <f>IF($K100="","",S100-V100)</f>
      </c>
    </row>
    <row r="101" spans="1:28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IF($K101="","",K101/100*11)</f>
      </c>
      <c r="O101" s="4">
        <v>8.99</v>
      </c>
      <c r="P101" s="4"/>
      <c r="Q101" s="4">
        <f>IF($K101="","",P101*20%)</f>
      </c>
      <c r="R101" s="4">
        <v>1</v>
      </c>
      <c r="S101" s="4">
        <f>IF($K101="","",L101-M101-N101-O101-P101-Q101-R101)</f>
      </c>
      <c r="T101" s="4">
        <f>IF($K101="","",(S101-V101)/J101*100)</f>
      </c>
      <c r="U101" s="4">
        <f>IF($K101="","",M101-Q101)</f>
      </c>
      <c r="W101" s="4">
        <f>IF($K101="","",S101-V101)</f>
      </c>
    </row>
    <row r="102" spans="1:28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IF($K102="","",K102/100*11)</f>
      </c>
      <c r="O102" s="4">
        <v>8.99</v>
      </c>
      <c r="P102" s="4"/>
      <c r="Q102" s="4">
        <f>IF($K102="","",P102*20%)</f>
      </c>
      <c r="R102" s="4">
        <v>1</v>
      </c>
      <c r="S102" s="4">
        <f>IF($K102="","",L102-M102-N102-O102-P102-Q102-R102)</f>
      </c>
      <c r="T102" s="4">
        <f>IF($K102="","",(S102-V102)/J102*100)</f>
      </c>
      <c r="U102" s="4">
        <f>IF($K102="","",M102-Q102)</f>
      </c>
      <c r="W102" s="4">
        <f>IF($K102="","",S102-V102)</f>
      </c>
    </row>
    <row r="103" spans="1:28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IF($K103="","",K103/100*11)</f>
      </c>
      <c r="O103" s="4">
        <v>8.99</v>
      </c>
      <c r="P103" s="4"/>
      <c r="Q103" s="4">
        <f>IF($K103="","",P103*20%)</f>
      </c>
      <c r="R103" s="4">
        <v>1</v>
      </c>
      <c r="S103" s="4">
        <f>IF($K103="","",L103-M103-N103-O103-P103-Q103-R103)</f>
      </c>
      <c r="T103" s="4">
        <f>IF($K103="","",(S103-V103)/J103*100)</f>
      </c>
      <c r="U103" s="4">
        <f>IF($K103="","",M103-Q103)</f>
      </c>
      <c r="W103" s="4">
        <f>IF($K103="","",S103-V103)</f>
      </c>
    </row>
    <row r="104" spans="1:28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IF($K104="","",K104/100*11)</f>
      </c>
      <c r="O104" s="4">
        <v>8.99</v>
      </c>
      <c r="P104" s="4"/>
      <c r="Q104" s="4">
        <f>IF($K104="","",P104*20%)</f>
      </c>
      <c r="R104" s="4">
        <v>1</v>
      </c>
      <c r="S104" s="4">
        <f>IF($K104="","",L104-M104-N104-O104-P104-Q104-R104)</f>
      </c>
      <c r="T104" s="4">
        <f>IF($K104="","",(S104-V104)/J104*100)</f>
      </c>
      <c r="U104" s="4">
        <f>IF($K104="","",M104-Q104)</f>
      </c>
      <c r="W104" s="4">
        <f>IF($K104="","",S104-V104)</f>
      </c>
    </row>
    <row r="105" spans="1:28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IF($K105="","",K105/100*11)</f>
      </c>
      <c r="O105" s="4">
        <v>8.99</v>
      </c>
      <c r="P105" s="4"/>
      <c r="Q105" s="4">
        <f>IF($K105="","",P105*20%)</f>
      </c>
      <c r="R105" s="4">
        <v>1</v>
      </c>
      <c r="S105" s="4">
        <f>IF($K105="","",L105-M105-N105-O105-P105-Q105-R105)</f>
      </c>
      <c r="T105" s="4">
        <f>IF($K105="","",(S105-V105)/J105*100)</f>
      </c>
      <c r="U105" s="4">
        <f>IF($K105="","",M105-Q105)</f>
      </c>
      <c r="W105" s="4">
        <f>IF($K105="","",S105-V105)</f>
      </c>
    </row>
    <row r="106" spans="1:28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IF($K106="","",K106/100*11)</f>
      </c>
      <c r="O106" s="4">
        <v>8.99</v>
      </c>
      <c r="P106" s="4"/>
      <c r="Q106" s="4">
        <f>IF($K106="","",P106*20%)</f>
      </c>
      <c r="R106" s="4">
        <v>1</v>
      </c>
      <c r="S106" s="4">
        <f>IF($K106="","",L106-M106-N106-O106-P106-Q106-R106)</f>
      </c>
      <c r="T106" s="4">
        <f>IF($K106="","",(S106-V106)/J106*100)</f>
      </c>
      <c r="U106" s="4">
        <f>IF($K106="","",M106-Q106)</f>
      </c>
      <c r="W106" s="4">
        <f>IF($K106="","",S106-V106)</f>
      </c>
    </row>
    <row r="107" spans="1:28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IF($K107="","",K107/100*11)</f>
      </c>
      <c r="O107" s="4">
        <v>8.99</v>
      </c>
      <c r="P107" s="4"/>
      <c r="Q107" s="4">
        <f>IF($K107="","",P107*20%)</f>
      </c>
      <c r="R107" s="4">
        <v>1</v>
      </c>
      <c r="S107" s="4">
        <f>IF($K107="","",L107-M107-N107-O107-P107-Q107-R107)</f>
      </c>
      <c r="T107" s="4">
        <f>IF($K107="","",(S107-V107)/J107*100)</f>
      </c>
      <c r="U107" s="4">
        <f>IF($K107="","",M107-Q107)</f>
      </c>
      <c r="W107" s="4">
        <f>IF($K107="","",S107-V107)</f>
      </c>
    </row>
    <row r="108" spans="1:28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IF($K108="","",K108/100*11)</f>
      </c>
      <c r="O108" s="4">
        <v>8.99</v>
      </c>
      <c r="P108" s="4"/>
      <c r="Q108" s="4">
        <f>IF($K108="","",P108*20%)</f>
      </c>
      <c r="R108" s="4">
        <v>1</v>
      </c>
      <c r="S108" s="4">
        <f>IF($K108="","",L108-M108-N108-O108-P108-Q108-R108)</f>
      </c>
      <c r="T108" s="4">
        <f>IF($K108="","",(S108-V108)/J108*100)</f>
      </c>
      <c r="U108" s="4">
        <f>IF($K108="","",M108-Q108)</f>
      </c>
      <c r="W108" s="4">
        <f>IF($K108="","",S108-V108)</f>
      </c>
    </row>
    <row r="109" spans="1:28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IF($K109="","",K109/100*11)</f>
      </c>
      <c r="O109" s="4">
        <v>8.99</v>
      </c>
      <c r="P109" s="4"/>
      <c r="Q109" s="4">
        <f>IF($K109="","",P109*20%)</f>
      </c>
      <c r="R109" s="4">
        <v>1</v>
      </c>
      <c r="S109" s="4">
        <f>IF($K109="","",L109-M109-N109-O109-P109-Q109-R109)</f>
      </c>
      <c r="T109" s="4">
        <f>IF($K109="","",(S109-V109)/J109*100)</f>
      </c>
      <c r="U109" s="4">
        <f>IF($K109="","",M109-Q109)</f>
      </c>
      <c r="W109" s="4">
        <f>IF($K109="","",S109-V109)</f>
      </c>
    </row>
    <row r="110" spans="1:28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IF($K110="","",K110/100*11)</f>
      </c>
      <c r="O110" s="4">
        <v>8.99</v>
      </c>
      <c r="P110" s="4"/>
      <c r="Q110" s="4">
        <f>IF($K110="","",P110*20%)</f>
      </c>
      <c r="R110" s="4">
        <v>1</v>
      </c>
      <c r="S110" s="4">
        <f>IF($K110="","",L110-M110-N110-O110-P110-Q110-R110)</f>
      </c>
      <c r="T110" s="4">
        <f>IF($K110="","",(S110-V110)/J110*100)</f>
      </c>
      <c r="U110" s="4">
        <f>IF($K110="","",M110-Q110)</f>
      </c>
      <c r="W110" s="4">
        <f>IF($K110="","",S110-V110)</f>
      </c>
    </row>
    <row r="111" spans="1:28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IF($K111="","",K111/100*11)</f>
      </c>
      <c r="O111" s="4">
        <v>8.99</v>
      </c>
      <c r="P111" s="4"/>
      <c r="Q111" s="4">
        <f>IF($K111="","",P111*20%)</f>
      </c>
      <c r="R111" s="4">
        <v>1</v>
      </c>
      <c r="S111" s="4">
        <f>IF($K111="","",L111-M111-N111-O111-P111-Q111-R111)</f>
      </c>
      <c r="T111" s="4">
        <f>IF($K111="","",(S111-V111)/J111*100)</f>
      </c>
      <c r="U111" s="4">
        <f>IF($K111="","",M111-Q111)</f>
      </c>
      <c r="W111" s="4">
        <f>IF($K111="","",S111-V111)</f>
      </c>
    </row>
    <row r="112" spans="1:28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IF($K112="","",K112/100*11)</f>
      </c>
      <c r="O112" s="4">
        <v>8.99</v>
      </c>
      <c r="P112" s="4"/>
      <c r="Q112" s="4">
        <f>IF($K112="","",P112*20%)</f>
      </c>
      <c r="R112" s="4">
        <v>1</v>
      </c>
      <c r="S112" s="4">
        <f>IF($K112="","",L112-M112-N112-O112-P112-Q112-R112)</f>
      </c>
      <c r="T112" s="4">
        <f>IF($K112="","",(S112-V112)/J112*100)</f>
      </c>
      <c r="U112" s="4">
        <f>IF($K112="","",M112-Q112)</f>
      </c>
      <c r="W112" s="4">
        <f>IF($K112="","",S112-V112)</f>
      </c>
    </row>
    <row r="113" spans="1:28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IF($K113="","",K113/100*11)</f>
      </c>
      <c r="O113" s="4">
        <v>8.99</v>
      </c>
      <c r="P113" s="4"/>
      <c r="Q113" s="4">
        <f>IF($K113="","",P113*20%)</f>
      </c>
      <c r="R113" s="4">
        <v>1</v>
      </c>
      <c r="S113" s="4">
        <f>IF($K113="","",L113-M113-N113-O113-P113-Q113-R113)</f>
      </c>
      <c r="T113" s="4">
        <f>IF($K113="","",(S113-V113)/J113*100)</f>
      </c>
      <c r="U113" s="4">
        <f>IF($K113="","",M113-Q113)</f>
      </c>
      <c r="W113" s="4">
        <f>IF($K113="","",S113-V113)</f>
      </c>
    </row>
    <row r="114" spans="1:28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IF($K114="","",K114/100*11)</f>
      </c>
      <c r="O114" s="4">
        <v>8.99</v>
      </c>
      <c r="P114" s="4"/>
      <c r="Q114" s="4">
        <f>IF($K114="","",P114*20%)</f>
      </c>
      <c r="R114" s="4">
        <v>1</v>
      </c>
      <c r="S114" s="4">
        <f>IF($K114="","",L114-M114-N114-O114-P114-Q114-R114)</f>
      </c>
      <c r="T114" s="4">
        <f>IF($K114="","",(S114-V114)/J114*100)</f>
      </c>
      <c r="U114" s="4">
        <f>IF($K114="","",M114-Q114)</f>
      </c>
      <c r="W114" s="4">
        <f>IF($K114="","",S114-V114)</f>
      </c>
    </row>
    <row r="115" spans="1:28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IF($K115="","",K115/100*11)</f>
      </c>
      <c r="O115" s="4">
        <v>8.99</v>
      </c>
      <c r="P115" s="4"/>
      <c r="Q115" s="4">
        <f>IF($K115="","",P115*20%)</f>
      </c>
      <c r="R115" s="4">
        <v>1</v>
      </c>
      <c r="S115" s="4">
        <f>IF($K115="","",L115-M115-N115-O115-P115-Q115-R115)</f>
      </c>
      <c r="T115" s="4">
        <f>IF($K115="","",(S115-V115)/J115*100)</f>
      </c>
      <c r="U115" s="4">
        <f>IF($K115="","",M115-Q115)</f>
      </c>
      <c r="W115" s="4">
        <f>IF($K115="","",S115-V115)</f>
      </c>
    </row>
    <row r="116" spans="1:28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IF($K116="","",K116/100*11)</f>
      </c>
      <c r="O116" s="4">
        <v>8.99</v>
      </c>
      <c r="P116" s="4"/>
      <c r="Q116" s="4">
        <f>IF($K116="","",P116*20%)</f>
      </c>
      <c r="R116" s="4">
        <v>1</v>
      </c>
      <c r="S116" s="4">
        <f>IF($K116="","",L116-M116-N116-O116-P116-Q116-R116)</f>
      </c>
      <c r="T116" s="4">
        <f>IF($K116="","",(S116-V116)/J116*100)</f>
      </c>
      <c r="U116" s="4">
        <f>IF($K116="","",M116-Q116)</f>
      </c>
      <c r="W116" s="4">
        <f>IF($K116="","",S116-V116)</f>
      </c>
    </row>
    <row r="117" spans="1:28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IF($K117="","",K117/100*11)</f>
      </c>
      <c r="O117" s="4">
        <v>8.99</v>
      </c>
      <c r="P117" s="4"/>
      <c r="Q117" s="4">
        <f>IF($K117="","",P117*20%)</f>
      </c>
      <c r="R117" s="4">
        <v>1</v>
      </c>
      <c r="S117" s="4">
        <f>IF($K117="","",L117-M117-N117-O117-P117-Q117-R117)</f>
      </c>
      <c r="T117" s="4">
        <f>IF($K117="","",(S117-V117)/J117*100)</f>
      </c>
      <c r="U117" s="4">
        <f>IF($K117="","",M117-Q117)</f>
      </c>
      <c r="W117" s="4">
        <f>IF($K117="","",S117-V117)</f>
      </c>
    </row>
    <row r="118" spans="1:28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IF($K118="","",K118/100*11)</f>
      </c>
      <c r="O118" s="4">
        <v>8.99</v>
      </c>
      <c r="P118" s="4"/>
      <c r="Q118" s="4">
        <f>IF($K118="","",P118*20%)</f>
      </c>
      <c r="R118" s="4">
        <v>1</v>
      </c>
      <c r="S118" s="4">
        <f>IF($K118="","",L118-M118-N118-O118-P118-Q118-R118)</f>
      </c>
      <c r="T118" s="4">
        <f>IF($K118="","",(S118-V118)/J118*100)</f>
      </c>
      <c r="U118" s="4">
        <f>IF($K118="","",M118-Q118)</f>
      </c>
      <c r="W118" s="4">
        <f>IF($K118="","",S118-V118)</f>
      </c>
    </row>
    <row r="119" spans="1:28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IF($K119="","",K119/100*11)</f>
      </c>
      <c r="O119" s="4">
        <v>8.99</v>
      </c>
      <c r="P119" s="4"/>
      <c r="Q119" s="4">
        <f>IF($K119="","",P119*20%)</f>
      </c>
      <c r="R119" s="4">
        <v>1</v>
      </c>
      <c r="S119" s="4">
        <f>IF($K119="","",L119-M119-N119-O119-P119-Q119-R119)</f>
      </c>
      <c r="T119" s="4">
        <f>IF($K119="","",(S119-V119)/J119*100)</f>
      </c>
      <c r="U119" s="4">
        <f>IF($K119="","",M119-Q119)</f>
      </c>
      <c r="W119" s="4">
        <f>IF($K119="","",S119-V119)</f>
      </c>
    </row>
    <row r="120" spans="1:28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IF($K120="","",K120/100*11)</f>
      </c>
      <c r="O120" s="4">
        <v>8.99</v>
      </c>
      <c r="P120" s="4"/>
      <c r="Q120" s="4">
        <f>IF($K120="","",P120*20%)</f>
      </c>
      <c r="R120" s="4">
        <v>1</v>
      </c>
      <c r="S120" s="4">
        <f>IF($K120="","",L120-M120-N120-O120-P120-Q120-R120)</f>
      </c>
      <c r="T120" s="4">
        <f>IF($K120="","",(S120-V120)/J120*100)</f>
      </c>
      <c r="U120" s="4">
        <f>IF($K120="","",M120-Q120)</f>
      </c>
      <c r="W120" s="4">
        <f>IF($K120="","",S120-V120)</f>
      </c>
    </row>
    <row r="121" spans="1:28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IF($K121="","",K121/100*11)</f>
      </c>
      <c r="O121" s="4">
        <v>8.99</v>
      </c>
      <c r="P121" s="4"/>
      <c r="Q121" s="4">
        <f>IF($K121="","",P121*20%)</f>
      </c>
      <c r="R121" s="4">
        <v>1</v>
      </c>
      <c r="S121" s="4">
        <f>IF($K121="","",L121-M121-N121-O121-P121-Q121-R121)</f>
      </c>
      <c r="T121" s="4">
        <f>IF($K121="","",(S121-V121)/J121*100)</f>
      </c>
      <c r="U121" s="4">
        <f>IF($K121="","",M121-Q121)</f>
      </c>
      <c r="W121" s="4">
        <f>IF($K121="","",S121-V121)</f>
      </c>
    </row>
    <row r="122" spans="1:28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IF($K122="","",K122/100*11)</f>
      </c>
      <c r="O122" s="4">
        <v>8.99</v>
      </c>
      <c r="P122" s="4"/>
      <c r="Q122" s="4">
        <f>IF($K122="","",P122*20%)</f>
      </c>
      <c r="R122" s="4">
        <v>1</v>
      </c>
      <c r="S122" s="4">
        <f>IF($K122="","",L122-M122-N122-O122-P122-Q122-R122)</f>
      </c>
      <c r="T122" s="4">
        <f>IF($K122="","",(S122-V122)/J122*100)</f>
      </c>
      <c r="U122" s="4">
        <f>IF($K122="","",M122-Q122)</f>
      </c>
      <c r="W122" s="4">
        <f>IF($K122="","",S122-V122)</f>
      </c>
    </row>
    <row r="123" spans="1:28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IF($K123="","",K123/100*11)</f>
      </c>
      <c r="O123" s="4">
        <v>8.99</v>
      </c>
      <c r="P123" s="4"/>
      <c r="Q123" s="4">
        <f>IF($K123="","",P123*20%)</f>
      </c>
      <c r="R123" s="4">
        <v>1</v>
      </c>
      <c r="S123" s="4">
        <f>IF($K123="","",L123-M123-N123-O123-P123-Q123-R123)</f>
      </c>
      <c r="T123" s="4">
        <f>IF($K123="","",(S123-V123)/J123*100)</f>
      </c>
      <c r="U123" s="4">
        <f>IF($K123="","",M123-Q123)</f>
      </c>
      <c r="W123" s="4">
        <f>IF($K123="","",S123-V123)</f>
      </c>
    </row>
    <row r="124" spans="1:28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IF($K124="","",K124/100*11)</f>
      </c>
      <c r="O124" s="4">
        <v>8.99</v>
      </c>
      <c r="P124" s="4"/>
      <c r="Q124" s="4">
        <f>IF($K124="","",P124*20%)</f>
      </c>
      <c r="R124" s="4">
        <v>1</v>
      </c>
      <c r="S124" s="4">
        <f>IF($K124="","",L124-M124-N124-O124-P124-Q124-R124)</f>
      </c>
      <c r="T124" s="4">
        <f>IF($K124="","",(S124-V124)/J124*100)</f>
      </c>
      <c r="U124" s="4">
        <f>IF($K124="","",M124-Q124)</f>
      </c>
      <c r="W124" s="4">
        <f>IF($K124="","",S124-V124)</f>
      </c>
    </row>
    <row r="125" spans="1:28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IF($K125="","",K125/100*11)</f>
      </c>
      <c r="O125" s="4">
        <v>8.99</v>
      </c>
      <c r="P125" s="4"/>
      <c r="Q125" s="4">
        <f>IF($K125="","",P125*20%)</f>
      </c>
      <c r="R125" s="4">
        <v>1</v>
      </c>
      <c r="S125" s="4">
        <f>IF($K125="","",L125-M125-N125-O125-P125-Q125-R125)</f>
      </c>
      <c r="T125" s="4">
        <f>IF($K125="","",(S125-V125)/J125*100)</f>
      </c>
      <c r="U125" s="4">
        <f>IF($K125="","",M125-Q125)</f>
      </c>
      <c r="W125" s="4">
        <f>IF($K125="","",S125-V125)</f>
      </c>
    </row>
    <row r="126" spans="1:28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IF($K126="","",K126/100*11)</f>
      </c>
      <c r="O126" s="4">
        <v>8.99</v>
      </c>
      <c r="P126" s="4"/>
      <c r="Q126" s="4">
        <f>IF($K126="","",P126*20%)</f>
      </c>
      <c r="R126" s="4">
        <v>1</v>
      </c>
      <c r="S126" s="4">
        <f>IF($K126="","",L126-M126-N126-O126-P126-Q126-R126)</f>
      </c>
      <c r="T126" s="4">
        <f>IF($K126="","",(S126-V126)/J126*100)</f>
      </c>
      <c r="U126" s="4">
        <f>IF($K126="","",M126-Q126)</f>
      </c>
      <c r="W126" s="4">
        <f>IF($K126="","",S126-V126)</f>
      </c>
    </row>
    <row r="127" spans="1:28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IF($K127="","",K127/100*11)</f>
      </c>
      <c r="O127" s="4">
        <v>8.99</v>
      </c>
      <c r="P127" s="4"/>
      <c r="Q127" s="4">
        <f>IF($K127="","",P127*20%)</f>
      </c>
      <c r="R127" s="4">
        <v>1</v>
      </c>
      <c r="S127" s="4">
        <f>IF($K127="","",L127-M127-N127-O127-P127-Q127-R127)</f>
      </c>
      <c r="T127" s="4">
        <f>IF($K127="","",(S127-V127)/J127*100)</f>
      </c>
      <c r="U127" s="4">
        <f>IF($K127="","",M127-Q127)</f>
      </c>
      <c r="W127" s="4">
        <f>IF($K127="","",S127-V127)</f>
      </c>
    </row>
    <row r="128" spans="1:28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IF($K128="","",K128/100*11)</f>
      </c>
      <c r="O128" s="4">
        <v>8.99</v>
      </c>
      <c r="P128" s="4"/>
      <c r="Q128" s="4">
        <f>IF($K128="","",P128*20%)</f>
      </c>
      <c r="R128" s="4">
        <v>1</v>
      </c>
      <c r="S128" s="4">
        <f>IF($K128="","",L128-M128-N128-O128-P128-Q128-R128)</f>
      </c>
      <c r="T128" s="4">
        <f>IF($K128="","",(S128-V128)/J128*100)</f>
      </c>
      <c r="U128" s="4">
        <f>IF($K128="","",M128-Q128)</f>
      </c>
      <c r="W128" s="4">
        <f>IF($K128="","",S128-V128)</f>
      </c>
    </row>
    <row r="129" spans="1:28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IF($K129="","",K129/100*11)</f>
      </c>
      <c r="O129" s="4">
        <v>8.99</v>
      </c>
      <c r="P129" s="4"/>
      <c r="Q129" s="4">
        <f>IF($K129="","",P129*20%)</f>
      </c>
      <c r="R129" s="4">
        <v>1</v>
      </c>
      <c r="S129" s="4">
        <f>IF($K129="","",L129-M129-N129-O129-P129-Q129-R129)</f>
      </c>
      <c r="T129" s="4">
        <f>IF($K129="","",(S129-V129)/J129*100)</f>
      </c>
      <c r="U129" s="4">
        <f>IF($K129="","",M129-Q129)</f>
      </c>
      <c r="W129" s="4">
        <f>IF($K129="","",S129-V129)</f>
      </c>
    </row>
    <row r="130" spans="1:28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IF($K130="","",K130/100*11)</f>
      </c>
      <c r="O130" s="4">
        <v>8.99</v>
      </c>
      <c r="P130" s="4"/>
      <c r="Q130" s="4">
        <f>IF($K130="","",P130*20%)</f>
      </c>
      <c r="R130" s="4">
        <v>1</v>
      </c>
      <c r="S130" s="4">
        <f>IF($K130="","",L130-M130-N130-O130-P130-Q130-R130)</f>
      </c>
      <c r="T130" s="4">
        <f>IF($K130="","",(S130-V130)/J130*100)</f>
      </c>
      <c r="U130" s="4">
        <f>IF($K130="","",M130-Q130)</f>
      </c>
      <c r="W130" s="4">
        <f>IF($K130="","",S130-V130)</f>
      </c>
    </row>
    <row r="131" spans="1:28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IF($K131="","",K131/100*11)</f>
      </c>
      <c r="O131" s="4">
        <v>8.99</v>
      </c>
      <c r="P131" s="4"/>
      <c r="Q131" s="4">
        <f>IF($K131="","",P131*20%)</f>
      </c>
      <c r="R131" s="4">
        <v>1</v>
      </c>
      <c r="S131" s="4">
        <f>IF($K131="","",L131-M131-N131-O131-P131-Q131-R131)</f>
      </c>
      <c r="T131" s="4">
        <f>IF($K131="","",(S131-V131)/J131*100)</f>
      </c>
      <c r="U131" s="4">
        <f>IF($K131="","",M131-Q131)</f>
      </c>
      <c r="W131" s="4">
        <f>IF($K131="","",S131-V131)</f>
      </c>
    </row>
    <row r="132" spans="1:28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IF($K132="","",K132/100*11)</f>
      </c>
      <c r="O132" s="4">
        <v>8.99</v>
      </c>
      <c r="P132" s="4"/>
      <c r="Q132" s="4">
        <f>IF($K132="","",P132*20%)</f>
      </c>
      <c r="R132" s="4">
        <v>1</v>
      </c>
      <c r="S132" s="4">
        <f>IF($K132="","",L132-M132-N132-O132-P132-Q132-R132)</f>
      </c>
      <c r="T132" s="4">
        <f>IF($K132="","",(S132-V132)/J132*100)</f>
      </c>
      <c r="U132" s="4">
        <f>IF($K132="","",M132-Q132)</f>
      </c>
      <c r="W132" s="4">
        <f>IF($K132="","",S132-V132)</f>
      </c>
    </row>
    <row r="133" spans="1:28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IF($K133="","",K133/100*11)</f>
      </c>
      <c r="O133" s="4">
        <v>8.99</v>
      </c>
      <c r="P133" s="4"/>
      <c r="Q133" s="4">
        <f>IF($K133="","",P133*20%)</f>
      </c>
      <c r="R133" s="4">
        <v>1</v>
      </c>
      <c r="S133" s="4">
        <f>IF($K133="","",L133-M133-N133-O133-P133-Q133-R133)</f>
      </c>
      <c r="T133" s="4">
        <f>IF($K133="","",(S133-V133)/J133*100)</f>
      </c>
      <c r="U133" s="4">
        <f>IF($K133="","",M133-Q133)</f>
      </c>
      <c r="W133" s="4">
        <f>IF($K133="","",S133-V133)</f>
      </c>
    </row>
    <row r="134" spans="1:28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IF($K134="","",K134/100*11)</f>
      </c>
      <c r="O134" s="4">
        <v>8.99</v>
      </c>
      <c r="P134" s="4"/>
      <c r="Q134" s="4">
        <f>IF($K134="","",P134*20%)</f>
      </c>
      <c r="R134" s="4">
        <v>1</v>
      </c>
      <c r="S134" s="4">
        <f>IF($K134="","",L134-M134-N134-O134-P134-Q134-R134)</f>
      </c>
      <c r="T134" s="4">
        <f>IF($K134="","",(S134-V134)/J134*100)</f>
      </c>
      <c r="U134" s="4">
        <f>IF($K134="","",M134-Q134)</f>
      </c>
      <c r="W134" s="4">
        <f>IF($K134="","",S134-V134)</f>
      </c>
    </row>
    <row r="135" spans="1:28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IF($K135="","",K135/100*11)</f>
      </c>
      <c r="O135" s="4">
        <v>8.99</v>
      </c>
      <c r="P135" s="4"/>
      <c r="Q135" s="4">
        <f>IF($K135="","",P135*20%)</f>
      </c>
      <c r="R135" s="4">
        <v>1</v>
      </c>
      <c r="S135" s="4">
        <f>IF($K135="","",L135-M135-N135-O135-P135-Q135-R135)</f>
      </c>
      <c r="T135" s="4">
        <f>IF($K135="","",(S135-V135)/J135*100)</f>
      </c>
      <c r="U135" s="4">
        <f>IF($K135="","",M135-Q135)</f>
      </c>
      <c r="W135" s="4">
        <f>IF($K135="","",S135-V135)</f>
      </c>
    </row>
    <row r="136" spans="1:28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IF($K136="","",K136/100*11)</f>
      </c>
      <c r="O136" s="4">
        <v>8.99</v>
      </c>
      <c r="P136" s="4"/>
      <c r="Q136" s="4">
        <f>IF($K136="","",P136*20%)</f>
      </c>
      <c r="R136" s="4">
        <v>1</v>
      </c>
      <c r="S136" s="4">
        <f>IF($K136="","",L136-M136-N136-O136-P136-Q136-R136)</f>
      </c>
      <c r="T136" s="4">
        <f>IF($K136="","",(S136-V136)/J136*100)</f>
      </c>
      <c r="U136" s="4">
        <f>IF($K136="","",M136-Q136)</f>
      </c>
      <c r="W136" s="4">
        <f>IF($K136="","",S136-V136)</f>
      </c>
    </row>
    <row r="137" spans="1:28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IF($K137="","",K137/100*11)</f>
      </c>
      <c r="O137" s="4">
        <v>8.99</v>
      </c>
      <c r="P137" s="4"/>
      <c r="Q137" s="4">
        <f>IF($K137="","",P137*20%)</f>
      </c>
      <c r="R137" s="4">
        <v>1</v>
      </c>
      <c r="S137" s="4">
        <f>IF($K137="","",L137-M137-N137-O137-P137-Q137-R137)</f>
      </c>
      <c r="T137" s="4">
        <f>IF($K137="","",(S137-V137)/J137*100)</f>
      </c>
      <c r="U137" s="4">
        <f>IF($K137="","",M137-Q137)</f>
      </c>
      <c r="W137" s="4">
        <f>IF($K137="","",S137-V137)</f>
      </c>
    </row>
    <row r="138" spans="1:28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IF($K138="","",K138/100*11)</f>
      </c>
      <c r="O138" s="4">
        <v>8.99</v>
      </c>
      <c r="P138" s="4"/>
      <c r="Q138" s="4">
        <f>IF($K138="","",P138*20%)</f>
      </c>
      <c r="R138" s="4">
        <v>1</v>
      </c>
      <c r="S138" s="4">
        <f>IF($K138="","",L138-M138-N138-O138-P138-Q138-R138)</f>
      </c>
      <c r="T138" s="4">
        <f>IF($K138="","",(S138-V138)/J138*100)</f>
      </c>
      <c r="U138" s="4">
        <f>IF($K138="","",M138-Q138)</f>
      </c>
      <c r="W138" s="4">
        <f>IF($K138="","",S138-V138)</f>
      </c>
    </row>
    <row r="139" spans="1:28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IF($K139="","",K139/100*11)</f>
      </c>
      <c r="O139" s="4">
        <v>8.99</v>
      </c>
      <c r="P139" s="4"/>
      <c r="Q139" s="4">
        <f>IF($K139="","",P139*20%)</f>
      </c>
      <c r="R139" s="4">
        <v>1</v>
      </c>
      <c r="S139" s="4">
        <f>IF($K139="","",L139-M139-N139-O139-P139-Q139-R139)</f>
      </c>
      <c r="T139" s="4">
        <f>IF($K139="","",(S139-V139)/J139*100)</f>
      </c>
      <c r="U139" s="4">
        <f>IF($K139="","",M139-Q139)</f>
      </c>
      <c r="W139" s="4">
        <f>IF($K139="","",S139-V139)</f>
      </c>
    </row>
    <row r="140" spans="1:28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IF($K140="","",K140/100*11)</f>
      </c>
      <c r="O140" s="4">
        <v>8.99</v>
      </c>
      <c r="P140" s="4"/>
      <c r="Q140" s="4">
        <f>IF($K140="","",P140*20%)</f>
      </c>
      <c r="R140" s="4">
        <v>1</v>
      </c>
      <c r="S140" s="4">
        <f>IF($K140="","",L140-M140-N140-O140-P140-Q140-R140)</f>
      </c>
      <c r="T140" s="4">
        <f>IF($K140="","",(S140-V140)/J140*100)</f>
      </c>
      <c r="U140" s="4">
        <f>IF($K140="","",M140-Q140)</f>
      </c>
      <c r="W140" s="4">
        <f>IF($K140="","",S140-V140)</f>
      </c>
    </row>
    <row r="141" spans="1:28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IF($K141="","",K141/100*11)</f>
      </c>
      <c r="O141" s="4">
        <v>8.99</v>
      </c>
      <c r="P141" s="4"/>
      <c r="Q141" s="4">
        <f>IF($K141="","",P141*20%)</f>
      </c>
      <c r="R141" s="4">
        <v>1</v>
      </c>
      <c r="S141" s="4">
        <f>IF($K141="","",L141-M141-N141-O141-P141-Q141-R141)</f>
      </c>
      <c r="T141" s="4">
        <f>IF($K141="","",(S141-V141)/J141*100)</f>
      </c>
      <c r="U141" s="4">
        <f>IF($K141="","",M141-Q141)</f>
      </c>
      <c r="W141" s="4">
        <f>IF($K141="","",S141-V141)</f>
      </c>
    </row>
    <row r="142" spans="1:28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IF($K142="","",K142/100*11)</f>
      </c>
      <c r="O142" s="4">
        <v>8.99</v>
      </c>
      <c r="P142" s="4"/>
      <c r="Q142" s="4">
        <f>IF($K142="","",P142*20%)</f>
      </c>
      <c r="R142" s="4">
        <v>1</v>
      </c>
      <c r="S142" s="4">
        <f>IF($K142="","",L142-M142-N142-O142-P142-Q142-R142)</f>
      </c>
      <c r="T142" s="4">
        <f>IF($K142="","",(S142-V142)/J142*100)</f>
      </c>
      <c r="U142" s="4">
        <f>IF($K142="","",M142-Q142)</f>
      </c>
      <c r="W142" s="4">
        <f>IF($K142="","",S142-V142)</f>
      </c>
    </row>
    <row r="143" spans="1:28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IF($K143="","",K143/100*11)</f>
      </c>
      <c r="O143" s="4">
        <v>8.99</v>
      </c>
      <c r="P143" s="4"/>
      <c r="Q143" s="4">
        <f>IF($K143="","",P143*20%)</f>
      </c>
      <c r="R143" s="4">
        <v>1</v>
      </c>
      <c r="S143" s="4">
        <f>IF($K143="","",L143-M143-N143-O143-P143-Q143-R143)</f>
      </c>
      <c r="T143" s="4">
        <f>IF($K143="","",(S143-V143)/J143*100)</f>
      </c>
      <c r="U143" s="4">
        <f>IF($K143="","",M143-Q143)</f>
      </c>
      <c r="W143" s="4">
        <f>IF($K143="","",S143-V143)</f>
      </c>
    </row>
    <row r="144" spans="1:28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IF($K144="","",K144/100*11)</f>
      </c>
      <c r="O144" s="4">
        <v>8.99</v>
      </c>
      <c r="P144" s="4"/>
      <c r="Q144" s="4">
        <f>IF($K144="","",P144*20%)</f>
      </c>
      <c r="R144" s="4">
        <v>1</v>
      </c>
      <c r="S144" s="4">
        <f>IF($K144="","",L144-M144-N144-O144-P144-Q144-R144)</f>
      </c>
      <c r="T144" s="4">
        <f>IF($K144="","",(S144-V144)/J144*100)</f>
      </c>
      <c r="U144" s="4">
        <f>IF($K144="","",M144-Q144)</f>
      </c>
      <c r="W144" s="4">
        <f>IF($K144="","",S144-V144)</f>
      </c>
    </row>
    <row r="145" spans="1:28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IF($K145="","",K145/100*11)</f>
      </c>
      <c r="O145" s="4">
        <v>8.99</v>
      </c>
      <c r="P145" s="4"/>
      <c r="Q145" s="4">
        <f>IF($K145="","",P145*20%)</f>
      </c>
      <c r="R145" s="4">
        <v>1</v>
      </c>
      <c r="S145" s="4">
        <f>IF($K145="","",L145-M145-N145-O145-P145-Q145-R145)</f>
      </c>
      <c r="T145" s="4">
        <f>IF($K145="","",(S145-V145)/J145*100)</f>
      </c>
      <c r="U145" s="4">
        <f>IF($K145="","",M145-Q145)</f>
      </c>
      <c r="W145" s="4">
        <f>IF($K145="","",S145-V145)</f>
      </c>
    </row>
    <row r="146" spans="1:28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IF($K146="","",K146/100*11)</f>
      </c>
      <c r="O146" s="4">
        <v>8.99</v>
      </c>
      <c r="P146" s="4"/>
      <c r="Q146" s="4">
        <f>IF($K146="","",P146*20%)</f>
      </c>
      <c r="R146" s="4">
        <v>1</v>
      </c>
      <c r="S146" s="4">
        <f>IF($K146="","",L146-M146-N146-O146-P146-Q146-R146)</f>
      </c>
      <c r="T146" s="4">
        <f>IF($K146="","",(S146-V146)/J146*100)</f>
      </c>
      <c r="U146" s="4">
        <f>IF($K146="","",M146-Q146)</f>
      </c>
      <c r="W146" s="4">
        <f>IF($K146="","",S146-V146)</f>
      </c>
    </row>
    <row r="147" spans="1:28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IF($K147="","",K147/100*11)</f>
      </c>
      <c r="O147" s="4">
        <v>8.99</v>
      </c>
      <c r="P147" s="4"/>
      <c r="Q147" s="4">
        <f>IF($K147="","",P147*20%)</f>
      </c>
      <c r="R147" s="4">
        <v>1</v>
      </c>
      <c r="S147" s="4">
        <f>IF($K147="","",L147-M147-N147-O147-P147-Q147-R147)</f>
      </c>
      <c r="T147" s="4">
        <f>IF($K147="","",(S147-V147)/J147*100)</f>
      </c>
      <c r="U147" s="4">
        <f>IF($K147="","",M147-Q147)</f>
      </c>
      <c r="W147" s="4">
        <f>IF($K147="","",S147-V147)</f>
      </c>
    </row>
    <row r="148" spans="1:28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IF($K148="","",K148/100*11)</f>
      </c>
      <c r="O148" s="4">
        <v>8.99</v>
      </c>
      <c r="P148" s="4"/>
      <c r="Q148" s="4">
        <f>IF($K148="","",P148*20%)</f>
      </c>
      <c r="R148" s="4">
        <v>1</v>
      </c>
      <c r="S148" s="4">
        <f>IF($K148="","",L148-M148-N148-O148-P148-Q148-R148)</f>
      </c>
      <c r="T148" s="4">
        <f>IF($K148="","",(S148-V148)/J148*100)</f>
      </c>
      <c r="U148" s="4">
        <f>IF($K148="","",M148-Q148)</f>
      </c>
      <c r="W148" s="4">
        <f>IF($K148="","",S148-V148)</f>
      </c>
    </row>
    <row r="149" spans="1:28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IF($K149="","",K149/100*11)</f>
      </c>
      <c r="O149" s="4">
        <v>8.99</v>
      </c>
      <c r="P149" s="4"/>
      <c r="Q149" s="4">
        <f>IF($K149="","",P149*20%)</f>
      </c>
      <c r="R149" s="4">
        <v>1</v>
      </c>
      <c r="S149" s="4">
        <f>IF($K149="","",L149-M149-N149-O149-P149-Q149-R149)</f>
      </c>
      <c r="T149" s="4">
        <f>IF($K149="","",(S149-V149)/J149*100)</f>
      </c>
      <c r="U149" s="4">
        <f>IF($K149="","",M149-Q149)</f>
      </c>
      <c r="W149" s="4">
        <f>IF($K149="","",S149-V149)</f>
      </c>
    </row>
    <row r="150" spans="1:28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IF($K150="","",K150/100*11)</f>
      </c>
      <c r="O150" s="4">
        <v>8.99</v>
      </c>
      <c r="P150" s="4"/>
      <c r="Q150" s="4">
        <f>IF($K150="","",P150*20%)</f>
      </c>
      <c r="R150" s="4">
        <v>1</v>
      </c>
      <c r="S150" s="4">
        <f>IF($K150="","",L150-M150-N150-O150-P150-Q150-R150)</f>
      </c>
      <c r="T150" s="4">
        <f>IF($K150="","",(S150-V150)/J150*100)</f>
      </c>
      <c r="U150" s="4">
        <f>IF($K150="","",M150-Q150)</f>
      </c>
      <c r="W150" s="4">
        <f>IF($K150="","",S150-V150)</f>
      </c>
    </row>
    <row r="151" spans="1:28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IF($K151="","",K151/100*11)</f>
      </c>
      <c r="O151" s="4">
        <v>8.99</v>
      </c>
      <c r="P151" s="4"/>
      <c r="Q151" s="4">
        <f>IF($K151="","",P151*20%)</f>
      </c>
      <c r="R151" s="4">
        <v>1</v>
      </c>
      <c r="S151" s="4">
        <f>IF($K151="","",L151-M151-N151-O151-P151-Q151-R151)</f>
      </c>
      <c r="T151" s="4">
        <f>IF($K151="","",(S151-V151)/J151*100)</f>
      </c>
      <c r="U151" s="4">
        <f>IF($K151="","",M151-Q151)</f>
      </c>
      <c r="W151" s="4">
        <f>IF($K151="","",S151-V151)</f>
      </c>
    </row>
    <row r="152" spans="1:28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IF($K152="","",K152/100*11)</f>
      </c>
      <c r="O152" s="4">
        <v>8.99</v>
      </c>
      <c r="P152" s="4"/>
      <c r="Q152" s="4">
        <f>IF($K152="","",P152*20%)</f>
      </c>
      <c r="R152" s="4">
        <v>1</v>
      </c>
      <c r="S152" s="4">
        <f>IF($K152="","",L152-M152-N152-O152-P152-Q152-R152)</f>
      </c>
      <c r="T152" s="4">
        <f>IF($K152="","",(S152-V152)/J152*100)</f>
      </c>
      <c r="U152" s="4">
        <f>IF($K152="","",M152-Q152)</f>
      </c>
      <c r="W152" s="4">
        <f>IF($K152="","",S152-V152)</f>
      </c>
    </row>
    <row r="153" spans="1:28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IF($K153="","",K153/100*11)</f>
      </c>
      <c r="O153" s="4">
        <v>8.99</v>
      </c>
      <c r="P153" s="4"/>
      <c r="Q153" s="4">
        <f>IF($K153="","",P153*20%)</f>
      </c>
      <c r="R153" s="4">
        <v>1</v>
      </c>
      <c r="S153" s="4">
        <f>IF($K153="","",L153-M153-N153-O153-P153-Q153-R153)</f>
      </c>
      <c r="T153" s="4">
        <f>IF($K153="","",(S153-V153)/J153*100)</f>
      </c>
      <c r="U153" s="4">
        <f>IF($K153="","",M153-Q153)</f>
      </c>
      <c r="W153" s="4">
        <f>IF($K153="","",S153-V153)</f>
      </c>
    </row>
    <row r="154" spans="1:28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IF($K154="","",K154/100*11)</f>
      </c>
      <c r="O154" s="4">
        <v>8.99</v>
      </c>
      <c r="P154" s="4"/>
      <c r="Q154" s="4">
        <f>IF($K154="","",P154*20%)</f>
      </c>
      <c r="R154" s="4">
        <v>1</v>
      </c>
      <c r="S154" s="4">
        <f>IF($K154="","",L154-M154-N154-O154-P154-Q154-R154)</f>
      </c>
      <c r="T154" s="4">
        <f>IF($K154="","",(S154-V154)/J154*100)</f>
      </c>
      <c r="U154" s="4">
        <f>IF($K154="","",M154-Q154)</f>
      </c>
      <c r="W154" s="4">
        <f>IF($K154="","",S154-V154)</f>
      </c>
    </row>
    <row r="155" spans="1:28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IF($K155="","",K155/100*11)</f>
      </c>
      <c r="O155" s="4">
        <v>8.99</v>
      </c>
      <c r="P155" s="4"/>
      <c r="Q155" s="4">
        <f>IF($K155="","",P155*20%)</f>
      </c>
      <c r="R155" s="4">
        <v>1</v>
      </c>
      <c r="S155" s="4">
        <f>IF($K155="","",L155-M155-N155-O155-P155-Q155-R155)</f>
      </c>
      <c r="T155" s="4">
        <f>IF($K155="","",(S155-V155)/J155*100)</f>
      </c>
      <c r="U155" s="4">
        <f>IF($K155="","",M155-Q155)</f>
      </c>
      <c r="W155" s="4">
        <f>IF($K155="","",S155-V155)</f>
      </c>
    </row>
    <row r="156" spans="1:28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IF($K156="","",K156/100*11)</f>
      </c>
      <c r="O156" s="4">
        <v>8.99</v>
      </c>
      <c r="P156" s="4"/>
      <c r="Q156" s="4">
        <f>IF($K156="","",P156*20%)</f>
      </c>
      <c r="R156" s="4">
        <v>1</v>
      </c>
      <c r="S156" s="4">
        <f>IF($K156="","",L156-M156-N156-O156-P156-Q156-R156)</f>
      </c>
      <c r="T156" s="4">
        <f>IF($K156="","",(S156-V156)/J156*100)</f>
      </c>
      <c r="U156" s="4">
        <f>IF($K156="","",M156-Q156)</f>
      </c>
      <c r="W156" s="4">
        <f>IF($K156="","",S156-V156)</f>
      </c>
    </row>
    <row r="157" spans="1:28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IF($K157="","",K157/100*11)</f>
      </c>
      <c r="O157" s="4">
        <v>8.99</v>
      </c>
      <c r="P157" s="4"/>
      <c r="Q157" s="4">
        <f>IF($K157="","",P157*20%)</f>
      </c>
      <c r="R157" s="4">
        <v>1</v>
      </c>
      <c r="S157" s="4">
        <f>IF($K157="","",L157-M157-N157-O157-P157-Q157-R157)</f>
      </c>
      <c r="T157" s="4">
        <f>IF($K157="","",(S157-V157)/J157*100)</f>
      </c>
      <c r="U157" s="4">
        <f>IF($K157="","",M157-Q157)</f>
      </c>
      <c r="W157" s="4">
        <f>IF($K157="","",S157-V157)</f>
      </c>
    </row>
    <row r="158" spans="1:28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IF($K158="","",K158/100*11)</f>
      </c>
      <c r="O158" s="4">
        <v>8.99</v>
      </c>
      <c r="P158" s="4"/>
      <c r="Q158" s="4">
        <f>IF($K158="","",P158*20%)</f>
      </c>
      <c r="R158" s="4">
        <v>1</v>
      </c>
      <c r="S158" s="4">
        <f>IF($K158="","",L158-M158-N158-O158-P158-Q158-R158)</f>
      </c>
      <c r="T158" s="4">
        <f>IF($K158="","",(S158-V158)/J158*100)</f>
      </c>
      <c r="U158" s="4">
        <f>IF($K158="","",M158-Q158)</f>
      </c>
      <c r="W158" s="4">
        <f>IF($K158="","",S158-V158)</f>
      </c>
    </row>
    <row r="159" spans="1:28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IF($K159="","",K159/100*11)</f>
      </c>
      <c r="O159" s="4">
        <v>8.99</v>
      </c>
      <c r="P159" s="4"/>
      <c r="Q159" s="4">
        <f>IF($K159="","",P159*20%)</f>
      </c>
      <c r="R159" s="4">
        <v>1</v>
      </c>
      <c r="S159" s="4">
        <f>IF($K159="","",L159-M159-N159-O159-P159-Q159-R159)</f>
      </c>
      <c r="T159" s="4">
        <f>IF($K159="","",(S159-V159)/J159*100)</f>
      </c>
      <c r="U159" s="4">
        <f>IF($K159="","",M159-Q159)</f>
      </c>
      <c r="W159" s="4">
        <f>IF($K159="","",S159-V159)</f>
      </c>
    </row>
    <row r="160" spans="1:28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IF($K160="","",K160/100*11)</f>
      </c>
      <c r="O160" s="4">
        <v>8.99</v>
      </c>
      <c r="P160" s="4"/>
      <c r="Q160" s="4">
        <f>IF($K160="","",P160*20%)</f>
      </c>
      <c r="R160" s="4">
        <v>1</v>
      </c>
      <c r="S160" s="4">
        <f>IF($K160="","",L160-M160-N160-O160-P160-Q160-R160)</f>
      </c>
      <c r="T160" s="4">
        <f>IF($K160="","",(S160-V160)/J160*100)</f>
      </c>
      <c r="U160" s="4">
        <f>IF($K160="","",M160-Q160)</f>
      </c>
      <c r="W160" s="4">
        <f>IF($K160="","",S160-V160)</f>
      </c>
    </row>
    <row r="161" spans="1:28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IF($K161="","",K161/100*11)</f>
      </c>
      <c r="O161" s="4">
        <v>8.99</v>
      </c>
      <c r="P161" s="4"/>
      <c r="Q161" s="4">
        <f>IF($K161="","",P161*20%)</f>
      </c>
      <c r="R161" s="4">
        <v>1</v>
      </c>
      <c r="S161" s="4">
        <f>IF($K161="","",L161-M161-N161-O161-P161-Q161-R161)</f>
      </c>
      <c r="T161" s="4">
        <f>IF($K161="","",(S161-V161)/J161*100)</f>
      </c>
      <c r="U161" s="4">
        <f>IF($K161="","",M161-Q161)</f>
      </c>
      <c r="W161" s="4">
        <f>IF($K161="","",S161-V161)</f>
      </c>
    </row>
    <row r="162" spans="1:28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IF($K162="","",K162/100*11)</f>
      </c>
      <c r="O162" s="4">
        <v>8.99</v>
      </c>
      <c r="P162" s="4"/>
      <c r="Q162" s="4">
        <f>IF($K162="","",P162*20%)</f>
      </c>
      <c r="R162" s="4">
        <v>1</v>
      </c>
      <c r="S162" s="4">
        <f>IF($K162="","",L162-M162-N162-O162-P162-Q162-R162)</f>
      </c>
      <c r="T162" s="4">
        <f>IF($K162="","",(S162-V162)/J162*100)</f>
      </c>
      <c r="U162" s="4">
        <f>IF($K162="","",M162-Q162)</f>
      </c>
      <c r="W162" s="4">
        <f>IF($K162="","",S162-V162)</f>
      </c>
    </row>
    <row r="163" spans="1:28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IF($K163="","",K163/100*11)</f>
      </c>
      <c r="O163" s="4">
        <v>8.99</v>
      </c>
      <c r="P163" s="4"/>
      <c r="Q163" s="4">
        <f>IF($K163="","",P163*20%)</f>
      </c>
      <c r="R163" s="4">
        <v>1</v>
      </c>
      <c r="S163" s="4">
        <f>IF($K163="","",L163-M163-N163-O163-P163-Q163-R163)</f>
      </c>
      <c r="T163" s="4">
        <f>IF($K163="","",(S163-V163)/J163*100)</f>
      </c>
      <c r="U163" s="4">
        <f>IF($K163="","",M163-Q163)</f>
      </c>
      <c r="W163" s="4">
        <f>IF($K163="","",S163-V163)</f>
      </c>
    </row>
    <row r="164" spans="1:28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IF($K164="","",K164/100*11)</f>
      </c>
      <c r="O164" s="4">
        <v>8.99</v>
      </c>
      <c r="P164" s="4"/>
      <c r="Q164" s="4">
        <f>IF($K164="","",P164*20%)</f>
      </c>
      <c r="R164" s="4">
        <v>1</v>
      </c>
      <c r="S164" s="4">
        <f>IF($K164="","",L164-M164-N164-O164-P164-Q164-R164)</f>
      </c>
      <c r="T164" s="4">
        <f>IF($K164="","",(S164-V164)/J164*100)</f>
      </c>
      <c r="U164" s="4">
        <f>IF($K164="","",M164-Q164)</f>
      </c>
      <c r="W164" s="4">
        <f>IF($K164="","",S164-V164)</f>
      </c>
    </row>
    <row r="165" spans="1:28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IF($K165="","",K165/100*11)</f>
      </c>
      <c r="O165" s="4">
        <v>8.99</v>
      </c>
      <c r="P165" s="4"/>
      <c r="Q165" s="4">
        <f>IF($K165="","",P165*20%)</f>
      </c>
      <c r="R165" s="4">
        <v>1</v>
      </c>
      <c r="S165" s="4">
        <f>IF($K165="","",L165-M165-N165-O165-P165-Q165-R165)</f>
      </c>
      <c r="T165" s="4">
        <f>IF($K165="","",(S165-V165)/J165*100)</f>
      </c>
      <c r="U165" s="4">
        <f>IF($K165="","",M165-Q165)</f>
      </c>
      <c r="W165" s="4">
        <f>IF($K165="","",S165-V165)</f>
      </c>
    </row>
    <row r="166" spans="1:28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IF($K166="","",K166/100*11)</f>
      </c>
      <c r="O166" s="4">
        <v>8.99</v>
      </c>
      <c r="P166" s="4"/>
      <c r="Q166" s="4">
        <f>IF($K166="","",P166*20%)</f>
      </c>
      <c r="R166" s="4">
        <v>1</v>
      </c>
      <c r="S166" s="4">
        <f>IF($K166="","",L166-M166-N166-O166-P166-Q166-R166)</f>
      </c>
      <c r="T166" s="4">
        <f>IF($K166="","",(S166-V166)/J166*100)</f>
      </c>
      <c r="U166" s="4">
        <f>IF($K166="","",M166-Q166)</f>
      </c>
      <c r="W166" s="4">
        <f>IF($K166="","",S166-V166)</f>
      </c>
    </row>
    <row r="167" spans="1:28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IF($K167="","",K167/100*11)</f>
      </c>
      <c r="O167" s="4">
        <v>8.99</v>
      </c>
      <c r="P167" s="4"/>
      <c r="Q167" s="4">
        <f>IF($K167="","",P167*20%)</f>
      </c>
      <c r="R167" s="4">
        <v>1</v>
      </c>
      <c r="S167" s="4">
        <f>IF($K167="","",L167-M167-N167-O167-P167-Q167-R167)</f>
      </c>
      <c r="T167" s="4">
        <f>IF($K167="","",(S167-V167)/J167*100)</f>
      </c>
      <c r="U167" s="4">
        <f>IF($K167="","",M167-Q167)</f>
      </c>
      <c r="W167" s="4">
        <f>IF($K167="","",S167-V167)</f>
      </c>
    </row>
    <row r="168" spans="1:28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IF($K168="","",K168/100*11)</f>
      </c>
      <c r="O168" s="4">
        <v>8.99</v>
      </c>
      <c r="P168" s="4"/>
      <c r="Q168" s="4">
        <f>IF($K168="","",P168*20%)</f>
      </c>
      <c r="R168" s="4">
        <v>1</v>
      </c>
      <c r="S168" s="4">
        <f>IF($K168="","",L168-M168-N168-O168-P168-Q168-R168)</f>
      </c>
      <c r="T168" s="4">
        <f>IF($K168="","",(S168-V168)/J168*100)</f>
      </c>
      <c r="U168" s="4">
        <f>IF($K168="","",M168-Q168)</f>
      </c>
      <c r="W168" s="4">
        <f>IF($K168="","",S168-V168)</f>
      </c>
    </row>
    <row r="169" spans="1:28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IF($K169="","",K169/100*11)</f>
      </c>
      <c r="O169" s="4">
        <v>8.99</v>
      </c>
      <c r="P169" s="4"/>
      <c r="Q169" s="4">
        <f>IF($K169="","",P169*20%)</f>
      </c>
      <c r="R169" s="4">
        <v>1</v>
      </c>
      <c r="S169" s="4">
        <f>IF($K169="","",L169-M169-N169-O169-P169-Q169-R169)</f>
      </c>
      <c r="T169" s="4">
        <f>IF($K169="","",(S169-V169)/J169*100)</f>
      </c>
      <c r="U169" s="4">
        <f>IF($K169="","",M169-Q169)</f>
      </c>
      <c r="W169" s="4">
        <f>IF($K169="","",S169-V169)</f>
      </c>
    </row>
    <row r="170" spans="1:28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IF($K170="","",K170/100*11)</f>
      </c>
      <c r="O170" s="4">
        <v>8.99</v>
      </c>
      <c r="P170" s="4"/>
      <c r="Q170" s="4">
        <f>IF($K170="","",P170*20%)</f>
      </c>
      <c r="R170" s="4">
        <v>1</v>
      </c>
      <c r="S170" s="4">
        <f>IF($K170="","",L170-M170-N170-O170-P170-Q170-R170)</f>
      </c>
      <c r="T170" s="4">
        <f>IF($K170="","",(S170-V170)/J170*100)</f>
      </c>
      <c r="U170" s="4">
        <f>IF($K170="","",M170-Q170)</f>
      </c>
      <c r="W170" s="4">
        <f>IF($K170="","",S170-V170)</f>
      </c>
    </row>
    <row r="171" spans="1:28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IF($K171="","",K171/100*11)</f>
      </c>
      <c r="O171" s="4">
        <v>8.99</v>
      </c>
      <c r="P171" s="4"/>
      <c r="Q171" s="4">
        <f>IF($K171="","",P171*20%)</f>
      </c>
      <c r="R171" s="4">
        <v>1</v>
      </c>
      <c r="S171" s="4">
        <f>IF($K171="","",L171-M171-N171-O171-P171-Q171-R171)</f>
      </c>
      <c r="T171" s="4">
        <f>IF($K171="","",(S171-V171)/J171*100)</f>
      </c>
      <c r="U171" s="4">
        <f>IF($K171="","",M171-Q171)</f>
      </c>
      <c r="W171" s="4">
        <f>IF($K171="","",S171-V171)</f>
      </c>
    </row>
    <row r="172" spans="1:28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IF($K172="","",K172/100*11)</f>
      </c>
      <c r="O172" s="4">
        <v>8.99</v>
      </c>
      <c r="P172" s="4"/>
      <c r="Q172" s="4">
        <f>IF($K172="","",P172*20%)</f>
      </c>
      <c r="R172" s="4">
        <v>1</v>
      </c>
      <c r="S172" s="4">
        <f>IF($K172="","",L172-M172-N172-O172-P172-Q172-R172)</f>
      </c>
      <c r="T172" s="4">
        <f>IF($K172="","",(S172-V172)/J172*100)</f>
      </c>
      <c r="U172" s="4">
        <f>IF($K172="","",M172-Q172)</f>
      </c>
      <c r="W172" s="4">
        <f>IF($K172="","",S172-V172)</f>
      </c>
    </row>
    <row r="173" spans="1:28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IF($K173="","",K173/100*11)</f>
      </c>
      <c r="O173" s="4">
        <v>8.99</v>
      </c>
      <c r="P173" s="4"/>
      <c r="Q173" s="4">
        <f>IF($K173="","",P173*20%)</f>
      </c>
      <c r="R173" s="4">
        <v>1</v>
      </c>
      <c r="S173" s="4">
        <f>IF($K173="","",L173-M173-N173-O173-P173-Q173-R173)</f>
      </c>
      <c r="T173" s="4">
        <f>IF($K173="","",(S173-V173)/J173*100)</f>
      </c>
      <c r="U173" s="4">
        <f>IF($K173="","",M173-Q173)</f>
      </c>
      <c r="W173" s="4">
        <f>IF($K173="","",S173-V173)</f>
      </c>
    </row>
    <row r="174" spans="1:28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IF($K174="","",K174/100*11)</f>
      </c>
      <c r="O174" s="4">
        <v>8.99</v>
      </c>
      <c r="P174" s="4"/>
      <c r="Q174" s="4">
        <f>IF($K174="","",P174*20%)</f>
      </c>
      <c r="R174" s="4">
        <v>1</v>
      </c>
      <c r="S174" s="4">
        <f>IF($K174="","",L174-M174-N174-O174-P174-Q174-R174)</f>
      </c>
      <c r="T174" s="4">
        <f>IF($K174="","",(S174-V174)/J174*100)</f>
      </c>
      <c r="U174" s="4">
        <f>IF($K174="","",M174-Q174)</f>
      </c>
      <c r="W174" s="4">
        <f>IF($K174="","",S174-V174)</f>
      </c>
    </row>
    <row r="175" spans="1:28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IF($K175="","",K175/100*11)</f>
      </c>
      <c r="O175" s="4">
        <v>8.99</v>
      </c>
      <c r="P175" s="4"/>
      <c r="Q175" s="4">
        <f>IF($K175="","",P175*20%)</f>
      </c>
      <c r="R175" s="4">
        <v>1</v>
      </c>
      <c r="S175" s="4">
        <f>IF($K175="","",L175-M175-N175-O175-P175-Q175-R175)</f>
      </c>
      <c r="T175" s="4">
        <f>IF($K175="","",(S175-V175)/J175*100)</f>
      </c>
      <c r="U175" s="4">
        <f>IF($K175="","",M175-Q175)</f>
      </c>
      <c r="W175" s="4">
        <f>IF($K175="","",S175-V175)</f>
      </c>
    </row>
    <row r="176" spans="1:28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IF($K176="","",K176/100*11)</f>
      </c>
      <c r="O176" s="4">
        <v>8.99</v>
      </c>
      <c r="P176" s="4"/>
      <c r="Q176" s="4">
        <f>IF($K176="","",P176*20%)</f>
      </c>
      <c r="R176" s="4">
        <v>1</v>
      </c>
      <c r="S176" s="4">
        <f>IF($K176="","",L176-M176-N176-O176-P176-Q176-R176)</f>
      </c>
      <c r="T176" s="4">
        <f>IF($K176="","",(S176-V176)/J176*100)</f>
      </c>
      <c r="U176" s="4">
        <f>IF($K176="","",M176-Q176)</f>
      </c>
      <c r="W176" s="4">
        <f>IF($K176="","",S176-V176)</f>
      </c>
    </row>
    <row r="177" spans="1:28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IF($K177="","",K177/100*11)</f>
      </c>
      <c r="O177" s="4">
        <v>8.99</v>
      </c>
      <c r="P177" s="4"/>
      <c r="Q177" s="4">
        <f>IF($K177="","",P177*20%)</f>
      </c>
      <c r="R177" s="4">
        <v>1</v>
      </c>
      <c r="S177" s="4">
        <f>IF($K177="","",L177-M177-N177-O177-P177-Q177-R177)</f>
      </c>
      <c r="T177" s="4">
        <f>IF($K177="","",(S177-V177)/J177*100)</f>
      </c>
      <c r="U177" s="4">
        <f>IF($K177="","",M177-Q177)</f>
      </c>
      <c r="W177" s="4">
        <f>IF($K177="","",S177-V177)</f>
      </c>
    </row>
    <row r="178" spans="1:28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IF($K178="","",K178/100*11)</f>
      </c>
      <c r="O178" s="4">
        <v>8.99</v>
      </c>
      <c r="P178" s="4"/>
      <c r="Q178" s="4">
        <f>IF($K178="","",P178*20%)</f>
      </c>
      <c r="R178" s="4">
        <v>1</v>
      </c>
      <c r="S178" s="4">
        <f>IF($K178="","",L178-M178-N178-O178-P178-Q178-R178)</f>
      </c>
      <c r="T178" s="4">
        <f>IF($K178="","",(S178-V178)/J178*100)</f>
      </c>
      <c r="U178" s="4">
        <f>IF($K178="","",M178-Q178)</f>
      </c>
      <c r="W178" s="4">
        <f>IF($K178="","",S178-V178)</f>
      </c>
    </row>
    <row r="179" spans="1:28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IF($K179="","",K179/100*11)</f>
      </c>
      <c r="O179" s="4">
        <v>8.99</v>
      </c>
      <c r="P179" s="4"/>
      <c r="Q179" s="4">
        <f>IF($K179="","",P179*20%)</f>
      </c>
      <c r="R179" s="4">
        <v>1</v>
      </c>
      <c r="S179" s="4">
        <f>IF($K179="","",L179-M179-N179-O179-P179-Q179-R179)</f>
      </c>
      <c r="T179" s="4">
        <f>IF($K179="","",(S179-V179)/J179*100)</f>
      </c>
      <c r="U179" s="4">
        <f>IF($K179="","",M179-Q179)</f>
      </c>
      <c r="W179" s="4">
        <f>IF($K179="","",S179-V179)</f>
      </c>
    </row>
    <row r="180" spans="1:28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IF($K180="","",K180/100*11)</f>
      </c>
      <c r="O180" s="4">
        <v>8.99</v>
      </c>
      <c r="P180" s="4"/>
      <c r="Q180" s="4">
        <f>IF($K180="","",P180*20%)</f>
      </c>
      <c r="R180" s="4">
        <v>1</v>
      </c>
      <c r="S180" s="4">
        <f>IF($K180="","",L180-M180-N180-O180-P180-Q180-R180)</f>
      </c>
      <c r="T180" s="4">
        <f>IF($K180="","",(S180-V180)/J180*100)</f>
      </c>
      <c r="U180" s="4">
        <f>IF($K180="","",M180-Q180)</f>
      </c>
      <c r="W180" s="4">
        <f>IF($K180="","",S180-V180)</f>
      </c>
    </row>
    <row r="181" spans="1:28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IF($K181="","",K181/100*11)</f>
      </c>
      <c r="O181" s="4">
        <v>8.99</v>
      </c>
      <c r="P181" s="4"/>
      <c r="Q181" s="4">
        <f>IF($K181="","",P181*20%)</f>
      </c>
      <c r="R181" s="4">
        <v>1</v>
      </c>
      <c r="S181" s="4">
        <f>IF($K181="","",L181-M181-N181-O181-P181-Q181-R181)</f>
      </c>
      <c r="T181" s="4">
        <f>IF($K181="","",(S181-V181)/J181*100)</f>
      </c>
      <c r="U181" s="4">
        <f>IF($K181="","",M181-Q181)</f>
      </c>
      <c r="W181" s="4">
        <f>IF($K181="","",S181-V181)</f>
      </c>
    </row>
    <row r="182" spans="1:28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IF($K182="","",K182/100*11)</f>
      </c>
      <c r="O182" s="4">
        <v>8.99</v>
      </c>
      <c r="P182" s="4"/>
      <c r="Q182" s="4">
        <f>IF($K182="","",P182*20%)</f>
      </c>
      <c r="R182" s="4">
        <v>1</v>
      </c>
      <c r="S182" s="4">
        <f>IF($K182="","",L182-M182-N182-O182-P182-Q182-R182)</f>
      </c>
      <c r="T182" s="4">
        <f>IF($K182="","",(S182-V182)/J182*100)</f>
      </c>
      <c r="U182" s="4">
        <f>IF($K182="","",M182-Q182)</f>
      </c>
      <c r="W182" s="4">
        <f>IF($K182="","",S182-V182)</f>
      </c>
    </row>
    <row r="183" spans="1:28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IF($K183="","",K183/100*11)</f>
      </c>
      <c r="O183" s="4">
        <v>8.99</v>
      </c>
      <c r="P183" s="4"/>
      <c r="Q183" s="4">
        <f>IF($K183="","",P183*20%)</f>
      </c>
      <c r="R183" s="4">
        <v>1</v>
      </c>
      <c r="S183" s="4">
        <f>IF($K183="","",L183-M183-N183-O183-P183-Q183-R183)</f>
      </c>
      <c r="T183" s="4">
        <f>IF($K183="","",(S183-V183)/J183*100)</f>
      </c>
      <c r="U183" s="4">
        <f>IF($K183="","",M183-Q183)</f>
      </c>
      <c r="W183" s="4">
        <f>IF($K183="","",S183-V183)</f>
      </c>
    </row>
    <row r="184" spans="1:28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IF($K184="","",K184/100*11)</f>
      </c>
      <c r="O184" s="4">
        <v>8.99</v>
      </c>
      <c r="P184" s="4"/>
      <c r="Q184" s="4">
        <f>IF($K184="","",P184*20%)</f>
      </c>
      <c r="R184" s="4">
        <v>1</v>
      </c>
      <c r="S184" s="4">
        <f>IF($K184="","",L184-M184-N184-O184-P184-Q184-R184)</f>
      </c>
      <c r="T184" s="4">
        <f>IF($K184="","",(S184-V184)/J184*100)</f>
      </c>
      <c r="U184" s="4">
        <f>IF($K184="","",M184-Q184)</f>
      </c>
      <c r="W184" s="4">
        <f>IF($K184="","",S184-V184)</f>
      </c>
    </row>
    <row r="185" spans="1:28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IF($K185="","",K185/100*11)</f>
      </c>
      <c r="O185" s="4">
        <v>8.99</v>
      </c>
      <c r="P185" s="4"/>
      <c r="Q185" s="4">
        <f>IF($K185="","",P185*20%)</f>
      </c>
      <c r="R185" s="4">
        <v>1</v>
      </c>
      <c r="S185" s="4">
        <f>IF($K185="","",L185-M185-N185-O185-P185-Q185-R185)</f>
      </c>
      <c r="T185" s="4">
        <f>IF($K185="","",(S185-V185)/J185*100)</f>
      </c>
      <c r="U185" s="4">
        <f>IF($K185="","",M185-Q185)</f>
      </c>
      <c r="W185" s="4">
        <f>IF($K185="","",S185-V185)</f>
      </c>
    </row>
    <row r="186" spans="1:28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IF($K186="","",K186/100*11)</f>
      </c>
      <c r="O186" s="4">
        <v>8.99</v>
      </c>
      <c r="P186" s="4"/>
      <c r="Q186" s="4">
        <f>IF($K186="","",P186*20%)</f>
      </c>
      <c r="R186" s="4">
        <v>1</v>
      </c>
      <c r="S186" s="4">
        <f>IF($K186="","",L186-M186-N186-O186-P186-Q186-R186)</f>
      </c>
      <c r="T186" s="4">
        <f>IF($K186="","",(S186-V186)/J186*100)</f>
      </c>
      <c r="U186" s="4">
        <f>IF($K186="","",M186-Q186)</f>
      </c>
      <c r="W186" s="4">
        <f>IF($K186="","",S186-V186)</f>
      </c>
    </row>
    <row r="187" spans="1:28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IF($K187="","",K187/100*11)</f>
      </c>
      <c r="O187" s="4">
        <v>8.99</v>
      </c>
      <c r="P187" s="4"/>
      <c r="Q187" s="4">
        <f>IF($K187="","",P187*20%)</f>
      </c>
      <c r="R187" s="4">
        <v>1</v>
      </c>
      <c r="S187" s="4">
        <f>IF($K187="","",L187-M187-N187-O187-P187-Q187-R187)</f>
      </c>
      <c r="T187" s="4">
        <f>IF($K187="","",(S187-V187)/J187*100)</f>
      </c>
      <c r="U187" s="4">
        <f>IF($K187="","",M187-Q187)</f>
      </c>
      <c r="W187" s="4">
        <f>IF($K187="","",S187-V187)</f>
      </c>
    </row>
    <row r="188" spans="1:28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IF($K188="","",K188/100*11)</f>
      </c>
      <c r="O188" s="4">
        <v>8.99</v>
      </c>
      <c r="P188" s="4"/>
      <c r="Q188" s="4">
        <f>IF($K188="","",P188*20%)</f>
      </c>
      <c r="R188" s="4">
        <v>1</v>
      </c>
      <c r="S188" s="4">
        <f>IF($K188="","",L188-M188-N188-O188-P188-Q188-R188)</f>
      </c>
      <c r="T188" s="4">
        <f>IF($K188="","",(S188-V188)/J188*100)</f>
      </c>
      <c r="U188" s="4">
        <f>IF($K188="","",M188-Q188)</f>
      </c>
      <c r="W188" s="4">
        <f>IF($K188="","",S188-V188)</f>
      </c>
    </row>
    <row r="189" spans="1:28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IF($K189="","",K189/100*11)</f>
      </c>
      <c r="O189" s="4">
        <v>8.99</v>
      </c>
      <c r="P189" s="4"/>
      <c r="Q189" s="4">
        <f>IF($K189="","",P189*20%)</f>
      </c>
      <c r="R189" s="4">
        <v>1</v>
      </c>
      <c r="S189" s="4">
        <f>IF($K189="","",L189-M189-N189-O189-P189-Q189-R189)</f>
      </c>
      <c r="T189" s="4">
        <f>IF($K189="","",(S189-V189)/J189*100)</f>
      </c>
      <c r="U189" s="4">
        <f>IF($K189="","",M189-Q189)</f>
      </c>
      <c r="W189" s="4">
        <f>IF($K189="","",S189-V189)</f>
      </c>
    </row>
    <row r="190" spans="1:28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IF($K190="","",K190/100*11)</f>
      </c>
      <c r="O190" s="4">
        <v>8.99</v>
      </c>
      <c r="P190" s="4"/>
      <c r="Q190" s="4">
        <f>IF($K190="","",P190*20%)</f>
      </c>
      <c r="R190" s="4">
        <v>1</v>
      </c>
      <c r="S190" s="4">
        <f>IF($K190="","",L190-M190-N190-O190-P190-Q190-R190)</f>
      </c>
      <c r="T190" s="4">
        <f>IF($K190="","",(S190-V190)/J190*100)</f>
      </c>
      <c r="U190" s="4">
        <f>IF($K190="","",M190-Q190)</f>
      </c>
      <c r="W190" s="4">
        <f>IF($K190="","",S190-V190)</f>
      </c>
    </row>
    <row r="191" spans="1:28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IF($K191="","",K191/100*11)</f>
      </c>
      <c r="O191" s="4">
        <v>8.99</v>
      </c>
      <c r="P191" s="4"/>
      <c r="Q191" s="4">
        <f>IF($K191="","",P191*20%)</f>
      </c>
      <c r="R191" s="4">
        <v>1</v>
      </c>
      <c r="S191" s="4">
        <f>IF($K191="","",L191-M191-N191-O191-P191-Q191-R191)</f>
      </c>
      <c r="T191" s="4">
        <f>IF($K191="","",(S191-V191)/J191*100)</f>
      </c>
      <c r="U191" s="4">
        <f>IF($K191="","",M191-Q191)</f>
      </c>
      <c r="W191" s="4">
        <f>IF($K191="","",S191-V191)</f>
      </c>
    </row>
    <row r="192" spans="1:28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IF($K192="","",K192/100*11)</f>
      </c>
      <c r="O192" s="4">
        <v>8.99</v>
      </c>
      <c r="P192" s="4"/>
      <c r="Q192" s="4">
        <f>IF($K192="","",P192*20%)</f>
      </c>
      <c r="R192" s="4">
        <v>1</v>
      </c>
      <c r="S192" s="4">
        <f>IF($K192="","",L192-M192-N192-O192-P192-Q192-R192)</f>
      </c>
      <c r="T192" s="4">
        <f>IF($K192="","",(S192-V192)/J192*100)</f>
      </c>
      <c r="U192" s="4">
        <f>IF($K192="","",M192-Q192)</f>
      </c>
      <c r="W192" s="4">
        <f>IF($K192="","",S192-V192)</f>
      </c>
    </row>
    <row r="193" spans="1:28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IF($K193="","",K193/100*11)</f>
      </c>
      <c r="O193" s="4">
        <v>8.99</v>
      </c>
      <c r="P193" s="4"/>
      <c r="Q193" s="4">
        <f>IF($K193="","",P193*20%)</f>
      </c>
      <c r="R193" s="4">
        <v>1</v>
      </c>
      <c r="S193" s="4">
        <f>IF($K193="","",L193-M193-N193-O193-P193-Q193-R193)</f>
      </c>
      <c r="T193" s="4">
        <f>IF($K193="","",(S193-V193)/J193*100)</f>
      </c>
      <c r="U193" s="4">
        <f>IF($K193="","",M193-Q193)</f>
      </c>
      <c r="W193" s="4">
        <f>IF($K193="","",S193-V193)</f>
      </c>
    </row>
    <row r="194" spans="1:28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IF($K194="","",K194/100*11)</f>
      </c>
      <c r="O194" s="4">
        <v>8.99</v>
      </c>
      <c r="P194" s="4"/>
      <c r="Q194" s="4">
        <f>IF($K194="","",P194*20%)</f>
      </c>
      <c r="R194" s="4">
        <v>1</v>
      </c>
      <c r="S194" s="4">
        <f>IF($K194="","",L194-M194-N194-O194-P194-Q194-R194)</f>
      </c>
      <c r="T194" s="4">
        <f>IF($K194="","",(S194-V194)/J194*100)</f>
      </c>
      <c r="U194" s="4">
        <f>IF($K194="","",M194-Q194)</f>
      </c>
      <c r="W194" s="4">
        <f>IF($K194="","",S194-V194)</f>
      </c>
    </row>
    <row r="195" spans="1:28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IF($K195="","",K195/100*11)</f>
      </c>
      <c r="O195" s="4">
        <v>8.99</v>
      </c>
      <c r="P195" s="4"/>
      <c r="Q195" s="4">
        <f>IF($K195="","",P195*20%)</f>
      </c>
      <c r="R195" s="4">
        <v>1</v>
      </c>
      <c r="S195" s="4">
        <f>IF($K195="","",L195-M195-N195-O195-P195-Q195-R195)</f>
      </c>
      <c r="T195" s="4">
        <f>IF($K195="","",(S195-V195)/J195*100)</f>
      </c>
      <c r="U195" s="4">
        <f>IF($K195="","",M195-Q195)</f>
      </c>
      <c r="W195" s="4">
        <f>IF($K195="","",S195-V195)</f>
      </c>
    </row>
    <row r="196" spans="1:28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IF($K196="","",K196/100*11)</f>
      </c>
      <c r="O196" s="4">
        <v>8.99</v>
      </c>
      <c r="P196" s="4"/>
      <c r="Q196" s="4">
        <f>IF($K196="","",P196*20%)</f>
      </c>
      <c r="R196" s="4">
        <v>1</v>
      </c>
      <c r="S196" s="4">
        <f>IF($K196="","",L196-M196-N196-O196-P196-Q196-R196)</f>
      </c>
      <c r="T196" s="4">
        <f>IF($K196="","",(S196-V196)/J196*100)</f>
      </c>
      <c r="U196" s="4">
        <f>IF($K196="","",M196-Q196)</f>
      </c>
      <c r="W196" s="4">
        <f>IF($K196="","",S196-V196)</f>
      </c>
    </row>
    <row r="197" spans="1:28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IF($K197="","",K197/100*11)</f>
      </c>
      <c r="O197" s="4">
        <v>8.99</v>
      </c>
      <c r="P197" s="4"/>
      <c r="Q197" s="4">
        <f>IF($K197="","",P197*20%)</f>
      </c>
      <c r="R197" s="4">
        <v>1</v>
      </c>
      <c r="S197" s="4">
        <f>IF($K197="","",L197-M197-N197-O197-P197-Q197-R197)</f>
      </c>
      <c r="T197" s="4">
        <f>IF($K197="","",(S197-V197)/J197*100)</f>
      </c>
      <c r="U197" s="4">
        <f>IF($K197="","",M197-Q197)</f>
      </c>
      <c r="W197" s="4">
        <f>IF($K197="","",S197-V197)</f>
      </c>
    </row>
    <row r="198" spans="1:28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IF($K198="","",K198/100*11)</f>
      </c>
      <c r="O198" s="4">
        <v>8.99</v>
      </c>
      <c r="P198" s="4"/>
      <c r="Q198" s="4">
        <f>IF($K198="","",P198*20%)</f>
      </c>
      <c r="R198" s="4">
        <v>1</v>
      </c>
      <c r="S198" s="4">
        <f>IF($K198="","",L198-M198-N198-O198-P198-Q198-R198)</f>
      </c>
      <c r="T198" s="4">
        <f>IF($K198="","",(S198-V198)/J198*100)</f>
      </c>
      <c r="U198" s="4">
        <f>IF($K198="","",M198-Q198)</f>
      </c>
      <c r="W198" s="4">
        <f>IF($K198="","",S198-V198)</f>
      </c>
    </row>
    <row r="199" spans="1:28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IF($K199="","",K199/100*11)</f>
      </c>
      <c r="O199" s="4">
        <v>8.99</v>
      </c>
      <c r="P199" s="4"/>
      <c r="Q199" s="4">
        <f>IF($K199="","",P199*20%)</f>
      </c>
      <c r="R199" s="4">
        <v>1</v>
      </c>
      <c r="S199" s="4">
        <f>IF($K199="","",L199-M199-N199-O199-P199-Q199-R199)</f>
      </c>
      <c r="T199" s="4">
        <f>IF($K199="","",(S199-V199)/J199*100)</f>
      </c>
      <c r="U199" s="4">
        <f>IF($K199="","",M199-Q199)</f>
      </c>
      <c r="W199" s="4">
        <f>IF($K199="","",S199-V199)</f>
      </c>
    </row>
    <row r="200" spans="1:28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IF($K200="","",K200/100*11)</f>
      </c>
      <c r="O200" s="4">
        <v>8.99</v>
      </c>
      <c r="P200" s="4"/>
      <c r="Q200" s="4">
        <f>IF($K200="","",P200*20%)</f>
      </c>
      <c r="R200" s="4">
        <v>1</v>
      </c>
      <c r="S200" s="4">
        <f>IF($K200="","",L200-M200-N200-O200-P200-Q200-R200)</f>
      </c>
      <c r="T200" s="4">
        <f>IF($K200="","",(S200-V200)/J200*100)</f>
      </c>
      <c r="U200" s="4">
        <f>IF($K200="","",M200-Q200)</f>
      </c>
      <c r="W200" s="4">
        <f>IF($K200="","",S200-V200)</f>
      </c>
    </row>
    <row r="201" spans="1:28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IF($K201="","",K201/100*11)</f>
      </c>
      <c r="O201" s="4">
        <v>8.99</v>
      </c>
      <c r="P201" s="4"/>
      <c r="Q201" s="4">
        <f>IF($K201="","",P201*20%)</f>
      </c>
      <c r="R201" s="4">
        <v>1</v>
      </c>
      <c r="S201" s="4">
        <f>IF($K201="","",L201-M201-N201-O201-P201-Q201-R201)</f>
      </c>
      <c r="T201" s="4">
        <f>IF($K201="","",(S201-V201)/J201*100)</f>
      </c>
      <c r="U201" s="4">
        <f>IF($K201="","",M201-Q201)</f>
      </c>
      <c r="W201" s="4">
        <f>IF($K201="","",S201-V201)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IFERROR((S202-V202)/J202*100,0)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79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80</v>
      </c>
      <c r="P1" t="s">
        <v>81</v>
      </c>
      <c r="Q1" t="s">
        <v>82</v>
      </c>
      <c r="R1" t="s">
        <v>83</v>
      </c>
      <c r="S1" t="s">
        <v>43</v>
      </c>
      <c r="T1" t="s">
        <v>44</v>
      </c>
      <c r="U1" t="s">
        <v>84</v>
      </c>
      <c r="V1" t="s">
        <v>85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IF($K2="","",(Y2-AB2)/K2*100)</f>
      </c>
      <c r="AA2" s="4">
        <f>IF($K2="","",M2-X2)</f>
      </c>
      <c r="AC2" s="4">
        <f>IF($K2="","",Y2-AB2)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IF($K3="","",(Y3-AB3)/K3*100)</f>
      </c>
      <c r="AA3" s="4">
        <f>IF($K3="","",M3-X3)</f>
      </c>
      <c r="AC3" s="4">
        <f>IF($K3="","",Y3-AB3)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IF($K4="","",(Y4-AB4)/K4*100)</f>
      </c>
      <c r="AA4" s="4">
        <f>IF($K4="","",M4-X4)</f>
      </c>
      <c r="AC4" s="4">
        <f>IF($K4="","",Y4-AB4)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IF($K5="","",(Y5-AB5)/K5*100)</f>
      </c>
      <c r="AA5" s="4">
        <f>IF($K5="","",M5-X5)</f>
      </c>
      <c r="AC5" s="4">
        <f>IF($K5="","",Y5-AB5)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IF($K6="","",(Y6-AB6)/K6*100)</f>
      </c>
      <c r="AA6" s="4">
        <f>IF($K6="","",M6-X6)</f>
      </c>
      <c r="AC6" s="4">
        <f>IF($K6="","",Y6-AB6)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IF($K7="","",(Y7-AB7)/K7*100)</f>
      </c>
      <c r="AA7" s="4">
        <f>IF($K7="","",M7-X7)</f>
      </c>
      <c r="AC7" s="4">
        <f>IF($K7="","",Y7-AB7)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IF($K8="","",(Y8-AB8)/K8*100)</f>
      </c>
      <c r="AA8" s="4">
        <f>IF($K8="","",M8-X8)</f>
      </c>
      <c r="AC8" s="4">
        <f>IF($K8="","",Y8-AB8)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IF($K9="","",(Y9-AB9)/K9*100)</f>
      </c>
      <c r="AA9" s="4">
        <f>IF($K9="","",M9-X9)</f>
      </c>
      <c r="AC9" s="4">
        <f>IF($K9="","",Y9-AB9)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IF($K10="","",(Y10-AB10)/K10*100)</f>
      </c>
      <c r="AA10" s="4">
        <f>IF($K10="","",M10-X10)</f>
      </c>
      <c r="AC10" s="4">
        <f>IF($K10="","",Y10-AB10)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IF($K11="","",(Y11-AB11)/K11*100)</f>
      </c>
      <c r="AA11" s="4">
        <f>IF($K11="","",M11-X11)</f>
      </c>
      <c r="AC11" s="4">
        <f>IF($K11="","",Y11-AB11)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IF($K12="","",(Y12-AB12)/K12*100)</f>
      </c>
      <c r="AA12" s="4">
        <f>IF($K12="","",M12-X12)</f>
      </c>
      <c r="AC12" s="4">
        <f>IF($K12="","",Y12-AB12)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IF($K13="","",(Y13-AB13)/K13*100)</f>
      </c>
      <c r="AA13" s="4">
        <f>IF($K13="","",M13-X13)</f>
      </c>
      <c r="AC13" s="4">
        <f>IF($K13="","",Y13-AB13)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IF($K14="","",(Y14-AB14)/K14*100)</f>
      </c>
      <c r="AA14" s="4">
        <f>IF($K14="","",M14-X14)</f>
      </c>
      <c r="AC14" s="4">
        <f>IF($K14="","",Y14-AB14)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IF($K15="","",(Y15-AB15)/K15*100)</f>
      </c>
      <c r="AA15" s="4">
        <f>IF($K15="","",M15-X15)</f>
      </c>
      <c r="AC15" s="4">
        <f>IF($K15="","",Y15-AB15)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IF($K16="","",(Y16-AB16)/K16*100)</f>
      </c>
      <c r="AA16" s="4">
        <f>IF($K16="","",M16-X16)</f>
      </c>
      <c r="AC16" s="4">
        <f>IF($K16="","",Y16-AB16)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IF($K17="","",(Y17-AB17)/K17*100)</f>
      </c>
      <c r="AA17" s="4">
        <f>IF($K17="","",M17-X17)</f>
      </c>
      <c r="AC17" s="4">
        <f>IF($K17="","",Y17-AB17)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IF($K18="","",(Y18-AB18)/K18*100)</f>
      </c>
      <c r="AA18" s="4">
        <f>IF($K18="","",M18-X18)</f>
      </c>
      <c r="AC18" s="4">
        <f>IF($K18="","",Y18-AB18)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IF($K19="","",(Y19-AB19)/K19*100)</f>
      </c>
      <c r="AA19" s="4">
        <f>IF($K19="","",M19-X19)</f>
      </c>
      <c r="AC19" s="4">
        <f>IF($K19="","",Y19-AB19)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IF($K20="","",(Y20-AB20)/K20*100)</f>
      </c>
      <c r="AA20" s="4">
        <f>IF($K20="","",M20-X20)</f>
      </c>
      <c r="AC20" s="4">
        <f>IF($K20="","",Y20-AB20)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IF($K21="","",(Y21-AB21)/K21*100)</f>
      </c>
      <c r="AA21" s="4">
        <f>IF($K21="","",M21-X21)</f>
      </c>
      <c r="AC21" s="4">
        <f>IF($K21="","",Y21-AB21)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IF($K22="","",(Y22-AB22)/K22*100)</f>
      </c>
      <c r="AA22" s="4">
        <f>IF($K22="","",M22-X22)</f>
      </c>
      <c r="AC22" s="4">
        <f>IF($K22="","",Y22-AB22)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IF($K23="","",(Y23-AB23)/K23*100)</f>
      </c>
      <c r="AA23" s="4">
        <f>IF($K23="","",M23-X23)</f>
      </c>
      <c r="AC23" s="4">
        <f>IF($K23="","",Y23-AB23)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IF($K24="","",(Y24-AB24)/K24*100)</f>
      </c>
      <c r="AA24" s="4">
        <f>IF($K24="","",M24-X24)</f>
      </c>
      <c r="AC24" s="4">
        <f>IF($K24="","",Y24-AB24)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IF($K25="","",(Y25-AB25)/K25*100)</f>
      </c>
      <c r="AA25" s="4">
        <f>IF($K25="","",M25-X25)</f>
      </c>
      <c r="AC25" s="4">
        <f>IF($K25="","",Y25-AB25)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IF($K26="","",(Y26-AB26)/K26*100)</f>
      </c>
      <c r="AA26" s="4">
        <f>IF($K26="","",M26-X26)</f>
      </c>
      <c r="AC26" s="4">
        <f>IF($K26="","",Y26-AB26)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IF($K27="","",(Y27-AB27)/K27*100)</f>
      </c>
      <c r="AA27" s="4">
        <f>IF($K27="","",M27-X27)</f>
      </c>
      <c r="AC27" s="4">
        <f>IF($K27="","",Y27-AB27)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IF($K28="","",(Y28-AB28)/K28*100)</f>
      </c>
      <c r="AA28" s="4">
        <f>IF($K28="","",M28-X28)</f>
      </c>
      <c r="AC28" s="4">
        <f>IF($K28="","",Y28-AB28)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IF($K29="","",(Y29-AB29)/K29*100)</f>
      </c>
      <c r="AA29" s="4">
        <f>IF($K29="","",M29-X29)</f>
      </c>
      <c r="AC29" s="4">
        <f>IF($K29="","",Y29-AB29)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IF($K30="","",(Y30-AB30)/K30*100)</f>
      </c>
      <c r="AA30" s="4">
        <f>IF($K30="","",M30-X30)</f>
      </c>
      <c r="AC30" s="4">
        <f>IF($K30="","",Y30-AB30)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IF($K31="","",(Y31-AB31)/K31*100)</f>
      </c>
      <c r="AA31" s="4">
        <f>IF($K31="","",M31-X31)</f>
      </c>
      <c r="AC31" s="4">
        <f>IF($K31="","",Y31-AB31)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IF($K32="","",(Y32-AB32)/K32*100)</f>
      </c>
      <c r="AA32" s="4">
        <f>IF($K32="","",M32-X32)</f>
      </c>
      <c r="AC32" s="4">
        <f>IF($K32="","",Y32-AB32)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IF($K33="","",(Y33-AB33)/K33*100)</f>
      </c>
      <c r="AA33" s="4">
        <f>IF($K33="","",M33-X33)</f>
      </c>
      <c r="AC33" s="4">
        <f>IF($K33="","",Y33-AB33)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IF($K34="","",(Y34-AB34)/K34*100)</f>
      </c>
      <c r="AA34" s="4">
        <f>IF($K34="","",M34-X34)</f>
      </c>
      <c r="AC34" s="4">
        <f>IF($K34="","",Y34-AB34)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IF($K35="","",(Y35-AB35)/K35*100)</f>
      </c>
      <c r="AA35" s="4">
        <f>IF($K35="","",M35-X35)</f>
      </c>
      <c r="AC35" s="4">
        <f>IF($K35="","",Y35-AB35)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IF($K36="","",(Y36-AB36)/K36*100)</f>
      </c>
      <c r="AA36" s="4">
        <f>IF($K36="","",M36-X36)</f>
      </c>
      <c r="AC36" s="4">
        <f>IF($K36="","",Y36-AB36)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IF($K37="","",(Y37-AB37)/K37*100)</f>
      </c>
      <c r="AA37" s="4">
        <f>IF($K37="","",M37-X37)</f>
      </c>
      <c r="AC37" s="4">
        <f>IF($K37="","",Y37-AB37)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IF($K38="","",(Y38-AB38)/K38*100)</f>
      </c>
      <c r="AA38" s="4">
        <f>IF($K38="","",M38-X38)</f>
      </c>
      <c r="AC38" s="4">
        <f>IF($K38="","",Y38-AB38)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IF($K39="","",(Y39-AB39)/K39*100)</f>
      </c>
      <c r="AA39" s="4">
        <f>IF($K39="","",M39-X39)</f>
      </c>
      <c r="AC39" s="4">
        <f>IF($K39="","",Y39-AB39)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IF($K40="","",(Y40-AB40)/K40*100)</f>
      </c>
      <c r="AA40" s="4">
        <f>IF($K40="","",M40-X40)</f>
      </c>
      <c r="AC40" s="4">
        <f>IF($K40="","",Y40-AB40)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IF($K41="","",(Y41-AB41)/K41*100)</f>
      </c>
      <c r="AA41" s="4">
        <f>IF($K41="","",M41-X41)</f>
      </c>
      <c r="AC41" s="4">
        <f>IF($K41="","",Y41-AB41)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IF($K42="","",(Y42-AB42)/K42*100)</f>
      </c>
      <c r="AA42" s="4">
        <f>IF($K42="","",M42-X42)</f>
      </c>
      <c r="AC42" s="4">
        <f>IF($K42="","",Y42-AB42)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IF($K43="","",(Y43-AB43)/K43*100)</f>
      </c>
      <c r="AA43" s="4">
        <f>IF($K43="","",M43-X43)</f>
      </c>
      <c r="AC43" s="4">
        <f>IF($K43="","",Y43-AB43)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IF($K44="","",(Y44-AB44)/K44*100)</f>
      </c>
      <c r="AA44" s="4">
        <f>IF($K44="","",M44-X44)</f>
      </c>
      <c r="AC44" s="4">
        <f>IF($K44="","",Y44-AB44)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IF($K45="","",(Y45-AB45)/K45*100)</f>
      </c>
      <c r="AA45" s="4">
        <f>IF($K45="","",M45-X45)</f>
      </c>
      <c r="AC45" s="4">
        <f>IF($K45="","",Y45-AB45)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IF($K46="","",(Y46-AB46)/K46*100)</f>
      </c>
      <c r="AA46" s="4">
        <f>IF($K46="","",M46-X46)</f>
      </c>
      <c r="AC46" s="4">
        <f>IF($K46="","",Y46-AB46)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IF($K47="","",(Y47-AB47)/K47*100)</f>
      </c>
      <c r="AA47" s="4">
        <f>IF($K47="","",M47-X47)</f>
      </c>
      <c r="AC47" s="4">
        <f>IF($K47="","",Y47-AB47)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IF($K48="","",(Y48-AB48)/K48*100)</f>
      </c>
      <c r="AA48" s="4">
        <f>IF($K48="","",M48-X48)</f>
      </c>
      <c r="AC48" s="4">
        <f>IF($K48="","",Y48-AB48)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IF($K49="","",(Y49-AB49)/K49*100)</f>
      </c>
      <c r="AA49" s="4">
        <f>IF($K49="","",M49-X49)</f>
      </c>
      <c r="AC49" s="4">
        <f>IF($K49="","",Y49-AB49)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IF($K50="","",(Y50-AB50)/K50*100)</f>
      </c>
      <c r="AA50" s="4">
        <f>IF($K50="","",M50-X50)</f>
      </c>
      <c r="AC50" s="4">
        <f>IF($K50="","",Y50-AB50)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IF($K51="","",(Y51-AB51)/K51*100)</f>
      </c>
      <c r="AA51" s="4">
        <f>IF($K51="","",M51-X51)</f>
      </c>
      <c r="AC51" s="4">
        <f>IF($K51="","",Y51-AB51)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IF($K52="","",(Y52-AB52)/K52*100)</f>
      </c>
      <c r="AA52" s="4">
        <f>IF($K52="","",M52-X52)</f>
      </c>
      <c r="AC52" s="4">
        <f>IF($K52="","",Y52-AB52)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IF($K53="","",(Y53-AB53)/K53*100)</f>
      </c>
      <c r="AA53" s="4">
        <f>IF($K53="","",M53-X53)</f>
      </c>
      <c r="AC53" s="4">
        <f>IF($K53="","",Y53-AB53)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IF($K54="","",(Y54-AB54)/K54*100)</f>
      </c>
      <c r="AA54" s="4">
        <f>IF($K54="","",M54-X54)</f>
      </c>
      <c r="AC54" s="4">
        <f>IF($K54="","",Y54-AB54)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IF($K55="","",(Y55-AB55)/K55*100)</f>
      </c>
      <c r="AA55" s="4">
        <f>IF($K55="","",M55-X55)</f>
      </c>
      <c r="AC55" s="4">
        <f>IF($K55="","",Y55-AB55)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IF($K56="","",(Y56-AB56)/K56*100)</f>
      </c>
      <c r="AA56" s="4">
        <f>IF($K56="","",M56-X56)</f>
      </c>
      <c r="AC56" s="4">
        <f>IF($K56="","",Y56-AB56)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IF($K57="","",(Y57-AB57)/K57*100)</f>
      </c>
      <c r="AA57" s="4">
        <f>IF($K57="","",M57-X57)</f>
      </c>
      <c r="AC57" s="4">
        <f>IF($K57="","",Y57-AB57)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IF($K58="","",(Y58-AB58)/K58*100)</f>
      </c>
      <c r="AA58" s="4">
        <f>IF($K58="","",M58-X58)</f>
      </c>
      <c r="AC58" s="4">
        <f>IF($K58="","",Y58-AB58)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IF($K59="","",(Y59-AB59)/K59*100)</f>
      </c>
      <c r="AA59" s="4">
        <f>IF($K59="","",M59-X59)</f>
      </c>
      <c r="AC59" s="4">
        <f>IF($K59="","",Y59-AB59)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IF($K60="","",(Y60-AB60)/K60*100)</f>
      </c>
      <c r="AA60" s="4">
        <f>IF($K60="","",M60-X60)</f>
      </c>
      <c r="AC60" s="4">
        <f>IF($K60="","",Y60-AB60)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IF($K61="","",(Y61-AB61)/K61*100)</f>
      </c>
      <c r="AA61" s="4">
        <f>IF($K61="","",M61-X61)</f>
      </c>
      <c r="AC61" s="4">
        <f>IF($K61="","",Y61-AB61)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IF($K62="","",(Y62-AB62)/K62*100)</f>
      </c>
      <c r="AA62" s="4">
        <f>IF($K62="","",M62-X62)</f>
      </c>
      <c r="AC62" s="4">
        <f>IF($K62="","",Y62-AB62)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IF($K63="","",(Y63-AB63)/K63*100)</f>
      </c>
      <c r="AA63" s="4">
        <f>IF($K63="","",M63-X63)</f>
      </c>
      <c r="AC63" s="4">
        <f>IF($K63="","",Y63-AB63)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IF($K64="","",(Y64-AB64)/K64*100)</f>
      </c>
      <c r="AA64" s="4">
        <f>IF($K64="","",M64-X64)</f>
      </c>
      <c r="AC64" s="4">
        <f>IF($K64="","",Y64-AB64)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IF($K65="","",(Y65-AB65)/K65*100)</f>
      </c>
      <c r="AA65" s="4">
        <f>IF($K65="","",M65-X65)</f>
      </c>
      <c r="AC65" s="4">
        <f>IF($K65="","",Y65-AB65)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IF($K66="","",(Y66-AB66)/K66*100)</f>
      </c>
      <c r="AA66" s="4">
        <f>IF($K66="","",M66-X66)</f>
      </c>
      <c r="AC66" s="4">
        <f>IF($K66="","",Y66-AB66)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IF($K67="","",(Y67-AB67)/K67*100)</f>
      </c>
      <c r="AA67" s="4">
        <f>IF($K67="","",M67-X67)</f>
      </c>
      <c r="AC67" s="4">
        <f>IF($K67="","",Y67-AB67)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IF($K68="","",(Y68-AB68)/K68*100)</f>
      </c>
      <c r="AA68" s="4">
        <f>IF($K68="","",M68-X68)</f>
      </c>
      <c r="AC68" s="4">
        <f>IF($K68="","",Y68-AB68)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IF($K69="","",(Y69-AB69)/K69*100)</f>
      </c>
      <c r="AA69" s="4">
        <f>IF($K69="","",M69-X69)</f>
      </c>
      <c r="AC69" s="4">
        <f>IF($K69="","",Y69-AB69)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IF($K70="","",(Y70-AB70)/K70*100)</f>
      </c>
      <c r="AA70" s="4">
        <f>IF($K70="","",M70-X70)</f>
      </c>
      <c r="AC70" s="4">
        <f>IF($K70="","",Y70-AB70)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IF($K71="","",(Y71-AB71)/K71*100)</f>
      </c>
      <c r="AA71" s="4">
        <f>IF($K71="","",M71-X71)</f>
      </c>
      <c r="AC71" s="4">
        <f>IF($K71="","",Y71-AB71)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IF($K72="","",(Y72-AB72)/K72*100)</f>
      </c>
      <c r="AA72" s="4">
        <f>IF($K72="","",M72-X72)</f>
      </c>
      <c r="AC72" s="4">
        <f>IF($K72="","",Y72-AB72)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IF($K73="","",(Y73-AB73)/K73*100)</f>
      </c>
      <c r="AA73" s="4">
        <f>IF($K73="","",M73-X73)</f>
      </c>
      <c r="AC73" s="4">
        <f>IF($K73="","",Y73-AB73)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IF($K74="","",(Y74-AB74)/K74*100)</f>
      </c>
      <c r="AA74" s="4">
        <f>IF($K74="","",M74-X74)</f>
      </c>
      <c r="AC74" s="4">
        <f>IF($K74="","",Y74-AB74)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IF($K75="","",(Y75-AB75)/K75*100)</f>
      </c>
      <c r="AA75" s="4">
        <f>IF($K75="","",M75-X75)</f>
      </c>
      <c r="AC75" s="4">
        <f>IF($K75="","",Y75-AB75)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IF($K76="","",(Y76-AB76)/K76*100)</f>
      </c>
      <c r="AA76" s="4">
        <f>IF($K76="","",M76-X76)</f>
      </c>
      <c r="AC76" s="4">
        <f>IF($K76="","",Y76-AB76)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IF($K77="","",(Y77-AB77)/K77*100)</f>
      </c>
      <c r="AA77" s="4">
        <f>IF($K77="","",M77-X77)</f>
      </c>
      <c r="AC77" s="4">
        <f>IF($K77="","",Y77-AB77)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IF($K78="","",(Y78-AB78)/K78*100)</f>
      </c>
      <c r="AA78" s="4">
        <f>IF($K78="","",M78-X78)</f>
      </c>
      <c r="AC78" s="4">
        <f>IF($K78="","",Y78-AB78)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IF($K79="","",(Y79-AB79)/K79*100)</f>
      </c>
      <c r="AA79" s="4">
        <f>IF($K79="","",M79-X79)</f>
      </c>
      <c r="AC79" s="4">
        <f>IF($K79="","",Y79-AB79)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IF($K80="","",(Y80-AB80)/K80*100)</f>
      </c>
      <c r="AA80" s="4">
        <f>IF($K80="","",M80-X80)</f>
      </c>
      <c r="AC80" s="4">
        <f>IF($K80="","",Y80-AB80)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IF($K81="","",(Y81-AB81)/K81*100)</f>
      </c>
      <c r="AA81" s="4">
        <f>IF($K81="","",M81-X81)</f>
      </c>
      <c r="AC81" s="4">
        <f>IF($K81="","",Y81-AB81)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IF($K82="","",(Y82-AB82)/K82*100)</f>
      </c>
      <c r="AA82" s="4">
        <f>IF($K82="","",M82-X82)</f>
      </c>
      <c r="AC82" s="4">
        <f>IF($K82="","",Y82-AB82)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IF($K83="","",(Y83-AB83)/K83*100)</f>
      </c>
      <c r="AA83" s="4">
        <f>IF($K83="","",M83-X83)</f>
      </c>
      <c r="AC83" s="4">
        <f>IF($K83="","",Y83-AB83)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IF($K84="","",(Y84-AB84)/K84*100)</f>
      </c>
      <c r="AA84" s="4">
        <f>IF($K84="","",M84-X84)</f>
      </c>
      <c r="AC84" s="4">
        <f>IF($K84="","",Y84-AB84)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IF($K85="","",(Y85-AB85)/K85*100)</f>
      </c>
      <c r="AA85" s="4">
        <f>IF($K85="","",M85-X85)</f>
      </c>
      <c r="AC85" s="4">
        <f>IF($K85="","",Y85-AB85)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IF($K86="","",(Y86-AB86)/K86*100)</f>
      </c>
      <c r="AA86" s="4">
        <f>IF($K86="","",M86-X86)</f>
      </c>
      <c r="AC86" s="4">
        <f>IF($K86="","",Y86-AB86)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IF($K87="","",(Y87-AB87)/K87*100)</f>
      </c>
      <c r="AA87" s="4">
        <f>IF($K87="","",M87-X87)</f>
      </c>
      <c r="AC87" s="4">
        <f>IF($K87="","",Y87-AB87)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IF($K88="","",(Y88-AB88)/K88*100)</f>
      </c>
      <c r="AA88" s="4">
        <f>IF($K88="","",M88-X88)</f>
      </c>
      <c r="AC88" s="4">
        <f>IF($K88="","",Y88-AB88)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IF($K89="","",(Y89-AB89)/K89*100)</f>
      </c>
      <c r="AA89" s="4">
        <f>IF($K89="","",M89-X89)</f>
      </c>
      <c r="AC89" s="4">
        <f>IF($K89="","",Y89-AB89)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IF($K90="","",(Y90-AB90)/K90*100)</f>
      </c>
      <c r="AA90" s="4">
        <f>IF($K90="","",M90-X90)</f>
      </c>
      <c r="AC90" s="4">
        <f>IF($K90="","",Y90-AB90)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IF($K91="","",(Y91-AB91)/K91*100)</f>
      </c>
      <c r="AA91" s="4">
        <f>IF($K91="","",M91-X91)</f>
      </c>
      <c r="AC91" s="4">
        <f>IF($K91="","",Y91-AB91)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IF($K92="","",(Y92-AB92)/K92*100)</f>
      </c>
      <c r="AA92" s="4">
        <f>IF($K92="","",M92-X92)</f>
      </c>
      <c r="AC92" s="4">
        <f>IF($K92="","",Y92-AB92)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IF($K93="","",(Y93-AB93)/K93*100)</f>
      </c>
      <c r="AA93" s="4">
        <f>IF($K93="","",M93-X93)</f>
      </c>
      <c r="AC93" s="4">
        <f>IF($K93="","",Y93-AB93)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IF($K94="","",(Y94-AB94)/K94*100)</f>
      </c>
      <c r="AA94" s="4">
        <f>IF($K94="","",M94-X94)</f>
      </c>
      <c r="AC94" s="4">
        <f>IF($K94="","",Y94-AB94)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IF($K95="","",(Y95-AB95)/K95*100)</f>
      </c>
      <c r="AA95" s="4">
        <f>IF($K95="","",M95-X95)</f>
      </c>
      <c r="AC95" s="4">
        <f>IF($K95="","",Y95-AB95)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IF($K96="","",(Y96-AB96)/K96*100)</f>
      </c>
      <c r="AA96" s="4">
        <f>IF($K96="","",M96-X96)</f>
      </c>
      <c r="AC96" s="4">
        <f>IF($K96="","",Y96-AB96)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IF($K97="","",(Y97-AB97)/K97*100)</f>
      </c>
      <c r="AA97" s="4">
        <f>IF($K97="","",M97-X97)</f>
      </c>
      <c r="AC97" s="4">
        <f>IF($K97="","",Y97-AB97)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IF($K98="","",(Y98-AB98)/K98*100)</f>
      </c>
      <c r="AA98" s="4">
        <f>IF($K98="","",M98-X98)</f>
      </c>
      <c r="AC98" s="4">
        <f>IF($K98="","",Y98-AB98)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IF($K99="","",(Y99-AB99)/K99*100)</f>
      </c>
      <c r="AA99" s="4">
        <f>IF($K99="","",M99-X99)</f>
      </c>
      <c r="AC99" s="4">
        <f>IF($K99="","",Y99-AB99)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IF($K100="","",(Y100-AB100)/K100*100)</f>
      </c>
      <c r="AA100" s="4">
        <f>IF($K100="","",M100-X100)</f>
      </c>
      <c r="AC100" s="4">
        <f>IF($K100="","",Y100-AB100)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IF($K101="","",(Y101-AB101)/K101*100)</f>
      </c>
      <c r="AA101" s="4">
        <f>IF($K101="","",M101-X101)</f>
      </c>
      <c r="AC101" s="4">
        <f>IF($K101="","",Y101-AB101)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IF($K102="","",(Y102-AB102)/K102*100)</f>
      </c>
      <c r="AA102" s="4">
        <f>IF($K102="","",M102-X102)</f>
      </c>
      <c r="AC102" s="4">
        <f>IF($K102="","",Y102-AB102)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IF($K103="","",(Y103-AB103)/K103*100)</f>
      </c>
      <c r="AA103" s="4">
        <f>IF($K103="","",M103-X103)</f>
      </c>
      <c r="AC103" s="4">
        <f>IF($K103="","",Y103-AB103)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IF($K104="","",(Y104-AB104)/K104*100)</f>
      </c>
      <c r="AA104" s="4">
        <f>IF($K104="","",M104-X104)</f>
      </c>
      <c r="AC104" s="4">
        <f>IF($K104="","",Y104-AB104)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IF($K105="","",(Y105-AB105)/K105*100)</f>
      </c>
      <c r="AA105" s="4">
        <f>IF($K105="","",M105-X105)</f>
      </c>
      <c r="AC105" s="4">
        <f>IF($K105="","",Y105-AB105)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IF($K106="","",(Y106-AB106)/K106*100)</f>
      </c>
      <c r="AA106" s="4">
        <f>IF($K106="","",M106-X106)</f>
      </c>
      <c r="AC106" s="4">
        <f>IF($K106="","",Y106-AB106)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IF($K107="","",(Y107-AB107)/K107*100)</f>
      </c>
      <c r="AA107" s="4">
        <f>IF($K107="","",M107-X107)</f>
      </c>
      <c r="AC107" s="4">
        <f>IF($K107="","",Y107-AB107)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IF($K108="","",(Y108-AB108)/K108*100)</f>
      </c>
      <c r="AA108" s="4">
        <f>IF($K108="","",M108-X108)</f>
      </c>
      <c r="AC108" s="4">
        <f>IF($K108="","",Y108-AB108)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IF($K109="","",(Y109-AB109)/K109*100)</f>
      </c>
      <c r="AA109" s="4">
        <f>IF($K109="","",M109-X109)</f>
      </c>
      <c r="AC109" s="4">
        <f>IF($K109="","",Y109-AB109)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IF($K110="","",(Y110-AB110)/K110*100)</f>
      </c>
      <c r="AA110" s="4">
        <f>IF($K110="","",M110-X110)</f>
      </c>
      <c r="AC110" s="4">
        <f>IF($K110="","",Y110-AB110)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IF($K111="","",(Y111-AB111)/K111*100)</f>
      </c>
      <c r="AA111" s="4">
        <f>IF($K111="","",M111-X111)</f>
      </c>
      <c r="AC111" s="4">
        <f>IF($K111="","",Y111-AB111)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IF($K112="","",(Y112-AB112)/K112*100)</f>
      </c>
      <c r="AA112" s="4">
        <f>IF($K112="","",M112-X112)</f>
      </c>
      <c r="AC112" s="4">
        <f>IF($K112="","",Y112-AB112)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IF($K113="","",(Y113-AB113)/K113*100)</f>
      </c>
      <c r="AA113" s="4">
        <f>IF($K113="","",M113-X113)</f>
      </c>
      <c r="AC113" s="4">
        <f>IF($K113="","",Y113-AB113)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IF($K114="","",(Y114-AB114)/K114*100)</f>
      </c>
      <c r="AA114" s="4">
        <f>IF($K114="","",M114-X114)</f>
      </c>
      <c r="AC114" s="4">
        <f>IF($K114="","",Y114-AB114)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IF($K115="","",(Y115-AB115)/K115*100)</f>
      </c>
      <c r="AA115" s="4">
        <f>IF($K115="","",M115-X115)</f>
      </c>
      <c r="AC115" s="4">
        <f>IF($K115="","",Y115-AB115)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IF($K116="","",(Y116-AB116)/K116*100)</f>
      </c>
      <c r="AA116" s="4">
        <f>IF($K116="","",M116-X116)</f>
      </c>
      <c r="AC116" s="4">
        <f>IF($K116="","",Y116-AB116)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IF($K117="","",(Y117-AB117)/K117*100)</f>
      </c>
      <c r="AA117" s="4">
        <f>IF($K117="","",M117-X117)</f>
      </c>
      <c r="AC117" s="4">
        <f>IF($K117="","",Y117-AB117)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IF($K118="","",(Y118-AB118)/K118*100)</f>
      </c>
      <c r="AA118" s="4">
        <f>IF($K118="","",M118-X118)</f>
      </c>
      <c r="AC118" s="4">
        <f>IF($K118="","",Y118-AB118)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IF($K119="","",(Y119-AB119)/K119*100)</f>
      </c>
      <c r="AA119" s="4">
        <f>IF($K119="","",M119-X119)</f>
      </c>
      <c r="AC119" s="4">
        <f>IF($K119="","",Y119-AB119)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IF($K120="","",(Y120-AB120)/K120*100)</f>
      </c>
      <c r="AA120" s="4">
        <f>IF($K120="","",M120-X120)</f>
      </c>
      <c r="AC120" s="4">
        <f>IF($K120="","",Y120-AB120)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IF($K121="","",(Y121-AB121)/K121*100)</f>
      </c>
      <c r="AA121" s="4">
        <f>IF($K121="","",M121-X121)</f>
      </c>
      <c r="AC121" s="4">
        <f>IF($K121="","",Y121-AB121)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IF($K122="","",(Y122-AB122)/K122*100)</f>
      </c>
      <c r="AA122" s="4">
        <f>IF($K122="","",M122-X122)</f>
      </c>
      <c r="AC122" s="4">
        <f>IF($K122="","",Y122-AB122)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IF($K123="","",(Y123-AB123)/K123*100)</f>
      </c>
      <c r="AA123" s="4">
        <f>IF($K123="","",M123-X123)</f>
      </c>
      <c r="AC123" s="4">
        <f>IF($K123="","",Y123-AB123)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IF($K124="","",(Y124-AB124)/K124*100)</f>
      </c>
      <c r="AA124" s="4">
        <f>IF($K124="","",M124-X124)</f>
      </c>
      <c r="AC124" s="4">
        <f>IF($K124="","",Y124-AB124)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IF($K125="","",(Y125-AB125)/K125*100)</f>
      </c>
      <c r="AA125" s="4">
        <f>IF($K125="","",M125-X125)</f>
      </c>
      <c r="AC125" s="4">
        <f>IF($K125="","",Y125-AB125)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IF($K126="","",(Y126-AB126)/K126*100)</f>
      </c>
      <c r="AA126" s="4">
        <f>IF($K126="","",M126-X126)</f>
      </c>
      <c r="AC126" s="4">
        <f>IF($K126="","",Y126-AB126)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IF($K127="","",(Y127-AB127)/K127*100)</f>
      </c>
      <c r="AA127" s="4">
        <f>IF($K127="","",M127-X127)</f>
      </c>
      <c r="AC127" s="4">
        <f>IF($K127="","",Y127-AB127)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IF($K128="","",(Y128-AB128)/K128*100)</f>
      </c>
      <c r="AA128" s="4">
        <f>IF($K128="","",M128-X128)</f>
      </c>
      <c r="AC128" s="4">
        <f>IF($K128="","",Y128-AB128)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IF($K129="","",(Y129-AB129)/K129*100)</f>
      </c>
      <c r="AA129" s="4">
        <f>IF($K129="","",M129-X129)</f>
      </c>
      <c r="AC129" s="4">
        <f>IF($K129="","",Y129-AB129)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IF($K130="","",(Y130-AB130)/K130*100)</f>
      </c>
      <c r="AA130" s="4">
        <f>IF($K130="","",M130-X130)</f>
      </c>
      <c r="AC130" s="4">
        <f>IF($K130="","",Y130-AB130)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IF($K131="","",(Y131-AB131)/K131*100)</f>
      </c>
      <c r="AA131" s="4">
        <f>IF($K131="","",M131-X131)</f>
      </c>
      <c r="AC131" s="4">
        <f>IF($K131="","",Y131-AB131)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IF($K132="","",(Y132-AB132)/K132*100)</f>
      </c>
      <c r="AA132" s="4">
        <f>IF($K132="","",M132-X132)</f>
      </c>
      <c r="AC132" s="4">
        <f>IF($K132="","",Y132-AB132)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IF($K133="","",(Y133-AB133)/K133*100)</f>
      </c>
      <c r="AA133" s="4">
        <f>IF($K133="","",M133-X133)</f>
      </c>
      <c r="AC133" s="4">
        <f>IF($K133="","",Y133-AB133)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IF($K134="","",(Y134-AB134)/K134*100)</f>
      </c>
      <c r="AA134" s="4">
        <f>IF($K134="","",M134-X134)</f>
      </c>
      <c r="AC134" s="4">
        <f>IF($K134="","",Y134-AB134)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IF($K135="","",(Y135-AB135)/K135*100)</f>
      </c>
      <c r="AA135" s="4">
        <f>IF($K135="","",M135-X135)</f>
      </c>
      <c r="AC135" s="4">
        <f>IF($K135="","",Y135-AB135)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IF($K136="","",(Y136-AB136)/K136*100)</f>
      </c>
      <c r="AA136" s="4">
        <f>IF($K136="","",M136-X136)</f>
      </c>
      <c r="AC136" s="4">
        <f>IF($K136="","",Y136-AB136)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IF($K137="","",(Y137-AB137)/K137*100)</f>
      </c>
      <c r="AA137" s="4">
        <f>IF($K137="","",M137-X137)</f>
      </c>
      <c r="AC137" s="4">
        <f>IF($K137="","",Y137-AB137)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IF($K138="","",(Y138-AB138)/K138*100)</f>
      </c>
      <c r="AA138" s="4">
        <f>IF($K138="","",M138-X138)</f>
      </c>
      <c r="AC138" s="4">
        <f>IF($K138="","",Y138-AB138)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IF($K139="","",(Y139-AB139)/K139*100)</f>
      </c>
      <c r="AA139" s="4">
        <f>IF($K139="","",M139-X139)</f>
      </c>
      <c r="AC139" s="4">
        <f>IF($K139="","",Y139-AB139)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IF($K140="","",(Y140-AB140)/K140*100)</f>
      </c>
      <c r="AA140" s="4">
        <f>IF($K140="","",M140-X140)</f>
      </c>
      <c r="AC140" s="4">
        <f>IF($K140="","",Y140-AB140)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IF($K141="","",(Y141-AB141)/K141*100)</f>
      </c>
      <c r="AA141" s="4">
        <f>IF($K141="","",M141-X141)</f>
      </c>
      <c r="AC141" s="4">
        <f>IF($K141="","",Y141-AB141)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IF($K142="","",(Y142-AB142)/K142*100)</f>
      </c>
      <c r="AA142" s="4">
        <f>IF($K142="","",M142-X142)</f>
      </c>
      <c r="AC142" s="4">
        <f>IF($K142="","",Y142-AB142)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IF($K143="","",(Y143-AB143)/K143*100)</f>
      </c>
      <c r="AA143" s="4">
        <f>IF($K143="","",M143-X143)</f>
      </c>
      <c r="AC143" s="4">
        <f>IF($K143="","",Y143-AB143)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IF($K144="","",(Y144-AB144)/K144*100)</f>
      </c>
      <c r="AA144" s="4">
        <f>IF($K144="","",M144-X144)</f>
      </c>
      <c r="AC144" s="4">
        <f>IF($K144="","",Y144-AB144)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IF($K145="","",(Y145-AB145)/K145*100)</f>
      </c>
      <c r="AA145" s="4">
        <f>IF($K145="","",M145-X145)</f>
      </c>
      <c r="AC145" s="4">
        <f>IF($K145="","",Y145-AB145)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IF($K146="","",(Y146-AB146)/K146*100)</f>
      </c>
      <c r="AA146" s="4">
        <f>IF($K146="","",M146-X146)</f>
      </c>
      <c r="AC146" s="4">
        <f>IF($K146="","",Y146-AB146)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IF($K147="","",(Y147-AB147)/K147*100)</f>
      </c>
      <c r="AA147" s="4">
        <f>IF($K147="","",M147-X147)</f>
      </c>
      <c r="AC147" s="4">
        <f>IF($K147="","",Y147-AB147)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IF($K148="","",(Y148-AB148)/K148*100)</f>
      </c>
      <c r="AA148" s="4">
        <f>IF($K148="","",M148-X148)</f>
      </c>
      <c r="AC148" s="4">
        <f>IF($K148="","",Y148-AB148)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IF($K149="","",(Y149-AB149)/K149*100)</f>
      </c>
      <c r="AA149" s="4">
        <f>IF($K149="","",M149-X149)</f>
      </c>
      <c r="AC149" s="4">
        <f>IF($K149="","",Y149-AB149)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IF($K150="","",(Y150-AB150)/K150*100)</f>
      </c>
      <c r="AA150" s="4">
        <f>IF($K150="","",M150-X150)</f>
      </c>
      <c r="AC150" s="4">
        <f>IF($K150="","",Y150-AB150)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IF($K151="","",(Y151-AB151)/K151*100)</f>
      </c>
      <c r="AA151" s="4">
        <f>IF($K151="","",M151-X151)</f>
      </c>
      <c r="AC151" s="4">
        <f>IF($K151="","",Y151-AB151)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IF($K152="","",(Y152-AB152)/K152*100)</f>
      </c>
      <c r="AA152" s="4">
        <f>IF($K152="","",M152-X152)</f>
      </c>
      <c r="AC152" s="4">
        <f>IF($K152="","",Y152-AB152)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IF($K153="","",(Y153-AB153)/K153*100)</f>
      </c>
      <c r="AA153" s="4">
        <f>IF($K153="","",M153-X153)</f>
      </c>
      <c r="AC153" s="4">
        <f>IF($K153="","",Y153-AB153)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IF($K154="","",(Y154-AB154)/K154*100)</f>
      </c>
      <c r="AA154" s="4">
        <f>IF($K154="","",M154-X154)</f>
      </c>
      <c r="AC154" s="4">
        <f>IF($K154="","",Y154-AB154)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IF($K155="","",(Y155-AB155)/K155*100)</f>
      </c>
      <c r="AA155" s="4">
        <f>IF($K155="","",M155-X155)</f>
      </c>
      <c r="AC155" s="4">
        <f>IF($K155="","",Y155-AB155)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IF($K156="","",(Y156-AB156)/K156*100)</f>
      </c>
      <c r="AA156" s="4">
        <f>IF($K156="","",M156-X156)</f>
      </c>
      <c r="AC156" s="4">
        <f>IF($K156="","",Y156-AB156)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IF($K157="","",(Y157-AB157)/K157*100)</f>
      </c>
      <c r="AA157" s="4">
        <f>IF($K157="","",M157-X157)</f>
      </c>
      <c r="AC157" s="4">
        <f>IF($K157="","",Y157-AB157)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IF($K158="","",(Y158-AB158)/K158*100)</f>
      </c>
      <c r="AA158" s="4">
        <f>IF($K158="","",M158-X158)</f>
      </c>
      <c r="AC158" s="4">
        <f>IF($K158="","",Y158-AB158)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IF($K159="","",(Y159-AB159)/K159*100)</f>
      </c>
      <c r="AA159" s="4">
        <f>IF($K159="","",M159-X159)</f>
      </c>
      <c r="AC159" s="4">
        <f>IF($K159="","",Y159-AB159)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IF($K160="","",(Y160-AB160)/K160*100)</f>
      </c>
      <c r="AA160" s="4">
        <f>IF($K160="","",M160-X160)</f>
      </c>
      <c r="AC160" s="4">
        <f>IF($K160="","",Y160-AB160)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IF($K161="","",(Y161-AB161)/K161*100)</f>
      </c>
      <c r="AA161" s="4">
        <f>IF($K161="","",M161-X161)</f>
      </c>
      <c r="AC161" s="4">
        <f>IF($K161="","",Y161-AB161)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IF($K162="","",(Y162-AB162)/K162*100)</f>
      </c>
      <c r="AA162" s="4">
        <f>IF($K162="","",M162-X162)</f>
      </c>
      <c r="AC162" s="4">
        <f>IF($K162="","",Y162-AB162)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IF($K163="","",(Y163-AB163)/K163*100)</f>
      </c>
      <c r="AA163" s="4">
        <f>IF($K163="","",M163-X163)</f>
      </c>
      <c r="AC163" s="4">
        <f>IF($K163="","",Y163-AB163)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IF($K164="","",(Y164-AB164)/K164*100)</f>
      </c>
      <c r="AA164" s="4">
        <f>IF($K164="","",M164-X164)</f>
      </c>
      <c r="AC164" s="4">
        <f>IF($K164="","",Y164-AB164)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IF($K165="","",(Y165-AB165)/K165*100)</f>
      </c>
      <c r="AA165" s="4">
        <f>IF($K165="","",M165-X165)</f>
      </c>
      <c r="AC165" s="4">
        <f>IF($K165="","",Y165-AB165)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IF($K166="","",(Y166-AB166)/K166*100)</f>
      </c>
      <c r="AA166" s="4">
        <f>IF($K166="","",M166-X166)</f>
      </c>
      <c r="AC166" s="4">
        <f>IF($K166="","",Y166-AB166)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IF($K167="","",(Y167-AB167)/K167*100)</f>
      </c>
      <c r="AA167" s="4">
        <f>IF($K167="","",M167-X167)</f>
      </c>
      <c r="AC167" s="4">
        <f>IF($K167="","",Y167-AB167)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IF($K168="","",(Y168-AB168)/K168*100)</f>
      </c>
      <c r="AA168" s="4">
        <f>IF($K168="","",M168-X168)</f>
      </c>
      <c r="AC168" s="4">
        <f>IF($K168="","",Y168-AB168)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IF($K169="","",(Y169-AB169)/K169*100)</f>
      </c>
      <c r="AA169" s="4">
        <f>IF($K169="","",M169-X169)</f>
      </c>
      <c r="AC169" s="4">
        <f>IF($K169="","",Y169-AB169)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IF($K170="","",(Y170-AB170)/K170*100)</f>
      </c>
      <c r="AA170" s="4">
        <f>IF($K170="","",M170-X170)</f>
      </c>
      <c r="AC170" s="4">
        <f>IF($K170="","",Y170-AB170)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IF($K171="","",(Y171-AB171)/K171*100)</f>
      </c>
      <c r="AA171" s="4">
        <f>IF($K171="","",M171-X171)</f>
      </c>
      <c r="AC171" s="4">
        <f>IF($K171="","",Y171-AB171)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IF($K172="","",(Y172-AB172)/K172*100)</f>
      </c>
      <c r="AA172" s="4">
        <f>IF($K172="","",M172-X172)</f>
      </c>
      <c r="AC172" s="4">
        <f>IF($K172="","",Y172-AB172)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IF($K173="","",(Y173-AB173)/K173*100)</f>
      </c>
      <c r="AA173" s="4">
        <f>IF($K173="","",M173-X173)</f>
      </c>
      <c r="AC173" s="4">
        <f>IF($K173="","",Y173-AB173)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IF($K174="","",(Y174-AB174)/K174*100)</f>
      </c>
      <c r="AA174" s="4">
        <f>IF($K174="","",M174-X174)</f>
      </c>
      <c r="AC174" s="4">
        <f>IF($K174="","",Y174-AB174)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IF($K175="","",(Y175-AB175)/K175*100)</f>
      </c>
      <c r="AA175" s="4">
        <f>IF($K175="","",M175-X175)</f>
      </c>
      <c r="AC175" s="4">
        <f>IF($K175="","",Y175-AB175)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IF($K176="","",(Y176-AB176)/K176*100)</f>
      </c>
      <c r="AA176" s="4">
        <f>IF($K176="","",M176-X176)</f>
      </c>
      <c r="AC176" s="4">
        <f>IF($K176="","",Y176-AB176)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IF($K177="","",(Y177-AB177)/K177*100)</f>
      </c>
      <c r="AA177" s="4">
        <f>IF($K177="","",M177-X177)</f>
      </c>
      <c r="AC177" s="4">
        <f>IF($K177="","",Y177-AB177)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IF($K178="","",(Y178-AB178)/K178*100)</f>
      </c>
      <c r="AA178" s="4">
        <f>IF($K178="","",M178-X178)</f>
      </c>
      <c r="AC178" s="4">
        <f>IF($K178="","",Y178-AB178)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IF($K179="","",(Y179-AB179)/K179*100)</f>
      </c>
      <c r="AA179" s="4">
        <f>IF($K179="","",M179-X179)</f>
      </c>
      <c r="AC179" s="4">
        <f>IF($K179="","",Y179-AB179)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IF($K180="","",(Y180-AB180)/K180*100)</f>
      </c>
      <c r="AA180" s="4">
        <f>IF($K180="","",M180-X180)</f>
      </c>
      <c r="AC180" s="4">
        <f>IF($K180="","",Y180-AB180)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IF($K181="","",(Y181-AB181)/K181*100)</f>
      </c>
      <c r="AA181" s="4">
        <f>IF($K181="","",M181-X181)</f>
      </c>
      <c r="AC181" s="4">
        <f>IF($K181="","",Y181-AB181)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IF($K182="","",(Y182-AB182)/K182*100)</f>
      </c>
      <c r="AA182" s="4">
        <f>IF($K182="","",M182-X182)</f>
      </c>
      <c r="AC182" s="4">
        <f>IF($K182="","",Y182-AB182)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IF($K183="","",(Y183-AB183)/K183*100)</f>
      </c>
      <c r="AA183" s="4">
        <f>IF($K183="","",M183-X183)</f>
      </c>
      <c r="AC183" s="4">
        <f>IF($K183="","",Y183-AB183)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IF($K184="","",(Y184-AB184)/K184*100)</f>
      </c>
      <c r="AA184" s="4">
        <f>IF($K184="","",M184-X184)</f>
      </c>
      <c r="AC184" s="4">
        <f>IF($K184="","",Y184-AB184)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IF($K185="","",(Y185-AB185)/K185*100)</f>
      </c>
      <c r="AA185" s="4">
        <f>IF($K185="","",M185-X185)</f>
      </c>
      <c r="AC185" s="4">
        <f>IF($K185="","",Y185-AB185)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IF($K186="","",(Y186-AB186)/K186*100)</f>
      </c>
      <c r="AA186" s="4">
        <f>IF($K186="","",M186-X186)</f>
      </c>
      <c r="AC186" s="4">
        <f>IF($K186="","",Y186-AB186)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IF($K187="","",(Y187-AB187)/K187*100)</f>
      </c>
      <c r="AA187" s="4">
        <f>IF($K187="","",M187-X187)</f>
      </c>
      <c r="AC187" s="4">
        <f>IF($K187="","",Y187-AB187)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IF($K188="","",(Y188-AB188)/K188*100)</f>
      </c>
      <c r="AA188" s="4">
        <f>IF($K188="","",M188-X188)</f>
      </c>
      <c r="AC188" s="4">
        <f>IF($K188="","",Y188-AB188)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IF($K189="","",(Y189-AB189)/K189*100)</f>
      </c>
      <c r="AA189" s="4">
        <f>IF($K189="","",M189-X189)</f>
      </c>
      <c r="AC189" s="4">
        <f>IF($K189="","",Y189-AB189)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IF($K190="","",(Y190-AB190)/K190*100)</f>
      </c>
      <c r="AA190" s="4">
        <f>IF($K190="","",M190-X190)</f>
      </c>
      <c r="AC190" s="4">
        <f>IF($K190="","",Y190-AB190)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IF($K191="","",(Y191-AB191)/K191*100)</f>
      </c>
      <c r="AA191" s="4">
        <f>IF($K191="","",M191-X191)</f>
      </c>
      <c r="AC191" s="4">
        <f>IF($K191="","",Y191-AB191)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IF($K192="","",(Y192-AB192)/K192*100)</f>
      </c>
      <c r="AA192" s="4">
        <f>IF($K192="","",M192-X192)</f>
      </c>
      <c r="AC192" s="4">
        <f>IF($K192="","",Y192-AB192)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IF($K193="","",(Y193-AB193)/K193*100)</f>
      </c>
      <c r="AA193" s="4">
        <f>IF($K193="","",M193-X193)</f>
      </c>
      <c r="AC193" s="4">
        <f>IF($K193="","",Y193-AB193)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IF($K194="","",(Y194-AB194)/K194*100)</f>
      </c>
      <c r="AA194" s="4">
        <f>IF($K194="","",M194-X194)</f>
      </c>
      <c r="AC194" s="4">
        <f>IF($K194="","",Y194-AB194)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IF($K195="","",(Y195-AB195)/K195*100)</f>
      </c>
      <c r="AA195" s="4">
        <f>IF($K195="","",M195-X195)</f>
      </c>
      <c r="AC195" s="4">
        <f>IF($K195="","",Y195-AB195)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IF($K196="","",(Y196-AB196)/K196*100)</f>
      </c>
      <c r="AA196" s="4">
        <f>IF($K196="","",M196-X196)</f>
      </c>
      <c r="AC196" s="4">
        <f>IF($K196="","",Y196-AB196)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IF($K197="","",(Y197-AB197)/K197*100)</f>
      </c>
      <c r="AA197" s="4">
        <f>IF($K197="","",M197-X197)</f>
      </c>
      <c r="AC197" s="4">
        <f>IF($K197="","",Y197-AB197)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IF($K198="","",(Y198-AB198)/K198*100)</f>
      </c>
      <c r="AA198" s="4">
        <f>IF($K198="","",M198-X198)</f>
      </c>
      <c r="AC198" s="4">
        <f>IF($K198="","",Y198-AB198)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IF($K199="","",(Y199-AB199)/K199*100)</f>
      </c>
      <c r="AA199" s="4">
        <f>IF($K199="","",M199-X199)</f>
      </c>
      <c r="AC199" s="4">
        <f>IF($K199="","",Y199-AB199)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IF($K200="","",(Y200-AB200)/K200*100)</f>
      </c>
      <c r="AA200" s="4">
        <f>IF($K200="","",M200-X200)</f>
      </c>
      <c r="AC200" s="4">
        <f>IF($K200="","",Y200-AB200)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IF($K201="","",(Y201-AB201)/K201*100)</f>
      </c>
      <c r="AA201" s="4">
        <f>IF($K201="","",M201-X201)</f>
      </c>
      <c r="AC201" s="4">
        <f>IF($K201="","",Y201-AB201)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IFERROR((Y202-AB202)/K202*100,0)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86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IF($J2="","",(S2-V2)/I2*100)</f>
      </c>
      <c r="U2" s="4">
        <f>IF($J2="","",L2-R2)</f>
      </c>
      <c r="W2" s="4">
        <f>IF($J2="","",S2-V2)</f>
      </c>
    </row>
    <row r="3" spans="1:28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IFERROR((S202-V202)/I202*100,0)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87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11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</row>
    <row r="2" spans="1:29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/>
      <c r="O2" s="4">
        <f>IF($K2="","",N2*20%)</f>
      </c>
      <c r="P2" s="4"/>
      <c r="Q2" s="4">
        <f>IF($K2="","",P2*20%)</f>
      </c>
      <c r="R2" s="4">
        <v>1</v>
      </c>
      <c r="S2" s="4">
        <f>IF($K2="","",Q2)</f>
      </c>
      <c r="T2" s="4">
        <f>IF($K2="","",L2-M2-N2-P2-Q2-R2)</f>
      </c>
      <c r="U2" s="4">
        <f>IF($K2="","",(T2-W2)/J2*100)</f>
      </c>
      <c r="V2" s="4">
        <f>IF($K2="","",M2-S2)</f>
      </c>
      <c r="X2" s="4">
        <f>IF($K2="","",T2-W2)</f>
      </c>
    </row>
    <row r="3" spans="1:29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/>
      <c r="O3" s="4">
        <f>IF($K3="","",N3*20%)</f>
      </c>
      <c r="P3" s="4"/>
      <c r="Q3" s="4">
        <f>IF($K3="","",P3*20%)</f>
      </c>
      <c r="R3" s="4">
        <v>1</v>
      </c>
      <c r="S3" s="4">
        <f>IF($K3="","",Q3)</f>
      </c>
      <c r="T3" s="4">
        <f>IF($K3="","",L3-M3-N3-P3-Q3-R3)</f>
      </c>
      <c r="U3" s="4">
        <f>IF($K3="","",(T3-W3)/J3*100)</f>
      </c>
      <c r="V3" s="4">
        <f>IF($K3="","",M3-S3)</f>
      </c>
      <c r="X3" s="4">
        <f>IF($K3="","",T3-W3)</f>
      </c>
    </row>
    <row r="4" spans="1:29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/>
      <c r="O4" s="4">
        <f>IF($K4="","",N4*20%)</f>
      </c>
      <c r="P4" s="4"/>
      <c r="Q4" s="4">
        <f>IF($K4="","",P4*20%)</f>
      </c>
      <c r="R4" s="4">
        <v>1</v>
      </c>
      <c r="S4" s="4">
        <f>IF($K4="","",Q4)</f>
      </c>
      <c r="T4" s="4">
        <f>IF($K4="","",L4-M4-N4-P4-Q4-R4)</f>
      </c>
      <c r="U4" s="4">
        <f>IF($K4="","",(T4-W4)/J4*100)</f>
      </c>
      <c r="V4" s="4">
        <f>IF($K4="","",M4-S4)</f>
      </c>
      <c r="X4" s="4">
        <f>IF($K4="","",T4-W4)</f>
      </c>
    </row>
    <row r="5" spans="1:29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/>
      <c r="O5" s="4">
        <f>IF($K5="","",N5*20%)</f>
      </c>
      <c r="P5" s="4"/>
      <c r="Q5" s="4">
        <f>IF($K5="","",P5*20%)</f>
      </c>
      <c r="R5" s="4">
        <v>1</v>
      </c>
      <c r="S5" s="4">
        <f>IF($K5="","",Q5)</f>
      </c>
      <c r="T5" s="4">
        <f>IF($K5="","",L5-M5-N5-P5-Q5-R5)</f>
      </c>
      <c r="U5" s="4">
        <f>IF($K5="","",(T5-W5)/J5*100)</f>
      </c>
      <c r="V5" s="4">
        <f>IF($K5="","",M5-S5)</f>
      </c>
      <c r="X5" s="4">
        <f>IF($K5="","",T5-W5)</f>
      </c>
    </row>
    <row r="6" spans="1:29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/>
      <c r="O6" s="4">
        <f>IF($K6="","",N6*20%)</f>
      </c>
      <c r="P6" s="4"/>
      <c r="Q6" s="4">
        <f>IF($K6="","",P6*20%)</f>
      </c>
      <c r="R6" s="4">
        <v>1</v>
      </c>
      <c r="S6" s="4">
        <f>IF($K6="","",Q6)</f>
      </c>
      <c r="T6" s="4">
        <f>IF($K6="","",L6-M6-N6-P6-Q6-R6)</f>
      </c>
      <c r="U6" s="4">
        <f>IF($K6="","",(T6-W6)/J6*100)</f>
      </c>
      <c r="V6" s="4">
        <f>IF($K6="","",M6-S6)</f>
      </c>
      <c r="X6" s="4">
        <f>IF($K6="","",T6-W6)</f>
      </c>
    </row>
    <row r="7" spans="1:29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/>
      <c r="O7" s="4">
        <f>IF($K7="","",N7*20%)</f>
      </c>
      <c r="P7" s="4"/>
      <c r="Q7" s="4">
        <f>IF($K7="","",P7*20%)</f>
      </c>
      <c r="R7" s="4">
        <v>1</v>
      </c>
      <c r="S7" s="4">
        <f>IF($K7="","",Q7)</f>
      </c>
      <c r="T7" s="4">
        <f>IF($K7="","",L7-M7-N7-P7-Q7-R7)</f>
      </c>
      <c r="U7" s="4">
        <f>IF($K7="","",(T7-W7)/J7*100)</f>
      </c>
      <c r="V7" s="4">
        <f>IF($K7="","",M7-S7)</f>
      </c>
      <c r="X7" s="4">
        <f>IF($K7="","",T7-W7)</f>
      </c>
    </row>
    <row r="8" spans="1:29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/>
      <c r="O8" s="4">
        <f>IF($K8="","",N8*20%)</f>
      </c>
      <c r="P8" s="4"/>
      <c r="Q8" s="4">
        <f>IF($K8="","",P8*20%)</f>
      </c>
      <c r="R8" s="4">
        <v>1</v>
      </c>
      <c r="S8" s="4">
        <f>IF($K8="","",Q8)</f>
      </c>
      <c r="T8" s="4">
        <f>IF($K8="","",L8-M8-N8-P8-Q8-R8)</f>
      </c>
      <c r="U8" s="4">
        <f>IF($K8="","",(T8-W8)/J8*100)</f>
      </c>
      <c r="V8" s="4">
        <f>IF($K8="","",M8-S8)</f>
      </c>
      <c r="X8" s="4">
        <f>IF($K8="","",T8-W8)</f>
      </c>
    </row>
    <row r="9" spans="1:29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/>
      <c r="O9" s="4">
        <f>IF($K9="","",N9*20%)</f>
      </c>
      <c r="P9" s="4"/>
      <c r="Q9" s="4">
        <f>IF($K9="","",P9*20%)</f>
      </c>
      <c r="R9" s="4">
        <v>1</v>
      </c>
      <c r="S9" s="4">
        <f>IF($K9="","",Q9)</f>
      </c>
      <c r="T9" s="4">
        <f>IF($K9="","",L9-M9-N9-P9-Q9-R9)</f>
      </c>
      <c r="U9" s="4">
        <f>IF($K9="","",(T9-W9)/J9*100)</f>
      </c>
      <c r="V9" s="4">
        <f>IF($K9="","",M9-S9)</f>
      </c>
      <c r="X9" s="4">
        <f>IF($K9="","",T9-W9)</f>
      </c>
    </row>
    <row r="10" spans="1:29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/>
      <c r="O10" s="4">
        <f>IF($K10="","",N10*20%)</f>
      </c>
      <c r="P10" s="4"/>
      <c r="Q10" s="4">
        <f>IF($K10="","",P10*20%)</f>
      </c>
      <c r="R10" s="4">
        <v>1</v>
      </c>
      <c r="S10" s="4">
        <f>IF($K10="","",Q10)</f>
      </c>
      <c r="T10" s="4">
        <f>IF($K10="","",L10-M10-N10-P10-Q10-R10)</f>
      </c>
      <c r="U10" s="4">
        <f>IF($K10="","",(T10-W10)/J10*100)</f>
      </c>
      <c r="V10" s="4">
        <f>IF($K10="","",M10-S10)</f>
      </c>
      <c r="X10" s="4">
        <f>IF($K10="","",T10-W10)</f>
      </c>
    </row>
    <row r="11" spans="1:29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/>
      <c r="O11" s="4">
        <f>IF($K11="","",N11*20%)</f>
      </c>
      <c r="P11" s="4"/>
      <c r="Q11" s="4">
        <f>IF($K11="","",P11*20%)</f>
      </c>
      <c r="R11" s="4">
        <v>1</v>
      </c>
      <c r="S11" s="4">
        <f>IF($K11="","",Q11)</f>
      </c>
      <c r="T11" s="4">
        <f>IF($K11="","",L11-M11-N11-P11-Q11-R11)</f>
      </c>
      <c r="U11" s="4">
        <f>IF($K11="","",(T11-W11)/J11*100)</f>
      </c>
      <c r="V11" s="4">
        <f>IF($K11="","",M11-S11)</f>
      </c>
      <c r="X11" s="4">
        <f>IF($K11="","",T11-W11)</f>
      </c>
    </row>
    <row r="12" spans="1:29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/>
      <c r="O12" s="4">
        <f>IF($K12="","",N12*20%)</f>
      </c>
      <c r="P12" s="4"/>
      <c r="Q12" s="4">
        <f>IF($K12="","",P12*20%)</f>
      </c>
      <c r="R12" s="4">
        <v>1</v>
      </c>
      <c r="S12" s="4">
        <f>IF($K12="","",Q12)</f>
      </c>
      <c r="T12" s="4">
        <f>IF($K12="","",L12-M12-N12-P12-Q12-R12)</f>
      </c>
      <c r="U12" s="4">
        <f>IF($K12="","",(T12-W12)/J12*100)</f>
      </c>
      <c r="V12" s="4">
        <f>IF($K12="","",M12-S12)</f>
      </c>
      <c r="X12" s="4">
        <f>IF($K12="","",T12-W12)</f>
      </c>
    </row>
    <row r="13" spans="1:29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/>
      <c r="O13" s="4">
        <f>IF($K13="","",N13*20%)</f>
      </c>
      <c r="P13" s="4"/>
      <c r="Q13" s="4">
        <f>IF($K13="","",P13*20%)</f>
      </c>
      <c r="R13" s="4">
        <v>1</v>
      </c>
      <c r="S13" s="4">
        <f>IF($K13="","",Q13)</f>
      </c>
      <c r="T13" s="4">
        <f>IF($K13="","",L13-M13-N13-P13-Q13-R13)</f>
      </c>
      <c r="U13" s="4">
        <f>IF($K13="","",(T13-W13)/J13*100)</f>
      </c>
      <c r="V13" s="4">
        <f>IF($K13="","",M13-S13)</f>
      </c>
      <c r="X13" s="4">
        <f>IF($K13="","",T13-W13)</f>
      </c>
    </row>
    <row r="14" spans="1:29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/>
      <c r="O14" s="4">
        <f>IF($K14="","",N14*20%)</f>
      </c>
      <c r="P14" s="4"/>
      <c r="Q14" s="4">
        <f>IF($K14="","",P14*20%)</f>
      </c>
      <c r="R14" s="4">
        <v>1</v>
      </c>
      <c r="S14" s="4">
        <f>IF($K14="","",Q14)</f>
      </c>
      <c r="T14" s="4">
        <f>IF($K14="","",L14-M14-N14-P14-Q14-R14)</f>
      </c>
      <c r="U14" s="4">
        <f>IF($K14="","",(T14-W14)/J14*100)</f>
      </c>
      <c r="V14" s="4">
        <f>IF($K14="","",M14-S14)</f>
      </c>
      <c r="X14" s="4">
        <f>IF($K14="","",T14-W14)</f>
      </c>
    </row>
    <row r="15" spans="1:29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/>
      <c r="O15" s="4">
        <f>IF($K15="","",N15*20%)</f>
      </c>
      <c r="P15" s="4"/>
      <c r="Q15" s="4">
        <f>IF($K15="","",P15*20%)</f>
      </c>
      <c r="R15" s="4">
        <v>1</v>
      </c>
      <c r="S15" s="4">
        <f>IF($K15="","",Q15)</f>
      </c>
      <c r="T15" s="4">
        <f>IF($K15="","",L15-M15-N15-P15-Q15-R15)</f>
      </c>
      <c r="U15" s="4">
        <f>IF($K15="","",(T15-W15)/J15*100)</f>
      </c>
      <c r="V15" s="4">
        <f>IF($K15="","",M15-S15)</f>
      </c>
      <c r="X15" s="4">
        <f>IF($K15="","",T15-W15)</f>
      </c>
    </row>
    <row r="16" spans="1:29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/>
      <c r="O16" s="4">
        <f>IF($K16="","",N16*20%)</f>
      </c>
      <c r="P16" s="4"/>
      <c r="Q16" s="4">
        <f>IF($K16="","",P16*20%)</f>
      </c>
      <c r="R16" s="4">
        <v>1</v>
      </c>
      <c r="S16" s="4">
        <f>IF($K16="","",Q16)</f>
      </c>
      <c r="T16" s="4">
        <f>IF($K16="","",L16-M16-N16-P16-Q16-R16)</f>
      </c>
      <c r="U16" s="4">
        <f>IF($K16="","",(T16-W16)/J16*100)</f>
      </c>
      <c r="V16" s="4">
        <f>IF($K16="","",M16-S16)</f>
      </c>
      <c r="X16" s="4">
        <f>IF($K16="","",T16-W16)</f>
      </c>
    </row>
    <row r="17" spans="1:29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/>
      <c r="O17" s="4">
        <f>IF($K17="","",N17*20%)</f>
      </c>
      <c r="P17" s="4"/>
      <c r="Q17" s="4">
        <f>IF($K17="","",P17*20%)</f>
      </c>
      <c r="R17" s="4">
        <v>1</v>
      </c>
      <c r="S17" s="4">
        <f>IF($K17="","",Q17)</f>
      </c>
      <c r="T17" s="4">
        <f>IF($K17="","",L17-M17-N17-P17-Q17-R17)</f>
      </c>
      <c r="U17" s="4">
        <f>IF($K17="","",(T17-W17)/J17*100)</f>
      </c>
      <c r="V17" s="4">
        <f>IF($K17="","",M17-S17)</f>
      </c>
      <c r="X17" s="4">
        <f>IF($K17="","",T17-W17)</f>
      </c>
    </row>
    <row r="18" spans="1:29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/>
      <c r="O18" s="4">
        <f>IF($K18="","",N18*20%)</f>
      </c>
      <c r="P18" s="4"/>
      <c r="Q18" s="4">
        <f>IF($K18="","",P18*20%)</f>
      </c>
      <c r="R18" s="4">
        <v>1</v>
      </c>
      <c r="S18" s="4">
        <f>IF($K18="","",Q18)</f>
      </c>
      <c r="T18" s="4">
        <f>IF($K18="","",L18-M18-N18-P18-Q18-R18)</f>
      </c>
      <c r="U18" s="4">
        <f>IF($K18="","",(T18-W18)/J18*100)</f>
      </c>
      <c r="V18" s="4">
        <f>IF($K18="","",M18-S18)</f>
      </c>
      <c r="X18" s="4">
        <f>IF($K18="","",T18-W18)</f>
      </c>
    </row>
    <row r="19" spans="1:29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/>
      <c r="O19" s="4">
        <f>IF($K19="","",N19*20%)</f>
      </c>
      <c r="P19" s="4"/>
      <c r="Q19" s="4">
        <f>IF($K19="","",P19*20%)</f>
      </c>
      <c r="R19" s="4">
        <v>1</v>
      </c>
      <c r="S19" s="4">
        <f>IF($K19="","",Q19)</f>
      </c>
      <c r="T19" s="4">
        <f>IF($K19="","",L19-M19-N19-P19-Q19-R19)</f>
      </c>
      <c r="U19" s="4">
        <f>IF($K19="","",(T19-W19)/J19*100)</f>
      </c>
      <c r="V19" s="4">
        <f>IF($K19="","",M19-S19)</f>
      </c>
      <c r="X19" s="4">
        <f>IF($K19="","",T19-W19)</f>
      </c>
    </row>
    <row r="20" spans="1:29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/>
      <c r="O20" s="4">
        <f>IF($K20="","",N20*20%)</f>
      </c>
      <c r="P20" s="4"/>
      <c r="Q20" s="4">
        <f>IF($K20="","",P20*20%)</f>
      </c>
      <c r="R20" s="4">
        <v>1</v>
      </c>
      <c r="S20" s="4">
        <f>IF($K20="","",Q20)</f>
      </c>
      <c r="T20" s="4">
        <f>IF($K20="","",L20-M20-N20-P20-Q20-R20)</f>
      </c>
      <c r="U20" s="4">
        <f>IF($K20="","",(T20-W20)/J20*100)</f>
      </c>
      <c r="V20" s="4">
        <f>IF($K20="","",M20-S20)</f>
      </c>
      <c r="X20" s="4">
        <f>IF($K20="","",T20-W20)</f>
      </c>
    </row>
    <row r="21" spans="1:29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/>
      <c r="O21" s="4">
        <f>IF($K21="","",N21*20%)</f>
      </c>
      <c r="P21" s="4"/>
      <c r="Q21" s="4">
        <f>IF($K21="","",P21*20%)</f>
      </c>
      <c r="R21" s="4">
        <v>1</v>
      </c>
      <c r="S21" s="4">
        <f>IF($K21="","",Q21)</f>
      </c>
      <c r="T21" s="4">
        <f>IF($K21="","",L21-M21-N21-P21-Q21-R21)</f>
      </c>
      <c r="U21" s="4">
        <f>IF($K21="","",(T21-W21)/J21*100)</f>
      </c>
      <c r="V21" s="4">
        <f>IF($K21="","",M21-S21)</f>
      </c>
      <c r="X21" s="4">
        <f>IF($K21="","",T21-W21)</f>
      </c>
    </row>
    <row r="22" spans="1:29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/>
      <c r="O22" s="4">
        <f>IF($K22="","",N22*20%)</f>
      </c>
      <c r="P22" s="4"/>
      <c r="Q22" s="4">
        <f>IF($K22="","",P22*20%)</f>
      </c>
      <c r="R22" s="4">
        <v>1</v>
      </c>
      <c r="S22" s="4">
        <f>IF($K22="","",Q22)</f>
      </c>
      <c r="T22" s="4">
        <f>IF($K22="","",L22-M22-N22-P22-Q22-R22)</f>
      </c>
      <c r="U22" s="4">
        <f>IF($K22="","",(T22-W22)/J22*100)</f>
      </c>
      <c r="V22" s="4">
        <f>IF($K22="","",M22-S22)</f>
      </c>
      <c r="X22" s="4">
        <f>IF($K22="","",T22-W22)</f>
      </c>
    </row>
    <row r="23" spans="1:29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/>
      <c r="O23" s="4">
        <f>IF($K23="","",N23*20%)</f>
      </c>
      <c r="P23" s="4"/>
      <c r="Q23" s="4">
        <f>IF($K23="","",P23*20%)</f>
      </c>
      <c r="R23" s="4">
        <v>1</v>
      </c>
      <c r="S23" s="4">
        <f>IF($K23="","",Q23)</f>
      </c>
      <c r="T23" s="4">
        <f>IF($K23="","",L23-M23-N23-P23-Q23-R23)</f>
      </c>
      <c r="U23" s="4">
        <f>IF($K23="","",(T23-W23)/J23*100)</f>
      </c>
      <c r="V23" s="4">
        <f>IF($K23="","",M23-S23)</f>
      </c>
      <c r="X23" s="4">
        <f>IF($K23="","",T23-W23)</f>
      </c>
    </row>
    <row r="24" spans="1:29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/>
      <c r="O24" s="4">
        <f>IF($K24="","",N24*20%)</f>
      </c>
      <c r="P24" s="4"/>
      <c r="Q24" s="4">
        <f>IF($K24="","",P24*20%)</f>
      </c>
      <c r="R24" s="4">
        <v>1</v>
      </c>
      <c r="S24" s="4">
        <f>IF($K24="","",Q24)</f>
      </c>
      <c r="T24" s="4">
        <f>IF($K24="","",L24-M24-N24-P24-Q24-R24)</f>
      </c>
      <c r="U24" s="4">
        <f>IF($K24="","",(T24-W24)/J24*100)</f>
      </c>
      <c r="V24" s="4">
        <f>IF($K24="","",M24-S24)</f>
      </c>
      <c r="X24" s="4">
        <f>IF($K24="","",T24-W24)</f>
      </c>
    </row>
    <row r="25" spans="1:29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/>
      <c r="O25" s="4">
        <f>IF($K25="","",N25*20%)</f>
      </c>
      <c r="P25" s="4"/>
      <c r="Q25" s="4">
        <f>IF($K25="","",P25*20%)</f>
      </c>
      <c r="R25" s="4">
        <v>1</v>
      </c>
      <c r="S25" s="4">
        <f>IF($K25="","",Q25)</f>
      </c>
      <c r="T25" s="4">
        <f>IF($K25="","",L25-M25-N25-P25-Q25-R25)</f>
      </c>
      <c r="U25" s="4">
        <f>IF($K25="","",(T25-W25)/J25*100)</f>
      </c>
      <c r="V25" s="4">
        <f>IF($K25="","",M25-S25)</f>
      </c>
      <c r="X25" s="4">
        <f>IF($K25="","",T25-W25)</f>
      </c>
    </row>
    <row r="26" spans="1:29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/>
      <c r="O26" s="4">
        <f>IF($K26="","",N26*20%)</f>
      </c>
      <c r="P26" s="4"/>
      <c r="Q26" s="4">
        <f>IF($K26="","",P26*20%)</f>
      </c>
      <c r="R26" s="4">
        <v>1</v>
      </c>
      <c r="S26" s="4">
        <f>IF($K26="","",Q26)</f>
      </c>
      <c r="T26" s="4">
        <f>IF($K26="","",L26-M26-N26-P26-Q26-R26)</f>
      </c>
      <c r="U26" s="4">
        <f>IF($K26="","",(T26-W26)/J26*100)</f>
      </c>
      <c r="V26" s="4">
        <f>IF($K26="","",M26-S26)</f>
      </c>
      <c r="X26" s="4">
        <f>IF($K26="","",T26-W26)</f>
      </c>
    </row>
    <row r="27" spans="1:29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/>
      <c r="O27" s="4">
        <f>IF($K27="","",N27*20%)</f>
      </c>
      <c r="P27" s="4"/>
      <c r="Q27" s="4">
        <f>IF($K27="","",P27*20%)</f>
      </c>
      <c r="R27" s="4">
        <v>1</v>
      </c>
      <c r="S27" s="4">
        <f>IF($K27="","",Q27)</f>
      </c>
      <c r="T27" s="4">
        <f>IF($K27="","",L27-M27-N27-P27-Q27-R27)</f>
      </c>
      <c r="U27" s="4">
        <f>IF($K27="","",(T27-W27)/J27*100)</f>
      </c>
      <c r="V27" s="4">
        <f>IF($K27="","",M27-S27)</f>
      </c>
      <c r="X27" s="4">
        <f>IF($K27="","",T27-W27)</f>
      </c>
    </row>
    <row r="28" spans="1:29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/>
      <c r="O28" s="4">
        <f>IF($K28="","",N28*20%)</f>
      </c>
      <c r="P28" s="4"/>
      <c r="Q28" s="4">
        <f>IF($K28="","",P28*20%)</f>
      </c>
      <c r="R28" s="4">
        <v>1</v>
      </c>
      <c r="S28" s="4">
        <f>IF($K28="","",Q28)</f>
      </c>
      <c r="T28" s="4">
        <f>IF($K28="","",L28-M28-N28-P28-Q28-R28)</f>
      </c>
      <c r="U28" s="4">
        <f>IF($K28="","",(T28-W28)/J28*100)</f>
      </c>
      <c r="V28" s="4">
        <f>IF($K28="","",M28-S28)</f>
      </c>
      <c r="X28" s="4">
        <f>IF($K28="","",T28-W28)</f>
      </c>
    </row>
    <row r="29" spans="1:29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/>
      <c r="O29" s="4">
        <f>IF($K29="","",N29*20%)</f>
      </c>
      <c r="P29" s="4"/>
      <c r="Q29" s="4">
        <f>IF($K29="","",P29*20%)</f>
      </c>
      <c r="R29" s="4">
        <v>1</v>
      </c>
      <c r="S29" s="4">
        <f>IF($K29="","",Q29)</f>
      </c>
      <c r="T29" s="4">
        <f>IF($K29="","",L29-M29-N29-P29-Q29-R29)</f>
      </c>
      <c r="U29" s="4">
        <f>IF($K29="","",(T29-W29)/J29*100)</f>
      </c>
      <c r="V29" s="4">
        <f>IF($K29="","",M29-S29)</f>
      </c>
      <c r="X29" s="4">
        <f>IF($K29="","",T29-W29)</f>
      </c>
    </row>
    <row r="30" spans="1:29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/>
      <c r="O30" s="4">
        <f>IF($K30="","",N30*20%)</f>
      </c>
      <c r="P30" s="4"/>
      <c r="Q30" s="4">
        <f>IF($K30="","",P30*20%)</f>
      </c>
      <c r="R30" s="4">
        <v>1</v>
      </c>
      <c r="S30" s="4">
        <f>IF($K30="","",Q30)</f>
      </c>
      <c r="T30" s="4">
        <f>IF($K30="","",L30-M30-N30-P30-Q30-R30)</f>
      </c>
      <c r="U30" s="4">
        <f>IF($K30="","",(T30-W30)/J30*100)</f>
      </c>
      <c r="V30" s="4">
        <f>IF($K30="","",M30-S30)</f>
      </c>
      <c r="X30" s="4">
        <f>IF($K30="","",T30-W30)</f>
      </c>
    </row>
    <row r="31" spans="1:29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/>
      <c r="O31" s="4">
        <f>IF($K31="","",N31*20%)</f>
      </c>
      <c r="P31" s="4"/>
      <c r="Q31" s="4">
        <f>IF($K31="","",P31*20%)</f>
      </c>
      <c r="R31" s="4">
        <v>1</v>
      </c>
      <c r="S31" s="4">
        <f>IF($K31="","",Q31)</f>
      </c>
      <c r="T31" s="4">
        <f>IF($K31="","",L31-M31-N31-P31-Q31-R31)</f>
      </c>
      <c r="U31" s="4">
        <f>IF($K31="","",(T31-W31)/J31*100)</f>
      </c>
      <c r="V31" s="4">
        <f>IF($K31="","",M31-S31)</f>
      </c>
      <c r="X31" s="4">
        <f>IF($K31="","",T31-W31)</f>
      </c>
    </row>
    <row r="32" spans="1:29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/>
      <c r="O32" s="4">
        <f>IF($K32="","",N32*20%)</f>
      </c>
      <c r="P32" s="4"/>
      <c r="Q32" s="4">
        <f>IF($K32="","",P32*20%)</f>
      </c>
      <c r="R32" s="4">
        <v>1</v>
      </c>
      <c r="S32" s="4">
        <f>IF($K32="","",Q32)</f>
      </c>
      <c r="T32" s="4">
        <f>IF($K32="","",L32-M32-N32-P32-Q32-R32)</f>
      </c>
      <c r="U32" s="4">
        <f>IF($K32="","",(T32-W32)/J32*100)</f>
      </c>
      <c r="V32" s="4">
        <f>IF($K32="","",M32-S32)</f>
      </c>
      <c r="X32" s="4">
        <f>IF($K32="","",T32-W32)</f>
      </c>
    </row>
    <row r="33" spans="1:29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/>
      <c r="O33" s="4">
        <f>IF($K33="","",N33*20%)</f>
      </c>
      <c r="P33" s="4"/>
      <c r="Q33" s="4">
        <f>IF($K33="","",P33*20%)</f>
      </c>
      <c r="R33" s="4">
        <v>1</v>
      </c>
      <c r="S33" s="4">
        <f>IF($K33="","",Q33)</f>
      </c>
      <c r="T33" s="4">
        <f>IF($K33="","",L33-M33-N33-P33-Q33-R33)</f>
      </c>
      <c r="U33" s="4">
        <f>IF($K33="","",(T33-W33)/J33*100)</f>
      </c>
      <c r="V33" s="4">
        <f>IF($K33="","",M33-S33)</f>
      </c>
      <c r="X33" s="4">
        <f>IF($K33="","",T33-W33)</f>
      </c>
    </row>
    <row r="34" spans="1:29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/>
      <c r="O34" s="4">
        <f>IF($K34="","",N34*20%)</f>
      </c>
      <c r="P34" s="4"/>
      <c r="Q34" s="4">
        <f>IF($K34="","",P34*20%)</f>
      </c>
      <c r="R34" s="4">
        <v>1</v>
      </c>
      <c r="S34" s="4">
        <f>IF($K34="","",Q34)</f>
      </c>
      <c r="T34" s="4">
        <f>IF($K34="","",L34-M34-N34-P34-Q34-R34)</f>
      </c>
      <c r="U34" s="4">
        <f>IF($K34="","",(T34-W34)/J34*100)</f>
      </c>
      <c r="V34" s="4">
        <f>IF($K34="","",M34-S34)</f>
      </c>
      <c r="X34" s="4">
        <f>IF($K34="","",T34-W34)</f>
      </c>
    </row>
    <row r="35" spans="1:29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/>
      <c r="O35" s="4">
        <f>IF($K35="","",N35*20%)</f>
      </c>
      <c r="P35" s="4"/>
      <c r="Q35" s="4">
        <f>IF($K35="","",P35*20%)</f>
      </c>
      <c r="R35" s="4">
        <v>1</v>
      </c>
      <c r="S35" s="4">
        <f>IF($K35="","",Q35)</f>
      </c>
      <c r="T35" s="4">
        <f>IF($K35="","",L35-M35-N35-P35-Q35-R35)</f>
      </c>
      <c r="U35" s="4">
        <f>IF($K35="","",(T35-W35)/J35*100)</f>
      </c>
      <c r="V35" s="4">
        <f>IF($K35="","",M35-S35)</f>
      </c>
      <c r="X35" s="4">
        <f>IF($K35="","",T35-W35)</f>
      </c>
    </row>
    <row r="36" spans="1:29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/>
      <c r="O36" s="4">
        <f>IF($K36="","",N36*20%)</f>
      </c>
      <c r="P36" s="4"/>
      <c r="Q36" s="4">
        <f>IF($K36="","",P36*20%)</f>
      </c>
      <c r="R36" s="4">
        <v>1</v>
      </c>
      <c r="S36" s="4">
        <f>IF($K36="","",Q36)</f>
      </c>
      <c r="T36" s="4">
        <f>IF($K36="","",L36-M36-N36-P36-Q36-R36)</f>
      </c>
      <c r="U36" s="4">
        <f>IF($K36="","",(T36-W36)/J36*100)</f>
      </c>
      <c r="V36" s="4">
        <f>IF($K36="","",M36-S36)</f>
      </c>
      <c r="X36" s="4">
        <f>IF($K36="","",T36-W36)</f>
      </c>
    </row>
    <row r="37" spans="1:29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/>
      <c r="O37" s="4">
        <f>IF($K37="","",N37*20%)</f>
      </c>
      <c r="P37" s="4"/>
      <c r="Q37" s="4">
        <f>IF($K37="","",P37*20%)</f>
      </c>
      <c r="R37" s="4">
        <v>1</v>
      </c>
      <c r="S37" s="4">
        <f>IF($K37="","",Q37)</f>
      </c>
      <c r="T37" s="4">
        <f>IF($K37="","",L37-M37-N37-P37-Q37-R37)</f>
      </c>
      <c r="U37" s="4">
        <f>IF($K37="","",(T37-W37)/J37*100)</f>
      </c>
      <c r="V37" s="4">
        <f>IF($K37="","",M37-S37)</f>
      </c>
      <c r="X37" s="4">
        <f>IF($K37="","",T37-W37)</f>
      </c>
    </row>
    <row r="38" spans="1:29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/>
      <c r="O38" s="4">
        <f>IF($K38="","",N38*20%)</f>
      </c>
      <c r="P38" s="4"/>
      <c r="Q38" s="4">
        <f>IF($K38="","",P38*20%)</f>
      </c>
      <c r="R38" s="4">
        <v>1</v>
      </c>
      <c r="S38" s="4">
        <f>IF($K38="","",Q38)</f>
      </c>
      <c r="T38" s="4">
        <f>IF($K38="","",L38-M38-N38-P38-Q38-R38)</f>
      </c>
      <c r="U38" s="4">
        <f>IF($K38="","",(T38-W38)/J38*100)</f>
      </c>
      <c r="V38" s="4">
        <f>IF($K38="","",M38-S38)</f>
      </c>
      <c r="X38" s="4">
        <f>IF($K38="","",T38-W38)</f>
      </c>
    </row>
    <row r="39" spans="1:29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/>
      <c r="O39" s="4">
        <f>IF($K39="","",N39*20%)</f>
      </c>
      <c r="P39" s="4"/>
      <c r="Q39" s="4">
        <f>IF($K39="","",P39*20%)</f>
      </c>
      <c r="R39" s="4">
        <v>1</v>
      </c>
      <c r="S39" s="4">
        <f>IF($K39="","",Q39)</f>
      </c>
      <c r="T39" s="4">
        <f>IF($K39="","",L39-M39-N39-P39-Q39-R39)</f>
      </c>
      <c r="U39" s="4">
        <f>IF($K39="","",(T39-W39)/J39*100)</f>
      </c>
      <c r="V39" s="4">
        <f>IF($K39="","",M39-S39)</f>
      </c>
      <c r="X39" s="4">
        <f>IF($K39="","",T39-W39)</f>
      </c>
    </row>
    <row r="40" spans="1:29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/>
      <c r="O40" s="4">
        <f>IF($K40="","",N40*20%)</f>
      </c>
      <c r="P40" s="4"/>
      <c r="Q40" s="4">
        <f>IF($K40="","",P40*20%)</f>
      </c>
      <c r="R40" s="4">
        <v>1</v>
      </c>
      <c r="S40" s="4">
        <f>IF($K40="","",Q40)</f>
      </c>
      <c r="T40" s="4">
        <f>IF($K40="","",L40-M40-N40-P40-Q40-R40)</f>
      </c>
      <c r="U40" s="4">
        <f>IF($K40="","",(T40-W40)/J40*100)</f>
      </c>
      <c r="V40" s="4">
        <f>IF($K40="","",M40-S40)</f>
      </c>
      <c r="X40" s="4">
        <f>IF($K40="","",T40-W40)</f>
      </c>
    </row>
    <row r="41" spans="1:29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/>
      <c r="O41" s="4">
        <f>IF($K41="","",N41*20%)</f>
      </c>
      <c r="P41" s="4"/>
      <c r="Q41" s="4">
        <f>IF($K41="","",P41*20%)</f>
      </c>
      <c r="R41" s="4">
        <v>1</v>
      </c>
      <c r="S41" s="4">
        <f>IF($K41="","",Q41)</f>
      </c>
      <c r="T41" s="4">
        <f>IF($K41="","",L41-M41-N41-P41-Q41-R41)</f>
      </c>
      <c r="U41" s="4">
        <f>IF($K41="","",(T41-W41)/J41*100)</f>
      </c>
      <c r="V41" s="4">
        <f>IF($K41="","",M41-S41)</f>
      </c>
      <c r="X41" s="4">
        <f>IF($K41="","",T41-W41)</f>
      </c>
    </row>
    <row r="42" spans="1:29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/>
      <c r="O42" s="4">
        <f>IF($K42="","",N42*20%)</f>
      </c>
      <c r="P42" s="4"/>
      <c r="Q42" s="4">
        <f>IF($K42="","",P42*20%)</f>
      </c>
      <c r="R42" s="4">
        <v>1</v>
      </c>
      <c r="S42" s="4">
        <f>IF($K42="","",Q42)</f>
      </c>
      <c r="T42" s="4">
        <f>IF($K42="","",L42-M42-N42-P42-Q42-R42)</f>
      </c>
      <c r="U42" s="4">
        <f>IF($K42="","",(T42-W42)/J42*100)</f>
      </c>
      <c r="V42" s="4">
        <f>IF($K42="","",M42-S42)</f>
      </c>
      <c r="X42" s="4">
        <f>IF($K42="","",T42-W42)</f>
      </c>
    </row>
    <row r="43" spans="1:29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/>
      <c r="O43" s="4">
        <f>IF($K43="","",N43*20%)</f>
      </c>
      <c r="P43" s="4"/>
      <c r="Q43" s="4">
        <f>IF($K43="","",P43*20%)</f>
      </c>
      <c r="R43" s="4">
        <v>1</v>
      </c>
      <c r="S43" s="4">
        <f>IF($K43="","",Q43)</f>
      </c>
      <c r="T43" s="4">
        <f>IF($K43="","",L43-M43-N43-P43-Q43-R43)</f>
      </c>
      <c r="U43" s="4">
        <f>IF($K43="","",(T43-W43)/J43*100)</f>
      </c>
      <c r="V43" s="4">
        <f>IF($K43="","",M43-S43)</f>
      </c>
      <c r="X43" s="4">
        <f>IF($K43="","",T43-W43)</f>
      </c>
    </row>
    <row r="44" spans="1:29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/>
      <c r="O44" s="4">
        <f>IF($K44="","",N44*20%)</f>
      </c>
      <c r="P44" s="4"/>
      <c r="Q44" s="4">
        <f>IF($K44="","",P44*20%)</f>
      </c>
      <c r="R44" s="4">
        <v>1</v>
      </c>
      <c r="S44" s="4">
        <f>IF($K44="","",Q44)</f>
      </c>
      <c r="T44" s="4">
        <f>IF($K44="","",L44-M44-N44-P44-Q44-R44)</f>
      </c>
      <c r="U44" s="4">
        <f>IF($K44="","",(T44-W44)/J44*100)</f>
      </c>
      <c r="V44" s="4">
        <f>IF($K44="","",M44-S44)</f>
      </c>
      <c r="X44" s="4">
        <f>IF($K44="","",T44-W44)</f>
      </c>
    </row>
    <row r="45" spans="1:29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/>
      <c r="O45" s="4">
        <f>IF($K45="","",N45*20%)</f>
      </c>
      <c r="P45" s="4"/>
      <c r="Q45" s="4">
        <f>IF($K45="","",P45*20%)</f>
      </c>
      <c r="R45" s="4">
        <v>1</v>
      </c>
      <c r="S45" s="4">
        <f>IF($K45="","",Q45)</f>
      </c>
      <c r="T45" s="4">
        <f>IF($K45="","",L45-M45-N45-P45-Q45-R45)</f>
      </c>
      <c r="U45" s="4">
        <f>IF($K45="","",(T45-W45)/J45*100)</f>
      </c>
      <c r="V45" s="4">
        <f>IF($K45="","",M45-S45)</f>
      </c>
      <c r="X45" s="4">
        <f>IF($K45="","",T45-W45)</f>
      </c>
    </row>
    <row r="46" spans="1:29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/>
      <c r="O46" s="4">
        <f>IF($K46="","",N46*20%)</f>
      </c>
      <c r="P46" s="4"/>
      <c r="Q46" s="4">
        <f>IF($K46="","",P46*20%)</f>
      </c>
      <c r="R46" s="4">
        <v>1</v>
      </c>
      <c r="S46" s="4">
        <f>IF($K46="","",Q46)</f>
      </c>
      <c r="T46" s="4">
        <f>IF($K46="","",L46-M46-N46-P46-Q46-R46)</f>
      </c>
      <c r="U46" s="4">
        <f>IF($K46="","",(T46-W46)/J46*100)</f>
      </c>
      <c r="V46" s="4">
        <f>IF($K46="","",M46-S46)</f>
      </c>
      <c r="X46" s="4">
        <f>IF($K46="","",T46-W46)</f>
      </c>
    </row>
    <row r="47" spans="1:29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/>
      <c r="O47" s="4">
        <f>IF($K47="","",N47*20%)</f>
      </c>
      <c r="P47" s="4"/>
      <c r="Q47" s="4">
        <f>IF($K47="","",P47*20%)</f>
      </c>
      <c r="R47" s="4">
        <v>1</v>
      </c>
      <c r="S47" s="4">
        <f>IF($K47="","",Q47)</f>
      </c>
      <c r="T47" s="4">
        <f>IF($K47="","",L47-M47-N47-P47-Q47-R47)</f>
      </c>
      <c r="U47" s="4">
        <f>IF($K47="","",(T47-W47)/J47*100)</f>
      </c>
      <c r="V47" s="4">
        <f>IF($K47="","",M47-S47)</f>
      </c>
      <c r="X47" s="4">
        <f>IF($K47="","",T47-W47)</f>
      </c>
    </row>
    <row r="48" spans="1:29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/>
      <c r="O48" s="4">
        <f>IF($K48="","",N48*20%)</f>
      </c>
      <c r="P48" s="4"/>
      <c r="Q48" s="4">
        <f>IF($K48="","",P48*20%)</f>
      </c>
      <c r="R48" s="4">
        <v>1</v>
      </c>
      <c r="S48" s="4">
        <f>IF($K48="","",Q48)</f>
      </c>
      <c r="T48" s="4">
        <f>IF($K48="","",L48-M48-N48-P48-Q48-R48)</f>
      </c>
      <c r="U48" s="4">
        <f>IF($K48="","",(T48-W48)/J48*100)</f>
      </c>
      <c r="V48" s="4">
        <f>IF($K48="","",M48-S48)</f>
      </c>
      <c r="X48" s="4">
        <f>IF($K48="","",T48-W48)</f>
      </c>
    </row>
    <row r="49" spans="1:29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/>
      <c r="O49" s="4">
        <f>IF($K49="","",N49*20%)</f>
      </c>
      <c r="P49" s="4"/>
      <c r="Q49" s="4">
        <f>IF($K49="","",P49*20%)</f>
      </c>
      <c r="R49" s="4">
        <v>1</v>
      </c>
      <c r="S49" s="4">
        <f>IF($K49="","",Q49)</f>
      </c>
      <c r="T49" s="4">
        <f>IF($K49="","",L49-M49-N49-P49-Q49-R49)</f>
      </c>
      <c r="U49" s="4">
        <f>IF($K49="","",(T49-W49)/J49*100)</f>
      </c>
      <c r="V49" s="4">
        <f>IF($K49="","",M49-S49)</f>
      </c>
      <c r="X49" s="4">
        <f>IF($K49="","",T49-W49)</f>
      </c>
    </row>
    <row r="50" spans="1:29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/>
      <c r="O50" s="4">
        <f>IF($K50="","",N50*20%)</f>
      </c>
      <c r="P50" s="4"/>
      <c r="Q50" s="4">
        <f>IF($K50="","",P50*20%)</f>
      </c>
      <c r="R50" s="4">
        <v>1</v>
      </c>
      <c r="S50" s="4">
        <f>IF($K50="","",Q50)</f>
      </c>
      <c r="T50" s="4">
        <f>IF($K50="","",L50-M50-N50-P50-Q50-R50)</f>
      </c>
      <c r="U50" s="4">
        <f>IF($K50="","",(T50-W50)/J50*100)</f>
      </c>
      <c r="V50" s="4">
        <f>IF($K50="","",M50-S50)</f>
      </c>
      <c r="X50" s="4">
        <f>IF($K50="","",T50-W50)</f>
      </c>
    </row>
    <row r="51" spans="1:29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/>
      <c r="O51" s="4">
        <f>IF($K51="","",N51*20%)</f>
      </c>
      <c r="P51" s="4"/>
      <c r="Q51" s="4">
        <f>IF($K51="","",P51*20%)</f>
      </c>
      <c r="R51" s="4">
        <v>1</v>
      </c>
      <c r="S51" s="4">
        <f>IF($K51="","",Q51)</f>
      </c>
      <c r="T51" s="4">
        <f>IF($K51="","",L51-M51-N51-P51-Q51-R51)</f>
      </c>
      <c r="U51" s="4">
        <f>IF($K51="","",(T51-W51)/J51*100)</f>
      </c>
      <c r="V51" s="4">
        <f>IF($K51="","",M51-S51)</f>
      </c>
      <c r="X51" s="4">
        <f>IF($K51="","",T51-W51)</f>
      </c>
    </row>
    <row r="52" spans="1:29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/>
      <c r="O52" s="4">
        <f>IF($K52="","",N52*20%)</f>
      </c>
      <c r="P52" s="4"/>
      <c r="Q52" s="4">
        <f>IF($K52="","",P52*20%)</f>
      </c>
      <c r="R52" s="4">
        <v>1</v>
      </c>
      <c r="S52" s="4">
        <f>IF($K52="","",Q52)</f>
      </c>
      <c r="T52" s="4">
        <f>IF($K52="","",L52-M52-N52-P52-Q52-R52)</f>
      </c>
      <c r="U52" s="4">
        <f>IF($K52="","",(T52-W52)/J52*100)</f>
      </c>
      <c r="V52" s="4">
        <f>IF($K52="","",M52-S52)</f>
      </c>
      <c r="X52" s="4">
        <f>IF($K52="","",T52-W52)</f>
      </c>
    </row>
    <row r="53" spans="1:29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/>
      <c r="O53" s="4">
        <f>IF($K53="","",N53*20%)</f>
      </c>
      <c r="P53" s="4"/>
      <c r="Q53" s="4">
        <f>IF($K53="","",P53*20%)</f>
      </c>
      <c r="R53" s="4">
        <v>1</v>
      </c>
      <c r="S53" s="4">
        <f>IF($K53="","",Q53)</f>
      </c>
      <c r="T53" s="4">
        <f>IF($K53="","",L53-M53-N53-P53-Q53-R53)</f>
      </c>
      <c r="U53" s="4">
        <f>IF($K53="","",(T53-W53)/J53*100)</f>
      </c>
      <c r="V53" s="4">
        <f>IF($K53="","",M53-S53)</f>
      </c>
      <c r="X53" s="4">
        <f>IF($K53="","",T53-W53)</f>
      </c>
    </row>
    <row r="54" spans="1:29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/>
      <c r="O54" s="4">
        <f>IF($K54="","",N54*20%)</f>
      </c>
      <c r="P54" s="4"/>
      <c r="Q54" s="4">
        <f>IF($K54="","",P54*20%)</f>
      </c>
      <c r="R54" s="4">
        <v>1</v>
      </c>
      <c r="S54" s="4">
        <f>IF($K54="","",Q54)</f>
      </c>
      <c r="T54" s="4">
        <f>IF($K54="","",L54-M54-N54-P54-Q54-R54)</f>
      </c>
      <c r="U54" s="4">
        <f>IF($K54="","",(T54-W54)/J54*100)</f>
      </c>
      <c r="V54" s="4">
        <f>IF($K54="","",M54-S54)</f>
      </c>
      <c r="X54" s="4">
        <f>IF($K54="","",T54-W54)</f>
      </c>
    </row>
    <row r="55" spans="1:29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/>
      <c r="O55" s="4">
        <f>IF($K55="","",N55*20%)</f>
      </c>
      <c r="P55" s="4"/>
      <c r="Q55" s="4">
        <f>IF($K55="","",P55*20%)</f>
      </c>
      <c r="R55" s="4">
        <v>1</v>
      </c>
      <c r="S55" s="4">
        <f>IF($K55="","",Q55)</f>
      </c>
      <c r="T55" s="4">
        <f>IF($K55="","",L55-M55-N55-P55-Q55-R55)</f>
      </c>
      <c r="U55" s="4">
        <f>IF($K55="","",(T55-W55)/J55*100)</f>
      </c>
      <c r="V55" s="4">
        <f>IF($K55="","",M55-S55)</f>
      </c>
      <c r="X55" s="4">
        <f>IF($K55="","",T55-W55)</f>
      </c>
    </row>
    <row r="56" spans="1:29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/>
      <c r="O56" s="4">
        <f>IF($K56="","",N56*20%)</f>
      </c>
      <c r="P56" s="4"/>
      <c r="Q56" s="4">
        <f>IF($K56="","",P56*20%)</f>
      </c>
      <c r="R56" s="4">
        <v>1</v>
      </c>
      <c r="S56" s="4">
        <f>IF($K56="","",Q56)</f>
      </c>
      <c r="T56" s="4">
        <f>IF($K56="","",L56-M56-N56-P56-Q56-R56)</f>
      </c>
      <c r="U56" s="4">
        <f>IF($K56="","",(T56-W56)/J56*100)</f>
      </c>
      <c r="V56" s="4">
        <f>IF($K56="","",M56-S56)</f>
      </c>
      <c r="X56" s="4">
        <f>IF($K56="","",T56-W56)</f>
      </c>
    </row>
    <row r="57" spans="1:29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/>
      <c r="O57" s="4">
        <f>IF($K57="","",N57*20%)</f>
      </c>
      <c r="P57" s="4"/>
      <c r="Q57" s="4">
        <f>IF($K57="","",P57*20%)</f>
      </c>
      <c r="R57" s="4">
        <v>1</v>
      </c>
      <c r="S57" s="4">
        <f>IF($K57="","",Q57)</f>
      </c>
      <c r="T57" s="4">
        <f>IF($K57="","",L57-M57-N57-P57-Q57-R57)</f>
      </c>
      <c r="U57" s="4">
        <f>IF($K57="","",(T57-W57)/J57*100)</f>
      </c>
      <c r="V57" s="4">
        <f>IF($K57="","",M57-S57)</f>
      </c>
      <c r="X57" s="4">
        <f>IF($K57="","",T57-W57)</f>
      </c>
    </row>
    <row r="58" spans="1:29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/>
      <c r="O58" s="4">
        <f>IF($K58="","",N58*20%)</f>
      </c>
      <c r="P58" s="4"/>
      <c r="Q58" s="4">
        <f>IF($K58="","",P58*20%)</f>
      </c>
      <c r="R58" s="4">
        <v>1</v>
      </c>
      <c r="S58" s="4">
        <f>IF($K58="","",Q58)</f>
      </c>
      <c r="T58" s="4">
        <f>IF($K58="","",L58-M58-N58-P58-Q58-R58)</f>
      </c>
      <c r="U58" s="4">
        <f>IF($K58="","",(T58-W58)/J58*100)</f>
      </c>
      <c r="V58" s="4">
        <f>IF($K58="","",M58-S58)</f>
      </c>
      <c r="X58" s="4">
        <f>IF($K58="","",T58-W58)</f>
      </c>
    </row>
    <row r="59" spans="1:29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/>
      <c r="O59" s="4">
        <f>IF($K59="","",N59*20%)</f>
      </c>
      <c r="P59" s="4"/>
      <c r="Q59" s="4">
        <f>IF($K59="","",P59*20%)</f>
      </c>
      <c r="R59" s="4">
        <v>1</v>
      </c>
      <c r="S59" s="4">
        <f>IF($K59="","",Q59)</f>
      </c>
      <c r="T59" s="4">
        <f>IF($K59="","",L59-M59-N59-P59-Q59-R59)</f>
      </c>
      <c r="U59" s="4">
        <f>IF($K59="","",(T59-W59)/J59*100)</f>
      </c>
      <c r="V59" s="4">
        <f>IF($K59="","",M59-S59)</f>
      </c>
      <c r="X59" s="4">
        <f>IF($K59="","",T59-W59)</f>
      </c>
    </row>
    <row r="60" spans="1:29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/>
      <c r="O60" s="4">
        <f>IF($K60="","",N60*20%)</f>
      </c>
      <c r="P60" s="4"/>
      <c r="Q60" s="4">
        <f>IF($K60="","",P60*20%)</f>
      </c>
      <c r="R60" s="4">
        <v>1</v>
      </c>
      <c r="S60" s="4">
        <f>IF($K60="","",Q60)</f>
      </c>
      <c r="T60" s="4">
        <f>IF($K60="","",L60-M60-N60-P60-Q60-R60)</f>
      </c>
      <c r="U60" s="4">
        <f>IF($K60="","",(T60-W60)/J60*100)</f>
      </c>
      <c r="V60" s="4">
        <f>IF($K60="","",M60-S60)</f>
      </c>
      <c r="X60" s="4">
        <f>IF($K60="","",T60-W60)</f>
      </c>
    </row>
    <row r="61" spans="1:29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/>
      <c r="O61" s="4">
        <f>IF($K61="","",N61*20%)</f>
      </c>
      <c r="P61" s="4"/>
      <c r="Q61" s="4">
        <f>IF($K61="","",P61*20%)</f>
      </c>
      <c r="R61" s="4">
        <v>1</v>
      </c>
      <c r="S61" s="4">
        <f>IF($K61="","",Q61)</f>
      </c>
      <c r="T61" s="4">
        <f>IF($K61="","",L61-M61-N61-P61-Q61-R61)</f>
      </c>
      <c r="U61" s="4">
        <f>IF($K61="","",(T61-W61)/J61*100)</f>
      </c>
      <c r="V61" s="4">
        <f>IF($K61="","",M61-S61)</f>
      </c>
      <c r="X61" s="4">
        <f>IF($K61="","",T61-W61)</f>
      </c>
    </row>
    <row r="62" spans="1:29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/>
      <c r="O62" s="4">
        <f>IF($K62="","",N62*20%)</f>
      </c>
      <c r="P62" s="4"/>
      <c r="Q62" s="4">
        <f>IF($K62="","",P62*20%)</f>
      </c>
      <c r="R62" s="4">
        <v>1</v>
      </c>
      <c r="S62" s="4">
        <f>IF($K62="","",Q62)</f>
      </c>
      <c r="T62" s="4">
        <f>IF($K62="","",L62-M62-N62-P62-Q62-R62)</f>
      </c>
      <c r="U62" s="4">
        <f>IF($K62="","",(T62-W62)/J62*100)</f>
      </c>
      <c r="V62" s="4">
        <f>IF($K62="","",M62-S62)</f>
      </c>
      <c r="X62" s="4">
        <f>IF($K62="","",T62-W62)</f>
      </c>
    </row>
    <row r="63" spans="1:29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/>
      <c r="O63" s="4">
        <f>IF($K63="","",N63*20%)</f>
      </c>
      <c r="P63" s="4"/>
      <c r="Q63" s="4">
        <f>IF($K63="","",P63*20%)</f>
      </c>
      <c r="R63" s="4">
        <v>1</v>
      </c>
      <c r="S63" s="4">
        <f>IF($K63="","",Q63)</f>
      </c>
      <c r="T63" s="4">
        <f>IF($K63="","",L63-M63-N63-P63-Q63-R63)</f>
      </c>
      <c r="U63" s="4">
        <f>IF($K63="","",(T63-W63)/J63*100)</f>
      </c>
      <c r="V63" s="4">
        <f>IF($K63="","",M63-S63)</f>
      </c>
      <c r="X63" s="4">
        <f>IF($K63="","",T63-W63)</f>
      </c>
    </row>
    <row r="64" spans="1:29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/>
      <c r="O64" s="4">
        <f>IF($K64="","",N64*20%)</f>
      </c>
      <c r="P64" s="4"/>
      <c r="Q64" s="4">
        <f>IF($K64="","",P64*20%)</f>
      </c>
      <c r="R64" s="4">
        <v>1</v>
      </c>
      <c r="S64" s="4">
        <f>IF($K64="","",Q64)</f>
      </c>
      <c r="T64" s="4">
        <f>IF($K64="","",L64-M64-N64-P64-Q64-R64)</f>
      </c>
      <c r="U64" s="4">
        <f>IF($K64="","",(T64-W64)/J64*100)</f>
      </c>
      <c r="V64" s="4">
        <f>IF($K64="","",M64-S64)</f>
      </c>
      <c r="X64" s="4">
        <f>IF($K64="","",T64-W64)</f>
      </c>
    </row>
    <row r="65" spans="1:29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/>
      <c r="O65" s="4">
        <f>IF($K65="","",N65*20%)</f>
      </c>
      <c r="P65" s="4"/>
      <c r="Q65" s="4">
        <f>IF($K65="","",P65*20%)</f>
      </c>
      <c r="R65" s="4">
        <v>1</v>
      </c>
      <c r="S65" s="4">
        <f>IF($K65="","",Q65)</f>
      </c>
      <c r="T65" s="4">
        <f>IF($K65="","",L65-M65-N65-P65-Q65-R65)</f>
      </c>
      <c r="U65" s="4">
        <f>IF($K65="","",(T65-W65)/J65*100)</f>
      </c>
      <c r="V65" s="4">
        <f>IF($K65="","",M65-S65)</f>
      </c>
      <c r="X65" s="4">
        <f>IF($K65="","",T65-W65)</f>
      </c>
    </row>
    <row r="66" spans="1:29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/>
      <c r="O66" s="4">
        <f>IF($K66="","",N66*20%)</f>
      </c>
      <c r="P66" s="4"/>
      <c r="Q66" s="4">
        <f>IF($K66="","",P66*20%)</f>
      </c>
      <c r="R66" s="4">
        <v>1</v>
      </c>
      <c r="S66" s="4">
        <f>IF($K66="","",Q66)</f>
      </c>
      <c r="T66" s="4">
        <f>IF($K66="","",L66-M66-N66-P66-Q66-R66)</f>
      </c>
      <c r="U66" s="4">
        <f>IF($K66="","",(T66-W66)/J66*100)</f>
      </c>
      <c r="V66" s="4">
        <f>IF($K66="","",M66-S66)</f>
      </c>
      <c r="X66" s="4">
        <f>IF($K66="","",T66-W66)</f>
      </c>
    </row>
    <row r="67" spans="1:29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/>
      <c r="O67" s="4">
        <f>IF($K67="","",N67*20%)</f>
      </c>
      <c r="P67" s="4"/>
      <c r="Q67" s="4">
        <f>IF($K67="","",P67*20%)</f>
      </c>
      <c r="R67" s="4">
        <v>1</v>
      </c>
      <c r="S67" s="4">
        <f>IF($K67="","",Q67)</f>
      </c>
      <c r="T67" s="4">
        <f>IF($K67="","",L67-M67-N67-P67-Q67-R67)</f>
      </c>
      <c r="U67" s="4">
        <f>IF($K67="","",(T67-W67)/J67*100)</f>
      </c>
      <c r="V67" s="4">
        <f>IF($K67="","",M67-S67)</f>
      </c>
      <c r="X67" s="4">
        <f>IF($K67="","",T67-W67)</f>
      </c>
    </row>
    <row r="68" spans="1:29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/>
      <c r="O68" s="4">
        <f>IF($K68="","",N68*20%)</f>
      </c>
      <c r="P68" s="4"/>
      <c r="Q68" s="4">
        <f>IF($K68="","",P68*20%)</f>
      </c>
      <c r="R68" s="4">
        <v>1</v>
      </c>
      <c r="S68" s="4">
        <f>IF($K68="","",Q68)</f>
      </c>
      <c r="T68" s="4">
        <f>IF($K68="","",L68-M68-N68-P68-Q68-R68)</f>
      </c>
      <c r="U68" s="4">
        <f>IF($K68="","",(T68-W68)/J68*100)</f>
      </c>
      <c r="V68" s="4">
        <f>IF($K68="","",M68-S68)</f>
      </c>
      <c r="X68" s="4">
        <f>IF($K68="","",T68-W68)</f>
      </c>
    </row>
    <row r="69" spans="1:29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/>
      <c r="O69" s="4">
        <f>IF($K69="","",N69*20%)</f>
      </c>
      <c r="P69" s="4"/>
      <c r="Q69" s="4">
        <f>IF($K69="","",P69*20%)</f>
      </c>
      <c r="R69" s="4">
        <v>1</v>
      </c>
      <c r="S69" s="4">
        <f>IF($K69="","",Q69)</f>
      </c>
      <c r="T69" s="4">
        <f>IF($K69="","",L69-M69-N69-P69-Q69-R69)</f>
      </c>
      <c r="U69" s="4">
        <f>IF($K69="","",(T69-W69)/J69*100)</f>
      </c>
      <c r="V69" s="4">
        <f>IF($K69="","",M69-S69)</f>
      </c>
      <c r="X69" s="4">
        <f>IF($K69="","",T69-W69)</f>
      </c>
    </row>
    <row r="70" spans="1:29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/>
      <c r="O70" s="4">
        <f>IF($K70="","",N70*20%)</f>
      </c>
      <c r="P70" s="4"/>
      <c r="Q70" s="4">
        <f>IF($K70="","",P70*20%)</f>
      </c>
      <c r="R70" s="4">
        <v>1</v>
      </c>
      <c r="S70" s="4">
        <f>IF($K70="","",Q70)</f>
      </c>
      <c r="T70" s="4">
        <f>IF($K70="","",L70-M70-N70-P70-Q70-R70)</f>
      </c>
      <c r="U70" s="4">
        <f>IF($K70="","",(T70-W70)/J70*100)</f>
      </c>
      <c r="V70" s="4">
        <f>IF($K70="","",M70-S70)</f>
      </c>
      <c r="X70" s="4">
        <f>IF($K70="","",T70-W70)</f>
      </c>
    </row>
    <row r="71" spans="1:29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/>
      <c r="O71" s="4">
        <f>IF($K71="","",N71*20%)</f>
      </c>
      <c r="P71" s="4"/>
      <c r="Q71" s="4">
        <f>IF($K71="","",P71*20%)</f>
      </c>
      <c r="R71" s="4">
        <v>1</v>
      </c>
      <c r="S71" s="4">
        <f>IF($K71="","",Q71)</f>
      </c>
      <c r="T71" s="4">
        <f>IF($K71="","",L71-M71-N71-P71-Q71-R71)</f>
      </c>
      <c r="U71" s="4">
        <f>IF($K71="","",(T71-W71)/J71*100)</f>
      </c>
      <c r="V71" s="4">
        <f>IF($K71="","",M71-S71)</f>
      </c>
      <c r="X71" s="4">
        <f>IF($K71="","",T71-W71)</f>
      </c>
    </row>
    <row r="72" spans="1:29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/>
      <c r="O72" s="4">
        <f>IF($K72="","",N72*20%)</f>
      </c>
      <c r="P72" s="4"/>
      <c r="Q72" s="4">
        <f>IF($K72="","",P72*20%)</f>
      </c>
      <c r="R72" s="4">
        <v>1</v>
      </c>
      <c r="S72" s="4">
        <f>IF($K72="","",Q72)</f>
      </c>
      <c r="T72" s="4">
        <f>IF($K72="","",L72-M72-N72-P72-Q72-R72)</f>
      </c>
      <c r="U72" s="4">
        <f>IF($K72="","",(T72-W72)/J72*100)</f>
      </c>
      <c r="V72" s="4">
        <f>IF($K72="","",M72-S72)</f>
      </c>
      <c r="X72" s="4">
        <f>IF($K72="","",T72-W72)</f>
      </c>
    </row>
    <row r="73" spans="1:29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/>
      <c r="O73" s="4">
        <f>IF($K73="","",N73*20%)</f>
      </c>
      <c r="P73" s="4"/>
      <c r="Q73" s="4">
        <f>IF($K73="","",P73*20%)</f>
      </c>
      <c r="R73" s="4">
        <v>1</v>
      </c>
      <c r="S73" s="4">
        <f>IF($K73="","",Q73)</f>
      </c>
      <c r="T73" s="4">
        <f>IF($K73="","",L73-M73-N73-P73-Q73-R73)</f>
      </c>
      <c r="U73" s="4">
        <f>IF($K73="","",(T73-W73)/J73*100)</f>
      </c>
      <c r="V73" s="4">
        <f>IF($K73="","",M73-S73)</f>
      </c>
      <c r="X73" s="4">
        <f>IF($K73="","",T73-W73)</f>
      </c>
    </row>
    <row r="74" spans="1:29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/>
      <c r="O74" s="4">
        <f>IF($K74="","",N74*20%)</f>
      </c>
      <c r="P74" s="4"/>
      <c r="Q74" s="4">
        <f>IF($K74="","",P74*20%)</f>
      </c>
      <c r="R74" s="4">
        <v>1</v>
      </c>
      <c r="S74" s="4">
        <f>IF($K74="","",Q74)</f>
      </c>
      <c r="T74" s="4">
        <f>IF($K74="","",L74-M74-N74-P74-Q74-R74)</f>
      </c>
      <c r="U74" s="4">
        <f>IF($K74="","",(T74-W74)/J74*100)</f>
      </c>
      <c r="V74" s="4">
        <f>IF($K74="","",M74-S74)</f>
      </c>
      <c r="X74" s="4">
        <f>IF($K74="","",T74-W74)</f>
      </c>
    </row>
    <row r="75" spans="1:29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/>
      <c r="O75" s="4">
        <f>IF($K75="","",N75*20%)</f>
      </c>
      <c r="P75" s="4"/>
      <c r="Q75" s="4">
        <f>IF($K75="","",P75*20%)</f>
      </c>
      <c r="R75" s="4">
        <v>1</v>
      </c>
      <c r="S75" s="4">
        <f>IF($K75="","",Q75)</f>
      </c>
      <c r="T75" s="4">
        <f>IF($K75="","",L75-M75-N75-P75-Q75-R75)</f>
      </c>
      <c r="U75" s="4">
        <f>IF($K75="","",(T75-W75)/J75*100)</f>
      </c>
      <c r="V75" s="4">
        <f>IF($K75="","",M75-S75)</f>
      </c>
      <c r="X75" s="4">
        <f>IF($K75="","",T75-W75)</f>
      </c>
    </row>
    <row r="76" spans="1:29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/>
      <c r="O76" s="4">
        <f>IF($K76="","",N76*20%)</f>
      </c>
      <c r="P76" s="4"/>
      <c r="Q76" s="4">
        <f>IF($K76="","",P76*20%)</f>
      </c>
      <c r="R76" s="4">
        <v>1</v>
      </c>
      <c r="S76" s="4">
        <f>IF($K76="","",Q76)</f>
      </c>
      <c r="T76" s="4">
        <f>IF($K76="","",L76-M76-N76-P76-Q76-R76)</f>
      </c>
      <c r="U76" s="4">
        <f>IF($K76="","",(T76-W76)/J76*100)</f>
      </c>
      <c r="V76" s="4">
        <f>IF($K76="","",M76-S76)</f>
      </c>
      <c r="X76" s="4">
        <f>IF($K76="","",T76-W76)</f>
      </c>
    </row>
    <row r="77" spans="1:29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/>
      <c r="O77" s="4">
        <f>IF($K77="","",N77*20%)</f>
      </c>
      <c r="P77" s="4"/>
      <c r="Q77" s="4">
        <f>IF($K77="","",P77*20%)</f>
      </c>
      <c r="R77" s="4">
        <v>1</v>
      </c>
      <c r="S77" s="4">
        <f>IF($K77="","",Q77)</f>
      </c>
      <c r="T77" s="4">
        <f>IF($K77="","",L77-M77-N77-P77-Q77-R77)</f>
      </c>
      <c r="U77" s="4">
        <f>IF($K77="","",(T77-W77)/J77*100)</f>
      </c>
      <c r="V77" s="4">
        <f>IF($K77="","",M77-S77)</f>
      </c>
      <c r="X77" s="4">
        <f>IF($K77="","",T77-W77)</f>
      </c>
    </row>
    <row r="78" spans="1:29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/>
      <c r="O78" s="4">
        <f>IF($K78="","",N78*20%)</f>
      </c>
      <c r="P78" s="4"/>
      <c r="Q78" s="4">
        <f>IF($K78="","",P78*20%)</f>
      </c>
      <c r="R78" s="4">
        <v>1</v>
      </c>
      <c r="S78" s="4">
        <f>IF($K78="","",Q78)</f>
      </c>
      <c r="T78" s="4">
        <f>IF($K78="","",L78-M78-N78-P78-Q78-R78)</f>
      </c>
      <c r="U78" s="4">
        <f>IF($K78="","",(T78-W78)/J78*100)</f>
      </c>
      <c r="V78" s="4">
        <f>IF($K78="","",M78-S78)</f>
      </c>
      <c r="X78" s="4">
        <f>IF($K78="","",T78-W78)</f>
      </c>
    </row>
    <row r="79" spans="1:29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/>
      <c r="O79" s="4">
        <f>IF($K79="","",N79*20%)</f>
      </c>
      <c r="P79" s="4"/>
      <c r="Q79" s="4">
        <f>IF($K79="","",P79*20%)</f>
      </c>
      <c r="R79" s="4">
        <v>1</v>
      </c>
      <c r="S79" s="4">
        <f>IF($K79="","",Q79)</f>
      </c>
      <c r="T79" s="4">
        <f>IF($K79="","",L79-M79-N79-P79-Q79-R79)</f>
      </c>
      <c r="U79" s="4">
        <f>IF($K79="","",(T79-W79)/J79*100)</f>
      </c>
      <c r="V79" s="4">
        <f>IF($K79="","",M79-S79)</f>
      </c>
      <c r="X79" s="4">
        <f>IF($K79="","",T79-W79)</f>
      </c>
    </row>
    <row r="80" spans="1:29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/>
      <c r="O80" s="4">
        <f>IF($K80="","",N80*20%)</f>
      </c>
      <c r="P80" s="4"/>
      <c r="Q80" s="4">
        <f>IF($K80="","",P80*20%)</f>
      </c>
      <c r="R80" s="4">
        <v>1</v>
      </c>
      <c r="S80" s="4">
        <f>IF($K80="","",Q80)</f>
      </c>
      <c r="T80" s="4">
        <f>IF($K80="","",L80-M80-N80-P80-Q80-R80)</f>
      </c>
      <c r="U80" s="4">
        <f>IF($K80="","",(T80-W80)/J80*100)</f>
      </c>
      <c r="V80" s="4">
        <f>IF($K80="","",M80-S80)</f>
      </c>
      <c r="X80" s="4">
        <f>IF($K80="","",T80-W80)</f>
      </c>
    </row>
    <row r="81" spans="1:29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/>
      <c r="O81" s="4">
        <f>IF($K81="","",N81*20%)</f>
      </c>
      <c r="P81" s="4"/>
      <c r="Q81" s="4">
        <f>IF($K81="","",P81*20%)</f>
      </c>
      <c r="R81" s="4">
        <v>1</v>
      </c>
      <c r="S81" s="4">
        <f>IF($K81="","",Q81)</f>
      </c>
      <c r="T81" s="4">
        <f>IF($K81="","",L81-M81-N81-P81-Q81-R81)</f>
      </c>
      <c r="U81" s="4">
        <f>IF($K81="","",(T81-W81)/J81*100)</f>
      </c>
      <c r="V81" s="4">
        <f>IF($K81="","",M81-S81)</f>
      </c>
      <c r="X81" s="4">
        <f>IF($K81="","",T81-W81)</f>
      </c>
    </row>
    <row r="82" spans="1:29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/>
      <c r="O82" s="4">
        <f>IF($K82="","",N82*20%)</f>
      </c>
      <c r="P82" s="4"/>
      <c r="Q82" s="4">
        <f>IF($K82="","",P82*20%)</f>
      </c>
      <c r="R82" s="4">
        <v>1</v>
      </c>
      <c r="S82" s="4">
        <f>IF($K82="","",Q82)</f>
      </c>
      <c r="T82" s="4">
        <f>IF($K82="","",L82-M82-N82-P82-Q82-R82)</f>
      </c>
      <c r="U82" s="4">
        <f>IF($K82="","",(T82-W82)/J82*100)</f>
      </c>
      <c r="V82" s="4">
        <f>IF($K82="","",M82-S82)</f>
      </c>
      <c r="X82" s="4">
        <f>IF($K82="","",T82-W82)</f>
      </c>
    </row>
    <row r="83" spans="1:29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/>
      <c r="O83" s="4">
        <f>IF($K83="","",N83*20%)</f>
      </c>
      <c r="P83" s="4"/>
      <c r="Q83" s="4">
        <f>IF($K83="","",P83*20%)</f>
      </c>
      <c r="R83" s="4">
        <v>1</v>
      </c>
      <c r="S83" s="4">
        <f>IF($K83="","",Q83)</f>
      </c>
      <c r="T83" s="4">
        <f>IF($K83="","",L83-M83-N83-P83-Q83-R83)</f>
      </c>
      <c r="U83" s="4">
        <f>IF($K83="","",(T83-W83)/J83*100)</f>
      </c>
      <c r="V83" s="4">
        <f>IF($K83="","",M83-S83)</f>
      </c>
      <c r="X83" s="4">
        <f>IF($K83="","",T83-W83)</f>
      </c>
    </row>
    <row r="84" spans="1:29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/>
      <c r="O84" s="4">
        <f>IF($K84="","",N84*20%)</f>
      </c>
      <c r="P84" s="4"/>
      <c r="Q84" s="4">
        <f>IF($K84="","",P84*20%)</f>
      </c>
      <c r="R84" s="4">
        <v>1</v>
      </c>
      <c r="S84" s="4">
        <f>IF($K84="","",Q84)</f>
      </c>
      <c r="T84" s="4">
        <f>IF($K84="","",L84-M84-N84-P84-Q84-R84)</f>
      </c>
      <c r="U84" s="4">
        <f>IF($K84="","",(T84-W84)/J84*100)</f>
      </c>
      <c r="V84" s="4">
        <f>IF($K84="","",M84-S84)</f>
      </c>
      <c r="X84" s="4">
        <f>IF($K84="","",T84-W84)</f>
      </c>
    </row>
    <row r="85" spans="1:29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/>
      <c r="O85" s="4">
        <f>IF($K85="","",N85*20%)</f>
      </c>
      <c r="P85" s="4"/>
      <c r="Q85" s="4">
        <f>IF($K85="","",P85*20%)</f>
      </c>
      <c r="R85" s="4">
        <v>1</v>
      </c>
      <c r="S85" s="4">
        <f>IF($K85="","",Q85)</f>
      </c>
      <c r="T85" s="4">
        <f>IF($K85="","",L85-M85-N85-P85-Q85-R85)</f>
      </c>
      <c r="U85" s="4">
        <f>IF($K85="","",(T85-W85)/J85*100)</f>
      </c>
      <c r="V85" s="4">
        <f>IF($K85="","",M85-S85)</f>
      </c>
      <c r="X85" s="4">
        <f>IF($K85="","",T85-W85)</f>
      </c>
    </row>
    <row r="86" spans="1:29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/>
      <c r="O86" s="4">
        <f>IF($K86="","",N86*20%)</f>
      </c>
      <c r="P86" s="4"/>
      <c r="Q86" s="4">
        <f>IF($K86="","",P86*20%)</f>
      </c>
      <c r="R86" s="4">
        <v>1</v>
      </c>
      <c r="S86" s="4">
        <f>IF($K86="","",Q86)</f>
      </c>
      <c r="T86" s="4">
        <f>IF($K86="","",L86-M86-N86-P86-Q86-R86)</f>
      </c>
      <c r="U86" s="4">
        <f>IF($K86="","",(T86-W86)/J86*100)</f>
      </c>
      <c r="V86" s="4">
        <f>IF($K86="","",M86-S86)</f>
      </c>
      <c r="X86" s="4">
        <f>IF($K86="","",T86-W86)</f>
      </c>
    </row>
    <row r="87" spans="1:29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/>
      <c r="O87" s="4">
        <f>IF($K87="","",N87*20%)</f>
      </c>
      <c r="P87" s="4"/>
      <c r="Q87" s="4">
        <f>IF($K87="","",P87*20%)</f>
      </c>
      <c r="R87" s="4">
        <v>1</v>
      </c>
      <c r="S87" s="4">
        <f>IF($K87="","",Q87)</f>
      </c>
      <c r="T87" s="4">
        <f>IF($K87="","",L87-M87-N87-P87-Q87-R87)</f>
      </c>
      <c r="U87" s="4">
        <f>IF($K87="","",(T87-W87)/J87*100)</f>
      </c>
      <c r="V87" s="4">
        <f>IF($K87="","",M87-S87)</f>
      </c>
      <c r="X87" s="4">
        <f>IF($K87="","",T87-W87)</f>
      </c>
    </row>
    <row r="88" spans="1:29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/>
      <c r="O88" s="4">
        <f>IF($K88="","",N88*20%)</f>
      </c>
      <c r="P88" s="4"/>
      <c r="Q88" s="4">
        <f>IF($K88="","",P88*20%)</f>
      </c>
      <c r="R88" s="4">
        <v>1</v>
      </c>
      <c r="S88" s="4">
        <f>IF($K88="","",Q88)</f>
      </c>
      <c r="T88" s="4">
        <f>IF($K88="","",L88-M88-N88-P88-Q88-R88)</f>
      </c>
      <c r="U88" s="4">
        <f>IF($K88="","",(T88-W88)/J88*100)</f>
      </c>
      <c r="V88" s="4">
        <f>IF($K88="","",M88-S88)</f>
      </c>
      <c r="X88" s="4">
        <f>IF($K88="","",T88-W88)</f>
      </c>
    </row>
    <row r="89" spans="1:29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/>
      <c r="O89" s="4">
        <f>IF($K89="","",N89*20%)</f>
      </c>
      <c r="P89" s="4"/>
      <c r="Q89" s="4">
        <f>IF($K89="","",P89*20%)</f>
      </c>
      <c r="R89" s="4">
        <v>1</v>
      </c>
      <c r="S89" s="4">
        <f>IF($K89="","",Q89)</f>
      </c>
      <c r="T89" s="4">
        <f>IF($K89="","",L89-M89-N89-P89-Q89-R89)</f>
      </c>
      <c r="U89" s="4">
        <f>IF($K89="","",(T89-W89)/J89*100)</f>
      </c>
      <c r="V89" s="4">
        <f>IF($K89="","",M89-S89)</f>
      </c>
      <c r="X89" s="4">
        <f>IF($K89="","",T89-W89)</f>
      </c>
    </row>
    <row r="90" spans="1:29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/>
      <c r="O90" s="4">
        <f>IF($K90="","",N90*20%)</f>
      </c>
      <c r="P90" s="4"/>
      <c r="Q90" s="4">
        <f>IF($K90="","",P90*20%)</f>
      </c>
      <c r="R90" s="4">
        <v>1</v>
      </c>
      <c r="S90" s="4">
        <f>IF($K90="","",Q90)</f>
      </c>
      <c r="T90" s="4">
        <f>IF($K90="","",L90-M90-N90-P90-Q90-R90)</f>
      </c>
      <c r="U90" s="4">
        <f>IF($K90="","",(T90-W90)/J90*100)</f>
      </c>
      <c r="V90" s="4">
        <f>IF($K90="","",M90-S90)</f>
      </c>
      <c r="X90" s="4">
        <f>IF($K90="","",T90-W90)</f>
      </c>
    </row>
    <row r="91" spans="1:29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/>
      <c r="O91" s="4">
        <f>IF($K91="","",N91*20%)</f>
      </c>
      <c r="P91" s="4"/>
      <c r="Q91" s="4">
        <f>IF($K91="","",P91*20%)</f>
      </c>
      <c r="R91" s="4">
        <v>1</v>
      </c>
      <c r="S91" s="4">
        <f>IF($K91="","",Q91)</f>
      </c>
      <c r="T91" s="4">
        <f>IF($K91="","",L91-M91-N91-P91-Q91-R91)</f>
      </c>
      <c r="U91" s="4">
        <f>IF($K91="","",(T91-W91)/J91*100)</f>
      </c>
      <c r="V91" s="4">
        <f>IF($K91="","",M91-S91)</f>
      </c>
      <c r="X91" s="4">
        <f>IF($K91="","",T91-W91)</f>
      </c>
    </row>
    <row r="92" spans="1:29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/>
      <c r="O92" s="4">
        <f>IF($K92="","",N92*20%)</f>
      </c>
      <c r="P92" s="4"/>
      <c r="Q92" s="4">
        <f>IF($K92="","",P92*20%)</f>
      </c>
      <c r="R92" s="4">
        <v>1</v>
      </c>
      <c r="S92" s="4">
        <f>IF($K92="","",Q92)</f>
      </c>
      <c r="T92" s="4">
        <f>IF($K92="","",L92-M92-N92-P92-Q92-R92)</f>
      </c>
      <c r="U92" s="4">
        <f>IF($K92="","",(T92-W92)/J92*100)</f>
      </c>
      <c r="V92" s="4">
        <f>IF($K92="","",M92-S92)</f>
      </c>
      <c r="X92" s="4">
        <f>IF($K92="","",T92-W92)</f>
      </c>
    </row>
    <row r="93" spans="1:29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/>
      <c r="O93" s="4">
        <f>IF($K93="","",N93*20%)</f>
      </c>
      <c r="P93" s="4"/>
      <c r="Q93" s="4">
        <f>IF($K93="","",P93*20%)</f>
      </c>
      <c r="R93" s="4">
        <v>1</v>
      </c>
      <c r="S93" s="4">
        <f>IF($K93="","",Q93)</f>
      </c>
      <c r="T93" s="4">
        <f>IF($K93="","",L93-M93-N93-P93-Q93-R93)</f>
      </c>
      <c r="U93" s="4">
        <f>IF($K93="","",(T93-W93)/J93*100)</f>
      </c>
      <c r="V93" s="4">
        <f>IF($K93="","",M93-S93)</f>
      </c>
      <c r="X93" s="4">
        <f>IF($K93="","",T93-W93)</f>
      </c>
    </row>
    <row r="94" spans="1:29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/>
      <c r="O94" s="4">
        <f>IF($K94="","",N94*20%)</f>
      </c>
      <c r="P94" s="4"/>
      <c r="Q94" s="4">
        <f>IF($K94="","",P94*20%)</f>
      </c>
      <c r="R94" s="4">
        <v>1</v>
      </c>
      <c r="S94" s="4">
        <f>IF($K94="","",Q94)</f>
      </c>
      <c r="T94" s="4">
        <f>IF($K94="","",L94-M94-N94-P94-Q94-R94)</f>
      </c>
      <c r="U94" s="4">
        <f>IF($K94="","",(T94-W94)/J94*100)</f>
      </c>
      <c r="V94" s="4">
        <f>IF($K94="","",M94-S94)</f>
      </c>
      <c r="X94" s="4">
        <f>IF($K94="","",T94-W94)</f>
      </c>
    </row>
    <row r="95" spans="1:29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/>
      <c r="O95" s="4">
        <f>IF($K95="","",N95*20%)</f>
      </c>
      <c r="P95" s="4"/>
      <c r="Q95" s="4">
        <f>IF($K95="","",P95*20%)</f>
      </c>
      <c r="R95" s="4">
        <v>1</v>
      </c>
      <c r="S95" s="4">
        <f>IF($K95="","",Q95)</f>
      </c>
      <c r="T95" s="4">
        <f>IF($K95="","",L95-M95-N95-P95-Q95-R95)</f>
      </c>
      <c r="U95" s="4">
        <f>IF($K95="","",(T95-W95)/J95*100)</f>
      </c>
      <c r="V95" s="4">
        <f>IF($K95="","",M95-S95)</f>
      </c>
      <c r="X95" s="4">
        <f>IF($K95="","",T95-W95)</f>
      </c>
    </row>
    <row r="96" spans="1:29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/>
      <c r="O96" s="4">
        <f>IF($K96="","",N96*20%)</f>
      </c>
      <c r="P96" s="4"/>
      <c r="Q96" s="4">
        <f>IF($K96="","",P96*20%)</f>
      </c>
      <c r="R96" s="4">
        <v>1</v>
      </c>
      <c r="S96" s="4">
        <f>IF($K96="","",Q96)</f>
      </c>
      <c r="T96" s="4">
        <f>IF($K96="","",L96-M96-N96-P96-Q96-R96)</f>
      </c>
      <c r="U96" s="4">
        <f>IF($K96="","",(T96-W96)/J96*100)</f>
      </c>
      <c r="V96" s="4">
        <f>IF($K96="","",M96-S96)</f>
      </c>
      <c r="X96" s="4">
        <f>IF($K96="","",T96-W96)</f>
      </c>
    </row>
    <row r="97" spans="1:29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/>
      <c r="O97" s="4">
        <f>IF($K97="","",N97*20%)</f>
      </c>
      <c r="P97" s="4"/>
      <c r="Q97" s="4">
        <f>IF($K97="","",P97*20%)</f>
      </c>
      <c r="R97" s="4">
        <v>1</v>
      </c>
      <c r="S97" s="4">
        <f>IF($K97="","",Q97)</f>
      </c>
      <c r="T97" s="4">
        <f>IF($K97="","",L97-M97-N97-P97-Q97-R97)</f>
      </c>
      <c r="U97" s="4">
        <f>IF($K97="","",(T97-W97)/J97*100)</f>
      </c>
      <c r="V97" s="4">
        <f>IF($K97="","",M97-S97)</f>
      </c>
      <c r="X97" s="4">
        <f>IF($K97="","",T97-W97)</f>
      </c>
    </row>
    <row r="98" spans="1:29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/>
      <c r="O98" s="4">
        <f>IF($K98="","",N98*20%)</f>
      </c>
      <c r="P98" s="4"/>
      <c r="Q98" s="4">
        <f>IF($K98="","",P98*20%)</f>
      </c>
      <c r="R98" s="4">
        <v>1</v>
      </c>
      <c r="S98" s="4">
        <f>IF($K98="","",Q98)</f>
      </c>
      <c r="T98" s="4">
        <f>IF($K98="","",L98-M98-N98-P98-Q98-R98)</f>
      </c>
      <c r="U98" s="4">
        <f>IF($K98="","",(T98-W98)/J98*100)</f>
      </c>
      <c r="V98" s="4">
        <f>IF($K98="","",M98-S98)</f>
      </c>
      <c r="X98" s="4">
        <f>IF($K98="","",T98-W98)</f>
      </c>
    </row>
    <row r="99" spans="1:29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/>
      <c r="O99" s="4">
        <f>IF($K99="","",N99*20%)</f>
      </c>
      <c r="P99" s="4"/>
      <c r="Q99" s="4">
        <f>IF($K99="","",P99*20%)</f>
      </c>
      <c r="R99" s="4">
        <v>1</v>
      </c>
      <c r="S99" s="4">
        <f>IF($K99="","",Q99)</f>
      </c>
      <c r="T99" s="4">
        <f>IF($K99="","",L99-M99-N99-P99-Q99-R99)</f>
      </c>
      <c r="U99" s="4">
        <f>IF($K99="","",(T99-W99)/J99*100)</f>
      </c>
      <c r="V99" s="4">
        <f>IF($K99="","",M99-S99)</f>
      </c>
      <c r="X99" s="4">
        <f>IF($K99="","",T99-W99)</f>
      </c>
    </row>
    <row r="100" spans="1:29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/>
      <c r="O100" s="4">
        <f>IF($K100="","",N100*20%)</f>
      </c>
      <c r="P100" s="4"/>
      <c r="Q100" s="4">
        <f>IF($K100="","",P100*20%)</f>
      </c>
      <c r="R100" s="4">
        <v>1</v>
      </c>
      <c r="S100" s="4">
        <f>IF($K100="","",Q100)</f>
      </c>
      <c r="T100" s="4">
        <f>IF($K100="","",L100-M100-N100-P100-Q100-R100)</f>
      </c>
      <c r="U100" s="4">
        <f>IF($K100="","",(T100-W100)/J100*100)</f>
      </c>
      <c r="V100" s="4">
        <f>IF($K100="","",M100-S100)</f>
      </c>
      <c r="X100" s="4">
        <f>IF($K100="","",T100-W100)</f>
      </c>
    </row>
    <row r="101" spans="1:29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/>
      <c r="O101" s="4">
        <f>IF($K101="","",N101*20%)</f>
      </c>
      <c r="P101" s="4"/>
      <c r="Q101" s="4">
        <f>IF($K101="","",P101*20%)</f>
      </c>
      <c r="R101" s="4">
        <v>1</v>
      </c>
      <c r="S101" s="4">
        <f>IF($K101="","",Q101)</f>
      </c>
      <c r="T101" s="4">
        <f>IF($K101="","",L101-M101-N101-P101-Q101-R101)</f>
      </c>
      <c r="U101" s="4">
        <f>IF($K101="","",(T101-W101)/J101*100)</f>
      </c>
      <c r="V101" s="4">
        <f>IF($K101="","",M101-S101)</f>
      </c>
      <c r="X101" s="4">
        <f>IF($K101="","",T101-W101)</f>
      </c>
    </row>
    <row r="102" spans="1:29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/>
      <c r="O102" s="4">
        <f>IF($K102="","",N102*20%)</f>
      </c>
      <c r="P102" s="4"/>
      <c r="Q102" s="4">
        <f>IF($K102="","",P102*20%)</f>
      </c>
      <c r="R102" s="4">
        <v>1</v>
      </c>
      <c r="S102" s="4">
        <f>IF($K102="","",Q102)</f>
      </c>
      <c r="T102" s="4">
        <f>IF($K102="","",L102-M102-N102-P102-Q102-R102)</f>
      </c>
      <c r="U102" s="4">
        <f>IF($K102="","",(T102-W102)/J102*100)</f>
      </c>
      <c r="V102" s="4">
        <f>IF($K102="","",M102-S102)</f>
      </c>
      <c r="X102" s="4">
        <f>IF($K102="","",T102-W102)</f>
      </c>
    </row>
    <row r="103" spans="1:29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/>
      <c r="O103" s="4">
        <f>IF($K103="","",N103*20%)</f>
      </c>
      <c r="P103" s="4"/>
      <c r="Q103" s="4">
        <f>IF($K103="","",P103*20%)</f>
      </c>
      <c r="R103" s="4">
        <v>1</v>
      </c>
      <c r="S103" s="4">
        <f>IF($K103="","",Q103)</f>
      </c>
      <c r="T103" s="4">
        <f>IF($K103="","",L103-M103-N103-P103-Q103-R103)</f>
      </c>
      <c r="U103" s="4">
        <f>IF($K103="","",(T103-W103)/J103*100)</f>
      </c>
      <c r="V103" s="4">
        <f>IF($K103="","",M103-S103)</f>
      </c>
      <c r="X103" s="4">
        <f>IF($K103="","",T103-W103)</f>
      </c>
    </row>
    <row r="104" spans="1:29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/>
      <c r="O104" s="4">
        <f>IF($K104="","",N104*20%)</f>
      </c>
      <c r="P104" s="4"/>
      <c r="Q104" s="4">
        <f>IF($K104="","",P104*20%)</f>
      </c>
      <c r="R104" s="4">
        <v>1</v>
      </c>
      <c r="S104" s="4">
        <f>IF($K104="","",Q104)</f>
      </c>
      <c r="T104" s="4">
        <f>IF($K104="","",L104-M104-N104-P104-Q104-R104)</f>
      </c>
      <c r="U104" s="4">
        <f>IF($K104="","",(T104-W104)/J104*100)</f>
      </c>
      <c r="V104" s="4">
        <f>IF($K104="","",M104-S104)</f>
      </c>
      <c r="X104" s="4">
        <f>IF($K104="","",T104-W104)</f>
      </c>
    </row>
    <row r="105" spans="1:29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/>
      <c r="O105" s="4">
        <f>IF($K105="","",N105*20%)</f>
      </c>
      <c r="P105" s="4"/>
      <c r="Q105" s="4">
        <f>IF($K105="","",P105*20%)</f>
      </c>
      <c r="R105" s="4">
        <v>1</v>
      </c>
      <c r="S105" s="4">
        <f>IF($K105="","",Q105)</f>
      </c>
      <c r="T105" s="4">
        <f>IF($K105="","",L105-M105-N105-P105-Q105-R105)</f>
      </c>
      <c r="U105" s="4">
        <f>IF($K105="","",(T105-W105)/J105*100)</f>
      </c>
      <c r="V105" s="4">
        <f>IF($K105="","",M105-S105)</f>
      </c>
      <c r="X105" s="4">
        <f>IF($K105="","",T105-W105)</f>
      </c>
    </row>
    <row r="106" spans="1:29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/>
      <c r="O106" s="4">
        <f>IF($K106="","",N106*20%)</f>
      </c>
      <c r="P106" s="4"/>
      <c r="Q106" s="4">
        <f>IF($K106="","",P106*20%)</f>
      </c>
      <c r="R106" s="4">
        <v>1</v>
      </c>
      <c r="S106" s="4">
        <f>IF($K106="","",Q106)</f>
      </c>
      <c r="T106" s="4">
        <f>IF($K106="","",L106-M106-N106-P106-Q106-R106)</f>
      </c>
      <c r="U106" s="4">
        <f>IF($K106="","",(T106-W106)/J106*100)</f>
      </c>
      <c r="V106" s="4">
        <f>IF($K106="","",M106-S106)</f>
      </c>
      <c r="X106" s="4">
        <f>IF($K106="","",T106-W106)</f>
      </c>
    </row>
    <row r="107" spans="1:29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/>
      <c r="O107" s="4">
        <f>IF($K107="","",N107*20%)</f>
      </c>
      <c r="P107" s="4"/>
      <c r="Q107" s="4">
        <f>IF($K107="","",P107*20%)</f>
      </c>
      <c r="R107" s="4">
        <v>1</v>
      </c>
      <c r="S107" s="4">
        <f>IF($K107="","",Q107)</f>
      </c>
      <c r="T107" s="4">
        <f>IF($K107="","",L107-M107-N107-P107-Q107-R107)</f>
      </c>
      <c r="U107" s="4">
        <f>IF($K107="","",(T107-W107)/J107*100)</f>
      </c>
      <c r="V107" s="4">
        <f>IF($K107="","",M107-S107)</f>
      </c>
      <c r="X107" s="4">
        <f>IF($K107="","",T107-W107)</f>
      </c>
    </row>
    <row r="108" spans="1:29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/>
      <c r="O108" s="4">
        <f>IF($K108="","",N108*20%)</f>
      </c>
      <c r="P108" s="4"/>
      <c r="Q108" s="4">
        <f>IF($K108="","",P108*20%)</f>
      </c>
      <c r="R108" s="4">
        <v>1</v>
      </c>
      <c r="S108" s="4">
        <f>IF($K108="","",Q108)</f>
      </c>
      <c r="T108" s="4">
        <f>IF($K108="","",L108-M108-N108-P108-Q108-R108)</f>
      </c>
      <c r="U108" s="4">
        <f>IF($K108="","",(T108-W108)/J108*100)</f>
      </c>
      <c r="V108" s="4">
        <f>IF($K108="","",M108-S108)</f>
      </c>
      <c r="X108" s="4">
        <f>IF($K108="","",T108-W108)</f>
      </c>
    </row>
    <row r="109" spans="1:29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/>
      <c r="O109" s="4">
        <f>IF($K109="","",N109*20%)</f>
      </c>
      <c r="P109" s="4"/>
      <c r="Q109" s="4">
        <f>IF($K109="","",P109*20%)</f>
      </c>
      <c r="R109" s="4">
        <v>1</v>
      </c>
      <c r="S109" s="4">
        <f>IF($K109="","",Q109)</f>
      </c>
      <c r="T109" s="4">
        <f>IF($K109="","",L109-M109-N109-P109-Q109-R109)</f>
      </c>
      <c r="U109" s="4">
        <f>IF($K109="","",(T109-W109)/J109*100)</f>
      </c>
      <c r="V109" s="4">
        <f>IF($K109="","",M109-S109)</f>
      </c>
      <c r="X109" s="4">
        <f>IF($K109="","",T109-W109)</f>
      </c>
    </row>
    <row r="110" spans="1:29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/>
      <c r="O110" s="4">
        <f>IF($K110="","",N110*20%)</f>
      </c>
      <c r="P110" s="4"/>
      <c r="Q110" s="4">
        <f>IF($K110="","",P110*20%)</f>
      </c>
      <c r="R110" s="4">
        <v>1</v>
      </c>
      <c r="S110" s="4">
        <f>IF($K110="","",Q110)</f>
      </c>
      <c r="T110" s="4">
        <f>IF($K110="","",L110-M110-N110-P110-Q110-R110)</f>
      </c>
      <c r="U110" s="4">
        <f>IF($K110="","",(T110-W110)/J110*100)</f>
      </c>
      <c r="V110" s="4">
        <f>IF($K110="","",M110-S110)</f>
      </c>
      <c r="X110" s="4">
        <f>IF($K110="","",T110-W110)</f>
      </c>
    </row>
    <row r="111" spans="1:29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/>
      <c r="O111" s="4">
        <f>IF($K111="","",N111*20%)</f>
      </c>
      <c r="P111" s="4"/>
      <c r="Q111" s="4">
        <f>IF($K111="","",P111*20%)</f>
      </c>
      <c r="R111" s="4">
        <v>1</v>
      </c>
      <c r="S111" s="4">
        <f>IF($K111="","",Q111)</f>
      </c>
      <c r="T111" s="4">
        <f>IF($K111="","",L111-M111-N111-P111-Q111-R111)</f>
      </c>
      <c r="U111" s="4">
        <f>IF($K111="","",(T111-W111)/J111*100)</f>
      </c>
      <c r="V111" s="4">
        <f>IF($K111="","",M111-S111)</f>
      </c>
      <c r="X111" s="4">
        <f>IF($K111="","",T111-W111)</f>
      </c>
    </row>
    <row r="112" spans="1:29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/>
      <c r="O112" s="4">
        <f>IF($K112="","",N112*20%)</f>
      </c>
      <c r="P112" s="4"/>
      <c r="Q112" s="4">
        <f>IF($K112="","",P112*20%)</f>
      </c>
      <c r="R112" s="4">
        <v>1</v>
      </c>
      <c r="S112" s="4">
        <f>IF($K112="","",Q112)</f>
      </c>
      <c r="T112" s="4">
        <f>IF($K112="","",L112-M112-N112-P112-Q112-R112)</f>
      </c>
      <c r="U112" s="4">
        <f>IF($K112="","",(T112-W112)/J112*100)</f>
      </c>
      <c r="V112" s="4">
        <f>IF($K112="","",M112-S112)</f>
      </c>
      <c r="X112" s="4">
        <f>IF($K112="","",T112-W112)</f>
      </c>
    </row>
    <row r="113" spans="1:29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/>
      <c r="O113" s="4">
        <f>IF($K113="","",N113*20%)</f>
      </c>
      <c r="P113" s="4"/>
      <c r="Q113" s="4">
        <f>IF($K113="","",P113*20%)</f>
      </c>
      <c r="R113" s="4">
        <v>1</v>
      </c>
      <c r="S113" s="4">
        <f>IF($K113="","",Q113)</f>
      </c>
      <c r="T113" s="4">
        <f>IF($K113="","",L113-M113-N113-P113-Q113-R113)</f>
      </c>
      <c r="U113" s="4">
        <f>IF($K113="","",(T113-W113)/J113*100)</f>
      </c>
      <c r="V113" s="4">
        <f>IF($K113="","",M113-S113)</f>
      </c>
      <c r="X113" s="4">
        <f>IF($K113="","",T113-W113)</f>
      </c>
    </row>
    <row r="114" spans="1:29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/>
      <c r="O114" s="4">
        <f>IF($K114="","",N114*20%)</f>
      </c>
      <c r="P114" s="4"/>
      <c r="Q114" s="4">
        <f>IF($K114="","",P114*20%)</f>
      </c>
      <c r="R114" s="4">
        <v>1</v>
      </c>
      <c r="S114" s="4">
        <f>IF($K114="","",Q114)</f>
      </c>
      <c r="T114" s="4">
        <f>IF($K114="","",L114-M114-N114-P114-Q114-R114)</f>
      </c>
      <c r="U114" s="4">
        <f>IF($K114="","",(T114-W114)/J114*100)</f>
      </c>
      <c r="V114" s="4">
        <f>IF($K114="","",M114-S114)</f>
      </c>
      <c r="X114" s="4">
        <f>IF($K114="","",T114-W114)</f>
      </c>
    </row>
    <row r="115" spans="1:29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/>
      <c r="O115" s="4">
        <f>IF($K115="","",N115*20%)</f>
      </c>
      <c r="P115" s="4"/>
      <c r="Q115" s="4">
        <f>IF($K115="","",P115*20%)</f>
      </c>
      <c r="R115" s="4">
        <v>1</v>
      </c>
      <c r="S115" s="4">
        <f>IF($K115="","",Q115)</f>
      </c>
      <c r="T115" s="4">
        <f>IF($K115="","",L115-M115-N115-P115-Q115-R115)</f>
      </c>
      <c r="U115" s="4">
        <f>IF($K115="","",(T115-W115)/J115*100)</f>
      </c>
      <c r="V115" s="4">
        <f>IF($K115="","",M115-S115)</f>
      </c>
      <c r="X115" s="4">
        <f>IF($K115="","",T115-W115)</f>
      </c>
    </row>
    <row r="116" spans="1:29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/>
      <c r="O116" s="4">
        <f>IF($K116="","",N116*20%)</f>
      </c>
      <c r="P116" s="4"/>
      <c r="Q116" s="4">
        <f>IF($K116="","",P116*20%)</f>
      </c>
      <c r="R116" s="4">
        <v>1</v>
      </c>
      <c r="S116" s="4">
        <f>IF($K116="","",Q116)</f>
      </c>
      <c r="T116" s="4">
        <f>IF($K116="","",L116-M116-N116-P116-Q116-R116)</f>
      </c>
      <c r="U116" s="4">
        <f>IF($K116="","",(T116-W116)/J116*100)</f>
      </c>
      <c r="V116" s="4">
        <f>IF($K116="","",M116-S116)</f>
      </c>
      <c r="X116" s="4">
        <f>IF($K116="","",T116-W116)</f>
      </c>
    </row>
    <row r="117" spans="1:29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/>
      <c r="O117" s="4">
        <f>IF($K117="","",N117*20%)</f>
      </c>
      <c r="P117" s="4"/>
      <c r="Q117" s="4">
        <f>IF($K117="","",P117*20%)</f>
      </c>
      <c r="R117" s="4">
        <v>1</v>
      </c>
      <c r="S117" s="4">
        <f>IF($K117="","",Q117)</f>
      </c>
      <c r="T117" s="4">
        <f>IF($K117="","",L117-M117-N117-P117-Q117-R117)</f>
      </c>
      <c r="U117" s="4">
        <f>IF($K117="","",(T117-W117)/J117*100)</f>
      </c>
      <c r="V117" s="4">
        <f>IF($K117="","",M117-S117)</f>
      </c>
      <c r="X117" s="4">
        <f>IF($K117="","",T117-W117)</f>
      </c>
    </row>
    <row r="118" spans="1:29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/>
      <c r="O118" s="4">
        <f>IF($K118="","",N118*20%)</f>
      </c>
      <c r="P118" s="4"/>
      <c r="Q118" s="4">
        <f>IF($K118="","",P118*20%)</f>
      </c>
      <c r="R118" s="4">
        <v>1</v>
      </c>
      <c r="S118" s="4">
        <f>IF($K118="","",Q118)</f>
      </c>
      <c r="T118" s="4">
        <f>IF($K118="","",L118-M118-N118-P118-Q118-R118)</f>
      </c>
      <c r="U118" s="4">
        <f>IF($K118="","",(T118-W118)/J118*100)</f>
      </c>
      <c r="V118" s="4">
        <f>IF($K118="","",M118-S118)</f>
      </c>
      <c r="X118" s="4">
        <f>IF($K118="","",T118-W118)</f>
      </c>
    </row>
    <row r="119" spans="1:29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/>
      <c r="O119" s="4">
        <f>IF($K119="","",N119*20%)</f>
      </c>
      <c r="P119" s="4"/>
      <c r="Q119" s="4">
        <f>IF($K119="","",P119*20%)</f>
      </c>
      <c r="R119" s="4">
        <v>1</v>
      </c>
      <c r="S119" s="4">
        <f>IF($K119="","",Q119)</f>
      </c>
      <c r="T119" s="4">
        <f>IF($K119="","",L119-M119-N119-P119-Q119-R119)</f>
      </c>
      <c r="U119" s="4">
        <f>IF($K119="","",(T119-W119)/J119*100)</f>
      </c>
      <c r="V119" s="4">
        <f>IF($K119="","",M119-S119)</f>
      </c>
      <c r="X119" s="4">
        <f>IF($K119="","",T119-W119)</f>
      </c>
    </row>
    <row r="120" spans="1:29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/>
      <c r="O120" s="4">
        <f>IF($K120="","",N120*20%)</f>
      </c>
      <c r="P120" s="4"/>
      <c r="Q120" s="4">
        <f>IF($K120="","",P120*20%)</f>
      </c>
      <c r="R120" s="4">
        <v>1</v>
      </c>
      <c r="S120" s="4">
        <f>IF($K120="","",Q120)</f>
      </c>
      <c r="T120" s="4">
        <f>IF($K120="","",L120-M120-N120-P120-Q120-R120)</f>
      </c>
      <c r="U120" s="4">
        <f>IF($K120="","",(T120-W120)/J120*100)</f>
      </c>
      <c r="V120" s="4">
        <f>IF($K120="","",M120-S120)</f>
      </c>
      <c r="X120" s="4">
        <f>IF($K120="","",T120-W120)</f>
      </c>
    </row>
    <row r="121" spans="1:29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/>
      <c r="O121" s="4">
        <f>IF($K121="","",N121*20%)</f>
      </c>
      <c r="P121" s="4"/>
      <c r="Q121" s="4">
        <f>IF($K121="","",P121*20%)</f>
      </c>
      <c r="R121" s="4">
        <v>1</v>
      </c>
      <c r="S121" s="4">
        <f>IF($K121="","",Q121)</f>
      </c>
      <c r="T121" s="4">
        <f>IF($K121="","",L121-M121-N121-P121-Q121-R121)</f>
      </c>
      <c r="U121" s="4">
        <f>IF($K121="","",(T121-W121)/J121*100)</f>
      </c>
      <c r="V121" s="4">
        <f>IF($K121="","",M121-S121)</f>
      </c>
      <c r="X121" s="4">
        <f>IF($K121="","",T121-W121)</f>
      </c>
    </row>
    <row r="122" spans="1:29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/>
      <c r="O122" s="4">
        <f>IF($K122="","",N122*20%)</f>
      </c>
      <c r="P122" s="4"/>
      <c r="Q122" s="4">
        <f>IF($K122="","",P122*20%)</f>
      </c>
      <c r="R122" s="4">
        <v>1</v>
      </c>
      <c r="S122" s="4">
        <f>IF($K122="","",Q122)</f>
      </c>
      <c r="T122" s="4">
        <f>IF($K122="","",L122-M122-N122-P122-Q122-R122)</f>
      </c>
      <c r="U122" s="4">
        <f>IF($K122="","",(T122-W122)/J122*100)</f>
      </c>
      <c r="V122" s="4">
        <f>IF($K122="","",M122-S122)</f>
      </c>
      <c r="X122" s="4">
        <f>IF($K122="","",T122-W122)</f>
      </c>
    </row>
    <row r="123" spans="1:29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/>
      <c r="O123" s="4">
        <f>IF($K123="","",N123*20%)</f>
      </c>
      <c r="P123" s="4"/>
      <c r="Q123" s="4">
        <f>IF($K123="","",P123*20%)</f>
      </c>
      <c r="R123" s="4">
        <v>1</v>
      </c>
      <c r="S123" s="4">
        <f>IF($K123="","",Q123)</f>
      </c>
      <c r="T123" s="4">
        <f>IF($K123="","",L123-M123-N123-P123-Q123-R123)</f>
      </c>
      <c r="U123" s="4">
        <f>IF($K123="","",(T123-W123)/J123*100)</f>
      </c>
      <c r="V123" s="4">
        <f>IF($K123="","",M123-S123)</f>
      </c>
      <c r="X123" s="4">
        <f>IF($K123="","",T123-W123)</f>
      </c>
    </row>
    <row r="124" spans="1:29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/>
      <c r="O124" s="4">
        <f>IF($K124="","",N124*20%)</f>
      </c>
      <c r="P124" s="4"/>
      <c r="Q124" s="4">
        <f>IF($K124="","",P124*20%)</f>
      </c>
      <c r="R124" s="4">
        <v>1</v>
      </c>
      <c r="S124" s="4">
        <f>IF($K124="","",Q124)</f>
      </c>
      <c r="T124" s="4">
        <f>IF($K124="","",L124-M124-N124-P124-Q124-R124)</f>
      </c>
      <c r="U124" s="4">
        <f>IF($K124="","",(T124-W124)/J124*100)</f>
      </c>
      <c r="V124" s="4">
        <f>IF($K124="","",M124-S124)</f>
      </c>
      <c r="X124" s="4">
        <f>IF($K124="","",T124-W124)</f>
      </c>
    </row>
    <row r="125" spans="1:29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/>
      <c r="O125" s="4">
        <f>IF($K125="","",N125*20%)</f>
      </c>
      <c r="P125" s="4"/>
      <c r="Q125" s="4">
        <f>IF($K125="","",P125*20%)</f>
      </c>
      <c r="R125" s="4">
        <v>1</v>
      </c>
      <c r="S125" s="4">
        <f>IF($K125="","",Q125)</f>
      </c>
      <c r="T125" s="4">
        <f>IF($K125="","",L125-M125-N125-P125-Q125-R125)</f>
      </c>
      <c r="U125" s="4">
        <f>IF($K125="","",(T125-W125)/J125*100)</f>
      </c>
      <c r="V125" s="4">
        <f>IF($K125="","",M125-S125)</f>
      </c>
      <c r="X125" s="4">
        <f>IF($K125="","",T125-W125)</f>
      </c>
    </row>
    <row r="126" spans="1:29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/>
      <c r="O126" s="4">
        <f>IF($K126="","",N126*20%)</f>
      </c>
      <c r="P126" s="4"/>
      <c r="Q126" s="4">
        <f>IF($K126="","",P126*20%)</f>
      </c>
      <c r="R126" s="4">
        <v>1</v>
      </c>
      <c r="S126" s="4">
        <f>IF($K126="","",Q126)</f>
      </c>
      <c r="T126" s="4">
        <f>IF($K126="","",L126-M126-N126-P126-Q126-R126)</f>
      </c>
      <c r="U126" s="4">
        <f>IF($K126="","",(T126-W126)/J126*100)</f>
      </c>
      <c r="V126" s="4">
        <f>IF($K126="","",M126-S126)</f>
      </c>
      <c r="X126" s="4">
        <f>IF($K126="","",T126-W126)</f>
      </c>
    </row>
    <row r="127" spans="1:29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/>
      <c r="O127" s="4">
        <f>IF($K127="","",N127*20%)</f>
      </c>
      <c r="P127" s="4"/>
      <c r="Q127" s="4">
        <f>IF($K127="","",P127*20%)</f>
      </c>
      <c r="R127" s="4">
        <v>1</v>
      </c>
      <c r="S127" s="4">
        <f>IF($K127="","",Q127)</f>
      </c>
      <c r="T127" s="4">
        <f>IF($K127="","",L127-M127-N127-P127-Q127-R127)</f>
      </c>
      <c r="U127" s="4">
        <f>IF($K127="","",(T127-W127)/J127*100)</f>
      </c>
      <c r="V127" s="4">
        <f>IF($K127="","",M127-S127)</f>
      </c>
      <c r="X127" s="4">
        <f>IF($K127="","",T127-W127)</f>
      </c>
    </row>
    <row r="128" spans="1:29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/>
      <c r="O128" s="4">
        <f>IF($K128="","",N128*20%)</f>
      </c>
      <c r="P128" s="4"/>
      <c r="Q128" s="4">
        <f>IF($K128="","",P128*20%)</f>
      </c>
      <c r="R128" s="4">
        <v>1</v>
      </c>
      <c r="S128" s="4">
        <f>IF($K128="","",Q128)</f>
      </c>
      <c r="T128" s="4">
        <f>IF($K128="","",L128-M128-N128-P128-Q128-R128)</f>
      </c>
      <c r="U128" s="4">
        <f>IF($K128="","",(T128-W128)/J128*100)</f>
      </c>
      <c r="V128" s="4">
        <f>IF($K128="","",M128-S128)</f>
      </c>
      <c r="X128" s="4">
        <f>IF($K128="","",T128-W128)</f>
      </c>
    </row>
    <row r="129" spans="1:29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/>
      <c r="O129" s="4">
        <f>IF($K129="","",N129*20%)</f>
      </c>
      <c r="P129" s="4"/>
      <c r="Q129" s="4">
        <f>IF($K129="","",P129*20%)</f>
      </c>
      <c r="R129" s="4">
        <v>1</v>
      </c>
      <c r="S129" s="4">
        <f>IF($K129="","",Q129)</f>
      </c>
      <c r="T129" s="4">
        <f>IF($K129="","",L129-M129-N129-P129-Q129-R129)</f>
      </c>
      <c r="U129" s="4">
        <f>IF($K129="","",(T129-W129)/J129*100)</f>
      </c>
      <c r="V129" s="4">
        <f>IF($K129="","",M129-S129)</f>
      </c>
      <c r="X129" s="4">
        <f>IF($K129="","",T129-W129)</f>
      </c>
    </row>
    <row r="130" spans="1:29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/>
      <c r="O130" s="4">
        <f>IF($K130="","",N130*20%)</f>
      </c>
      <c r="P130" s="4"/>
      <c r="Q130" s="4">
        <f>IF($K130="","",P130*20%)</f>
      </c>
      <c r="R130" s="4">
        <v>1</v>
      </c>
      <c r="S130" s="4">
        <f>IF($K130="","",Q130)</f>
      </c>
      <c r="T130" s="4">
        <f>IF($K130="","",L130-M130-N130-P130-Q130-R130)</f>
      </c>
      <c r="U130" s="4">
        <f>IF($K130="","",(T130-W130)/J130*100)</f>
      </c>
      <c r="V130" s="4">
        <f>IF($K130="","",M130-S130)</f>
      </c>
      <c r="X130" s="4">
        <f>IF($K130="","",T130-W130)</f>
      </c>
    </row>
    <row r="131" spans="1:29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/>
      <c r="O131" s="4">
        <f>IF($K131="","",N131*20%)</f>
      </c>
      <c r="P131" s="4"/>
      <c r="Q131" s="4">
        <f>IF($K131="","",P131*20%)</f>
      </c>
      <c r="R131" s="4">
        <v>1</v>
      </c>
      <c r="S131" s="4">
        <f>IF($K131="","",Q131)</f>
      </c>
      <c r="T131" s="4">
        <f>IF($K131="","",L131-M131-N131-P131-Q131-R131)</f>
      </c>
      <c r="U131" s="4">
        <f>IF($K131="","",(T131-W131)/J131*100)</f>
      </c>
      <c r="V131" s="4">
        <f>IF($K131="","",M131-S131)</f>
      </c>
      <c r="X131" s="4">
        <f>IF($K131="","",T131-W131)</f>
      </c>
    </row>
    <row r="132" spans="1:29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/>
      <c r="O132" s="4">
        <f>IF($K132="","",N132*20%)</f>
      </c>
      <c r="P132" s="4"/>
      <c r="Q132" s="4">
        <f>IF($K132="","",P132*20%)</f>
      </c>
      <c r="R132" s="4">
        <v>1</v>
      </c>
      <c r="S132" s="4">
        <f>IF($K132="","",Q132)</f>
      </c>
      <c r="T132" s="4">
        <f>IF($K132="","",L132-M132-N132-P132-Q132-R132)</f>
      </c>
      <c r="U132" s="4">
        <f>IF($K132="","",(T132-W132)/J132*100)</f>
      </c>
      <c r="V132" s="4">
        <f>IF($K132="","",M132-S132)</f>
      </c>
      <c r="X132" s="4">
        <f>IF($K132="","",T132-W132)</f>
      </c>
    </row>
    <row r="133" spans="1:29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/>
      <c r="O133" s="4">
        <f>IF($K133="","",N133*20%)</f>
      </c>
      <c r="P133" s="4"/>
      <c r="Q133" s="4">
        <f>IF($K133="","",P133*20%)</f>
      </c>
      <c r="R133" s="4">
        <v>1</v>
      </c>
      <c r="S133" s="4">
        <f>IF($K133="","",Q133)</f>
      </c>
      <c r="T133" s="4">
        <f>IF($K133="","",L133-M133-N133-P133-Q133-R133)</f>
      </c>
      <c r="U133" s="4">
        <f>IF($K133="","",(T133-W133)/J133*100)</f>
      </c>
      <c r="V133" s="4">
        <f>IF($K133="","",M133-S133)</f>
      </c>
      <c r="X133" s="4">
        <f>IF($K133="","",T133-W133)</f>
      </c>
    </row>
    <row r="134" spans="1:29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/>
      <c r="O134" s="4">
        <f>IF($K134="","",N134*20%)</f>
      </c>
      <c r="P134" s="4"/>
      <c r="Q134" s="4">
        <f>IF($K134="","",P134*20%)</f>
      </c>
      <c r="R134" s="4">
        <v>1</v>
      </c>
      <c r="S134" s="4">
        <f>IF($K134="","",Q134)</f>
      </c>
      <c r="T134" s="4">
        <f>IF($K134="","",L134-M134-N134-P134-Q134-R134)</f>
      </c>
      <c r="U134" s="4">
        <f>IF($K134="","",(T134-W134)/J134*100)</f>
      </c>
      <c r="V134" s="4">
        <f>IF($K134="","",M134-S134)</f>
      </c>
      <c r="X134" s="4">
        <f>IF($K134="","",T134-W134)</f>
      </c>
    </row>
    <row r="135" spans="1:29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/>
      <c r="O135" s="4">
        <f>IF($K135="","",N135*20%)</f>
      </c>
      <c r="P135" s="4"/>
      <c r="Q135" s="4">
        <f>IF($K135="","",P135*20%)</f>
      </c>
      <c r="R135" s="4">
        <v>1</v>
      </c>
      <c r="S135" s="4">
        <f>IF($K135="","",Q135)</f>
      </c>
      <c r="T135" s="4">
        <f>IF($K135="","",L135-M135-N135-P135-Q135-R135)</f>
      </c>
      <c r="U135" s="4">
        <f>IF($K135="","",(T135-W135)/J135*100)</f>
      </c>
      <c r="V135" s="4">
        <f>IF($K135="","",M135-S135)</f>
      </c>
      <c r="X135" s="4">
        <f>IF($K135="","",T135-W135)</f>
      </c>
    </row>
    <row r="136" spans="1:29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/>
      <c r="O136" s="4">
        <f>IF($K136="","",N136*20%)</f>
      </c>
      <c r="P136" s="4"/>
      <c r="Q136" s="4">
        <f>IF($K136="","",P136*20%)</f>
      </c>
      <c r="R136" s="4">
        <v>1</v>
      </c>
      <c r="S136" s="4">
        <f>IF($K136="","",Q136)</f>
      </c>
      <c r="T136" s="4">
        <f>IF($K136="","",L136-M136-N136-P136-Q136-R136)</f>
      </c>
      <c r="U136" s="4">
        <f>IF($K136="","",(T136-W136)/J136*100)</f>
      </c>
      <c r="V136" s="4">
        <f>IF($K136="","",M136-S136)</f>
      </c>
      <c r="X136" s="4">
        <f>IF($K136="","",T136-W136)</f>
      </c>
    </row>
    <row r="137" spans="1:29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/>
      <c r="O137" s="4">
        <f>IF($K137="","",N137*20%)</f>
      </c>
      <c r="P137" s="4"/>
      <c r="Q137" s="4">
        <f>IF($K137="","",P137*20%)</f>
      </c>
      <c r="R137" s="4">
        <v>1</v>
      </c>
      <c r="S137" s="4">
        <f>IF($K137="","",Q137)</f>
      </c>
      <c r="T137" s="4">
        <f>IF($K137="","",L137-M137-N137-P137-Q137-R137)</f>
      </c>
      <c r="U137" s="4">
        <f>IF($K137="","",(T137-W137)/J137*100)</f>
      </c>
      <c r="V137" s="4">
        <f>IF($K137="","",M137-S137)</f>
      </c>
      <c r="X137" s="4">
        <f>IF($K137="","",T137-W137)</f>
      </c>
    </row>
    <row r="138" spans="1:29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/>
      <c r="O138" s="4">
        <f>IF($K138="","",N138*20%)</f>
      </c>
      <c r="P138" s="4"/>
      <c r="Q138" s="4">
        <f>IF($K138="","",P138*20%)</f>
      </c>
      <c r="R138" s="4">
        <v>1</v>
      </c>
      <c r="S138" s="4">
        <f>IF($K138="","",Q138)</f>
      </c>
      <c r="T138" s="4">
        <f>IF($K138="","",L138-M138-N138-P138-Q138-R138)</f>
      </c>
      <c r="U138" s="4">
        <f>IF($K138="","",(T138-W138)/J138*100)</f>
      </c>
      <c r="V138" s="4">
        <f>IF($K138="","",M138-S138)</f>
      </c>
      <c r="X138" s="4">
        <f>IF($K138="","",T138-W138)</f>
      </c>
    </row>
    <row r="139" spans="1:29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/>
      <c r="O139" s="4">
        <f>IF($K139="","",N139*20%)</f>
      </c>
      <c r="P139" s="4"/>
      <c r="Q139" s="4">
        <f>IF($K139="","",P139*20%)</f>
      </c>
      <c r="R139" s="4">
        <v>1</v>
      </c>
      <c r="S139" s="4">
        <f>IF($K139="","",Q139)</f>
      </c>
      <c r="T139" s="4">
        <f>IF($K139="","",L139-M139-N139-P139-Q139-R139)</f>
      </c>
      <c r="U139" s="4">
        <f>IF($K139="","",(T139-W139)/J139*100)</f>
      </c>
      <c r="V139" s="4">
        <f>IF($K139="","",M139-S139)</f>
      </c>
      <c r="X139" s="4">
        <f>IF($K139="","",T139-W139)</f>
      </c>
    </row>
    <row r="140" spans="1:29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/>
      <c r="O140" s="4">
        <f>IF($K140="","",N140*20%)</f>
      </c>
      <c r="P140" s="4"/>
      <c r="Q140" s="4">
        <f>IF($K140="","",P140*20%)</f>
      </c>
      <c r="R140" s="4">
        <v>1</v>
      </c>
      <c r="S140" s="4">
        <f>IF($K140="","",Q140)</f>
      </c>
      <c r="T140" s="4">
        <f>IF($K140="","",L140-M140-N140-P140-Q140-R140)</f>
      </c>
      <c r="U140" s="4">
        <f>IF($K140="","",(T140-W140)/J140*100)</f>
      </c>
      <c r="V140" s="4">
        <f>IF($K140="","",M140-S140)</f>
      </c>
      <c r="X140" s="4">
        <f>IF($K140="","",T140-W140)</f>
      </c>
    </row>
    <row r="141" spans="1:29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/>
      <c r="O141" s="4">
        <f>IF($K141="","",N141*20%)</f>
      </c>
      <c r="P141" s="4"/>
      <c r="Q141" s="4">
        <f>IF($K141="","",P141*20%)</f>
      </c>
      <c r="R141" s="4">
        <v>1</v>
      </c>
      <c r="S141" s="4">
        <f>IF($K141="","",Q141)</f>
      </c>
      <c r="T141" s="4">
        <f>IF($K141="","",L141-M141-N141-P141-Q141-R141)</f>
      </c>
      <c r="U141" s="4">
        <f>IF($K141="","",(T141-W141)/J141*100)</f>
      </c>
      <c r="V141" s="4">
        <f>IF($K141="","",M141-S141)</f>
      </c>
      <c r="X141" s="4">
        <f>IF($K141="","",T141-W141)</f>
      </c>
    </row>
    <row r="142" spans="1:29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/>
      <c r="O142" s="4">
        <f>IF($K142="","",N142*20%)</f>
      </c>
      <c r="P142" s="4"/>
      <c r="Q142" s="4">
        <f>IF($K142="","",P142*20%)</f>
      </c>
      <c r="R142" s="4">
        <v>1</v>
      </c>
      <c r="S142" s="4">
        <f>IF($K142="","",Q142)</f>
      </c>
      <c r="T142" s="4">
        <f>IF($K142="","",L142-M142-N142-P142-Q142-R142)</f>
      </c>
      <c r="U142" s="4">
        <f>IF($K142="","",(T142-W142)/J142*100)</f>
      </c>
      <c r="V142" s="4">
        <f>IF($K142="","",M142-S142)</f>
      </c>
      <c r="X142" s="4">
        <f>IF($K142="","",T142-W142)</f>
      </c>
    </row>
    <row r="143" spans="1:29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/>
      <c r="O143" s="4">
        <f>IF($K143="","",N143*20%)</f>
      </c>
      <c r="P143" s="4"/>
      <c r="Q143" s="4">
        <f>IF($K143="","",P143*20%)</f>
      </c>
      <c r="R143" s="4">
        <v>1</v>
      </c>
      <c r="S143" s="4">
        <f>IF($K143="","",Q143)</f>
      </c>
      <c r="T143" s="4">
        <f>IF($K143="","",L143-M143-N143-P143-Q143-R143)</f>
      </c>
      <c r="U143" s="4">
        <f>IF($K143="","",(T143-W143)/J143*100)</f>
      </c>
      <c r="V143" s="4">
        <f>IF($K143="","",M143-S143)</f>
      </c>
      <c r="X143" s="4">
        <f>IF($K143="","",T143-W143)</f>
      </c>
    </row>
    <row r="144" spans="1:29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/>
      <c r="O144" s="4">
        <f>IF($K144="","",N144*20%)</f>
      </c>
      <c r="P144" s="4"/>
      <c r="Q144" s="4">
        <f>IF($K144="","",P144*20%)</f>
      </c>
      <c r="R144" s="4">
        <v>1</v>
      </c>
      <c r="S144" s="4">
        <f>IF($K144="","",Q144)</f>
      </c>
      <c r="T144" s="4">
        <f>IF($K144="","",L144-M144-N144-P144-Q144-R144)</f>
      </c>
      <c r="U144" s="4">
        <f>IF($K144="","",(T144-W144)/J144*100)</f>
      </c>
      <c r="V144" s="4">
        <f>IF($K144="","",M144-S144)</f>
      </c>
      <c r="X144" s="4">
        <f>IF($K144="","",T144-W144)</f>
      </c>
    </row>
    <row r="145" spans="1:29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/>
      <c r="O145" s="4">
        <f>IF($K145="","",N145*20%)</f>
      </c>
      <c r="P145" s="4"/>
      <c r="Q145" s="4">
        <f>IF($K145="","",P145*20%)</f>
      </c>
      <c r="R145" s="4">
        <v>1</v>
      </c>
      <c r="S145" s="4">
        <f>IF($K145="","",Q145)</f>
      </c>
      <c r="T145" s="4">
        <f>IF($K145="","",L145-M145-N145-P145-Q145-R145)</f>
      </c>
      <c r="U145" s="4">
        <f>IF($K145="","",(T145-W145)/J145*100)</f>
      </c>
      <c r="V145" s="4">
        <f>IF($K145="","",M145-S145)</f>
      </c>
      <c r="X145" s="4">
        <f>IF($K145="","",T145-W145)</f>
      </c>
    </row>
    <row r="146" spans="1:29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/>
      <c r="O146" s="4">
        <f>IF($K146="","",N146*20%)</f>
      </c>
      <c r="P146" s="4"/>
      <c r="Q146" s="4">
        <f>IF($K146="","",P146*20%)</f>
      </c>
      <c r="R146" s="4">
        <v>1</v>
      </c>
      <c r="S146" s="4">
        <f>IF($K146="","",Q146)</f>
      </c>
      <c r="T146" s="4">
        <f>IF($K146="","",L146-M146-N146-P146-Q146-R146)</f>
      </c>
      <c r="U146" s="4">
        <f>IF($K146="","",(T146-W146)/J146*100)</f>
      </c>
      <c r="V146" s="4">
        <f>IF($K146="","",M146-S146)</f>
      </c>
      <c r="X146" s="4">
        <f>IF($K146="","",T146-W146)</f>
      </c>
    </row>
    <row r="147" spans="1:29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/>
      <c r="O147" s="4">
        <f>IF($K147="","",N147*20%)</f>
      </c>
      <c r="P147" s="4"/>
      <c r="Q147" s="4">
        <f>IF($K147="","",P147*20%)</f>
      </c>
      <c r="R147" s="4">
        <v>1</v>
      </c>
      <c r="S147" s="4">
        <f>IF($K147="","",Q147)</f>
      </c>
      <c r="T147" s="4">
        <f>IF($K147="","",L147-M147-N147-P147-Q147-R147)</f>
      </c>
      <c r="U147" s="4">
        <f>IF($K147="","",(T147-W147)/J147*100)</f>
      </c>
      <c r="V147" s="4">
        <f>IF($K147="","",M147-S147)</f>
      </c>
      <c r="X147" s="4">
        <f>IF($K147="","",T147-W147)</f>
      </c>
    </row>
    <row r="148" spans="1:29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/>
      <c r="O148" s="4">
        <f>IF($K148="","",N148*20%)</f>
      </c>
      <c r="P148" s="4"/>
      <c r="Q148" s="4">
        <f>IF($K148="","",P148*20%)</f>
      </c>
      <c r="R148" s="4">
        <v>1</v>
      </c>
      <c r="S148" s="4">
        <f>IF($K148="","",Q148)</f>
      </c>
      <c r="T148" s="4">
        <f>IF($K148="","",L148-M148-N148-P148-Q148-R148)</f>
      </c>
      <c r="U148" s="4">
        <f>IF($K148="","",(T148-W148)/J148*100)</f>
      </c>
      <c r="V148" s="4">
        <f>IF($K148="","",M148-S148)</f>
      </c>
      <c r="X148" s="4">
        <f>IF($K148="","",T148-W148)</f>
      </c>
    </row>
    <row r="149" spans="1:29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/>
      <c r="O149" s="4">
        <f>IF($K149="","",N149*20%)</f>
      </c>
      <c r="P149" s="4"/>
      <c r="Q149" s="4">
        <f>IF($K149="","",P149*20%)</f>
      </c>
      <c r="R149" s="4">
        <v>1</v>
      </c>
      <c r="S149" s="4">
        <f>IF($K149="","",Q149)</f>
      </c>
      <c r="T149" s="4">
        <f>IF($K149="","",L149-M149-N149-P149-Q149-R149)</f>
      </c>
      <c r="U149" s="4">
        <f>IF($K149="","",(T149-W149)/J149*100)</f>
      </c>
      <c r="V149" s="4">
        <f>IF($K149="","",M149-S149)</f>
      </c>
      <c r="X149" s="4">
        <f>IF($K149="","",T149-W149)</f>
      </c>
    </row>
    <row r="150" spans="1:29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/>
      <c r="O150" s="4">
        <f>IF($K150="","",N150*20%)</f>
      </c>
      <c r="P150" s="4"/>
      <c r="Q150" s="4">
        <f>IF($K150="","",P150*20%)</f>
      </c>
      <c r="R150" s="4">
        <v>1</v>
      </c>
      <c r="S150" s="4">
        <f>IF($K150="","",Q150)</f>
      </c>
      <c r="T150" s="4">
        <f>IF($K150="","",L150-M150-N150-P150-Q150-R150)</f>
      </c>
      <c r="U150" s="4">
        <f>IF($K150="","",(T150-W150)/J150*100)</f>
      </c>
      <c r="V150" s="4">
        <f>IF($K150="","",M150-S150)</f>
      </c>
      <c r="X150" s="4">
        <f>IF($K150="","",T150-W150)</f>
      </c>
    </row>
    <row r="151" spans="1:29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/>
      <c r="O151" s="4">
        <f>IF($K151="","",N151*20%)</f>
      </c>
      <c r="P151" s="4"/>
      <c r="Q151" s="4">
        <f>IF($K151="","",P151*20%)</f>
      </c>
      <c r="R151" s="4">
        <v>1</v>
      </c>
      <c r="S151" s="4">
        <f>IF($K151="","",Q151)</f>
      </c>
      <c r="T151" s="4">
        <f>IF($K151="","",L151-M151-N151-P151-Q151-R151)</f>
      </c>
      <c r="U151" s="4">
        <f>IF($K151="","",(T151-W151)/J151*100)</f>
      </c>
      <c r="V151" s="4">
        <f>IF($K151="","",M151-S151)</f>
      </c>
      <c r="X151" s="4">
        <f>IF($K151="","",T151-W151)</f>
      </c>
    </row>
    <row r="152" spans="1:29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/>
      <c r="O152" s="4">
        <f>IF($K152="","",N152*20%)</f>
      </c>
      <c r="P152" s="4"/>
      <c r="Q152" s="4">
        <f>IF($K152="","",P152*20%)</f>
      </c>
      <c r="R152" s="4">
        <v>1</v>
      </c>
      <c r="S152" s="4">
        <f>IF($K152="","",Q152)</f>
      </c>
      <c r="T152" s="4">
        <f>IF($K152="","",L152-M152-N152-P152-Q152-R152)</f>
      </c>
      <c r="U152" s="4">
        <f>IF($K152="","",(T152-W152)/J152*100)</f>
      </c>
      <c r="V152" s="4">
        <f>IF($K152="","",M152-S152)</f>
      </c>
      <c r="X152" s="4">
        <f>IF($K152="","",T152-W152)</f>
      </c>
    </row>
    <row r="153" spans="1:29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/>
      <c r="O153" s="4">
        <f>IF($K153="","",N153*20%)</f>
      </c>
      <c r="P153" s="4"/>
      <c r="Q153" s="4">
        <f>IF($K153="","",P153*20%)</f>
      </c>
      <c r="R153" s="4">
        <v>1</v>
      </c>
      <c r="S153" s="4">
        <f>IF($K153="","",Q153)</f>
      </c>
      <c r="T153" s="4">
        <f>IF($K153="","",L153-M153-N153-P153-Q153-R153)</f>
      </c>
      <c r="U153" s="4">
        <f>IF($K153="","",(T153-W153)/J153*100)</f>
      </c>
      <c r="V153" s="4">
        <f>IF($K153="","",M153-S153)</f>
      </c>
      <c r="X153" s="4">
        <f>IF($K153="","",T153-W153)</f>
      </c>
    </row>
    <row r="154" spans="1:29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/>
      <c r="O154" s="4">
        <f>IF($K154="","",N154*20%)</f>
      </c>
      <c r="P154" s="4"/>
      <c r="Q154" s="4">
        <f>IF($K154="","",P154*20%)</f>
      </c>
      <c r="R154" s="4">
        <v>1</v>
      </c>
      <c r="S154" s="4">
        <f>IF($K154="","",Q154)</f>
      </c>
      <c r="T154" s="4">
        <f>IF($K154="","",L154-M154-N154-P154-Q154-R154)</f>
      </c>
      <c r="U154" s="4">
        <f>IF($K154="","",(T154-W154)/J154*100)</f>
      </c>
      <c r="V154" s="4">
        <f>IF($K154="","",M154-S154)</f>
      </c>
      <c r="X154" s="4">
        <f>IF($K154="","",T154-W154)</f>
      </c>
    </row>
    <row r="155" spans="1:29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/>
      <c r="O155" s="4">
        <f>IF($K155="","",N155*20%)</f>
      </c>
      <c r="P155" s="4"/>
      <c r="Q155" s="4">
        <f>IF($K155="","",P155*20%)</f>
      </c>
      <c r="R155" s="4">
        <v>1</v>
      </c>
      <c r="S155" s="4">
        <f>IF($K155="","",Q155)</f>
      </c>
      <c r="T155" s="4">
        <f>IF($K155="","",L155-M155-N155-P155-Q155-R155)</f>
      </c>
      <c r="U155" s="4">
        <f>IF($K155="","",(T155-W155)/J155*100)</f>
      </c>
      <c r="V155" s="4">
        <f>IF($K155="","",M155-S155)</f>
      </c>
      <c r="X155" s="4">
        <f>IF($K155="","",T155-W155)</f>
      </c>
    </row>
    <row r="156" spans="1:29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/>
      <c r="O156" s="4">
        <f>IF($K156="","",N156*20%)</f>
      </c>
      <c r="P156" s="4"/>
      <c r="Q156" s="4">
        <f>IF($K156="","",P156*20%)</f>
      </c>
      <c r="R156" s="4">
        <v>1</v>
      </c>
      <c r="S156" s="4">
        <f>IF($K156="","",Q156)</f>
      </c>
      <c r="T156" s="4">
        <f>IF($K156="","",L156-M156-N156-P156-Q156-R156)</f>
      </c>
      <c r="U156" s="4">
        <f>IF($K156="","",(T156-W156)/J156*100)</f>
      </c>
      <c r="V156" s="4">
        <f>IF($K156="","",M156-S156)</f>
      </c>
      <c r="X156" s="4">
        <f>IF($K156="","",T156-W156)</f>
      </c>
    </row>
    <row r="157" spans="1:29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/>
      <c r="O157" s="4">
        <f>IF($K157="","",N157*20%)</f>
      </c>
      <c r="P157" s="4"/>
      <c r="Q157" s="4">
        <f>IF($K157="","",P157*20%)</f>
      </c>
      <c r="R157" s="4">
        <v>1</v>
      </c>
      <c r="S157" s="4">
        <f>IF($K157="","",Q157)</f>
      </c>
      <c r="T157" s="4">
        <f>IF($K157="","",L157-M157-N157-P157-Q157-R157)</f>
      </c>
      <c r="U157" s="4">
        <f>IF($K157="","",(T157-W157)/J157*100)</f>
      </c>
      <c r="V157" s="4">
        <f>IF($K157="","",M157-S157)</f>
      </c>
      <c r="X157" s="4">
        <f>IF($K157="","",T157-W157)</f>
      </c>
    </row>
    <row r="158" spans="1:29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/>
      <c r="O158" s="4">
        <f>IF($K158="","",N158*20%)</f>
      </c>
      <c r="P158" s="4"/>
      <c r="Q158" s="4">
        <f>IF($K158="","",P158*20%)</f>
      </c>
      <c r="R158" s="4">
        <v>1</v>
      </c>
      <c r="S158" s="4">
        <f>IF($K158="","",Q158)</f>
      </c>
      <c r="T158" s="4">
        <f>IF($K158="","",L158-M158-N158-P158-Q158-R158)</f>
      </c>
      <c r="U158" s="4">
        <f>IF($K158="","",(T158-W158)/J158*100)</f>
      </c>
      <c r="V158" s="4">
        <f>IF($K158="","",M158-S158)</f>
      </c>
      <c r="X158" s="4">
        <f>IF($K158="","",T158-W158)</f>
      </c>
    </row>
    <row r="159" spans="1:29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/>
      <c r="O159" s="4">
        <f>IF($K159="","",N159*20%)</f>
      </c>
      <c r="P159" s="4"/>
      <c r="Q159" s="4">
        <f>IF($K159="","",P159*20%)</f>
      </c>
      <c r="R159" s="4">
        <v>1</v>
      </c>
      <c r="S159" s="4">
        <f>IF($K159="","",Q159)</f>
      </c>
      <c r="T159" s="4">
        <f>IF($K159="","",L159-M159-N159-P159-Q159-R159)</f>
      </c>
      <c r="U159" s="4">
        <f>IF($K159="","",(T159-W159)/J159*100)</f>
      </c>
      <c r="V159" s="4">
        <f>IF($K159="","",M159-S159)</f>
      </c>
      <c r="X159" s="4">
        <f>IF($K159="","",T159-W159)</f>
      </c>
    </row>
    <row r="160" spans="1:29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/>
      <c r="O160" s="4">
        <f>IF($K160="","",N160*20%)</f>
      </c>
      <c r="P160" s="4"/>
      <c r="Q160" s="4">
        <f>IF($K160="","",P160*20%)</f>
      </c>
      <c r="R160" s="4">
        <v>1</v>
      </c>
      <c r="S160" s="4">
        <f>IF($K160="","",Q160)</f>
      </c>
      <c r="T160" s="4">
        <f>IF($K160="","",L160-M160-N160-P160-Q160-R160)</f>
      </c>
      <c r="U160" s="4">
        <f>IF($K160="","",(T160-W160)/J160*100)</f>
      </c>
      <c r="V160" s="4">
        <f>IF($K160="","",M160-S160)</f>
      </c>
      <c r="X160" s="4">
        <f>IF($K160="","",T160-W160)</f>
      </c>
    </row>
    <row r="161" spans="1:29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/>
      <c r="O161" s="4">
        <f>IF($K161="","",N161*20%)</f>
      </c>
      <c r="P161" s="4"/>
      <c r="Q161" s="4">
        <f>IF($K161="","",P161*20%)</f>
      </c>
      <c r="R161" s="4">
        <v>1</v>
      </c>
      <c r="S161" s="4">
        <f>IF($K161="","",Q161)</f>
      </c>
      <c r="T161" s="4">
        <f>IF($K161="","",L161-M161-N161-P161-Q161-R161)</f>
      </c>
      <c r="U161" s="4">
        <f>IF($K161="","",(T161-W161)/J161*100)</f>
      </c>
      <c r="V161" s="4">
        <f>IF($K161="","",M161-S161)</f>
      </c>
      <c r="X161" s="4">
        <f>IF($K161="","",T161-W161)</f>
      </c>
    </row>
    <row r="162" spans="1:29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/>
      <c r="O162" s="4">
        <f>IF($K162="","",N162*20%)</f>
      </c>
      <c r="P162" s="4"/>
      <c r="Q162" s="4">
        <f>IF($K162="","",P162*20%)</f>
      </c>
      <c r="R162" s="4">
        <v>1</v>
      </c>
      <c r="S162" s="4">
        <f>IF($K162="","",Q162)</f>
      </c>
      <c r="T162" s="4">
        <f>IF($K162="","",L162-M162-N162-P162-Q162-R162)</f>
      </c>
      <c r="U162" s="4">
        <f>IF($K162="","",(T162-W162)/J162*100)</f>
      </c>
      <c r="V162" s="4">
        <f>IF($K162="","",M162-S162)</f>
      </c>
      <c r="X162" s="4">
        <f>IF($K162="","",T162-W162)</f>
      </c>
    </row>
    <row r="163" spans="1:29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/>
      <c r="O163" s="4">
        <f>IF($K163="","",N163*20%)</f>
      </c>
      <c r="P163" s="4"/>
      <c r="Q163" s="4">
        <f>IF($K163="","",P163*20%)</f>
      </c>
      <c r="R163" s="4">
        <v>1</v>
      </c>
      <c r="S163" s="4">
        <f>IF($K163="","",Q163)</f>
      </c>
      <c r="T163" s="4">
        <f>IF($K163="","",L163-M163-N163-P163-Q163-R163)</f>
      </c>
      <c r="U163" s="4">
        <f>IF($K163="","",(T163-W163)/J163*100)</f>
      </c>
      <c r="V163" s="4">
        <f>IF($K163="","",M163-S163)</f>
      </c>
      <c r="X163" s="4">
        <f>IF($K163="","",T163-W163)</f>
      </c>
    </row>
    <row r="164" spans="1:29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/>
      <c r="O164" s="4">
        <f>IF($K164="","",N164*20%)</f>
      </c>
      <c r="P164" s="4"/>
      <c r="Q164" s="4">
        <f>IF($K164="","",P164*20%)</f>
      </c>
      <c r="R164" s="4">
        <v>1</v>
      </c>
      <c r="S164" s="4">
        <f>IF($K164="","",Q164)</f>
      </c>
      <c r="T164" s="4">
        <f>IF($K164="","",L164-M164-N164-P164-Q164-R164)</f>
      </c>
      <c r="U164" s="4">
        <f>IF($K164="","",(T164-W164)/J164*100)</f>
      </c>
      <c r="V164" s="4">
        <f>IF($K164="","",M164-S164)</f>
      </c>
      <c r="X164" s="4">
        <f>IF($K164="","",T164-W164)</f>
      </c>
    </row>
    <row r="165" spans="1:29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/>
      <c r="O165" s="4">
        <f>IF($K165="","",N165*20%)</f>
      </c>
      <c r="P165" s="4"/>
      <c r="Q165" s="4">
        <f>IF($K165="","",P165*20%)</f>
      </c>
      <c r="R165" s="4">
        <v>1</v>
      </c>
      <c r="S165" s="4">
        <f>IF($K165="","",Q165)</f>
      </c>
      <c r="T165" s="4">
        <f>IF($K165="","",L165-M165-N165-P165-Q165-R165)</f>
      </c>
      <c r="U165" s="4">
        <f>IF($K165="","",(T165-W165)/J165*100)</f>
      </c>
      <c r="V165" s="4">
        <f>IF($K165="","",M165-S165)</f>
      </c>
      <c r="X165" s="4">
        <f>IF($K165="","",T165-W165)</f>
      </c>
    </row>
    <row r="166" spans="1:29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/>
      <c r="O166" s="4">
        <f>IF($K166="","",N166*20%)</f>
      </c>
      <c r="P166" s="4"/>
      <c r="Q166" s="4">
        <f>IF($K166="","",P166*20%)</f>
      </c>
      <c r="R166" s="4">
        <v>1</v>
      </c>
      <c r="S166" s="4">
        <f>IF($K166="","",Q166)</f>
      </c>
      <c r="T166" s="4">
        <f>IF($K166="","",L166-M166-N166-P166-Q166-R166)</f>
      </c>
      <c r="U166" s="4">
        <f>IF($K166="","",(T166-W166)/J166*100)</f>
      </c>
      <c r="V166" s="4">
        <f>IF($K166="","",M166-S166)</f>
      </c>
      <c r="X166" s="4">
        <f>IF($K166="","",T166-W166)</f>
      </c>
    </row>
    <row r="167" spans="1:29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/>
      <c r="O167" s="4">
        <f>IF($K167="","",N167*20%)</f>
      </c>
      <c r="P167" s="4"/>
      <c r="Q167" s="4">
        <f>IF($K167="","",P167*20%)</f>
      </c>
      <c r="R167" s="4">
        <v>1</v>
      </c>
      <c r="S167" s="4">
        <f>IF($K167="","",Q167)</f>
      </c>
      <c r="T167" s="4">
        <f>IF($K167="","",L167-M167-N167-P167-Q167-R167)</f>
      </c>
      <c r="U167" s="4">
        <f>IF($K167="","",(T167-W167)/J167*100)</f>
      </c>
      <c r="V167" s="4">
        <f>IF($K167="","",M167-S167)</f>
      </c>
      <c r="X167" s="4">
        <f>IF($K167="","",T167-W167)</f>
      </c>
    </row>
    <row r="168" spans="1:29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/>
      <c r="O168" s="4">
        <f>IF($K168="","",N168*20%)</f>
      </c>
      <c r="P168" s="4"/>
      <c r="Q168" s="4">
        <f>IF($K168="","",P168*20%)</f>
      </c>
      <c r="R168" s="4">
        <v>1</v>
      </c>
      <c r="S168" s="4">
        <f>IF($K168="","",Q168)</f>
      </c>
      <c r="T168" s="4">
        <f>IF($K168="","",L168-M168-N168-P168-Q168-R168)</f>
      </c>
      <c r="U168" s="4">
        <f>IF($K168="","",(T168-W168)/J168*100)</f>
      </c>
      <c r="V168" s="4">
        <f>IF($K168="","",M168-S168)</f>
      </c>
      <c r="X168" s="4">
        <f>IF($K168="","",T168-W168)</f>
      </c>
    </row>
    <row r="169" spans="1:29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/>
      <c r="O169" s="4">
        <f>IF($K169="","",N169*20%)</f>
      </c>
      <c r="P169" s="4"/>
      <c r="Q169" s="4">
        <f>IF($K169="","",P169*20%)</f>
      </c>
      <c r="R169" s="4">
        <v>1</v>
      </c>
      <c r="S169" s="4">
        <f>IF($K169="","",Q169)</f>
      </c>
      <c r="T169" s="4">
        <f>IF($K169="","",L169-M169-N169-P169-Q169-R169)</f>
      </c>
      <c r="U169" s="4">
        <f>IF($K169="","",(T169-W169)/J169*100)</f>
      </c>
      <c r="V169" s="4">
        <f>IF($K169="","",M169-S169)</f>
      </c>
      <c r="X169" s="4">
        <f>IF($K169="","",T169-W169)</f>
      </c>
    </row>
    <row r="170" spans="1:29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/>
      <c r="O170" s="4">
        <f>IF($K170="","",N170*20%)</f>
      </c>
      <c r="P170" s="4"/>
      <c r="Q170" s="4">
        <f>IF($K170="","",P170*20%)</f>
      </c>
      <c r="R170" s="4">
        <v>1</v>
      </c>
      <c r="S170" s="4">
        <f>IF($K170="","",Q170)</f>
      </c>
      <c r="T170" s="4">
        <f>IF($K170="","",L170-M170-N170-P170-Q170-R170)</f>
      </c>
      <c r="U170" s="4">
        <f>IF($K170="","",(T170-W170)/J170*100)</f>
      </c>
      <c r="V170" s="4">
        <f>IF($K170="","",M170-S170)</f>
      </c>
      <c r="X170" s="4">
        <f>IF($K170="","",T170-W170)</f>
      </c>
    </row>
    <row r="171" spans="1:29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/>
      <c r="O171" s="4">
        <f>IF($K171="","",N171*20%)</f>
      </c>
      <c r="P171" s="4"/>
      <c r="Q171" s="4">
        <f>IF($K171="","",P171*20%)</f>
      </c>
      <c r="R171" s="4">
        <v>1</v>
      </c>
      <c r="S171" s="4">
        <f>IF($K171="","",Q171)</f>
      </c>
      <c r="T171" s="4">
        <f>IF($K171="","",L171-M171-N171-P171-Q171-R171)</f>
      </c>
      <c r="U171" s="4">
        <f>IF($K171="","",(T171-W171)/J171*100)</f>
      </c>
      <c r="V171" s="4">
        <f>IF($K171="","",M171-S171)</f>
      </c>
      <c r="X171" s="4">
        <f>IF($K171="","",T171-W171)</f>
      </c>
    </row>
    <row r="172" spans="1:29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/>
      <c r="O172" s="4">
        <f>IF($K172="","",N172*20%)</f>
      </c>
      <c r="P172" s="4"/>
      <c r="Q172" s="4">
        <f>IF($K172="","",P172*20%)</f>
      </c>
      <c r="R172" s="4">
        <v>1</v>
      </c>
      <c r="S172" s="4">
        <f>IF($K172="","",Q172)</f>
      </c>
      <c r="T172" s="4">
        <f>IF($K172="","",L172-M172-N172-P172-Q172-R172)</f>
      </c>
      <c r="U172" s="4">
        <f>IF($K172="","",(T172-W172)/J172*100)</f>
      </c>
      <c r="V172" s="4">
        <f>IF($K172="","",M172-S172)</f>
      </c>
      <c r="X172" s="4">
        <f>IF($K172="","",T172-W172)</f>
      </c>
    </row>
    <row r="173" spans="1:29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/>
      <c r="O173" s="4">
        <f>IF($K173="","",N173*20%)</f>
      </c>
      <c r="P173" s="4"/>
      <c r="Q173" s="4">
        <f>IF($K173="","",P173*20%)</f>
      </c>
      <c r="R173" s="4">
        <v>1</v>
      </c>
      <c r="S173" s="4">
        <f>IF($K173="","",Q173)</f>
      </c>
      <c r="T173" s="4">
        <f>IF($K173="","",L173-M173-N173-P173-Q173-R173)</f>
      </c>
      <c r="U173" s="4">
        <f>IF($K173="","",(T173-W173)/J173*100)</f>
      </c>
      <c r="V173" s="4">
        <f>IF($K173="","",M173-S173)</f>
      </c>
      <c r="X173" s="4">
        <f>IF($K173="","",T173-W173)</f>
      </c>
    </row>
    <row r="174" spans="1:29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/>
      <c r="O174" s="4">
        <f>IF($K174="","",N174*20%)</f>
      </c>
      <c r="P174" s="4"/>
      <c r="Q174" s="4">
        <f>IF($K174="","",P174*20%)</f>
      </c>
      <c r="R174" s="4">
        <v>1</v>
      </c>
      <c r="S174" s="4">
        <f>IF($K174="","",Q174)</f>
      </c>
      <c r="T174" s="4">
        <f>IF($K174="","",L174-M174-N174-P174-Q174-R174)</f>
      </c>
      <c r="U174" s="4">
        <f>IF($K174="","",(T174-W174)/J174*100)</f>
      </c>
      <c r="V174" s="4">
        <f>IF($K174="","",M174-S174)</f>
      </c>
      <c r="X174" s="4">
        <f>IF($K174="","",T174-W174)</f>
      </c>
    </row>
    <row r="175" spans="1:29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/>
      <c r="O175" s="4">
        <f>IF($K175="","",N175*20%)</f>
      </c>
      <c r="P175" s="4"/>
      <c r="Q175" s="4">
        <f>IF($K175="","",P175*20%)</f>
      </c>
      <c r="R175" s="4">
        <v>1</v>
      </c>
      <c r="S175" s="4">
        <f>IF($K175="","",Q175)</f>
      </c>
      <c r="T175" s="4">
        <f>IF($K175="","",L175-M175-N175-P175-Q175-R175)</f>
      </c>
      <c r="U175" s="4">
        <f>IF($K175="","",(T175-W175)/J175*100)</f>
      </c>
      <c r="V175" s="4">
        <f>IF($K175="","",M175-S175)</f>
      </c>
      <c r="X175" s="4">
        <f>IF($K175="","",T175-W175)</f>
      </c>
    </row>
    <row r="176" spans="1:29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/>
      <c r="O176" s="4">
        <f>IF($K176="","",N176*20%)</f>
      </c>
      <c r="P176" s="4"/>
      <c r="Q176" s="4">
        <f>IF($K176="","",P176*20%)</f>
      </c>
      <c r="R176" s="4">
        <v>1</v>
      </c>
      <c r="S176" s="4">
        <f>IF($K176="","",Q176)</f>
      </c>
      <c r="T176" s="4">
        <f>IF($K176="","",L176-M176-N176-P176-Q176-R176)</f>
      </c>
      <c r="U176" s="4">
        <f>IF($K176="","",(T176-W176)/J176*100)</f>
      </c>
      <c r="V176" s="4">
        <f>IF($K176="","",M176-S176)</f>
      </c>
      <c r="X176" s="4">
        <f>IF($K176="","",T176-W176)</f>
      </c>
    </row>
    <row r="177" spans="1:29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/>
      <c r="O177" s="4">
        <f>IF($K177="","",N177*20%)</f>
      </c>
      <c r="P177" s="4"/>
      <c r="Q177" s="4">
        <f>IF($K177="","",P177*20%)</f>
      </c>
      <c r="R177" s="4">
        <v>1</v>
      </c>
      <c r="S177" s="4">
        <f>IF($K177="","",Q177)</f>
      </c>
      <c r="T177" s="4">
        <f>IF($K177="","",L177-M177-N177-P177-Q177-R177)</f>
      </c>
      <c r="U177" s="4">
        <f>IF($K177="","",(T177-W177)/J177*100)</f>
      </c>
      <c r="V177" s="4">
        <f>IF($K177="","",M177-S177)</f>
      </c>
      <c r="X177" s="4">
        <f>IF($K177="","",T177-W177)</f>
      </c>
    </row>
    <row r="178" spans="1:29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/>
      <c r="O178" s="4">
        <f>IF($K178="","",N178*20%)</f>
      </c>
      <c r="P178" s="4"/>
      <c r="Q178" s="4">
        <f>IF($K178="","",P178*20%)</f>
      </c>
      <c r="R178" s="4">
        <v>1</v>
      </c>
      <c r="S178" s="4">
        <f>IF($K178="","",Q178)</f>
      </c>
      <c r="T178" s="4">
        <f>IF($K178="","",L178-M178-N178-P178-Q178-R178)</f>
      </c>
      <c r="U178" s="4">
        <f>IF($K178="","",(T178-W178)/J178*100)</f>
      </c>
      <c r="V178" s="4">
        <f>IF($K178="","",M178-S178)</f>
      </c>
      <c r="X178" s="4">
        <f>IF($K178="","",T178-W178)</f>
      </c>
    </row>
    <row r="179" spans="1:29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/>
      <c r="O179" s="4">
        <f>IF($K179="","",N179*20%)</f>
      </c>
      <c r="P179" s="4"/>
      <c r="Q179" s="4">
        <f>IF($K179="","",P179*20%)</f>
      </c>
      <c r="R179" s="4">
        <v>1</v>
      </c>
      <c r="S179" s="4">
        <f>IF($K179="","",Q179)</f>
      </c>
      <c r="T179" s="4">
        <f>IF($K179="","",L179-M179-N179-P179-Q179-R179)</f>
      </c>
      <c r="U179" s="4">
        <f>IF($K179="","",(T179-W179)/J179*100)</f>
      </c>
      <c r="V179" s="4">
        <f>IF($K179="","",M179-S179)</f>
      </c>
      <c r="X179" s="4">
        <f>IF($K179="","",T179-W179)</f>
      </c>
    </row>
    <row r="180" spans="1:29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/>
      <c r="O180" s="4">
        <f>IF($K180="","",N180*20%)</f>
      </c>
      <c r="P180" s="4"/>
      <c r="Q180" s="4">
        <f>IF($K180="","",P180*20%)</f>
      </c>
      <c r="R180" s="4">
        <v>1</v>
      </c>
      <c r="S180" s="4">
        <f>IF($K180="","",Q180)</f>
      </c>
      <c r="T180" s="4">
        <f>IF($K180="","",L180-M180-N180-P180-Q180-R180)</f>
      </c>
      <c r="U180" s="4">
        <f>IF($K180="","",(T180-W180)/J180*100)</f>
      </c>
      <c r="V180" s="4">
        <f>IF($K180="","",M180-S180)</f>
      </c>
      <c r="X180" s="4">
        <f>IF($K180="","",T180-W180)</f>
      </c>
    </row>
    <row r="181" spans="1:29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/>
      <c r="O181" s="4">
        <f>IF($K181="","",N181*20%)</f>
      </c>
      <c r="P181" s="4"/>
      <c r="Q181" s="4">
        <f>IF($K181="","",P181*20%)</f>
      </c>
      <c r="R181" s="4">
        <v>1</v>
      </c>
      <c r="S181" s="4">
        <f>IF($K181="","",Q181)</f>
      </c>
      <c r="T181" s="4">
        <f>IF($K181="","",L181-M181-N181-P181-Q181-R181)</f>
      </c>
      <c r="U181" s="4">
        <f>IF($K181="","",(T181-W181)/J181*100)</f>
      </c>
      <c r="V181" s="4">
        <f>IF($K181="","",M181-S181)</f>
      </c>
      <c r="X181" s="4">
        <f>IF($K181="","",T181-W181)</f>
      </c>
    </row>
    <row r="182" spans="1:29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/>
      <c r="O182" s="4">
        <f>IF($K182="","",N182*20%)</f>
      </c>
      <c r="P182" s="4"/>
      <c r="Q182" s="4">
        <f>IF($K182="","",P182*20%)</f>
      </c>
      <c r="R182" s="4">
        <v>1</v>
      </c>
      <c r="S182" s="4">
        <f>IF($K182="","",Q182)</f>
      </c>
      <c r="T182" s="4">
        <f>IF($K182="","",L182-M182-N182-P182-Q182-R182)</f>
      </c>
      <c r="U182" s="4">
        <f>IF($K182="","",(T182-W182)/J182*100)</f>
      </c>
      <c r="V182" s="4">
        <f>IF($K182="","",M182-S182)</f>
      </c>
      <c r="X182" s="4">
        <f>IF($K182="","",T182-W182)</f>
      </c>
    </row>
    <row r="183" spans="1:29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/>
      <c r="O183" s="4">
        <f>IF($K183="","",N183*20%)</f>
      </c>
      <c r="P183" s="4"/>
      <c r="Q183" s="4">
        <f>IF($K183="","",P183*20%)</f>
      </c>
      <c r="R183" s="4">
        <v>1</v>
      </c>
      <c r="S183" s="4">
        <f>IF($K183="","",Q183)</f>
      </c>
      <c r="T183" s="4">
        <f>IF($K183="","",L183-M183-N183-P183-Q183-R183)</f>
      </c>
      <c r="U183" s="4">
        <f>IF($K183="","",(T183-W183)/J183*100)</f>
      </c>
      <c r="V183" s="4">
        <f>IF($K183="","",M183-S183)</f>
      </c>
      <c r="X183" s="4">
        <f>IF($K183="","",T183-W183)</f>
      </c>
    </row>
    <row r="184" spans="1:29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/>
      <c r="O184" s="4">
        <f>IF($K184="","",N184*20%)</f>
      </c>
      <c r="P184" s="4"/>
      <c r="Q184" s="4">
        <f>IF($K184="","",P184*20%)</f>
      </c>
      <c r="R184" s="4">
        <v>1</v>
      </c>
      <c r="S184" s="4">
        <f>IF($K184="","",Q184)</f>
      </c>
      <c r="T184" s="4">
        <f>IF($K184="","",L184-M184-N184-P184-Q184-R184)</f>
      </c>
      <c r="U184" s="4">
        <f>IF($K184="","",(T184-W184)/J184*100)</f>
      </c>
      <c r="V184" s="4">
        <f>IF($K184="","",M184-S184)</f>
      </c>
      <c r="X184" s="4">
        <f>IF($K184="","",T184-W184)</f>
      </c>
    </row>
    <row r="185" spans="1:29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/>
      <c r="O185" s="4">
        <f>IF($K185="","",N185*20%)</f>
      </c>
      <c r="P185" s="4"/>
      <c r="Q185" s="4">
        <f>IF($K185="","",P185*20%)</f>
      </c>
      <c r="R185" s="4">
        <v>1</v>
      </c>
      <c r="S185" s="4">
        <f>IF($K185="","",Q185)</f>
      </c>
      <c r="T185" s="4">
        <f>IF($K185="","",L185-M185-N185-P185-Q185-R185)</f>
      </c>
      <c r="U185" s="4">
        <f>IF($K185="","",(T185-W185)/J185*100)</f>
      </c>
      <c r="V185" s="4">
        <f>IF($K185="","",M185-S185)</f>
      </c>
      <c r="X185" s="4">
        <f>IF($K185="","",T185-W185)</f>
      </c>
    </row>
    <row r="186" spans="1:29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/>
      <c r="O186" s="4">
        <f>IF($K186="","",N186*20%)</f>
      </c>
      <c r="P186" s="4"/>
      <c r="Q186" s="4">
        <f>IF($K186="","",P186*20%)</f>
      </c>
      <c r="R186" s="4">
        <v>1</v>
      </c>
      <c r="S186" s="4">
        <f>IF($K186="","",Q186)</f>
      </c>
      <c r="T186" s="4">
        <f>IF($K186="","",L186-M186-N186-P186-Q186-R186)</f>
      </c>
      <c r="U186" s="4">
        <f>IF($K186="","",(T186-W186)/J186*100)</f>
      </c>
      <c r="V186" s="4">
        <f>IF($K186="","",M186-S186)</f>
      </c>
      <c r="X186" s="4">
        <f>IF($K186="","",T186-W186)</f>
      </c>
    </row>
    <row r="187" spans="1:29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/>
      <c r="O187" s="4">
        <f>IF($K187="","",N187*20%)</f>
      </c>
      <c r="P187" s="4"/>
      <c r="Q187" s="4">
        <f>IF($K187="","",P187*20%)</f>
      </c>
      <c r="R187" s="4">
        <v>1</v>
      </c>
      <c r="S187" s="4">
        <f>IF($K187="","",Q187)</f>
      </c>
      <c r="T187" s="4">
        <f>IF($K187="","",L187-M187-N187-P187-Q187-R187)</f>
      </c>
      <c r="U187" s="4">
        <f>IF($K187="","",(T187-W187)/J187*100)</f>
      </c>
      <c r="V187" s="4">
        <f>IF($K187="","",M187-S187)</f>
      </c>
      <c r="X187" s="4">
        <f>IF($K187="","",T187-W187)</f>
      </c>
    </row>
    <row r="188" spans="1:29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/>
      <c r="O188" s="4">
        <f>IF($K188="","",N188*20%)</f>
      </c>
      <c r="P188" s="4"/>
      <c r="Q188" s="4">
        <f>IF($K188="","",P188*20%)</f>
      </c>
      <c r="R188" s="4">
        <v>1</v>
      </c>
      <c r="S188" s="4">
        <f>IF($K188="","",Q188)</f>
      </c>
      <c r="T188" s="4">
        <f>IF($K188="","",L188-M188-N188-P188-Q188-R188)</f>
      </c>
      <c r="U188" s="4">
        <f>IF($K188="","",(T188-W188)/J188*100)</f>
      </c>
      <c r="V188" s="4">
        <f>IF($K188="","",M188-S188)</f>
      </c>
      <c r="X188" s="4">
        <f>IF($K188="","",T188-W188)</f>
      </c>
    </row>
    <row r="189" spans="1:29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/>
      <c r="O189" s="4">
        <f>IF($K189="","",N189*20%)</f>
      </c>
      <c r="P189" s="4"/>
      <c r="Q189" s="4">
        <f>IF($K189="","",P189*20%)</f>
      </c>
      <c r="R189" s="4">
        <v>1</v>
      </c>
      <c r="S189" s="4">
        <f>IF($K189="","",Q189)</f>
      </c>
      <c r="T189" s="4">
        <f>IF($K189="","",L189-M189-N189-P189-Q189-R189)</f>
      </c>
      <c r="U189" s="4">
        <f>IF($K189="","",(T189-W189)/J189*100)</f>
      </c>
      <c r="V189" s="4">
        <f>IF($K189="","",M189-S189)</f>
      </c>
      <c r="X189" s="4">
        <f>IF($K189="","",T189-W189)</f>
      </c>
    </row>
    <row r="190" spans="1:29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/>
      <c r="O190" s="4">
        <f>IF($K190="","",N190*20%)</f>
      </c>
      <c r="P190" s="4"/>
      <c r="Q190" s="4">
        <f>IF($K190="","",P190*20%)</f>
      </c>
      <c r="R190" s="4">
        <v>1</v>
      </c>
      <c r="S190" s="4">
        <f>IF($K190="","",Q190)</f>
      </c>
      <c r="T190" s="4">
        <f>IF($K190="","",L190-M190-N190-P190-Q190-R190)</f>
      </c>
      <c r="U190" s="4">
        <f>IF($K190="","",(T190-W190)/J190*100)</f>
      </c>
      <c r="V190" s="4">
        <f>IF($K190="","",M190-S190)</f>
      </c>
      <c r="X190" s="4">
        <f>IF($K190="","",T190-W190)</f>
      </c>
    </row>
    <row r="191" spans="1:29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/>
      <c r="O191" s="4">
        <f>IF($K191="","",N191*20%)</f>
      </c>
      <c r="P191" s="4"/>
      <c r="Q191" s="4">
        <f>IF($K191="","",P191*20%)</f>
      </c>
      <c r="R191" s="4">
        <v>1</v>
      </c>
      <c r="S191" s="4">
        <f>IF($K191="","",Q191)</f>
      </c>
      <c r="T191" s="4">
        <f>IF($K191="","",L191-M191-N191-P191-Q191-R191)</f>
      </c>
      <c r="U191" s="4">
        <f>IF($K191="","",(T191-W191)/J191*100)</f>
      </c>
      <c r="V191" s="4">
        <f>IF($K191="","",M191-S191)</f>
      </c>
      <c r="X191" s="4">
        <f>IF($K191="","",T191-W191)</f>
      </c>
    </row>
    <row r="192" spans="1:29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/>
      <c r="O192" s="4">
        <f>IF($K192="","",N192*20%)</f>
      </c>
      <c r="P192" s="4"/>
      <c r="Q192" s="4">
        <f>IF($K192="","",P192*20%)</f>
      </c>
      <c r="R192" s="4">
        <v>1</v>
      </c>
      <c r="S192" s="4">
        <f>IF($K192="","",Q192)</f>
      </c>
      <c r="T192" s="4">
        <f>IF($K192="","",L192-M192-N192-P192-Q192-R192)</f>
      </c>
      <c r="U192" s="4">
        <f>IF($K192="","",(T192-W192)/J192*100)</f>
      </c>
      <c r="V192" s="4">
        <f>IF($K192="","",M192-S192)</f>
      </c>
      <c r="X192" s="4">
        <f>IF($K192="","",T192-W192)</f>
      </c>
    </row>
    <row r="193" spans="1:29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/>
      <c r="O193" s="4">
        <f>IF($K193="","",N193*20%)</f>
      </c>
      <c r="P193" s="4"/>
      <c r="Q193" s="4">
        <f>IF($K193="","",P193*20%)</f>
      </c>
      <c r="R193" s="4">
        <v>1</v>
      </c>
      <c r="S193" s="4">
        <f>IF($K193="","",Q193)</f>
      </c>
      <c r="T193" s="4">
        <f>IF($K193="","",L193-M193-N193-P193-Q193-R193)</f>
      </c>
      <c r="U193" s="4">
        <f>IF($K193="","",(T193-W193)/J193*100)</f>
      </c>
      <c r="V193" s="4">
        <f>IF($K193="","",M193-S193)</f>
      </c>
      <c r="X193" s="4">
        <f>IF($K193="","",T193-W193)</f>
      </c>
    </row>
    <row r="194" spans="1:29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/>
      <c r="O194" s="4">
        <f>IF($K194="","",N194*20%)</f>
      </c>
      <c r="P194" s="4"/>
      <c r="Q194" s="4">
        <f>IF($K194="","",P194*20%)</f>
      </c>
      <c r="R194" s="4">
        <v>1</v>
      </c>
      <c r="S194" s="4">
        <f>IF($K194="","",Q194)</f>
      </c>
      <c r="T194" s="4">
        <f>IF($K194="","",L194-M194-N194-P194-Q194-R194)</f>
      </c>
      <c r="U194" s="4">
        <f>IF($K194="","",(T194-W194)/J194*100)</f>
      </c>
      <c r="V194" s="4">
        <f>IF($K194="","",M194-S194)</f>
      </c>
      <c r="X194" s="4">
        <f>IF($K194="","",T194-W194)</f>
      </c>
    </row>
    <row r="195" spans="1:29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/>
      <c r="O195" s="4">
        <f>IF($K195="","",N195*20%)</f>
      </c>
      <c r="P195" s="4"/>
      <c r="Q195" s="4">
        <f>IF($K195="","",P195*20%)</f>
      </c>
      <c r="R195" s="4">
        <v>1</v>
      </c>
      <c r="S195" s="4">
        <f>IF($K195="","",Q195)</f>
      </c>
      <c r="T195" s="4">
        <f>IF($K195="","",L195-M195-N195-P195-Q195-R195)</f>
      </c>
      <c r="U195" s="4">
        <f>IF($K195="","",(T195-W195)/J195*100)</f>
      </c>
      <c r="V195" s="4">
        <f>IF($K195="","",M195-S195)</f>
      </c>
      <c r="X195" s="4">
        <f>IF($K195="","",T195-W195)</f>
      </c>
    </row>
    <row r="196" spans="1:29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/>
      <c r="O196" s="4">
        <f>IF($K196="","",N196*20%)</f>
      </c>
      <c r="P196" s="4"/>
      <c r="Q196" s="4">
        <f>IF($K196="","",P196*20%)</f>
      </c>
      <c r="R196" s="4">
        <v>1</v>
      </c>
      <c r="S196" s="4">
        <f>IF($K196="","",Q196)</f>
      </c>
      <c r="T196" s="4">
        <f>IF($K196="","",L196-M196-N196-P196-Q196-R196)</f>
      </c>
      <c r="U196" s="4">
        <f>IF($K196="","",(T196-W196)/J196*100)</f>
      </c>
      <c r="V196" s="4">
        <f>IF($K196="","",M196-S196)</f>
      </c>
      <c r="X196" s="4">
        <f>IF($K196="","",T196-W196)</f>
      </c>
    </row>
    <row r="197" spans="1:29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/>
      <c r="O197" s="4">
        <f>IF($K197="","",N197*20%)</f>
      </c>
      <c r="P197" s="4"/>
      <c r="Q197" s="4">
        <f>IF($K197="","",P197*20%)</f>
      </c>
      <c r="R197" s="4">
        <v>1</v>
      </c>
      <c r="S197" s="4">
        <f>IF($K197="","",Q197)</f>
      </c>
      <c r="T197" s="4">
        <f>IF($K197="","",L197-M197-N197-P197-Q197-R197)</f>
      </c>
      <c r="U197" s="4">
        <f>IF($K197="","",(T197-W197)/J197*100)</f>
      </c>
      <c r="V197" s="4">
        <f>IF($K197="","",M197-S197)</f>
      </c>
      <c r="X197" s="4">
        <f>IF($K197="","",T197-W197)</f>
      </c>
    </row>
    <row r="198" spans="1:29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/>
      <c r="O198" s="4">
        <f>IF($K198="","",N198*20%)</f>
      </c>
      <c r="P198" s="4"/>
      <c r="Q198" s="4">
        <f>IF($K198="","",P198*20%)</f>
      </c>
      <c r="R198" s="4">
        <v>1</v>
      </c>
      <c r="S198" s="4">
        <f>IF($K198="","",Q198)</f>
      </c>
      <c r="T198" s="4">
        <f>IF($K198="","",L198-M198-N198-P198-Q198-R198)</f>
      </c>
      <c r="U198" s="4">
        <f>IF($K198="","",(T198-W198)/J198*100)</f>
      </c>
      <c r="V198" s="4">
        <f>IF($K198="","",M198-S198)</f>
      </c>
      <c r="X198" s="4">
        <f>IF($K198="","",T198-W198)</f>
      </c>
    </row>
    <row r="199" spans="1:29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/>
      <c r="O199" s="4">
        <f>IF($K199="","",N199*20%)</f>
      </c>
      <c r="P199" s="4"/>
      <c r="Q199" s="4">
        <f>IF($K199="","",P199*20%)</f>
      </c>
      <c r="R199" s="4">
        <v>1</v>
      </c>
      <c r="S199" s="4">
        <f>IF($K199="","",Q199)</f>
      </c>
      <c r="T199" s="4">
        <f>IF($K199="","",L199-M199-N199-P199-Q199-R199)</f>
      </c>
      <c r="U199" s="4">
        <f>IF($K199="","",(T199-W199)/J199*100)</f>
      </c>
      <c r="V199" s="4">
        <f>IF($K199="","",M199-S199)</f>
      </c>
      <c r="X199" s="4">
        <f>IF($K199="","",T199-W199)</f>
      </c>
    </row>
    <row r="200" spans="1:29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/>
      <c r="O200" s="4">
        <f>IF($K200="","",N200*20%)</f>
      </c>
      <c r="P200" s="4"/>
      <c r="Q200" s="4">
        <f>IF($K200="","",P200*20%)</f>
      </c>
      <c r="R200" s="4">
        <v>1</v>
      </c>
      <c r="S200" s="4">
        <f>IF($K200="","",Q200)</f>
      </c>
      <c r="T200" s="4">
        <f>IF($K200="","",L200-M200-N200-P200-Q200-R200)</f>
      </c>
      <c r="U200" s="4">
        <f>IF($K200="","",(T200-W200)/J200*100)</f>
      </c>
      <c r="V200" s="4">
        <f>IF($K200="","",M200-S200)</f>
      </c>
      <c r="X200" s="4">
        <f>IF($K200="","",T200-W200)</f>
      </c>
    </row>
    <row r="201" spans="1:29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/>
      <c r="O201" s="4">
        <f>IF($K201="","",N201*20%)</f>
      </c>
      <c r="P201" s="4"/>
      <c r="Q201" s="4">
        <f>IF($K201="","",P201*20%)</f>
      </c>
      <c r="R201" s="4">
        <v>1</v>
      </c>
      <c r="S201" s="4">
        <f>IF($K201="","",Q201)</f>
      </c>
      <c r="T201" s="4">
        <f>IF($K201="","",L201-M201-N201-P201-Q201-R201)</f>
      </c>
      <c r="U201" s="4">
        <f>IF($K201="","",(T201-W201)/J201*100)</f>
      </c>
      <c r="V201" s="4">
        <f>IF($K201="","",M201-S201)</f>
      </c>
      <c r="X201" s="4">
        <f>IF($K201="","",T201-W201)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IFERROR((T202-W202)/J202*100,0)</f>
      </c>
      <c r="V202" s="14">
        <f>SUM(V2:V201)</f>
      </c>
      <c r="W202" s="14">
        <f>SUM(W2:W201)</f>
      </c>
      <c r="X202" s="14">
        <f>SUM(X2:X201)</f>
      </c>
      <c r="Y202" s="7"/>
      <c r="Z202" s="7"/>
      <c r="AA202" s="7"/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88</v>
      </c>
    </row>
    <row r="2" ht="46" customHeight="1" spans="1:1" x14ac:dyDescent="0.25">
      <c r="A2" s="2" t="s">
        <v>89</v>
      </c>
    </row>
    <row r="4" spans="1:16" s="3" customFormat="1" x14ac:dyDescent="0.25">
      <c r="A4" s="3" t="s">
        <v>4</v>
      </c>
      <c r="B4" s="3" t="s">
        <v>5</v>
      </c>
      <c r="C4" s="3" t="s">
        <v>90</v>
      </c>
      <c r="D4" s="3" t="s">
        <v>9</v>
      </c>
      <c r="E4" s="3" t="s">
        <v>91</v>
      </c>
      <c r="F4" s="3" t="s">
        <v>6</v>
      </c>
      <c r="G4" s="3" t="s">
        <v>7</v>
      </c>
      <c r="H4" s="3" t="s">
        <v>8</v>
      </c>
      <c r="I4" s="3" t="s">
        <v>92</v>
      </c>
      <c r="J4" s="3" t="s">
        <v>93</v>
      </c>
      <c r="K4" s="3" t="s">
        <v>94</v>
      </c>
      <c r="L4" s="3" t="s">
        <v>95</v>
      </c>
      <c r="M4" s="3" t="s">
        <v>96</v>
      </c>
      <c r="N4" s="3" t="s">
        <v>11</v>
      </c>
      <c r="O4" s="3" t="s">
        <v>12</v>
      </c>
      <c r="P4" s="3" t="s">
        <v>97</v>
      </c>
    </row>
    <row r="5" spans="1:16" x14ac:dyDescent="0.25">
      <c r="A5" t="s">
        <v>13</v>
      </c>
      <c r="B5">
        <v>5</v>
      </c>
      <c r="C5" s="4">
        <v>2750</v>
      </c>
      <c r="D5" s="4">
        <v>513.2</v>
      </c>
      <c r="E5">
        <v>2</v>
      </c>
      <c r="F5">
        <v>0</v>
      </c>
      <c r="G5">
        <v>0</v>
      </c>
      <c r="H5">
        <v>2</v>
      </c>
      <c r="I5">
        <v>0</v>
      </c>
      <c r="J5" s="4">
        <v>30.24</v>
      </c>
      <c r="K5" s="4">
        <v>0</v>
      </c>
      <c r="L5" s="4">
        <v>0</v>
      </c>
      <c r="M5" s="4">
        <v>30.24</v>
      </c>
      <c r="N5" s="4">
        <v>482.96000000000004</v>
      </c>
      <c r="O5" s="4">
        <v>17.56218181818182</v>
      </c>
      <c r="P5">
        <v>2</v>
      </c>
    </row>
    <row r="6" spans="1:16" s="3" customFormat="1" x14ac:dyDescent="0.25">
      <c r="A6" s="3" t="s">
        <v>18</v>
      </c>
      <c r="B6" s="3">
        <v>5</v>
      </c>
      <c r="C6" s="15">
        <v>2750</v>
      </c>
      <c r="D6" s="15">
        <v>513.2</v>
      </c>
      <c r="E6" s="3">
        <v>2</v>
      </c>
      <c r="F6" s="3">
        <v>0</v>
      </c>
      <c r="G6" s="3">
        <v>0</v>
      </c>
      <c r="H6" s="3">
        <v>2</v>
      </c>
      <c r="I6" s="3">
        <v>0</v>
      </c>
      <c r="J6" s="15">
        <v>30.24</v>
      </c>
      <c r="K6" s="15">
        <v>0</v>
      </c>
      <c r="L6" s="15">
        <v>0</v>
      </c>
      <c r="M6" s="15">
        <v>30.24</v>
      </c>
      <c r="N6" s="15">
        <v>482.96000000000004</v>
      </c>
      <c r="O6" s="15">
        <v>17.56218181818182</v>
      </c>
      <c r="P6" s="3">
        <v>2</v>
      </c>
    </row>
    <row r="8" ht="28" customHeight="1" spans="1:1" x14ac:dyDescent="0.25">
      <c r="A8" s="16" t="s">
        <v>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99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100</v>
      </c>
      <c r="B1" t="s">
        <v>101</v>
      </c>
    </row>
    <row r="2" spans="1:2" x14ac:dyDescent="0.25">
      <c r="A2" s="7" t="s">
        <v>102</v>
      </c>
      <c r="B2">
        <v>1</v>
      </c>
    </row>
    <row r="3" spans="1:2" x14ac:dyDescent="0.25">
      <c r="A3" s="7" t="s">
        <v>6</v>
      </c>
      <c r="B3">
        <v>0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103</v>
      </c>
      <c r="B6" s="4">
        <v>15.12</v>
      </c>
    </row>
    <row r="7" spans="1:2" x14ac:dyDescent="0.25">
      <c r="A7" s="7" t="s">
        <v>104</v>
      </c>
      <c r="B7" s="4">
        <v>15.12</v>
      </c>
    </row>
    <row r="9" spans="1:2" x14ac:dyDescent="0.25">
      <c r="A9" s="7" t="s">
        <v>105</v>
      </c>
      <c r="B9" s="7" t="s">
        <v>106</v>
      </c>
    </row>
    <row r="10" spans="1:2" x14ac:dyDescent="0.25">
      <c r="A10" s="7" t="s">
        <v>13</v>
      </c>
      <c r="B10" t="s">
        <v>107</v>
      </c>
    </row>
    <row r="12" spans="1:2" x14ac:dyDescent="0.25">
      <c r="A12" s="7" t="s">
        <v>108</v>
      </c>
      <c r="B12" t="s">
        <v>1</v>
      </c>
    </row>
    <row r="13" spans="1:2" x14ac:dyDescent="0.25">
      <c r="A13" t="s">
        <v>109</v>
      </c>
      <c r="B13" t="s">
        <v>110</v>
      </c>
    </row>
    <row r="14" spans="1:2" x14ac:dyDescent="0.25">
      <c r="A14" t="s">
        <v>111</v>
      </c>
      <c r="B14" t="s">
        <v>112</v>
      </c>
    </row>
    <row r="15" spans="1:2" x14ac:dyDescent="0.25">
      <c r="A15" t="s">
        <v>113</v>
      </c>
      <c r="B15" t="s">
        <v>114</v>
      </c>
    </row>
    <row r="17" spans="1:2" x14ac:dyDescent="0.25">
      <c r="A17" s="7" t="s">
        <v>115</v>
      </c>
      <c r="B17" t="s">
        <v>1</v>
      </c>
    </row>
    <row r="18" spans="1:2" x14ac:dyDescent="0.25">
      <c r="A18" t="s">
        <v>116</v>
      </c>
      <c r="B18" t="s">
        <v>117</v>
      </c>
    </row>
    <row r="19" spans="1:2" x14ac:dyDescent="0.25">
      <c r="A19" t="s">
        <v>118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51</v>
      </c>
      <c r="B1" t="s">
        <v>119</v>
      </c>
      <c r="C1" t="s">
        <v>30</v>
      </c>
      <c r="D1" t="s">
        <v>32</v>
      </c>
      <c r="E1" t="s">
        <v>31</v>
      </c>
      <c r="F1" t="s">
        <v>33</v>
      </c>
      <c r="G1" t="s">
        <v>120</v>
      </c>
      <c r="H1" t="s">
        <v>121</v>
      </c>
      <c r="I1" t="s">
        <v>4</v>
      </c>
      <c r="J1" t="s">
        <v>122</v>
      </c>
      <c r="K1" t="s">
        <v>52</v>
      </c>
      <c r="L1" t="s">
        <v>123</v>
      </c>
      <c r="M1" t="s">
        <v>55</v>
      </c>
      <c r="N1" t="s">
        <v>124</v>
      </c>
      <c r="O1" t="s">
        <v>53</v>
      </c>
      <c r="P1" t="s">
        <v>10</v>
      </c>
    </row>
    <row r="2" spans="1:16" x14ac:dyDescent="0.25">
      <c r="A2" s="8">
        <v>46241.5</v>
      </c>
      <c r="B2" s="10" t="s">
        <v>57</v>
      </c>
      <c r="C2" s="9" t="s">
        <v>58</v>
      </c>
      <c r="D2" s="9" t="s">
        <v>60</v>
      </c>
      <c r="E2" s="9" t="s">
        <v>59</v>
      </c>
      <c r="F2" s="9" t="s">
        <v>61</v>
      </c>
      <c r="G2" s="8">
        <v>46241.5</v>
      </c>
      <c r="H2" s="11">
        <v>610</v>
      </c>
      <c r="I2" s="9" t="s">
        <v>13</v>
      </c>
      <c r="J2" s="9" t="s">
        <v>125</v>
      </c>
      <c r="K2" s="9" t="s">
        <v>62</v>
      </c>
      <c r="L2" s="9" t="s">
        <v>126</v>
      </c>
      <c r="M2" s="9" t="s">
        <v>127</v>
      </c>
      <c r="N2" s="11">
        <v>7.56</v>
      </c>
      <c r="O2" s="9">
        <v>2</v>
      </c>
      <c r="P2" s="11">
        <v>15.12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FormatPr defaultRowHeight="15" outlineLevelRow="0" outlineLevelCol="0" x14ac:dyDescent="55"/>
  <sheetData>
    <row r="1" spans="1:7" x14ac:dyDescent="0.25">
      <c r="A1" t="s">
        <v>119</v>
      </c>
      <c r="B1" t="s">
        <v>30</v>
      </c>
      <c r="C1" t="s">
        <v>128</v>
      </c>
      <c r="D1" t="s">
        <v>129</v>
      </c>
      <c r="E1" t="s">
        <v>130</v>
      </c>
      <c r="F1" t="s">
        <v>131</v>
      </c>
      <c r="G1" t="s">
        <v>55</v>
      </c>
    </row>
    <row r="2" spans="1:7" x14ac:dyDescent="0.25">
      <c r="A2" s="13" t="s">
        <v>57</v>
      </c>
      <c r="B2" t="s">
        <v>58</v>
      </c>
      <c r="C2" s="12">
        <v>46181.5</v>
      </c>
      <c r="D2" t="s">
        <v>132</v>
      </c>
      <c r="E2" t="s">
        <v>61</v>
      </c>
      <c r="F2" s="4">
        <v>400</v>
      </c>
      <c r="G2" t="s">
        <v>1</v>
      </c>
    </row>
    <row r="3" spans="1:7" x14ac:dyDescent="0.25">
      <c r="A3" s="13" t="s">
        <v>57</v>
      </c>
      <c r="B3" t="s">
        <v>58</v>
      </c>
      <c r="C3" s="12">
        <v>46241.5</v>
      </c>
      <c r="D3" t="s">
        <v>133</v>
      </c>
      <c r="E3" t="s">
        <v>134</v>
      </c>
      <c r="F3" s="4">
        <v>620</v>
      </c>
      <c r="G3" t="s">
        <v>1</v>
      </c>
    </row>
    <row r="4" spans="1:7" x14ac:dyDescent="0.25">
      <c r="A4" s="13" t="s">
        <v>57</v>
      </c>
      <c r="B4" t="s">
        <v>58</v>
      </c>
      <c r="C4" s="12">
        <v>46241.5</v>
      </c>
      <c r="D4" t="s">
        <v>133</v>
      </c>
      <c r="E4" t="s">
        <v>135</v>
      </c>
      <c r="F4" s="4">
        <v>610</v>
      </c>
      <c r="G4" t="s">
        <v>1</v>
      </c>
    </row>
    <row r="5" spans="1:7" x14ac:dyDescent="0.25">
      <c r="A5" s="10" t="s">
        <v>57</v>
      </c>
      <c r="B5" s="9" t="s">
        <v>58</v>
      </c>
      <c r="C5" s="8">
        <v>46241.5</v>
      </c>
      <c r="D5" s="9" t="s">
        <v>136</v>
      </c>
      <c r="E5" s="9" t="s">
        <v>137</v>
      </c>
      <c r="F5" s="11">
        <v>-15.12</v>
      </c>
      <c r="G5" s="9" t="s">
        <v>1</v>
      </c>
    </row>
    <row r="6" spans="1:7" x14ac:dyDescent="0.25">
      <c r="A6" s="10" t="s">
        <v>57</v>
      </c>
      <c r="B6" s="9" t="s">
        <v>58</v>
      </c>
      <c r="C6" s="8">
        <v>46241.5</v>
      </c>
      <c r="D6" s="9" t="s">
        <v>136</v>
      </c>
      <c r="E6" s="9" t="s">
        <v>138</v>
      </c>
      <c r="F6" s="11">
        <v>-15.12</v>
      </c>
      <c r="G6" s="9" t="s">
        <v>127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2026-08-07T11:29:56Z</dcterms:created>
  <dcterms:modified xsi:type="dcterms:W3CDTF">2026-08-07T11:29:56Z</dcterms:modified>
</cp:coreProperties>
</file>