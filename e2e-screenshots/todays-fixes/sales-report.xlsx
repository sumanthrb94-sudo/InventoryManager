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<sst xmlns="http://schemas.openxmlformats.org/spreadsheetml/2006/main" count="342" uniqueCount="128">
  <si>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</si>
  <si>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</si>
  <si>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</si>
  <si>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</si>
  <si>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</si>
  <si>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</si>
  <si>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</si>
  <si>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</si>
  <si>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</si>
  <si>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</si>
  <si>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</si>
  <si>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</si>
  <si>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</si>
  <si>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</si>
  <si>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</si>
  <si>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</si>
  <si>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</si>
  <si>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</si>
  <si>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</si>
  <si>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</si>
  <si>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</si>
  <si>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</si>
  <si>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</si>
  <si>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</si>
  <si>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</si>
  <si>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</si>
  <si>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</si>
  <si>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</si>
  <si>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</si>
  <si>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</si>
  <si>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</si>
  <si>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</si>
  <si>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</si>
  <si>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</si>
  <si>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</si>
  <si>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</si>
  <si>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</si>
  <si>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</si>
  <si>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</si>
  <si>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</si>
  <si>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</si>
  <si>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</si>
  <si>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</si>
  <si>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</si>
  <si>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</si>
  <si>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</si>
  <si>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</si>
  <si>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</si>
  <si>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</si>
  <si>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</si>
  <si>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</si>
  <si>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</si>
  <si>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</si>
  <si>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</si>
  <si>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</si>
  <si>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</si>
  <si>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FIX-RESOLD-1</t>
  </si>
  <si>
    <t>350770000000301</t>
  </si>
  <si>
    <t>FIXVERIFY WHOLESALE</t>
  </si>
  <si>
    <t>FIXVERIFY 15</t>
  </si>
  <si>
    <t>In Repair</t>
  </si>
  <si>
    <t>In Repair — Faulty again</t>
  </si>
  <si>
    <t>256GB</t>
  </si>
  <si>
    <t>BLACK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</si>
  <si>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</si>
  <si>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</si>
  <si>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</si>
  <si>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</si>
  <si>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</si>
  <si>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</si>
  <si>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</si>
  <si>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</si>
  <si>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</si>
  <si>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</si>
  <si>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</si>
  <si>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</si>
  <si>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</si>
  <si>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</si>
  <si>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</si>
  <si>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</si>
  <si>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</si>
  <si>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</si>
  <si>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</si>
  <si>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</si>
  <si>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</si>
  <si>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</si>
  <si>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</si>
  <si>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</si>
  <si>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</si>
  <si>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</si>
  <si>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</si>
  <si>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</si>
  <si>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</si>
  <si>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</si>
  <si>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</si>
  <si>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</si>
  <si>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</si>
  <si>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</si>
  <si>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</si>
  <si>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</si>
  <si>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</si>
  <si>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</si>
  <si>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</si>
  <si>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</si>
  <si>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</si>
  <si>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</si>
  <si>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2026-08-06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</si>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</sst>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513.20+SUM('AMAZON'!$S$9:$S$208)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0.00+SUM('EBAY'!$V$2:$V$201)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0.00+SUM('ONBUY'!$P$2:$P$201)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46240.5</v>
      </c>
      <c r="B2" s="9" t="s">
        <v>56</v>
      </c>
      <c r="C2" s="9" t="s">
        <v>1</v>
      </c>
      <c r="D2" s="10" t="s">
        <v>57</v>
      </c>
      <c r="E2" s="9" t="s">
        <v>58</v>
      </c>
      <c r="F2" s="9">
        <v>1</v>
      </c>
      <c r="G2" s="11">
        <v>400</v>
      </c>
      <c r="H2" s="11">
        <v>610</v>
      </c>
      <c r="I2" s="11">
        <f>H2-G2</f>
      </c>
      <c r="J2" s="11">
        <f>I2*16.67%</f>
      </c>
      <c r="K2" s="11">
        <f>H2/100*7</f>
      </c>
      <c r="L2" s="11">
        <f>K2*20%</f>
      </c>
      <c r="M2" s="11">
        <f>K2*2%</f>
      </c>
      <c r="N2" s="11">
        <f>M2*20%</f>
      </c>
      <c r="O2" s="11">
        <v>6.3</v>
      </c>
      <c r="P2" s="11">
        <f>O2*20%</f>
      </c>
      <c r="Q2" s="11">
        <v>1</v>
      </c>
      <c r="R2" s="11">
        <f>L2+N2+P2</f>
      </c>
      <c r="S2" s="11">
        <f>I2-J2-K2-L2-M2-N2-O2-P2-Q2</f>
      </c>
      <c r="T2" s="11">
        <f>(S2-AB2)/G2*100</f>
      </c>
      <c r="U2" s="11">
        <f>J2-R2</f>
      </c>
      <c r="V2" s="9" t="s">
        <v>1</v>
      </c>
      <c r="W2" s="9" t="s">
        <v>59</v>
      </c>
      <c r="X2" s="8">
        <v>46240.5</v>
      </c>
      <c r="Y2" s="9" t="s">
        <v>60</v>
      </c>
      <c r="Z2" s="9" t="s">
        <v>61</v>
      </c>
      <c r="AA2" s="9">
        <v>2</v>
      </c>
      <c r="AB2" s="11">
        <v>15.12</v>
      </c>
      <c r="AC2" s="11">
        <f>S2-AB2</f>
      </c>
      <c r="AD2" s="9" t="s">
        <v>62</v>
      </c>
      <c r="AE2" s="9" t="s">
        <v>63</v>
      </c>
    </row>
    <row r="3" spans="1:31" x14ac:dyDescent="0.25">
      <c r="A3" s="12">
        <v>46240.5</v>
      </c>
      <c r="B3" t="s">
        <v>64</v>
      </c>
      <c r="C3" t="s">
        <v>1</v>
      </c>
      <c r="D3" s="13" t="s">
        <v>65</v>
      </c>
      <c r="E3" t="s">
        <v>58</v>
      </c>
      <c r="F3">
        <v>1</v>
      </c>
      <c r="G3" s="4">
        <v>200</v>
      </c>
      <c r="H3" s="4">
        <v>330</v>
      </c>
      <c r="I3" s="4">
        <f>H3-G3</f>
      </c>
      <c r="J3" s="4">
        <f>I3*16.67%</f>
      </c>
      <c r="K3" s="4">
        <f>H3/100*7</f>
      </c>
      <c r="L3" s="4">
        <f>K3*20%</f>
      </c>
      <c r="M3" s="4">
        <f>K3*2%</f>
      </c>
      <c r="N3" s="4">
        <f>M3*20%</f>
      </c>
      <c r="O3" s="4">
        <v>6.3</v>
      </c>
      <c r="P3" s="4">
        <f>O3*20%</f>
      </c>
      <c r="Q3" s="4">
        <v>1</v>
      </c>
      <c r="R3" s="4">
        <f>L3+N3+P3</f>
      </c>
      <c r="S3" s="4">
        <f>I3-J3-K3-L3-M3-N3-O3-P3-Q3</f>
      </c>
      <c r="T3" s="4">
        <f>(S3-AB3)/G3*100</f>
      </c>
      <c r="U3" s="4">
        <f>J3-R3</f>
      </c>
      <c r="V3" t="s">
        <v>1</v>
      </c>
      <c r="W3" t="s">
        <v>66</v>
      </c>
      <c r="AC3" s="4">
        <f>S3-AB3</f>
      </c>
      <c r="AD3" t="s">
        <v>67</v>
      </c>
      <c r="AE3" t="s">
        <v>63</v>
      </c>
    </row>
    <row r="4" spans="1:31" x14ac:dyDescent="0.25">
      <c r="A4" s="8">
        <v>46240.5</v>
      </c>
      <c r="B4" s="9" t="s">
        <v>68</v>
      </c>
      <c r="C4" s="9" t="s">
        <v>1</v>
      </c>
      <c r="D4" s="10" t="s">
        <v>57</v>
      </c>
      <c r="E4" s="9" t="s">
        <v>58</v>
      </c>
      <c r="F4" s="9">
        <v>1</v>
      </c>
      <c r="G4" s="11">
        <v>400</v>
      </c>
      <c r="H4" s="11">
        <v>620</v>
      </c>
      <c r="I4" s="11">
        <f>H4-G4</f>
      </c>
      <c r="J4" s="11">
        <f>I4*16.67%</f>
      </c>
      <c r="K4" s="11">
        <f>H4/100*7</f>
      </c>
      <c r="L4" s="11">
        <f>K4*20%</f>
      </c>
      <c r="M4" s="11">
        <f>K4*2%</f>
      </c>
      <c r="N4" s="11">
        <f>M4*20%</f>
      </c>
      <c r="O4" s="11">
        <v>6.3</v>
      </c>
      <c r="P4" s="11">
        <f>O4*20%</f>
      </c>
      <c r="Q4" s="11">
        <v>1</v>
      </c>
      <c r="R4" s="11">
        <f>L4+N4+P4</f>
      </c>
      <c r="S4" s="11">
        <f>I4-J4-K4-L4-M4-N4-O4-P4-Q4</f>
      </c>
      <c r="T4" s="11">
        <f>(S4-AB4)/G4*100</f>
      </c>
      <c r="U4" s="11">
        <f>J4-R4</f>
      </c>
      <c r="V4" s="9" t="s">
        <v>1</v>
      </c>
      <c r="W4" s="9" t="s">
        <v>59</v>
      </c>
      <c r="X4" s="8">
        <v>46240.5</v>
      </c>
      <c r="Y4" s="9" t="s">
        <v>60</v>
      </c>
      <c r="Z4" s="9" t="s">
        <v>69</v>
      </c>
      <c r="AA4" s="9">
        <v>2</v>
      </c>
      <c r="AB4" s="11">
        <v>15.12</v>
      </c>
      <c r="AC4" s="11">
        <f>S4-AB4</f>
      </c>
      <c r="AD4" s="9" t="s">
        <v>62</v>
      </c>
      <c r="AE4" s="9" t="s">
        <v>63</v>
      </c>
    </row>
    <row r="5" spans="1:31" x14ac:dyDescent="0.25">
      <c r="A5" s="12">
        <v>46240.5</v>
      </c>
      <c r="B5" t="s">
        <v>70</v>
      </c>
      <c r="C5" t="s">
        <v>1</v>
      </c>
      <c r="D5" s="13" t="s">
        <v>71</v>
      </c>
      <c r="E5" t="s">
        <v>58</v>
      </c>
      <c r="F5">
        <v>1</v>
      </c>
      <c r="G5" s="4">
        <v>400</v>
      </c>
      <c r="H5" s="4">
        <v>620</v>
      </c>
      <c r="I5" s="4">
        <f>H5-G5</f>
      </c>
      <c r="J5" s="4">
        <f>I5*16.67%</f>
      </c>
      <c r="K5" s="4">
        <f>H5/100*7</f>
      </c>
      <c r="L5" s="4">
        <f>K5*20%</f>
      </c>
      <c r="M5" s="4">
        <f>K5*2%</f>
      </c>
      <c r="N5" s="4">
        <f>M5*20%</f>
      </c>
      <c r="O5" s="4">
        <v>6.3</v>
      </c>
      <c r="P5" s="4">
        <f>O5*20%</f>
      </c>
      <c r="Q5" s="4">
        <v>1</v>
      </c>
      <c r="R5" s="4">
        <f>L5+N5+P5</f>
      </c>
      <c r="S5" s="4">
        <f>I5-J5-K5-L5-M5-N5-O5-P5-Q5</f>
      </c>
      <c r="T5" s="4">
        <f>(S5-AB5)/G5*100</f>
      </c>
      <c r="U5" s="4">
        <f>J5-R5</f>
      </c>
      <c r="V5" t="s">
        <v>1</v>
      </c>
      <c r="W5" t="s">
        <v>59</v>
      </c>
      <c r="AC5" s="4">
        <f>S5-AB5</f>
      </c>
      <c r="AD5" t="s">
        <v>62</v>
      </c>
      <c r="AE5" t="s">
        <v>63</v>
      </c>
    </row>
    <row r="6" spans="1:31" x14ac:dyDescent="0.25">
      <c r="A6" s="12">
        <v>46212.5</v>
      </c>
      <c r="B6" t="s">
        <v>72</v>
      </c>
      <c r="C6" t="s">
        <v>1</v>
      </c>
      <c r="D6" s="13" t="s">
        <v>73</v>
      </c>
      <c r="E6" t="s">
        <v>58</v>
      </c>
      <c r="F6">
        <v>1</v>
      </c>
      <c r="G6" s="4">
        <v>400</v>
      </c>
      <c r="H6" s="4">
        <v>600</v>
      </c>
      <c r="I6" s="4">
        <f>H6-G6</f>
      </c>
      <c r="J6" s="4">
        <f>I6*16.67%</f>
      </c>
      <c r="K6" s="4">
        <f>H6/100*7</f>
      </c>
      <c r="L6" s="4">
        <f>K6*20%</f>
      </c>
      <c r="M6" s="4">
        <f>K6*2%</f>
      </c>
      <c r="N6" s="4">
        <f>M6*20%</f>
      </c>
      <c r="O6" s="4">
        <v>6.3</v>
      </c>
      <c r="P6" s="4">
        <f>O6*20%</f>
      </c>
      <c r="Q6" s="4">
        <v>1</v>
      </c>
      <c r="R6" s="4">
        <f>L6+N6+P6</f>
      </c>
      <c r="S6" s="4">
        <f>I6-J6-K6-L6-M6-N6-O6-P6-Q6</f>
      </c>
      <c r="T6" s="4">
        <f>(S6-AB6)/G6*100</f>
      </c>
      <c r="U6" s="4">
        <f>J6-R6</f>
      </c>
      <c r="V6" t="s">
        <v>1</v>
      </c>
      <c r="W6" t="s">
        <v>59</v>
      </c>
      <c r="AC6" s="4">
        <f>S6-AB6</f>
      </c>
      <c r="AD6" t="s">
        <v>62</v>
      </c>
      <c r="AE6" t="s">
        <v>63</v>
      </c>
    </row>
    <row r="7" spans="1:31" x14ac:dyDescent="0.25">
      <c r="A7" s="12">
        <v>46212.5</v>
      </c>
      <c r="B7" t="s">
        <v>74</v>
      </c>
      <c r="C7" t="s">
        <v>1</v>
      </c>
      <c r="D7" s="13" t="s">
        <v>75</v>
      </c>
      <c r="E7" t="s">
        <v>58</v>
      </c>
      <c r="F7">
        <v>1</v>
      </c>
      <c r="G7" s="4">
        <v>400</v>
      </c>
      <c r="H7" s="4">
        <v>600</v>
      </c>
      <c r="I7" s="4">
        <f>H7-G7</f>
      </c>
      <c r="J7" s="4">
        <f>I7*16.67%</f>
      </c>
      <c r="K7" s="4">
        <f>H7/100*7</f>
      </c>
      <c r="L7" s="4">
        <f>K7*20%</f>
      </c>
      <c r="M7" s="4">
        <f>K7*2%</f>
      </c>
      <c r="N7" s="4">
        <f>M7*20%</f>
      </c>
      <c r="O7" s="4">
        <v>6.3</v>
      </c>
      <c r="P7" s="4">
        <f>O7*20%</f>
      </c>
      <c r="Q7" s="4">
        <v>1</v>
      </c>
      <c r="R7" s="4">
        <f>L7+N7+P7</f>
      </c>
      <c r="S7" s="4">
        <f>I7-J7-K7-L7-M7-N7-O7-P7-Q7</f>
      </c>
      <c r="T7" s="4">
        <f>(S7-AB7)/G7*100</f>
      </c>
      <c r="U7" s="4">
        <f>J7-R7</f>
      </c>
      <c r="V7" t="s">
        <v>1</v>
      </c>
      <c r="W7" t="s">
        <v>59</v>
      </c>
      <c r="AC7" s="4">
        <f>S7-AB7</f>
      </c>
      <c r="AD7" t="s">
        <v>62</v>
      </c>
      <c r="AE7" t="s">
        <v>63</v>
      </c>
    </row>
    <row r="8" spans="1:31" x14ac:dyDescent="0.25">
      <c r="A8" s="12">
        <v>46212.5</v>
      </c>
      <c r="B8" t="s">
        <v>76</v>
      </c>
      <c r="C8" t="s">
        <v>1</v>
      </c>
      <c r="D8" s="13" t="s">
        <v>77</v>
      </c>
      <c r="E8" t="s">
        <v>58</v>
      </c>
      <c r="F8">
        <v>1</v>
      </c>
      <c r="G8" s="4">
        <v>400</v>
      </c>
      <c r="H8" s="4">
        <v>600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6.3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59</v>
      </c>
      <c r="AC8" s="4">
        <f>S8-AB8</f>
      </c>
      <c r="AD8" t="s">
        <v>62</v>
      </c>
      <c r="AE8" t="s">
        <v>63</v>
      </c>
    </row>
    <row r="9" spans="1:29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12"/>
      <c r="D202" s="13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12"/>
      <c r="D203" s="13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12"/>
      <c r="D204" s="13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12"/>
      <c r="D205" s="13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12"/>
      <c r="D206" s="13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12"/>
      <c r="D207" s="13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12"/>
      <c r="D208" s="13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78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79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80</v>
      </c>
      <c r="M1" t="s">
        <v>81</v>
      </c>
      <c r="N1" t="s">
        <v>82</v>
      </c>
      <c r="O1" t="s">
        <v>83</v>
      </c>
      <c r="P1" t="s">
        <v>40</v>
      </c>
      <c r="Q1" t="s">
        <v>41</v>
      </c>
      <c r="R1" t="s">
        <v>84</v>
      </c>
      <c r="S1" t="s">
        <v>85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2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IF($H2="","",(H2*6.9%)-(H2*6.9%)*10%)</f>
      </c>
      <c r="L2" s="4">
        <f>IF($H2="","",H2*0.35%)</f>
      </c>
      <c r="M2" s="4">
        <v>0.4</v>
      </c>
      <c r="N2" s="4">
        <f>IF($H2="","",(K2+L2+M2)*20%)</f>
      </c>
      <c r="O2" s="4">
        <f>IF($H2="","",K2+L2+M2+N2)</f>
      </c>
      <c r="P2" s="4"/>
      <c r="Q2" s="4"/>
      <c r="R2" s="4"/>
      <c r="S2" s="4">
        <f>IF($H2="","",R2*20%)</f>
      </c>
      <c r="T2" s="4">
        <v>1</v>
      </c>
      <c r="U2" s="4">
        <f>IF($H2="","",N2+Q2+S2)</f>
      </c>
      <c r="V2" s="4">
        <f>IF($H2="","",I2-J2-O2-P2-Q2-R2-S2-T2)</f>
      </c>
      <c r="W2" s="4">
        <f>IF($H2="","",(V2-AE2)/H2*100)</f>
      </c>
      <c r="X2" s="4">
        <f>IF($H2="","",J2-U2)</f>
      </c>
      <c r="AF2" s="4">
        <f>IF($H2="","",V2-AE2)</f>
      </c>
    </row>
    <row r="3" spans="1:32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IF($H3="","",(H3*6.9%)-(H3*6.9%)*10%)</f>
      </c>
      <c r="L3" s="4">
        <f>IF($H3="","",H3*0.35%)</f>
      </c>
      <c r="M3" s="4">
        <v>0.4</v>
      </c>
      <c r="N3" s="4">
        <f>IF($H3="","",(K3+L3+M3)*20%)</f>
      </c>
      <c r="O3" s="4">
        <f>IF($H3="","",K3+L3+M3+N3)</f>
      </c>
      <c r="P3" s="4"/>
      <c r="Q3" s="4"/>
      <c r="R3" s="4"/>
      <c r="S3" s="4">
        <f>IF($H3="","",R3*20%)</f>
      </c>
      <c r="T3" s="4">
        <v>1</v>
      </c>
      <c r="U3" s="4">
        <f>IF($H3="","",N3+Q3+S3)</f>
      </c>
      <c r="V3" s="4">
        <f>IF($H3="","",I3-J3-O3-P3-Q3-R3-S3-T3)</f>
      </c>
      <c r="W3" s="4">
        <f>IF($H3="","",(V3-AE3)/H3*100)</f>
      </c>
      <c r="X3" s="4">
        <f>IF($H3="","",J3-U3)</f>
      </c>
      <c r="AF3" s="4">
        <f>IF($H3="","",V3-AE3)</f>
      </c>
    </row>
    <row r="4" spans="1:32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IF($H4="","",(H4*6.9%)-(H4*6.9%)*10%)</f>
      </c>
      <c r="L4" s="4">
        <f>IF($H4="","",H4*0.35%)</f>
      </c>
      <c r="M4" s="4">
        <v>0.4</v>
      </c>
      <c r="N4" s="4">
        <f>IF($H4="","",(K4+L4+M4)*20%)</f>
      </c>
      <c r="O4" s="4">
        <f>IF($H4="","",K4+L4+M4+N4)</f>
      </c>
      <c r="P4" s="4"/>
      <c r="Q4" s="4"/>
      <c r="R4" s="4"/>
      <c r="S4" s="4">
        <f>IF($H4="","",R4*20%)</f>
      </c>
      <c r="T4" s="4">
        <v>1</v>
      </c>
      <c r="U4" s="4">
        <f>IF($H4="","",N4+Q4+S4)</f>
      </c>
      <c r="V4" s="4">
        <f>IF($H4="","",I4-J4-O4-P4-Q4-R4-S4-T4)</f>
      </c>
      <c r="W4" s="4">
        <f>IF($H4="","",(V4-AE4)/H4*100)</f>
      </c>
      <c r="X4" s="4">
        <f>IF($H4="","",J4-U4)</f>
      </c>
      <c r="AF4" s="4">
        <f>IF($H4="","",V4-AE4)</f>
      </c>
    </row>
    <row r="5" spans="1:32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IFERROR((V202-AE202)/H202*100,0)</f>
      </c>
      <c r="X202" s="14">
        <f>SUM(X2:X201)</f>
      </c>
      <c r="Y202" s="7"/>
      <c r="Z202" s="7"/>
      <c r="AA202" s="7"/>
      <c r="AB202" s="7"/>
      <c r="AC202" s="7"/>
      <c r="AD202" s="7"/>
      <c r="AE202" s="14">
        <f>SUM(AE2:AE201)</f>
      </c>
      <c r="AF202" s="14">
        <f>SUM(AF2:AF201)</f>
      </c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86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F2" s="4"/>
      <c r="G2" s="4"/>
      <c r="H2" s="4">
        <f>IF($G2="","",G2-F2)</f>
      </c>
      <c r="I2" s="4">
        <f>IF($G2="","",H2*16.67%)</f>
      </c>
      <c r="J2" s="4">
        <f>IF($G2="","",G2*7%)</f>
      </c>
      <c r="K2" s="4">
        <f>IF($G2="","",J2*20%)</f>
      </c>
      <c r="L2" s="4"/>
      <c r="M2" s="4">
        <f>IF($G2="","",L2*20%)</f>
      </c>
      <c r="N2" s="4">
        <v>1</v>
      </c>
      <c r="O2" s="4">
        <f>IF($G2="","",K2+M2)</f>
      </c>
      <c r="P2" s="4">
        <f>IF($G2="","",H2-I2-J2-K2-L2-M2-N2)</f>
      </c>
      <c r="Q2" s="4">
        <f>IF($G2="","",(P2-Y2)/F2*100)</f>
      </c>
      <c r="R2" s="4">
        <f>IF($G2="","",I2-O2)</f>
      </c>
      <c r="Z2" s="4">
        <f>IF($G2="","",P2-Y2)</f>
      </c>
    </row>
    <row r="3" spans="1:26" x14ac:dyDescent="0.25">
      <c r="A3" s="12"/>
      <c r="D3" s="13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12"/>
      <c r="D4" s="13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12"/>
      <c r="D5" s="13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12"/>
      <c r="D6" s="13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12"/>
      <c r="D7" s="13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12"/>
      <c r="D8" s="13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12"/>
      <c r="D9" s="13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12"/>
      <c r="D10" s="13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12"/>
      <c r="D11" s="13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12"/>
      <c r="D12" s="13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12"/>
      <c r="D13" s="13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12"/>
      <c r="D14" s="13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12"/>
      <c r="D15" s="13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12"/>
      <c r="D16" s="13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12"/>
      <c r="D17" s="13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12"/>
      <c r="D18" s="13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12"/>
      <c r="D19" s="13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12"/>
      <c r="D20" s="13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12"/>
      <c r="D21" s="13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12"/>
      <c r="D22" s="13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12"/>
      <c r="D23" s="13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12"/>
      <c r="D24" s="13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12"/>
      <c r="D25" s="13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12"/>
      <c r="D26" s="13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12"/>
      <c r="D27" s="13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12"/>
      <c r="D28" s="13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12"/>
      <c r="D29" s="13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12"/>
      <c r="D30" s="13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12"/>
      <c r="D31" s="13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12"/>
      <c r="D32" s="13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12"/>
      <c r="D33" s="13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12"/>
      <c r="D34" s="13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12"/>
      <c r="D35" s="13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12"/>
      <c r="D36" s="13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12"/>
      <c r="D37" s="13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12"/>
      <c r="D38" s="13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12"/>
      <c r="D39" s="13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12"/>
      <c r="D40" s="13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12"/>
      <c r="D41" s="13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12"/>
      <c r="D42" s="13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12"/>
      <c r="D43" s="13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12"/>
      <c r="D44" s="13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12"/>
      <c r="D45" s="13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12"/>
      <c r="D46" s="13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12"/>
      <c r="D47" s="13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12"/>
      <c r="D48" s="13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12"/>
      <c r="D49" s="13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12"/>
      <c r="D50" s="13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12"/>
      <c r="D51" s="13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12"/>
      <c r="D52" s="13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12"/>
      <c r="D53" s="13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12"/>
      <c r="D54" s="13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12"/>
      <c r="D55" s="13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12"/>
      <c r="D56" s="13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12"/>
      <c r="D57" s="13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12"/>
      <c r="D58" s="13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12"/>
      <c r="D59" s="13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12"/>
      <c r="D60" s="13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12"/>
      <c r="D61" s="13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12"/>
      <c r="D62" s="13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12"/>
      <c r="D63" s="13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12"/>
      <c r="D64" s="13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12"/>
      <c r="D65" s="13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12"/>
      <c r="D66" s="13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12"/>
      <c r="D67" s="13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12"/>
      <c r="D68" s="13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12"/>
      <c r="D69" s="13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12"/>
      <c r="D70" s="13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12"/>
      <c r="D71" s="13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12"/>
      <c r="D72" s="13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12"/>
      <c r="D73" s="13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12"/>
      <c r="D74" s="13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12"/>
      <c r="D75" s="13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12"/>
      <c r="D76" s="13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12"/>
      <c r="D77" s="13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12"/>
      <c r="D78" s="13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12"/>
      <c r="D79" s="13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12"/>
      <c r="D80" s="13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12"/>
      <c r="D81" s="13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12"/>
      <c r="D82" s="13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12"/>
      <c r="D83" s="13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12"/>
      <c r="D84" s="13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12"/>
      <c r="D85" s="13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12"/>
      <c r="D86" s="13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12"/>
      <c r="D87" s="13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12"/>
      <c r="D88" s="13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12"/>
      <c r="D89" s="13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12"/>
      <c r="D90" s="13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12"/>
      <c r="D91" s="13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12"/>
      <c r="D92" s="13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12"/>
      <c r="D93" s="13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12"/>
      <c r="D94" s="13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12"/>
      <c r="D95" s="13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12"/>
      <c r="D96" s="13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12"/>
      <c r="D97" s="13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12"/>
      <c r="D98" s="13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12"/>
      <c r="D99" s="13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12"/>
      <c r="D100" s="13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12"/>
      <c r="D101" s="13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12"/>
      <c r="D102" s="13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12"/>
      <c r="D103" s="13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12"/>
      <c r="D104" s="13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12"/>
      <c r="D105" s="13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12"/>
      <c r="D106" s="13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12"/>
      <c r="D107" s="13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12"/>
      <c r="D108" s="13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12"/>
      <c r="D109" s="13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12"/>
      <c r="D110" s="13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12"/>
      <c r="D111" s="13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12"/>
      <c r="D112" s="13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12"/>
      <c r="D113" s="13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12"/>
      <c r="D114" s="13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12"/>
      <c r="D115" s="13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12"/>
      <c r="D116" s="13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12"/>
      <c r="D117" s="13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12"/>
      <c r="D118" s="13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12"/>
      <c r="D119" s="13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12"/>
      <c r="D120" s="13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12"/>
      <c r="D121" s="13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12"/>
      <c r="D122" s="13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12"/>
      <c r="D123" s="13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12"/>
      <c r="D124" s="13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12"/>
      <c r="D125" s="13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12"/>
      <c r="D126" s="13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12"/>
      <c r="D127" s="13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12"/>
      <c r="D128" s="13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12"/>
      <c r="D129" s="13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12"/>
      <c r="D130" s="13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12"/>
      <c r="D131" s="13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12"/>
      <c r="D132" s="13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12"/>
      <c r="D133" s="13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12"/>
      <c r="D134" s="13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12"/>
      <c r="D135" s="13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12"/>
      <c r="D136" s="13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12"/>
      <c r="D137" s="13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12"/>
      <c r="D138" s="13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12"/>
      <c r="D139" s="13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12"/>
      <c r="D140" s="13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12"/>
      <c r="D141" s="13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12"/>
      <c r="D142" s="13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12"/>
      <c r="D143" s="13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12"/>
      <c r="D144" s="13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12"/>
      <c r="D145" s="13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12"/>
      <c r="D146" s="13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12"/>
      <c r="D147" s="13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12"/>
      <c r="D148" s="13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12"/>
      <c r="D149" s="13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12"/>
      <c r="D150" s="13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12"/>
      <c r="D151" s="13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12"/>
      <c r="D152" s="13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12"/>
      <c r="D153" s="13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12"/>
      <c r="D154" s="13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12"/>
      <c r="D155" s="13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12"/>
      <c r="D156" s="13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12"/>
      <c r="D157" s="13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12"/>
      <c r="D158" s="13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12"/>
      <c r="D159" s="13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12"/>
      <c r="D160" s="13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12"/>
      <c r="D161" s="13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12"/>
      <c r="D162" s="13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12"/>
      <c r="D163" s="13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12"/>
      <c r="D164" s="13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12"/>
      <c r="D165" s="13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12"/>
      <c r="D166" s="13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12"/>
      <c r="D167" s="13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12"/>
      <c r="D168" s="13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12"/>
      <c r="D169" s="13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12"/>
      <c r="D170" s="13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12"/>
      <c r="D171" s="13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12"/>
      <c r="D172" s="13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12"/>
      <c r="D173" s="13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12"/>
      <c r="D174" s="13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12"/>
      <c r="D175" s="13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12"/>
      <c r="D176" s="13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12"/>
      <c r="D177" s="13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12"/>
      <c r="D178" s="13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12"/>
      <c r="D179" s="13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12"/>
      <c r="D180" s="13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12"/>
      <c r="D181" s="13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12"/>
      <c r="D182" s="13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12"/>
      <c r="D183" s="13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12"/>
      <c r="D184" s="13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12"/>
      <c r="D185" s="13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12"/>
      <c r="D186" s="13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12"/>
      <c r="D187" s="13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12"/>
      <c r="D188" s="13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12"/>
      <c r="D189" s="13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12"/>
      <c r="D190" s="13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12"/>
      <c r="D191" s="13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12"/>
      <c r="D192" s="13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12"/>
      <c r="D193" s="13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12"/>
      <c r="D194" s="13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12"/>
      <c r="D195" s="13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12"/>
      <c r="D196" s="13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12"/>
      <c r="D197" s="13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12"/>
      <c r="D198" s="13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12"/>
      <c r="D199" s="13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12"/>
      <c r="D200" s="13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12"/>
      <c r="D201" s="13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IFERROR((P202-Y202)/F202*100,0)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89</v>
      </c>
      <c r="B1" t="s">
        <v>90</v>
      </c>
    </row>
    <row r="2" spans="1:2" x14ac:dyDescent="0.25">
      <c r="A2" s="7" t="s">
        <v>91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92</v>
      </c>
      <c r="B6" s="4">
        <v>15.12</v>
      </c>
    </row>
    <row r="7" spans="1:2" x14ac:dyDescent="0.25">
      <c r="A7" s="7" t="s">
        <v>93</v>
      </c>
      <c r="B7" s="4">
        <v>15.12</v>
      </c>
    </row>
    <row r="9" spans="1:2" x14ac:dyDescent="0.25">
      <c r="A9" s="7" t="s">
        <v>94</v>
      </c>
      <c r="B9" s="7" t="s">
        <v>95</v>
      </c>
    </row>
    <row r="10" spans="1:2" x14ac:dyDescent="0.25">
      <c r="A10" s="7" t="s">
        <v>13</v>
      </c>
      <c r="B10" t="s">
        <v>96</v>
      </c>
    </row>
    <row r="12" spans="1:2" x14ac:dyDescent="0.25">
      <c r="A12" s="7" t="s">
        <v>97</v>
      </c>
      <c r="B12" t="s">
        <v>1</v>
      </c>
    </row>
    <row r="13" spans="1:2" x14ac:dyDescent="0.25">
      <c r="A13" t="s">
        <v>98</v>
      </c>
      <c r="B13" t="s">
        <v>99</v>
      </c>
    </row>
    <row r="14" spans="1:2" x14ac:dyDescent="0.25">
      <c r="A14" t="s">
        <v>100</v>
      </c>
      <c r="B14" t="s">
        <v>101</v>
      </c>
    </row>
    <row r="15" spans="1:2" x14ac:dyDescent="0.25">
      <c r="A15" t="s">
        <v>102</v>
      </c>
      <c r="B15" t="s">
        <v>103</v>
      </c>
    </row>
    <row r="17" spans="1:2" x14ac:dyDescent="0.25">
      <c r="A17" s="7" t="s">
        <v>104</v>
      </c>
      <c r="B17" t="s">
        <v>1</v>
      </c>
    </row>
    <row r="18" spans="1:2" x14ac:dyDescent="0.25">
      <c r="A18" t="s">
        <v>105</v>
      </c>
      <c r="B18" t="s">
        <v>106</v>
      </c>
    </row>
    <row r="19" spans="1:2" x14ac:dyDescent="0.25">
      <c r="A19" t="s">
        <v>107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49</v>
      </c>
      <c r="B1" t="s">
        <v>108</v>
      </c>
      <c r="C1" t="s">
        <v>48</v>
      </c>
      <c r="D1" t="s">
        <v>54</v>
      </c>
      <c r="E1" t="s">
        <v>55</v>
      </c>
      <c r="F1" t="s">
        <v>30</v>
      </c>
      <c r="G1" t="s">
        <v>109</v>
      </c>
      <c r="H1" t="s">
        <v>110</v>
      </c>
      <c r="I1" t="s">
        <v>4</v>
      </c>
      <c r="J1" t="s">
        <v>111</v>
      </c>
      <c r="K1" t="s">
        <v>50</v>
      </c>
      <c r="L1" t="s">
        <v>112</v>
      </c>
      <c r="M1" t="s">
        <v>47</v>
      </c>
      <c r="N1" t="s">
        <v>113</v>
      </c>
      <c r="O1" t="s">
        <v>52</v>
      </c>
      <c r="P1" t="s">
        <v>10</v>
      </c>
    </row>
    <row r="2" spans="1:16" x14ac:dyDescent="0.25">
      <c r="A2" s="8">
        <v>46240.5</v>
      </c>
      <c r="B2" s="10" t="s">
        <v>57</v>
      </c>
      <c r="C2" s="9" t="s">
        <v>59</v>
      </c>
      <c r="D2" s="9" t="s">
        <v>62</v>
      </c>
      <c r="E2" s="9" t="s">
        <v>63</v>
      </c>
      <c r="F2" s="9" t="s">
        <v>58</v>
      </c>
      <c r="G2" s="8">
        <v>46240.5</v>
      </c>
      <c r="H2" s="11">
        <v>610</v>
      </c>
      <c r="I2" s="9" t="s">
        <v>13</v>
      </c>
      <c r="J2" s="9" t="s">
        <v>114</v>
      </c>
      <c r="K2" s="9" t="s">
        <v>60</v>
      </c>
      <c r="L2" s="9" t="s">
        <v>115</v>
      </c>
      <c r="M2" s="9" t="s">
        <v>116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108</v>
      </c>
      <c r="B1" t="s">
        <v>48</v>
      </c>
      <c r="C1" t="s">
        <v>117</v>
      </c>
      <c r="D1" t="s">
        <v>118</v>
      </c>
      <c r="E1" t="s">
        <v>119</v>
      </c>
      <c r="F1" t="s">
        <v>120</v>
      </c>
      <c r="G1" t="s">
        <v>47</v>
      </c>
    </row>
    <row r="2" spans="1:7" x14ac:dyDescent="0.25">
      <c r="A2" s="13" t="s">
        <v>57</v>
      </c>
      <c r="B2" t="s">
        <v>59</v>
      </c>
      <c r="C2" s="12">
        <v>46180.5</v>
      </c>
      <c r="D2" t="s">
        <v>121</v>
      </c>
      <c r="E2" t="s">
        <v>58</v>
      </c>
      <c r="F2" s="4">
        <v>400</v>
      </c>
      <c r="G2" t="s">
        <v>1</v>
      </c>
    </row>
    <row r="3" spans="1:7" x14ac:dyDescent="0.25">
      <c r="A3" s="13" t="s">
        <v>57</v>
      </c>
      <c r="B3" t="s">
        <v>59</v>
      </c>
      <c r="C3" s="12">
        <v>46240.5</v>
      </c>
      <c r="D3" t="s">
        <v>122</v>
      </c>
      <c r="E3" t="s">
        <v>123</v>
      </c>
      <c r="F3" s="4">
        <v>620</v>
      </c>
      <c r="G3" t="s">
        <v>1</v>
      </c>
    </row>
    <row r="4" spans="1:7" x14ac:dyDescent="0.25">
      <c r="A4" s="13" t="s">
        <v>57</v>
      </c>
      <c r="B4" t="s">
        <v>59</v>
      </c>
      <c r="C4" s="12">
        <v>46240.5</v>
      </c>
      <c r="D4" t="s">
        <v>122</v>
      </c>
      <c r="E4" t="s">
        <v>124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59</v>
      </c>
      <c r="C5" s="8">
        <v>46240.5</v>
      </c>
      <c r="D5" s="9" t="s">
        <v>125</v>
      </c>
      <c r="E5" s="9" t="s">
        <v>126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59</v>
      </c>
      <c r="C6" s="8">
        <v>46240.5</v>
      </c>
      <c r="D6" s="9" t="s">
        <v>125</v>
      </c>
      <c r="E6" s="9" t="s">
        <v>127</v>
      </c>
      <c r="F6" s="11">
        <v>-15.12</v>
      </c>
      <c r="G6" s="9" t="s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2026-08-06T07:52:46Z</dcterms:created>
  <dcterms:modified xsi:type="dcterms:W3CDTF">2026-08-06T07:52:46Z</dcterms:modified>
</cp:coreProperties>
</file>