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<sst xmlns="http://schemas.openxmlformats.org/spreadsheetml/2006/main" count="363" uniqueCount="139">
  <si>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</si>
  <si>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</si>
  <si>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</si>
  <si>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</si>
  <si>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</si>
  <si>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</si>
  <si>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</si>
  <si>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</si>
  <si>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</si>
  <si>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</si>
  <si>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</si>
  <si>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</si>
  <si>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</si>
  <si>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</si>
  <si>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</si>
  <si>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</si>
  <si>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</si>
  <si>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</si>
  <si>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</si>
  <si>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</si>
  <si>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</si>
  <si>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</si>
  <si>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</si>
  <si>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</si>
  <si>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</si>
  <si>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</si>
  <si>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</si>
  <si>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</si>
  <si>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</si>
  <si>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</si>
  <si>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</si>
  <si>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</si>
  <si>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</si>
  <si>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</si>
  <si>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</si>
  <si>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</si>
  <si>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</si>
  <si>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</si>
  <si>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</si>
  <si>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</si>
  <si>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</si>
  <si>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</si>
  <si>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</si>
  <si>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</si>
  <si>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</si>
  <si>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</si>
  <si>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</si>
  <si>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</si>
  <si>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</si>
  <si>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</si>
  <si>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</si>
  <si>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</si>
  <si>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</si>
  <si>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</si>
  <si>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</si>
  <si>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</si>
  <si>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FIX-RESOLD-1</t>
  </si>
  <si>
    <t>350770000000301</t>
  </si>
  <si>
    <t>FIXVERIFY 15</t>
  </si>
  <si>
    <t>BLACK</t>
  </si>
  <si>
    <t>256GB</t>
  </si>
  <si>
    <t>FIXVERIFY WHOLESALE</t>
  </si>
  <si>
    <t>In Repair</t>
  </si>
  <si>
    <t>In Repair — Faulty again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</si>
  <si>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</si>
  <si>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</si>
  <si>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</si>
  <si>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</si>
  <si>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</si>
  <si>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</si>
  <si>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</si>
  <si>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</si>
  <si>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</si>
  <si>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</si>
  <si>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</si>
  <si>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</si>
  <si>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</si>
  <si>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</si>
  <si>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</si>
  <si>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</si>
  <si>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</si>
  <si>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</si>
  <si>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</si>
  <si>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</si>
  <si>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</si>
  <si>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</si>
  <si>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</si>
  <si>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</si>
  <si>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</si>
  <si>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</si>
  <si>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</si>
  <si>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</si>
  <si>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</si>
  <si>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</si>
  <si>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</si>
  <si>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</si>
  <si>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</si>
  <si>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</si>
  <si>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</si>
  <si>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</si>
  <si>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</si>
  <si>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</si>
  <si>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</si>
  <si>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</si>
  <si>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</si>
  <si>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</si>
  <si>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</si>
  <si>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</si>
  <si>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</si>
  <si>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</si>
  <si>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</si>
  <si>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</si>
  <si>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</si>
  <si>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</si>
  <si>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</si>
  <si>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</si>
  <si>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</si>
  <si>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2026-08-07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</si>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</sst>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513.20+SUM('AMAZON'!$V$9:$V$208)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s="9" t="s">
        <v>56</v>
      </c>
      <c r="C2" s="9" t="s">
        <v>1</v>
      </c>
      <c r="D2" s="10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9">
        <v>1</v>
      </c>
      <c r="J2" s="11">
        <v>400</v>
      </c>
      <c r="K2" s="11">
        <v>610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46241.5</v>
      </c>
      <c r="AB2" s="9" t="s">
        <v>62</v>
      </c>
      <c r="AC2" s="9">
        <v>2</v>
      </c>
      <c r="AD2" s="9" t="s">
        <v>63</v>
      </c>
      <c r="AE2" s="9" t="s">
        <v>1</v>
      </c>
    </row>
    <row r="3" spans="1:31" x14ac:dyDescent="0.25">
      <c r="A3" s="12">
        <v>46241.5</v>
      </c>
      <c r="B3" t="s">
        <v>64</v>
      </c>
      <c r="C3" t="s">
        <v>1</v>
      </c>
      <c r="D3" s="13" t="s">
        <v>65</v>
      </c>
      <c r="E3" t="s">
        <v>66</v>
      </c>
      <c r="F3" t="s">
        <v>59</v>
      </c>
      <c r="G3" t="s">
        <v>67</v>
      </c>
      <c r="H3" t="s">
        <v>61</v>
      </c>
      <c r="I3">
        <v>1</v>
      </c>
      <c r="J3" s="4">
        <v>200</v>
      </c>
      <c r="K3" s="4">
        <v>330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6.3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(V3-Y3)/J3*100</f>
      </c>
      <c r="X3" s="4">
        <f>M3-U3</f>
      </c>
      <c r="Z3" s="4">
        <f>V3-Y3</f>
      </c>
      <c r="AE3" t="s">
        <v>1</v>
      </c>
    </row>
    <row r="4" spans="1:31" x14ac:dyDescent="0.25">
      <c r="A4" s="8">
        <v>46241.5</v>
      </c>
      <c r="B4" s="9" t="s">
        <v>68</v>
      </c>
      <c r="C4" s="9" t="s">
        <v>1</v>
      </c>
      <c r="D4" s="10" t="s">
        <v>57</v>
      </c>
      <c r="E4" s="9" t="s">
        <v>58</v>
      </c>
      <c r="F4" s="9" t="s">
        <v>59</v>
      </c>
      <c r="G4" s="9" t="s">
        <v>60</v>
      </c>
      <c r="H4" s="9" t="s">
        <v>61</v>
      </c>
      <c r="I4" s="9">
        <v>1</v>
      </c>
      <c r="J4" s="11">
        <v>400</v>
      </c>
      <c r="K4" s="11">
        <v>620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6.3</v>
      </c>
      <c r="S4" s="11">
        <f>R4*20%</f>
      </c>
      <c r="T4" s="11">
        <v>1</v>
      </c>
      <c r="U4" s="11">
        <f>O4+Q4+S4</f>
      </c>
      <c r="V4" s="11">
        <v>0</v>
      </c>
      <c r="W4" s="11">
        <f>(V4-Y4)/J4*100</f>
      </c>
      <c r="X4" s="11">
        <f>M4-U4</f>
      </c>
      <c r="Y4" s="11">
        <v>15.12</v>
      </c>
      <c r="Z4" s="11">
        <f>V4-Y4</f>
      </c>
      <c r="AA4" s="8">
        <v>46241.5</v>
      </c>
      <c r="AB4" s="9" t="s">
        <v>62</v>
      </c>
      <c r="AC4" s="9">
        <v>2</v>
      </c>
      <c r="AD4" s="9" t="s">
        <v>69</v>
      </c>
      <c r="AE4" s="9" t="s">
        <v>1</v>
      </c>
    </row>
    <row r="5" spans="1:31" x14ac:dyDescent="0.25">
      <c r="A5" s="12">
        <v>46241.5</v>
      </c>
      <c r="B5" t="s">
        <v>70</v>
      </c>
      <c r="C5" t="s">
        <v>1</v>
      </c>
      <c r="D5" s="13" t="s">
        <v>71</v>
      </c>
      <c r="E5" t="s">
        <v>58</v>
      </c>
      <c r="F5" t="s">
        <v>59</v>
      </c>
      <c r="G5" t="s">
        <v>60</v>
      </c>
      <c r="H5" t="s">
        <v>61</v>
      </c>
      <c r="I5">
        <v>1</v>
      </c>
      <c r="J5" s="4">
        <v>400</v>
      </c>
      <c r="K5" s="4">
        <v>620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6.3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(V5-Y5)/J5*100</f>
      </c>
      <c r="X5" s="4">
        <f>M5-U5</f>
      </c>
      <c r="Z5" s="4">
        <f>V5-Y5</f>
      </c>
      <c r="AE5" t="s">
        <v>1</v>
      </c>
    </row>
    <row r="6" spans="1:31" x14ac:dyDescent="0.25">
      <c r="A6" s="12">
        <v>46213.5</v>
      </c>
      <c r="B6" t="s">
        <v>72</v>
      </c>
      <c r="C6" t="s">
        <v>1</v>
      </c>
      <c r="D6" s="13" t="s">
        <v>73</v>
      </c>
      <c r="E6" t="s">
        <v>58</v>
      </c>
      <c r="F6" t="s">
        <v>59</v>
      </c>
      <c r="G6" t="s">
        <v>60</v>
      </c>
      <c r="H6" t="s">
        <v>61</v>
      </c>
      <c r="I6">
        <v>1</v>
      </c>
      <c r="J6" s="4">
        <v>400</v>
      </c>
      <c r="K6" s="4">
        <v>600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(V6-Y6)/J6*100</f>
      </c>
      <c r="X6" s="4">
        <f>M6-U6</f>
      </c>
      <c r="Z6" s="4">
        <f>V6-Y6</f>
      </c>
      <c r="AE6" t="s">
        <v>1</v>
      </c>
    </row>
    <row r="7" spans="1:31" x14ac:dyDescent="0.25">
      <c r="A7" s="12">
        <v>46213.5</v>
      </c>
      <c r="B7" t="s">
        <v>74</v>
      </c>
      <c r="C7" t="s">
        <v>1</v>
      </c>
      <c r="D7" s="13" t="s">
        <v>75</v>
      </c>
      <c r="E7" t="s">
        <v>58</v>
      </c>
      <c r="F7" t="s">
        <v>59</v>
      </c>
      <c r="G7" t="s">
        <v>60</v>
      </c>
      <c r="H7" t="s">
        <v>61</v>
      </c>
      <c r="I7">
        <v>1</v>
      </c>
      <c r="J7" s="4">
        <v>400</v>
      </c>
      <c r="K7" s="4">
        <v>600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(V7-Y7)/J7*100</f>
      </c>
      <c r="X7" s="4">
        <f>M7-U7</f>
      </c>
      <c r="Z7" s="4">
        <f>V7-Y7</f>
      </c>
      <c r="AE7" t="s">
        <v>1</v>
      </c>
    </row>
    <row r="8" spans="1:31" x14ac:dyDescent="0.25">
      <c r="A8" s="12">
        <v>46213.5</v>
      </c>
      <c r="B8" t="s">
        <v>76</v>
      </c>
      <c r="C8" t="s">
        <v>1</v>
      </c>
      <c r="D8" s="13" t="s">
        <v>77</v>
      </c>
      <c r="E8" t="s">
        <v>58</v>
      </c>
      <c r="F8" t="s">
        <v>59</v>
      </c>
      <c r="G8" t="s">
        <v>60</v>
      </c>
      <c r="H8" t="s">
        <v>61</v>
      </c>
      <c r="I8">
        <v>1</v>
      </c>
      <c r="J8" s="4">
        <v>400</v>
      </c>
      <c r="K8" s="4">
        <v>600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12"/>
      <c r="D205" s="13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12"/>
      <c r="D206" s="13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12"/>
      <c r="D207" s="13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12"/>
      <c r="D208" s="13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78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79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80</v>
      </c>
      <c r="P1" t="s">
        <v>81</v>
      </c>
      <c r="Q1" t="s">
        <v>82</v>
      </c>
      <c r="R1" t="s">
        <v>83</v>
      </c>
      <c r="S1" t="s">
        <v>43</v>
      </c>
      <c r="T1" t="s">
        <v>44</v>
      </c>
      <c r="U1" t="s">
        <v>84</v>
      </c>
      <c r="V1" t="s">
        <v>85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IF($K2="","",(Y2-AB2)/K2*100)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IF($K3="","",(Y3-AB3)/K3*100)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IF($K4="","",(Y4-AB4)/K4*100)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86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88</v>
      </c>
    </row>
    <row r="2" ht="46" customHeight="1" spans="1:1" x14ac:dyDescent="0.25">
      <c r="A2" s="2" t="s">
        <v>89</v>
      </c>
    </row>
    <row r="4" spans="1:16" s="3" customFormat="1" x14ac:dyDescent="0.25">
      <c r="A4" s="3" t="s">
        <v>4</v>
      </c>
      <c r="B4" s="3" t="s">
        <v>5</v>
      </c>
      <c r="C4" s="3" t="s">
        <v>90</v>
      </c>
      <c r="D4" s="3" t="s">
        <v>9</v>
      </c>
      <c r="E4" s="3" t="s">
        <v>91</v>
      </c>
      <c r="F4" s="3" t="s">
        <v>6</v>
      </c>
      <c r="G4" s="3" t="s">
        <v>7</v>
      </c>
      <c r="H4" s="3" t="s">
        <v>8</v>
      </c>
      <c r="I4" s="3" t="s">
        <v>92</v>
      </c>
      <c r="J4" s="3" t="s">
        <v>93</v>
      </c>
      <c r="K4" s="3" t="s">
        <v>94</v>
      </c>
      <c r="L4" s="3" t="s">
        <v>95</v>
      </c>
      <c r="M4" s="3" t="s">
        <v>96</v>
      </c>
      <c r="N4" s="3" t="s">
        <v>11</v>
      </c>
      <c r="O4" s="3" t="s">
        <v>12</v>
      </c>
      <c r="P4" s="3" t="s">
        <v>97</v>
      </c>
    </row>
    <row r="5" spans="1:16" x14ac:dyDescent="0.25">
      <c r="A5" t="s">
        <v>13</v>
      </c>
      <c r="B5">
        <v>5</v>
      </c>
      <c r="C5" s="4">
        <v>2750</v>
      </c>
      <c r="D5" s="4">
        <v>513.2</v>
      </c>
      <c r="E5">
        <v>2</v>
      </c>
      <c r="F5">
        <v>0</v>
      </c>
      <c r="G5">
        <v>0</v>
      </c>
      <c r="H5">
        <v>2</v>
      </c>
      <c r="I5">
        <v>0</v>
      </c>
      <c r="J5" s="4">
        <v>30.24</v>
      </c>
      <c r="K5" s="4">
        <v>0</v>
      </c>
      <c r="L5" s="4">
        <v>0</v>
      </c>
      <c r="M5" s="4">
        <v>30.24</v>
      </c>
      <c r="N5" s="4">
        <v>482.96000000000004</v>
      </c>
      <c r="O5" s="4">
        <v>17.56218181818182</v>
      </c>
      <c r="P5">
        <v>2</v>
      </c>
    </row>
    <row r="6" spans="1:16" s="3" customFormat="1" x14ac:dyDescent="0.25">
      <c r="A6" s="3" t="s">
        <v>18</v>
      </c>
      <c r="B6" s="3">
        <v>5</v>
      </c>
      <c r="C6" s="15">
        <v>2750</v>
      </c>
      <c r="D6" s="15">
        <v>513.2</v>
      </c>
      <c r="E6" s="3">
        <v>2</v>
      </c>
      <c r="F6" s="3">
        <v>0</v>
      </c>
      <c r="G6" s="3">
        <v>0</v>
      </c>
      <c r="H6" s="3">
        <v>2</v>
      </c>
      <c r="I6" s="3">
        <v>0</v>
      </c>
      <c r="J6" s="15">
        <v>30.24</v>
      </c>
      <c r="K6" s="15">
        <v>0</v>
      </c>
      <c r="L6" s="15">
        <v>0</v>
      </c>
      <c r="M6" s="15">
        <v>30.24</v>
      </c>
      <c r="N6" s="15">
        <v>482.96000000000004</v>
      </c>
      <c r="O6" s="15">
        <v>17.56218181818182</v>
      </c>
      <c r="P6" s="3">
        <v>2</v>
      </c>
    </row>
    <row r="8" ht="28" customHeight="1" spans="1:1" x14ac:dyDescent="0.25">
      <c r="A8" s="16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100</v>
      </c>
      <c r="B1" t="s">
        <v>101</v>
      </c>
    </row>
    <row r="2" spans="1:2" x14ac:dyDescent="0.25">
      <c r="A2" s="7" t="s">
        <v>102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103</v>
      </c>
      <c r="B6" s="4">
        <v>15.12</v>
      </c>
    </row>
    <row r="7" spans="1:2" x14ac:dyDescent="0.25">
      <c r="A7" s="7" t="s">
        <v>104</v>
      </c>
      <c r="B7" s="4">
        <v>15.12</v>
      </c>
    </row>
    <row r="9" spans="1:2" x14ac:dyDescent="0.25">
      <c r="A9" s="7" t="s">
        <v>105</v>
      </c>
      <c r="B9" s="7" t="s">
        <v>106</v>
      </c>
    </row>
    <row r="10" spans="1:2" x14ac:dyDescent="0.25">
      <c r="A10" s="7" t="s">
        <v>13</v>
      </c>
      <c r="B10" t="s">
        <v>107</v>
      </c>
    </row>
    <row r="12" spans="1:2" x14ac:dyDescent="0.25">
      <c r="A12" s="7" t="s">
        <v>108</v>
      </c>
      <c r="B12" t="s">
        <v>1</v>
      </c>
    </row>
    <row r="13" spans="1:2" x14ac:dyDescent="0.25">
      <c r="A13" t="s">
        <v>109</v>
      </c>
      <c r="B13" t="s">
        <v>110</v>
      </c>
    </row>
    <row r="14" spans="1:2" x14ac:dyDescent="0.25">
      <c r="A14" t="s">
        <v>111</v>
      </c>
      <c r="B14" t="s">
        <v>112</v>
      </c>
    </row>
    <row r="15" spans="1:2" x14ac:dyDescent="0.25">
      <c r="A15" t="s">
        <v>113</v>
      </c>
      <c r="B15" t="s">
        <v>114</v>
      </c>
    </row>
    <row r="17" spans="1:2" x14ac:dyDescent="0.25">
      <c r="A17" s="7" t="s">
        <v>115</v>
      </c>
      <c r="B17" t="s">
        <v>1</v>
      </c>
    </row>
    <row r="18" spans="1:2" x14ac:dyDescent="0.25">
      <c r="A18" t="s">
        <v>116</v>
      </c>
      <c r="B18" t="s">
        <v>117</v>
      </c>
    </row>
    <row r="19" spans="1:2" x14ac:dyDescent="0.25">
      <c r="A19" t="s">
        <v>118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119</v>
      </c>
      <c r="C1" t="s">
        <v>30</v>
      </c>
      <c r="D1" t="s">
        <v>32</v>
      </c>
      <c r="E1" t="s">
        <v>31</v>
      </c>
      <c r="F1" t="s">
        <v>33</v>
      </c>
      <c r="G1" t="s">
        <v>120</v>
      </c>
      <c r="H1" t="s">
        <v>121</v>
      </c>
      <c r="I1" t="s">
        <v>4</v>
      </c>
      <c r="J1" t="s">
        <v>122</v>
      </c>
      <c r="K1" t="s">
        <v>52</v>
      </c>
      <c r="L1" t="s">
        <v>123</v>
      </c>
      <c r="M1" t="s">
        <v>55</v>
      </c>
      <c r="N1" t="s">
        <v>124</v>
      </c>
      <c r="O1" t="s">
        <v>53</v>
      </c>
      <c r="P1" t="s">
        <v>10</v>
      </c>
    </row>
    <row r="2" spans="1:16" x14ac:dyDescent="0.25">
      <c r="A2" s="8">
        <v>46241.5</v>
      </c>
      <c r="B2" s="10" t="s">
        <v>57</v>
      </c>
      <c r="C2" s="9" t="s">
        <v>58</v>
      </c>
      <c r="D2" s="9" t="s">
        <v>60</v>
      </c>
      <c r="E2" s="9" t="s">
        <v>59</v>
      </c>
      <c r="F2" s="9" t="s">
        <v>61</v>
      </c>
      <c r="G2" s="8">
        <v>46241.5</v>
      </c>
      <c r="H2" s="11">
        <v>610</v>
      </c>
      <c r="I2" s="9" t="s">
        <v>13</v>
      </c>
      <c r="J2" s="9" t="s">
        <v>125</v>
      </c>
      <c r="K2" s="9" t="s">
        <v>62</v>
      </c>
      <c r="L2" s="9" t="s">
        <v>126</v>
      </c>
      <c r="M2" s="9" t="s">
        <v>127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119</v>
      </c>
      <c r="B1" t="s">
        <v>30</v>
      </c>
      <c r="C1" t="s">
        <v>128</v>
      </c>
      <c r="D1" t="s">
        <v>129</v>
      </c>
      <c r="E1" t="s">
        <v>130</v>
      </c>
      <c r="F1" t="s">
        <v>131</v>
      </c>
      <c r="G1" t="s">
        <v>55</v>
      </c>
    </row>
    <row r="2" spans="1:7" x14ac:dyDescent="0.25">
      <c r="A2" s="13" t="s">
        <v>57</v>
      </c>
      <c r="B2" t="s">
        <v>58</v>
      </c>
      <c r="C2" s="12">
        <v>46181.5</v>
      </c>
      <c r="D2" t="s">
        <v>132</v>
      </c>
      <c r="E2" t="s">
        <v>61</v>
      </c>
      <c r="F2" s="4">
        <v>400</v>
      </c>
      <c r="G2" t="s">
        <v>1</v>
      </c>
    </row>
    <row r="3" spans="1:7" x14ac:dyDescent="0.25">
      <c r="A3" s="13" t="s">
        <v>57</v>
      </c>
      <c r="B3" t="s">
        <v>58</v>
      </c>
      <c r="C3" s="12">
        <v>46241.5</v>
      </c>
      <c r="D3" t="s">
        <v>133</v>
      </c>
      <c r="E3" t="s">
        <v>134</v>
      </c>
      <c r="F3" s="4">
        <v>620</v>
      </c>
      <c r="G3" t="s">
        <v>1</v>
      </c>
    </row>
    <row r="4" spans="1:7" x14ac:dyDescent="0.25">
      <c r="A4" s="13" t="s">
        <v>57</v>
      </c>
      <c r="B4" t="s">
        <v>58</v>
      </c>
      <c r="C4" s="12">
        <v>46241.5</v>
      </c>
      <c r="D4" t="s">
        <v>133</v>
      </c>
      <c r="E4" t="s">
        <v>135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58</v>
      </c>
      <c r="C5" s="8">
        <v>46241.5</v>
      </c>
      <c r="D5" s="9" t="s">
        <v>136</v>
      </c>
      <c r="E5" s="9" t="s">
        <v>137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58</v>
      </c>
      <c r="C6" s="8">
        <v>46241.5</v>
      </c>
      <c r="D6" s="9" t="s">
        <v>136</v>
      </c>
      <c r="E6" s="9" t="s">
        <v>138</v>
      </c>
      <c r="F6" s="11">
        <v>-15.12</v>
      </c>
      <c r="G6" s="9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2026-08-07T16:13:59Z</dcterms:created>
  <dcterms:modified xsi:type="dcterms:W3CDTF">2026-08-07T16:13:59Z</dcterms:modified>
</cp:coreProperties>
</file>