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<sst xmlns="http://schemas.openxmlformats.org/spreadsheetml/2006/main" count="188" uniqueCount="67">
  <si>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</si>
  <si>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</si>
  <si>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</si>
  <si>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</si>
  <si>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</si>
  <si>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</si>
  <si>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</si>
  <si>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</si>
  <si>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</si>
  <si>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</si>
  <si>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</si>
  <si>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</si>
  <si>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</si>
  <si>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</si>
  <si>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</si>
  <si>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</si>
  <si>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</si>
  <si>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</si>
  <si>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</si>
  <si>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</si>
  <si>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</si>
  <si>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</si>
  <si>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</si>
  <si>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</si>
  <si>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</si>
  <si>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</si>
  <si>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</si>
  <si>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</si>
  <si>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</si>
  <si>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</si>
  <si>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</si>
  <si>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</si>
  <si>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</si>
  <si>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</si>
  <si>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</si>
  <si>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</si>
  <si>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</si>
  <si>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</si>
  <si>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</si>
  <si>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</si>
  <si>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</si>
  <si>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</si>
  <si>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</si>
  <si>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</si>
  <si>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</si>
  <si>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</si>
  <si>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</si>
  <si>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</si>
  <si>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</si>
  <si>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</si>
  <si>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</si>
  <si>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</si>
  <si>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</si>
  <si>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</si>
  <si>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</si>
  <si>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</si>
  <si>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</si>
  <si>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</si>
  <si>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</si>
  <si>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</si>
  <si>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</si>
  <si>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</si>
  <si>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</si>
  <si>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PO-210-07053322437751959</t>
  </si>
  <si>
    <t>Samsung Galaxy A17 128GB</t>
  </si>
  <si>
    <t>350901801557294</t>
  </si>
  <si>
    <t>MHL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</si>
</sst>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9.72</v>
      </c>
      <c r="G9" s="3">
        <v>0</v>
      </c>
      <c r="H9" s="3">
        <v>9.72</v>
      </c>
      <c r="I9" s="3">
        <v>17.67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9.72</v>
      </c>
      <c r="G10" s="5">
        <v>0</v>
      </c>
      <c r="H10" s="5">
        <v>9.72</v>
      </c>
      <c r="I10" s="5">
        <v>17.67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24</v>
      </c>
      <c r="B1" s="2" t="s">
        <v>25</v>
      </c>
      <c r="C1" s="2" t="s">
        <v>3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9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" x14ac:dyDescent="0.25">
      <c r="A2" s="7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53</v>
      </c>
      <c r="M1" t="s">
        <v>36</v>
      </c>
      <c r="N1" t="s">
        <v>46</v>
      </c>
      <c r="O1" t="s">
        <v>47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54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55</v>
      </c>
      <c r="M1" t="s">
        <v>56</v>
      </c>
      <c r="N1" t="s">
        <v>57</v>
      </c>
      <c r="O1" t="s">
        <v>58</v>
      </c>
      <c r="P1" t="s">
        <v>36</v>
      </c>
      <c r="Q1" t="s">
        <v>46</v>
      </c>
      <c r="R1" t="s">
        <v>59</v>
      </c>
      <c r="S1" t="s">
        <v>60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37</v>
      </c>
      <c r="Z1" t="s">
        <v>25</v>
      </c>
      <c r="AA1" t="s">
        <v>30</v>
      </c>
      <c r="AB1" t="s">
        <v>31</v>
      </c>
      <c r="AC1" t="s">
        <v>32</v>
      </c>
      <c r="AD1" t="s">
        <v>52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33</v>
      </c>
      <c r="G1" t="s">
        <v>34</v>
      </c>
      <c r="H1" t="s">
        <v>35</v>
      </c>
      <c r="I1" t="s">
        <v>41</v>
      </c>
      <c r="J1" t="s">
        <v>42</v>
      </c>
      <c r="K1" t="s">
        <v>61</v>
      </c>
      <c r="L1" t="s">
        <v>36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"/>
  <sheetFormatPr defaultRowHeight="15" outlineLevelRow="0" outlineLevelCol="0" x14ac:dyDescent="55"/>
  <sheetData>
    <row r="1" spans="1:26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62</v>
      </c>
      <c r="M1" t="s">
        <v>36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51</v>
      </c>
      <c r="T1" t="s">
        <v>37</v>
      </c>
      <c r="U1" t="s">
        <v>25</v>
      </c>
      <c r="V1" t="s">
        <v>30</v>
      </c>
      <c r="W1" t="s">
        <v>31</v>
      </c>
      <c r="X1" t="s">
        <v>32</v>
      </c>
      <c r="Y1" t="s">
        <v>52</v>
      </c>
      <c r="Z1" t="s">
        <v>10</v>
      </c>
    </row>
    <row r="2" spans="1:26" x14ac:dyDescent="0.25">
      <c r="A2" s="8">
        <v>46191.5</v>
      </c>
      <c r="B2" t="s">
        <v>63</v>
      </c>
      <c r="C2" t="s">
        <v>64</v>
      </c>
      <c r="D2" s="9" t="s">
        <v>65</v>
      </c>
      <c r="E2" t="s">
        <v>66</v>
      </c>
      <c r="F2">
        <v>1</v>
      </c>
      <c r="G2" s="3">
        <v>55</v>
      </c>
      <c r="H2" s="3">
        <v>83.99</v>
      </c>
      <c r="I2" s="3">
        <f>H2-G2</f>
      </c>
      <c r="J2" s="3">
        <f>I2*16.67%</f>
      </c>
      <c r="K2" s="3">
        <v>3.87</v>
      </c>
      <c r="L2" s="3">
        <v>4.07</v>
      </c>
      <c r="M2" s="3">
        <v>6.3</v>
      </c>
      <c r="N2" s="3">
        <f>M2*20%</f>
      </c>
      <c r="O2" s="3">
        <v>1</v>
      </c>
      <c r="P2" s="3">
        <f>N2</f>
      </c>
      <c r="Q2" s="3">
        <f>I2-J2-K2-M2-N2-O2</f>
      </c>
      <c r="R2" s="3">
        <f>(Q2-Y2)/G2*100</f>
      </c>
      <c r="S2" s="3">
        <f>J2-P2</f>
      </c>
      <c r="T2" t="s">
        <v>1</v>
      </c>
      <c r="Z2" s="3">
        <f>Q2-Y2</f>
      </c>
    </row>
    <row r="3" spans="1:26" s="6" customFormat="1" x14ac:dyDescent="0.25">
      <c r="A3" s="2" t="s">
        <v>17</v>
      </c>
      <c r="B3" s="6"/>
      <c r="C3" s="6"/>
      <c r="D3" s="6"/>
      <c r="E3" s="6"/>
      <c r="F3" s="10">
        <f>SUM(F2:F2)</f>
      </c>
      <c r="G3" s="10">
        <f>SUM(G2:G2)</f>
      </c>
      <c r="H3" s="10">
        <f>SUM(H2:H2)</f>
      </c>
      <c r="I3" s="10">
        <f>SUM(I2:I2)</f>
      </c>
      <c r="J3" s="10">
        <f>SUM(J2:J2)</f>
      </c>
      <c r="K3" s="10">
        <f>SUM(K2:K2)</f>
      </c>
      <c r="L3" s="10">
        <f>SUM(L2:L2)</f>
      </c>
      <c r="M3" s="10">
        <f>SUM(M2:M2)</f>
      </c>
      <c r="N3" s="10">
        <f>SUM(N2:N2)</f>
      </c>
      <c r="O3" s="10">
        <f>SUM(O2:O2)</f>
      </c>
      <c r="P3" s="10">
        <f>SUM(P2:P2)</f>
      </c>
      <c r="Q3" s="10">
        <f>SUM(Q2:Q2)</f>
      </c>
      <c r="R3" s="10">
        <f>IFERROR((Q3-Y3)/G3*100,0)</f>
      </c>
      <c r="S3" s="10">
        <f>SUM(S2:S2)</f>
      </c>
      <c r="T3" s="6"/>
      <c r="U3" s="6"/>
      <c r="V3" s="6"/>
      <c r="W3" s="6"/>
      <c r="X3" s="6"/>
      <c r="Y3" s="10">
        <f>SUM(Y2:Y2)</f>
      </c>
      <c r="Z3" s="10">
        <f>SUM(Z2:Z2)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2026-07-26T19:11:07Z</dcterms:created>
  <dcterms:modified xsi:type="dcterms:W3CDTF">2026-07-26T19:11:07Z</dcterms:modified>
</cp:coreProperties>
</file>