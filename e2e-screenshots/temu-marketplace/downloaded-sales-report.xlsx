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<sst xmlns="http://schemas.openxmlformats.org/spreadsheetml/2006/main" count="303" uniqueCount="124">
  <si>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</si>
  <si>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</si>
  <si>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</si>
  <si>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</si>
  <si>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</si>
  <si>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</si>
  <si>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</si>
  <si>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</si>
  <si>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</si>
  <si>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</si>
  <si>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</si>
  <si>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</si>
  <si>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</si>
  <si>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</si>
  <si>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</si>
  <si>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</si>
  <si>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</si>
  <si>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</si>
  <si>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</si>
  <si>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</si>
  <si>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</si>
  <si>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</si>
  <si>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</si>
  <si>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</si>
  <si>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</si>
  <si>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</si>
  <si>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</si>
  <si>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</si>
  <si>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</si>
  <si>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</si>
  <si>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</si>
  <si>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</si>
  <si>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</si>
  <si>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</si>
  <si>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</si>
  <si>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</si>
  <si>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</si>
  <si>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</si>
  <si>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</si>
  <si>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</si>
  <si>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</si>
  <si>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</si>
  <si>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</si>
  <si>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</si>
  <si>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</si>
  <si>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</si>
  <si>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</si>
  <si>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</si>
  <si>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</si>
  <si>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</si>
  <si>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</si>
  <si>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</si>
  <si>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</si>
  <si>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</si>
  <si>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</si>
  <si>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</si>
  <si>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</si>
  <si>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</si>
  <si>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</si>
  <si>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</si>
  <si>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</si>
  <si>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</si>
  <si>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</si>
  <si>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</si>
  <si>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</si>
  <si>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</si>
  <si>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</si>
  <si>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</si>
  <si>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</si>
  <si>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</si>
  <si>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</si>
  <si>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</si>
  <si>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</si>
  <si>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</si>
  <si>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</si>
  <si>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PO-210-07053322437751959</t>
  </si>
  <si>
    <t>SG-A17-128GB-OB</t>
  </si>
  <si>
    <t>350901801557294</t>
  </si>
  <si>
    <t>Samsung Galaxy A17 128GB</t>
  </si>
  <si>
    <t>Black</t>
  </si>
  <si>
    <t>128GB</t>
  </si>
  <si>
    <t>MHL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</si>
  <si>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</si>
  <si>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</si>
  <si>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</si>
  <si>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</si>
  <si>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</si>
  <si>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</si>
  <si>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</si>
  <si>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</si>
  <si>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</si>
  <si>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</si>
  <si>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Name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</si>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</sst>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0+COUNT('AMAZON'!$H$2:$H$201)</f>
      </c>
      <c r="C6">
        <v>0</v>
      </c>
      <c r="D6">
        <v>0</v>
      </c>
      <c r="E6">
        <v>0</v>
      </c>
      <c r="F6" s="4">
        <f>0.00+SUM('AMAZON'!$V$2:$V$201)</f>
      </c>
      <c r="G6" s="4">
        <v>0</v>
      </c>
      <c r="H6" s="4">
        <f>F6-G6</f>
      </c>
      <c r="I6" s="4">
        <f>IFERROR((F6-G6)/(0.00+SUM('AMAZON'!$G$2:$G$201))*100,0)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1+COUNT('TEMU'!$H$3:$H$202)</f>
      </c>
      <c r="C10">
        <v>0</v>
      </c>
      <c r="D10">
        <v>0</v>
      </c>
      <c r="E10">
        <v>0</v>
      </c>
      <c r="F10" s="4">
        <f>12.27+SUM('TEMU'!$U$3:$U$202)</f>
      </c>
      <c r="G10" s="4">
        <v>0</v>
      </c>
      <c r="H10" s="4">
        <f>F10-G10</f>
      </c>
      <c r="I10" s="4">
        <f>IFERROR((F10-G10)/(55.00+SUM('TEMU'!$G$3:$G$202))*100,0)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IFERROR((F11-G11)/(55.00+SUM('AMAZON'!$G$2:$G$201)+SUM('BM'!$G$2:$G$201)+SUM('EBAY'!$G$2:$G$201)+SUM('ONBUY'!$F$2:$F$201)+SUM('TEMU'!$G$3:$G$202))*100,0)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2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IF($K2="","",K2/100*7)</f>
      </c>
      <c r="O2" s="4">
        <f>IF($K2="","",N2*20%)</f>
      </c>
      <c r="P2" s="4">
        <f>IF($K2="","",N2*2%)</f>
      </c>
      <c r="Q2" s="4">
        <f>IF($K2="","",P2*20%)</f>
      </c>
      <c r="R2" s="4"/>
      <c r="S2" s="4">
        <f>IF($K2="","",R2*20%)</f>
      </c>
      <c r="T2" s="4">
        <v>1</v>
      </c>
      <c r="U2" s="4">
        <f>IF($K2="","",O2+Q2+S2)</f>
      </c>
      <c r="V2" s="4">
        <f>IF($K2="","",L2-M2-N2-O2-P2-Q2-R2-S2-T2)</f>
      </c>
      <c r="W2" s="4">
        <f>IF($K2="","",(V2-AC2)/J2*100)</f>
      </c>
      <c r="X2" s="4">
        <f>IF($K2="","",M2-U2)</f>
      </c>
      <c r="AD2" s="4">
        <f>IF($K2="","",V2-AC2)</f>
      </c>
    </row>
    <row r="3" spans="1:35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IF($K3="","",(V3-AC3)/J3*100)</f>
      </c>
      <c r="X3" s="4">
        <f>IF($K3="","",M3-U3)</f>
      </c>
      <c r="AD3" s="4">
        <f>IF($K3="","",V3-AC3)</f>
      </c>
    </row>
    <row r="4" spans="1:35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IF($K4="","",(V4-AC4)/J4*100)</f>
      </c>
      <c r="X4" s="4">
        <f>IF($K4="","",M4-U4)</f>
      </c>
      <c r="AD4" s="4">
        <f>IF($K4="","",V4-AC4)</f>
      </c>
    </row>
    <row r="5" spans="1:35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IF($K5="","",(V5-AC5)/J5*100)</f>
      </c>
      <c r="X5" s="4">
        <f>IF($K5="","",M5-U5)</f>
      </c>
      <c r="AD5" s="4">
        <f>IF($K5="","",V5-AC5)</f>
      </c>
    </row>
    <row r="6" spans="1:35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IF($K6="","",(V6-AC6)/J6*100)</f>
      </c>
      <c r="X6" s="4">
        <f>IF($K6="","",M6-U6)</f>
      </c>
      <c r="AD6" s="4">
        <f>IF($K6="","",V6-AC6)</f>
      </c>
    </row>
    <row r="7" spans="1:35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IF($K7="","",(V7-AC7)/J7*100)</f>
      </c>
      <c r="X7" s="4">
        <f>IF($K7="","",M7-U7)</f>
      </c>
      <c r="AD7" s="4">
        <f>IF($K7="","",V7-AC7)</f>
      </c>
    </row>
    <row r="8" spans="1:35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IF($K8="","",(V8-AC8)/J8*100)</f>
      </c>
      <c r="X8" s="4">
        <f>IF($K8="","",M8-U8)</f>
      </c>
      <c r="AD8" s="4">
        <f>IF($K8="","",V8-AC8)</f>
      </c>
    </row>
    <row r="9" spans="1:35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0">
        <f>SUM(I2:I201)</f>
      </c>
      <c r="J202" s="10">
        <f>SUM(J2:J201)</f>
      </c>
      <c r="K202" s="10">
        <f>SUM(K2:K201)</f>
      </c>
      <c r="L202" s="10">
        <f>SUM(L2:L201)</f>
      </c>
      <c r="M202" s="10">
        <f>SUM(M2:M201)</f>
      </c>
      <c r="N202" s="10">
        <f>SUM(N2:N201)</f>
      </c>
      <c r="O202" s="10">
        <f>SUM(O2:O201)</f>
      </c>
      <c r="P202" s="10">
        <f>SUM(P2:P201)</f>
      </c>
      <c r="Q202" s="10">
        <f>SUM(Q2:Q201)</f>
      </c>
      <c r="R202" s="10">
        <f>SUM(R2:R201)</f>
      </c>
      <c r="S202" s="10">
        <f>SUM(S2:S201)</f>
      </c>
      <c r="T202" s="10">
        <f>SUM(T2:T201)</f>
      </c>
      <c r="U202" s="10">
        <f>SUM(U2:U201)</f>
      </c>
      <c r="V202" s="10">
        <f>SUM(V2:V201)</f>
      </c>
      <c r="W202" s="10">
        <f>IFERROR((V202-AC202)/J202*100,0)</f>
      </c>
      <c r="X202" s="10">
        <f>SUM(X2:X201)</f>
      </c>
      <c r="Y202" s="10">
        <f>SUM(Y2:Y201)</f>
      </c>
      <c r="Z202" s="10">
        <f>SUM(Z2:Z201)</f>
      </c>
      <c r="AA202" s="10">
        <f>SUM(AA2:AA201)</f>
      </c>
      <c r="AB202" s="10">
        <f>SUM(AB2:AB201)</f>
      </c>
      <c r="AC202" s="10">
        <f>SUM(AC2:AC201)</f>
      </c>
      <c r="AD202" s="10">
        <f>SUM(AD2:AD201)</f>
      </c>
      <c r="AE202" s="7"/>
      <c r="AF202" s="7"/>
      <c r="AG202" s="7"/>
      <c r="AH202" s="7"/>
      <c r="AI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62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63</v>
      </c>
      <c r="Q1" t="s">
        <v>64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8"/>
      <c r="D2" s="9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8"/>
      <c r="D3" s="9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8"/>
      <c r="D4" s="9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8"/>
      <c r="D5" s="9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8"/>
      <c r="D6" s="9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8"/>
      <c r="D7" s="9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8"/>
      <c r="D8" s="9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8"/>
      <c r="D9" s="9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8"/>
      <c r="D10" s="9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8"/>
      <c r="D11" s="9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8"/>
      <c r="D12" s="9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8"/>
      <c r="D13" s="9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8"/>
      <c r="D14" s="9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8"/>
      <c r="D15" s="9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8"/>
      <c r="D16" s="9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8"/>
      <c r="D17" s="9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8"/>
      <c r="D18" s="9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8"/>
      <c r="D19" s="9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8"/>
      <c r="D20" s="9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8"/>
      <c r="D21" s="9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8"/>
      <c r="D22" s="9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8"/>
      <c r="D23" s="9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8"/>
      <c r="D24" s="9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8"/>
      <c r="D25" s="9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8"/>
      <c r="D26" s="9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8"/>
      <c r="D27" s="9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8"/>
      <c r="D28" s="9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8"/>
      <c r="D29" s="9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8"/>
      <c r="D30" s="9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8"/>
      <c r="D31" s="9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8"/>
      <c r="D32" s="9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8"/>
      <c r="D33" s="9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8"/>
      <c r="D34" s="9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8"/>
      <c r="D35" s="9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8"/>
      <c r="D36" s="9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8"/>
      <c r="D37" s="9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8"/>
      <c r="D38" s="9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8"/>
      <c r="D39" s="9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8"/>
      <c r="D40" s="9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8"/>
      <c r="D41" s="9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8"/>
      <c r="D42" s="9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8"/>
      <c r="D43" s="9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8"/>
      <c r="D44" s="9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8"/>
      <c r="D45" s="9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8"/>
      <c r="D46" s="9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8"/>
      <c r="D47" s="9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8"/>
      <c r="D48" s="9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8"/>
      <c r="D49" s="9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8"/>
      <c r="D50" s="9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8"/>
      <c r="D51" s="9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8"/>
      <c r="D52" s="9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8"/>
      <c r="D53" s="9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8"/>
      <c r="D54" s="9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8"/>
      <c r="D55" s="9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8"/>
      <c r="D56" s="9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8"/>
      <c r="D57" s="9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8"/>
      <c r="D58" s="9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8"/>
      <c r="D59" s="9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8"/>
      <c r="D60" s="9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8"/>
      <c r="D61" s="9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8"/>
      <c r="D62" s="9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8"/>
      <c r="D63" s="9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8"/>
      <c r="D64" s="9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8"/>
      <c r="D65" s="9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8"/>
      <c r="D66" s="9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8"/>
      <c r="D67" s="9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8"/>
      <c r="D68" s="9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8"/>
      <c r="D69" s="9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8"/>
      <c r="D70" s="9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8"/>
      <c r="D71" s="9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8"/>
      <c r="D72" s="9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8"/>
      <c r="D73" s="9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8"/>
      <c r="D74" s="9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8"/>
      <c r="D75" s="9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8"/>
      <c r="D76" s="9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8"/>
      <c r="D77" s="9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8"/>
      <c r="D78" s="9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8"/>
      <c r="D79" s="9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8"/>
      <c r="D80" s="9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8"/>
      <c r="D81" s="9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8"/>
      <c r="D82" s="9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8"/>
      <c r="D83" s="9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8"/>
      <c r="D84" s="9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8"/>
      <c r="D85" s="9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8"/>
      <c r="D86" s="9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8"/>
      <c r="D87" s="9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8"/>
      <c r="D88" s="9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8"/>
      <c r="D89" s="9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8"/>
      <c r="D90" s="9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8"/>
      <c r="D91" s="9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8"/>
      <c r="D92" s="9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8"/>
      <c r="D93" s="9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8"/>
      <c r="D94" s="9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8"/>
      <c r="D95" s="9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8"/>
      <c r="D96" s="9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8"/>
      <c r="D97" s="9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8"/>
      <c r="D98" s="9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8"/>
      <c r="D99" s="9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8"/>
      <c r="D100" s="9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8"/>
      <c r="D101" s="9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8"/>
      <c r="D102" s="9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8"/>
      <c r="D103" s="9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8"/>
      <c r="D104" s="9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8"/>
      <c r="D105" s="9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8"/>
      <c r="D106" s="9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8"/>
      <c r="D107" s="9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8"/>
      <c r="D108" s="9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8"/>
      <c r="D109" s="9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8"/>
      <c r="D110" s="9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8"/>
      <c r="D111" s="9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8"/>
      <c r="D112" s="9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8"/>
      <c r="D113" s="9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8"/>
      <c r="D114" s="9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8"/>
      <c r="D115" s="9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8"/>
      <c r="D116" s="9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8"/>
      <c r="D117" s="9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8"/>
      <c r="D118" s="9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8"/>
      <c r="D119" s="9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8"/>
      <c r="D120" s="9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8"/>
      <c r="D121" s="9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8"/>
      <c r="D122" s="9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8"/>
      <c r="D123" s="9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8"/>
      <c r="D124" s="9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8"/>
      <c r="D125" s="9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8"/>
      <c r="D126" s="9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8"/>
      <c r="D127" s="9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8"/>
      <c r="D128" s="9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8"/>
      <c r="D129" s="9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8"/>
      <c r="D130" s="9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8"/>
      <c r="D131" s="9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8"/>
      <c r="D132" s="9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8"/>
      <c r="D133" s="9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8"/>
      <c r="D134" s="9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8"/>
      <c r="D135" s="9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8"/>
      <c r="D136" s="9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8"/>
      <c r="D137" s="9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8"/>
      <c r="D138" s="9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8"/>
      <c r="D139" s="9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8"/>
      <c r="D140" s="9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8"/>
      <c r="D141" s="9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8"/>
      <c r="D142" s="9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8"/>
      <c r="D143" s="9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8"/>
      <c r="D144" s="9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8"/>
      <c r="D145" s="9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8"/>
      <c r="D146" s="9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8"/>
      <c r="D147" s="9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8"/>
      <c r="D148" s="9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8"/>
      <c r="D149" s="9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8"/>
      <c r="D150" s="9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8"/>
      <c r="D151" s="9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8"/>
      <c r="D152" s="9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8"/>
      <c r="D153" s="9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8"/>
      <c r="D154" s="9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8"/>
      <c r="D155" s="9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8"/>
      <c r="D156" s="9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8"/>
      <c r="D157" s="9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8"/>
      <c r="D158" s="9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8"/>
      <c r="D159" s="9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8"/>
      <c r="D160" s="9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8"/>
      <c r="D161" s="9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8"/>
      <c r="D162" s="9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8"/>
      <c r="D163" s="9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8"/>
      <c r="D164" s="9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8"/>
      <c r="D165" s="9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8"/>
      <c r="D166" s="9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8"/>
      <c r="D167" s="9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8"/>
      <c r="D168" s="9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8"/>
      <c r="D169" s="9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8"/>
      <c r="D170" s="9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8"/>
      <c r="D171" s="9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8"/>
      <c r="D172" s="9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8"/>
      <c r="D173" s="9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8"/>
      <c r="D174" s="9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8"/>
      <c r="D175" s="9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8"/>
      <c r="D176" s="9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8"/>
      <c r="D177" s="9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8"/>
      <c r="D178" s="9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8"/>
      <c r="D179" s="9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8"/>
      <c r="D180" s="9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8"/>
      <c r="D181" s="9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8"/>
      <c r="D182" s="9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8"/>
      <c r="D183" s="9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8"/>
      <c r="D184" s="9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8"/>
      <c r="D185" s="9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8"/>
      <c r="D186" s="9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8"/>
      <c r="D187" s="9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8"/>
      <c r="D188" s="9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8"/>
      <c r="D189" s="9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8"/>
      <c r="D190" s="9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8"/>
      <c r="D191" s="9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8"/>
      <c r="D192" s="9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8"/>
      <c r="D193" s="9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8"/>
      <c r="D194" s="9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8"/>
      <c r="D195" s="9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8"/>
      <c r="D196" s="9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8"/>
      <c r="D197" s="9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8"/>
      <c r="D198" s="9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8"/>
      <c r="D199" s="9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8"/>
      <c r="D200" s="9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8"/>
      <c r="D201" s="9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0">
        <f>SUM(I2:I201)</f>
      </c>
      <c r="J202" s="7"/>
      <c r="K202" s="10">
        <f>SUM(K2:K201)</f>
      </c>
      <c r="L202" s="10">
        <f>SUM(L2:L201)</f>
      </c>
      <c r="M202" s="10">
        <f>SUM(M2:M201)</f>
      </c>
      <c r="N202" s="10">
        <f>SUM(N2:N201)</f>
      </c>
      <c r="O202" s="10">
        <f>SUM(O2:O201)</f>
      </c>
      <c r="P202" s="10">
        <f>SUM(P2:P201)</f>
      </c>
      <c r="Q202" s="10">
        <f>SUM(Q2:Q201)</f>
      </c>
      <c r="R202" s="10">
        <f>SUM(R2:R201)</f>
      </c>
      <c r="S202" s="10">
        <f>SUM(S2:S201)</f>
      </c>
      <c r="T202" s="10">
        <f>SUM(T2:T201)</f>
      </c>
      <c r="U202" s="10">
        <f>SUM(U2:U201)</f>
      </c>
      <c r="V202" s="10">
        <f>IFERROR((U202-AB202)/K202*100,0)</f>
      </c>
      <c r="W202" s="10">
        <f>SUM(W2:W201)</f>
      </c>
      <c r="X202" s="10">
        <f>SUM(X2:X201)</f>
      </c>
      <c r="Y202" s="10">
        <f>SUM(Y2:Y201)</f>
      </c>
      <c r="Z202" s="10">
        <f>SUM(Z2:Z201)</f>
      </c>
      <c r="AA202" s="10">
        <f>SUM(AA2:AA201)</f>
      </c>
      <c r="AB202" s="10">
        <f>SUM(AB2:AB201)</f>
      </c>
      <c r="AC202" s="10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65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66</v>
      </c>
      <c r="P1" t="s">
        <v>67</v>
      </c>
      <c r="Q1" t="s">
        <v>68</v>
      </c>
      <c r="R1" t="s">
        <v>69</v>
      </c>
      <c r="S1" t="s">
        <v>45</v>
      </c>
      <c r="T1" t="s">
        <v>46</v>
      </c>
      <c r="U1" t="s">
        <v>70</v>
      </c>
      <c r="V1" t="s">
        <v>71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0">
        <f>SUM(I2:I201)</f>
      </c>
      <c r="J202" s="10">
        <f>SUM(J2:J201)</f>
      </c>
      <c r="K202" s="10">
        <f>SUM(K2:K201)</f>
      </c>
      <c r="L202" s="10">
        <f>SUM(L2:L201)</f>
      </c>
      <c r="M202" s="10">
        <f>SUM(M2:M201)</f>
      </c>
      <c r="N202" s="10">
        <f>SUM(N2:N201)</f>
      </c>
      <c r="O202" s="10">
        <f>SUM(O2:O201)</f>
      </c>
      <c r="P202" s="10">
        <f>SUM(P2:P201)</f>
      </c>
      <c r="Q202" s="10">
        <f>SUM(Q2:Q201)</f>
      </c>
      <c r="R202" s="10">
        <f>SUM(R2:R201)</f>
      </c>
      <c r="S202" s="10">
        <f>SUM(S2:S201)</f>
      </c>
      <c r="T202" s="10">
        <f>SUM(T2:T201)</f>
      </c>
      <c r="U202" s="10">
        <f>SUM(U2:U201)</f>
      </c>
      <c r="V202" s="10">
        <f>SUM(V2:V201)</f>
      </c>
      <c r="W202" s="10">
        <f>SUM(W2:W201)</f>
      </c>
      <c r="X202" s="10">
        <f>SUM(X2:X201)</f>
      </c>
      <c r="Y202" s="10">
        <f>SUM(Y2:Y201)</f>
      </c>
      <c r="Z202" s="10">
        <f>IFERROR((Y202-AF202)/K202*100,0)</f>
      </c>
      <c r="AA202" s="10">
        <f>SUM(AA2:AA201)</f>
      </c>
      <c r="AB202" s="10">
        <f>SUM(AB2:AB201)</f>
      </c>
      <c r="AC202" s="10">
        <f>SUM(AC2:AC201)</f>
      </c>
      <c r="AD202" s="10">
        <f>SUM(AD2:AD201)</f>
      </c>
      <c r="AE202" s="10">
        <f>SUM(AE2:AE201)</f>
      </c>
      <c r="AF202" s="10">
        <f>SUM(AF2:AF201)</f>
      </c>
      <c r="AG202" s="10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72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8"/>
      <c r="D2" s="9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0">
        <f>SUM(I2:I201)</f>
      </c>
      <c r="J202" s="10">
        <f>SUM(J2:J201)</f>
      </c>
      <c r="K202" s="10">
        <f>SUM(K2:K201)</f>
      </c>
      <c r="L202" s="10">
        <f>SUM(L2:L201)</f>
      </c>
      <c r="M202" s="10">
        <f>SUM(M2:M201)</f>
      </c>
      <c r="N202" s="10">
        <f>SUM(N2:N201)</f>
      </c>
      <c r="O202" s="10">
        <f>SUM(O2:O201)</f>
      </c>
      <c r="P202" s="10">
        <f>SUM(P2:P201)</f>
      </c>
      <c r="Q202" s="10">
        <f>SUM(Q2:Q201)</f>
      </c>
      <c r="R202" s="10">
        <f>SUM(R2:R201)</f>
      </c>
      <c r="S202" s="10">
        <f>SUM(S2:S201)</f>
      </c>
      <c r="T202" s="10">
        <f>IFERROR((S202-Z202)/I202*100,0)</f>
      </c>
      <c r="U202" s="10">
        <f>SUM(U2:U201)</f>
      </c>
      <c r="V202" s="10">
        <f>SUM(V2:V201)</f>
      </c>
      <c r="W202" s="10">
        <f>SUM(W2:W201)</f>
      </c>
      <c r="X202" s="10">
        <f>SUM(X2:X201)</f>
      </c>
      <c r="Y202" s="10">
        <f>SUM(Y2:Y201)</f>
      </c>
      <c r="Z202" s="10">
        <f>SUM(Z2:Z201)</f>
      </c>
      <c r="AA202" s="10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73</v>
      </c>
      <c r="P1" t="s">
        <v>74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8">
        <v>46235.5</v>
      </c>
      <c r="B2" t="s">
        <v>75</v>
      </c>
      <c r="C2" t="s">
        <v>76</v>
      </c>
      <c r="D2" s="9" t="s">
        <v>77</v>
      </c>
      <c r="E2" t="s">
        <v>78</v>
      </c>
      <c r="F2" t="s">
        <v>79</v>
      </c>
      <c r="G2" t="s">
        <v>80</v>
      </c>
      <c r="H2" t="s">
        <v>81</v>
      </c>
      <c r="I2">
        <v>1</v>
      </c>
      <c r="J2" s="4">
        <v>55</v>
      </c>
      <c r="K2" s="4">
        <v>83.99</v>
      </c>
      <c r="L2" s="4">
        <f>K2-J2</f>
      </c>
      <c r="M2" s="4">
        <f>L2*16.67%</f>
      </c>
      <c r="N2" s="4">
        <f>K2*4.61%</f>
      </c>
      <c r="O2" s="4">
        <f>N2*20%</f>
      </c>
      <c r="P2" s="4">
        <f>N2+O2</f>
      </c>
      <c r="Q2" s="4">
        <v>6.3</v>
      </c>
      <c r="R2" s="4">
        <f>Q2*20%</f>
      </c>
      <c r="S2" s="4">
        <v>1</v>
      </c>
      <c r="T2" s="4">
        <f>R2</f>
      </c>
      <c r="U2" s="4">
        <f>L2-M2-N2-Q2-R2-S2</f>
      </c>
      <c r="V2" s="4">
        <f>(U2-AB2)/J2*100</f>
      </c>
      <c r="W2" s="4">
        <f>M2-T2</f>
      </c>
      <c r="AC2" s="4">
        <f>U2-AB2</f>
      </c>
      <c r="AH2" t="s">
        <v>1</v>
      </c>
    </row>
    <row r="3" spans="1:34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IF($K202="","",K202*3.96%)</f>
      </c>
      <c r="O202" s="4">
        <f>IF($K202="","",N202*20%)</f>
      </c>
      <c r="P202" s="4">
        <f>IF($K202="","",N202+O202)</f>
      </c>
      <c r="Q202" s="4"/>
      <c r="R202" s="4">
        <f>IF($K202="","",Q202*20%)</f>
      </c>
      <c r="S202" s="4">
        <v>1</v>
      </c>
      <c r="T202" s="4">
        <f>IF($K202="","",R202)</f>
      </c>
      <c r="U202" s="4">
        <f>IF($K202="","",L202-M202-N202-Q202-R202-S202)</f>
      </c>
      <c r="V202" s="4">
        <f>IF($K202="","",(U202-AB202)/J202*100)</f>
      </c>
      <c r="W202" s="4">
        <f>IF($K202="","",M202-T202)</f>
      </c>
      <c r="AC202" s="4">
        <f>IF($K202="","",U202-AB202)</f>
      </c>
    </row>
    <row r="203" spans="1:34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0">
        <f>SUM(I2:I202)</f>
      </c>
      <c r="J203" s="10">
        <f>SUM(J2:J202)</f>
      </c>
      <c r="K203" s="10">
        <f>SUM(K2:K202)</f>
      </c>
      <c r="L203" s="10">
        <f>SUM(L2:L202)</f>
      </c>
      <c r="M203" s="10">
        <f>SUM(M2:M202)</f>
      </c>
      <c r="N203" s="10">
        <f>SUM(N2:N202)</f>
      </c>
      <c r="O203" s="10">
        <f>SUM(O2:O202)</f>
      </c>
      <c r="P203" s="10">
        <f>SUM(P2:P202)</f>
      </c>
      <c r="Q203" s="10">
        <f>SUM(Q2:Q202)</f>
      </c>
      <c r="R203" s="10">
        <f>SUM(R2:R202)</f>
      </c>
      <c r="S203" s="10">
        <f>SUM(S2:S202)</f>
      </c>
      <c r="T203" s="10">
        <f>SUM(T2:T202)</f>
      </c>
      <c r="U203" s="10">
        <f>SUM(U2:U202)</f>
      </c>
      <c r="V203" s="10">
        <f>IFERROR((U203-AB203)/J203*100,0)</f>
      </c>
      <c r="W203" s="10">
        <f>SUM(W2:W202)</f>
      </c>
      <c r="X203" s="10">
        <f>SUM(X2:X202)</f>
      </c>
      <c r="Y203" s="10">
        <f>SUM(Y2:Y202)</f>
      </c>
      <c r="Z203" s="10">
        <f>SUM(Z2:Z202)</f>
      </c>
      <c r="AA203" s="10">
        <f>SUM(AA2:AA202)</f>
      </c>
      <c r="AB203" s="10">
        <f>SUM(AB2:AB202)</f>
      </c>
      <c r="AC203" s="10">
        <f>SUM(AC2:AC202)</f>
      </c>
      <c r="AD203" s="7"/>
      <c r="AE203" s="7"/>
      <c r="AF203" s="7"/>
      <c r="AG203" s="7"/>
      <c r="AH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82</v>
      </c>
    </row>
    <row r="2" ht="46" customHeight="1" spans="1:1" x14ac:dyDescent="0.25">
      <c r="A2" s="2" t="s">
        <v>83</v>
      </c>
    </row>
    <row r="4" spans="1:17" s="3" customFormat="1" x14ac:dyDescent="0.25">
      <c r="A4" s="3" t="s">
        <v>4</v>
      </c>
      <c r="B4" s="3" t="s">
        <v>5</v>
      </c>
      <c r="C4" s="3" t="s">
        <v>84</v>
      </c>
      <c r="D4" s="3" t="s">
        <v>9</v>
      </c>
      <c r="E4" s="3" t="s">
        <v>85</v>
      </c>
      <c r="F4" s="3" t="s">
        <v>6</v>
      </c>
      <c r="G4" s="3" t="s">
        <v>7</v>
      </c>
      <c r="H4" s="3" t="s">
        <v>8</v>
      </c>
      <c r="I4" s="3" t="s">
        <v>86</v>
      </c>
      <c r="J4" s="3" t="s">
        <v>87</v>
      </c>
      <c r="K4" s="3" t="s">
        <v>88</v>
      </c>
      <c r="L4" s="3" t="s">
        <v>89</v>
      </c>
      <c r="M4" s="3" t="s">
        <v>90</v>
      </c>
      <c r="N4" s="3" t="s">
        <v>10</v>
      </c>
      <c r="O4" s="3" t="s">
        <v>11</v>
      </c>
      <c r="P4" s="3" t="s">
        <v>12</v>
      </c>
      <c r="Q4" s="3" t="s">
        <v>91</v>
      </c>
    </row>
    <row r="5" spans="1:17" x14ac:dyDescent="0.25">
      <c r="A5" t="s">
        <v>17</v>
      </c>
      <c r="B5">
        <v>1</v>
      </c>
      <c r="C5" s="4">
        <v>83.99</v>
      </c>
      <c r="D5" s="4">
        <v>12.27</v>
      </c>
      <c r="E5">
        <v>0</v>
      </c>
      <c r="F5">
        <v>0</v>
      </c>
      <c r="G5">
        <v>0</v>
      </c>
      <c r="H5">
        <v>0</v>
      </c>
      <c r="I5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12.27</v>
      </c>
      <c r="P5" s="4">
        <v>14.608882009763066</v>
      </c>
      <c r="Q5" t="s">
        <v>1</v>
      </c>
    </row>
    <row r="6" spans="1:17" s="3" customFormat="1" x14ac:dyDescent="0.25">
      <c r="A6" s="3" t="s">
        <v>18</v>
      </c>
      <c r="B6" s="3">
        <v>1</v>
      </c>
      <c r="C6" s="11">
        <v>83.99</v>
      </c>
      <c r="D6" s="11">
        <v>12.27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12.27</v>
      </c>
      <c r="P6" s="11">
        <v>14.608882009763066</v>
      </c>
      <c r="Q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92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93</v>
      </c>
      <c r="B1" t="s">
        <v>94</v>
      </c>
    </row>
    <row r="2" spans="1:2" x14ac:dyDescent="0.25">
      <c r="A2" s="7" t="s">
        <v>95</v>
      </c>
      <c r="B2">
        <v>0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96</v>
      </c>
      <c r="B6" s="4">
        <v>0</v>
      </c>
    </row>
    <row r="7" spans="1:2" x14ac:dyDescent="0.25">
      <c r="A7" s="7" t="s">
        <v>97</v>
      </c>
      <c r="B7" s="4">
        <v>0</v>
      </c>
    </row>
    <row r="9" spans="1:2" x14ac:dyDescent="0.25">
      <c r="A9" s="7" t="s">
        <v>98</v>
      </c>
      <c r="B9" t="s">
        <v>1</v>
      </c>
    </row>
    <row r="10" spans="1:2" x14ac:dyDescent="0.25">
      <c r="A10" t="s">
        <v>99</v>
      </c>
      <c r="B10" t="s">
        <v>100</v>
      </c>
    </row>
    <row r="11" spans="1:2" x14ac:dyDescent="0.25">
      <c r="A11" t="s">
        <v>101</v>
      </c>
      <c r="B11" t="s">
        <v>102</v>
      </c>
    </row>
    <row r="12" spans="1:2" x14ac:dyDescent="0.25">
      <c r="A12" t="s">
        <v>103</v>
      </c>
      <c r="B12" t="s">
        <v>104</v>
      </c>
    </row>
    <row r="14" spans="1:2" x14ac:dyDescent="0.25">
      <c r="A14" s="7" t="s">
        <v>105</v>
      </c>
      <c r="B14" t="s">
        <v>1</v>
      </c>
    </row>
    <row r="15" spans="1:2" x14ac:dyDescent="0.25">
      <c r="A15" t="s">
        <v>106</v>
      </c>
      <c r="B15" t="s">
        <v>107</v>
      </c>
    </row>
    <row r="16" spans="1:2" x14ac:dyDescent="0.25">
      <c r="A16" t="s">
        <v>108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FormatPr defaultRowHeight="15" outlineLevelRow="0" outlineLevelCol="0" x14ac:dyDescent="55"/>
  <sheetData>
    <row r="1" spans="1:18" x14ac:dyDescent="0.25">
      <c r="A1" t="s">
        <v>57</v>
      </c>
      <c r="B1" t="s">
        <v>109</v>
      </c>
      <c r="C1" t="s">
        <v>32</v>
      </c>
      <c r="D1" t="s">
        <v>34</v>
      </c>
      <c r="E1" t="s">
        <v>33</v>
      </c>
      <c r="F1" t="s">
        <v>35</v>
      </c>
      <c r="G1" t="s">
        <v>110</v>
      </c>
      <c r="H1" t="s">
        <v>111</v>
      </c>
      <c r="I1" t="s">
        <v>4</v>
      </c>
      <c r="J1" t="s">
        <v>112</v>
      </c>
      <c r="K1" t="s">
        <v>58</v>
      </c>
      <c r="L1" t="s">
        <v>113</v>
      </c>
      <c r="M1" t="s">
        <v>61</v>
      </c>
      <c r="N1" t="s">
        <v>114</v>
      </c>
      <c r="O1" t="s">
        <v>59</v>
      </c>
      <c r="P1" t="s">
        <v>115</v>
      </c>
      <c r="Q1" t="s">
        <v>116</v>
      </c>
      <c r="R1" t="s">
        <v>117</v>
      </c>
    </row>
    <row r="2" spans="1:1" x14ac:dyDescent="0.25">
      <c r="A2" s="12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109</v>
      </c>
      <c r="B1" t="s">
        <v>32</v>
      </c>
      <c r="C1" t="s">
        <v>119</v>
      </c>
      <c r="D1" t="s">
        <v>120</v>
      </c>
      <c r="E1" t="s">
        <v>121</v>
      </c>
      <c r="F1" t="s">
        <v>122</v>
      </c>
      <c r="G1" t="s">
        <v>61</v>
      </c>
    </row>
    <row r="2" spans="1:1" x14ac:dyDescent="0.25">
      <c r="A2" s="12" t="s">
        <v>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2026-09-09T08:04:05Z</dcterms:created>
  <dcterms:modified xsi:type="dcterms:W3CDTF">2026-09-09T08:04:05Z</dcterms:modified>
</cp:coreProperties>
</file>