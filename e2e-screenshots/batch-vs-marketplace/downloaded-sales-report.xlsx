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<sst xmlns="http://schemas.openxmlformats.org/spreadsheetml/2006/main" count="1131" uniqueCount="371">
  <si>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</si>
  <si>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</si>
  <si>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</si>
  <si>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</si>
  <si>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</si>
  <si>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</si>
  <si>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</si>
  <si>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</si>
  <si>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</si>
  <si>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</si>
  <si>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</si>
  <si>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</si>
  <si>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</si>
  <si>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</si>
  <si>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</si>
  <si>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</si>
  <si>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</si>
  <si>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</si>
  <si>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</si>
  <si>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</si>
  <si>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</si>
  <si>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</si>
  <si>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</si>
  <si>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</si>
  <si>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</si>
  <si>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</si>
  <si>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</si>
  <si>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</si>
  <si>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</si>
  <si>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</si>
  <si>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</si>
  <si>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</si>
  <si>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</si>
  <si>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</si>
  <si>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</si>
  <si>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</si>
  <si>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</si>
  <si>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</si>
  <si>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</si>
  <si>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</si>
  <si>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</si>
  <si>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</si>
  <si>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</si>
  <si>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</si>
  <si>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</si>
  <si>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</si>
  <si>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</si>
  <si>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</si>
  <si>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</si>
  <si>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</si>
  <si>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</si>
  <si>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</si>
  <si>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</si>
  <si>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</si>
  <si>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</si>
  <si>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</si>
  <si>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</si>
  <si>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</si>
  <si>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</si>
  <si>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</si>
  <si>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</si>
  <si>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</si>
  <si>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AMA-SHS-1</t>
  </si>
  <si>
    <t>IPH-64GB-GRA</t>
  </si>
  <si>
    <t>350190000007777</t>
  </si>
  <si>
    <t>iPhone</t>
  </si>
  <si>
    <t>Unspecified</t>
  </si>
  <si>
    <t>64GB</t>
  </si>
  <si>
    <t>NORTHSIDE STOCK</t>
  </si>
  <si>
    <t>AMA-5095</t>
  </si>
  <si>
    <t>GOO-128GB-BLU</t>
  </si>
  <si>
    <t>350100007879405</t>
  </si>
  <si>
    <t>128GB</t>
  </si>
  <si>
    <t>MOBILE WHOLESALE LTD</t>
  </si>
  <si>
    <t>AMA-5070</t>
  </si>
  <si>
    <t>SAM-256GB-GRA</t>
  </si>
  <si>
    <t>350100000554330</t>
  </si>
  <si>
    <t>GRAPHITE</t>
  </si>
  <si>
    <t>256GB</t>
  </si>
  <si>
    <t>CELLHUB TRADING</t>
  </si>
  <si>
    <t>AMA-5045</t>
  </si>
  <si>
    <t>SAM-128GB-MID</t>
  </si>
  <si>
    <t>350100000356355</t>
  </si>
  <si>
    <t>MIDNIGHT</t>
  </si>
  <si>
    <t>AMA-5020</t>
  </si>
  <si>
    <t>IPH-256GB-GRE</t>
  </si>
  <si>
    <t>350100000158380</t>
  </si>
  <si>
    <t>GREEN</t>
  </si>
  <si>
    <t>AMA-5090</t>
  </si>
  <si>
    <t>IPH-128GB-GRA</t>
  </si>
  <si>
    <t>350100007839810</t>
  </si>
  <si>
    <t>PHONEBOX DIRECT</t>
  </si>
  <si>
    <t>AMA-5065</t>
  </si>
  <si>
    <t>IPH-128GB-WHI</t>
  </si>
  <si>
    <t>350100000514735</t>
  </si>
  <si>
    <t>WHITE</t>
  </si>
  <si>
    <t>AMA-5040</t>
  </si>
  <si>
    <t>IPH-64GB-WHI</t>
  </si>
  <si>
    <t>350100000316760</t>
  </si>
  <si>
    <t>AMA-5015</t>
  </si>
  <si>
    <t>GOO-128GB-BLA</t>
  </si>
  <si>
    <t>350100000118785</t>
  </si>
  <si>
    <t>BLACK</t>
  </si>
  <si>
    <t>AMA-5085</t>
  </si>
  <si>
    <t>SAM-128GB-GRA</t>
  </si>
  <si>
    <t>350100000673115</t>
  </si>
  <si>
    <t>AMA-5060</t>
  </si>
  <si>
    <t>SAM-128GB-WHI</t>
  </si>
  <si>
    <t>350100000483059</t>
  </si>
  <si>
    <t>AMA-5035</t>
  </si>
  <si>
    <t>350100000277165</t>
  </si>
  <si>
    <t>AMA-5010</t>
  </si>
  <si>
    <t>IPH-128GB-GRE</t>
  </si>
  <si>
    <t>350100000079190</t>
  </si>
  <si>
    <t>AMA-5080</t>
  </si>
  <si>
    <t>350100000633520</t>
  </si>
  <si>
    <t>AMA-5055</t>
  </si>
  <si>
    <t>GOO-128GB-MID</t>
  </si>
  <si>
    <t>350100000435545</t>
  </si>
  <si>
    <t>AMA-5030</t>
  </si>
  <si>
    <t>350100000237570</t>
  </si>
  <si>
    <t>AMA-5005</t>
  </si>
  <si>
    <t>350100000039595</t>
  </si>
  <si>
    <t>AMA-5075</t>
  </si>
  <si>
    <t>IPH-256GB-BLA</t>
  </si>
  <si>
    <t>350100000593925</t>
  </si>
  <si>
    <t>AMA-5050</t>
  </si>
  <si>
    <t>IPH-128GB-BLU</t>
  </si>
  <si>
    <t>350100000395950</t>
  </si>
  <si>
    <t>BLUE</t>
  </si>
  <si>
    <t>AMA-5025</t>
  </si>
  <si>
    <t>IPH-128GB-STA</t>
  </si>
  <si>
    <t>350100000197975</t>
  </si>
  <si>
    <t>STARLIGHT</t>
  </si>
  <si>
    <t>AMA-5000</t>
  </si>
  <si>
    <t>350100000007919</t>
  </si>
  <si>
    <t>Payment Mode</t>
  </si>
  <si>
    <t>Customer Care Fees</t>
  </si>
  <si>
    <t>PSF</t>
  </si>
  <si>
    <t>BM-5071</t>
  </si>
  <si>
    <t>350100000562249</t>
  </si>
  <si>
    <t>Klarna</t>
  </si>
  <si>
    <t>BM-5046</t>
  </si>
  <si>
    <t>SAM-256GB-PUR</t>
  </si>
  <si>
    <t>350100000364274</t>
  </si>
  <si>
    <t>PURPLE</t>
  </si>
  <si>
    <t>BM-5021</t>
  </si>
  <si>
    <t>SAM-128GB-BLU</t>
  </si>
  <si>
    <t>350100000166299</t>
  </si>
  <si>
    <t>BM-5091</t>
  </si>
  <si>
    <t>IPH-256GB-GRA</t>
  </si>
  <si>
    <t>350100007847729</t>
  </si>
  <si>
    <t>BM-5066</t>
  </si>
  <si>
    <t>IPH-128GB-BLA</t>
  </si>
  <si>
    <t>350100000522654</t>
  </si>
  <si>
    <t>Paypal</t>
  </si>
  <si>
    <t>BM-5041</t>
  </si>
  <si>
    <t>IPH-128GB-MID</t>
  </si>
  <si>
    <t>350100000324679</t>
  </si>
  <si>
    <t>BM-5016</t>
  </si>
  <si>
    <t>IPH-64GB-MID</t>
  </si>
  <si>
    <t>350100000126704</t>
  </si>
  <si>
    <t>Card</t>
  </si>
  <si>
    <t>BM-5086</t>
  </si>
  <si>
    <t>350100000681034</t>
  </si>
  <si>
    <t>BM-5061</t>
  </si>
  <si>
    <t>BM-5036</t>
  </si>
  <si>
    <t>SAM-128GB-GRE</t>
  </si>
  <si>
    <t>350100000293003</t>
  </si>
  <si>
    <t>BM-5011</t>
  </si>
  <si>
    <t>350100000087109</t>
  </si>
  <si>
    <t>BM-5081</t>
  </si>
  <si>
    <t>IPH-128GB-PUR</t>
  </si>
  <si>
    <t>350100000641439</t>
  </si>
  <si>
    <t>BM-5056</t>
  </si>
  <si>
    <t>350100000443464</t>
  </si>
  <si>
    <t>BM-5031</t>
  </si>
  <si>
    <t>GOO-128GB-GRE</t>
  </si>
  <si>
    <t>350100000245489</t>
  </si>
  <si>
    <t>BM-5006</t>
  </si>
  <si>
    <t>SAM-256GB-WHI</t>
  </si>
  <si>
    <t>350100000047514</t>
  </si>
  <si>
    <t>BM-5076</t>
  </si>
  <si>
    <t>IPH-256GB-STA</t>
  </si>
  <si>
    <t>350100000601844</t>
  </si>
  <si>
    <t>BM-5051</t>
  </si>
  <si>
    <t>350100000403869</t>
  </si>
  <si>
    <t>BM-5026</t>
  </si>
  <si>
    <t>350100000205894</t>
  </si>
  <si>
    <t>BM-5001</t>
  </si>
  <si>
    <t>BM-5096</t>
  </si>
  <si>
    <t>350100007887324</t>
  </si>
  <si>
    <t>Units</t>
  </si>
  <si>
    <t>ROF</t>
  </si>
  <si>
    <t>FVF</t>
  </si>
  <si>
    <t>VAT</t>
  </si>
  <si>
    <t>T.COM</t>
  </si>
  <si>
    <t>Marketing</t>
  </si>
  <si>
    <t>M. VAT</t>
  </si>
  <si>
    <t>EBA-5047</t>
  </si>
  <si>
    <t>GOO-128GB-GRA</t>
  </si>
  <si>
    <t>350100000372193</t>
  </si>
  <si>
    <t>EBA-5022</t>
  </si>
  <si>
    <t>SAM-256GB-MID</t>
  </si>
  <si>
    <t>350100000174218</t>
  </si>
  <si>
    <t>EBA-5092</t>
  </si>
  <si>
    <t>350100007855648</t>
  </si>
  <si>
    <t>EBA-5067</t>
  </si>
  <si>
    <t>350100000530573</t>
  </si>
  <si>
    <t>EBA-5042</t>
  </si>
  <si>
    <t>350100000332598</t>
  </si>
  <si>
    <t>EBA-5017</t>
  </si>
  <si>
    <t>350100000134623</t>
  </si>
  <si>
    <t>EBA-5087</t>
  </si>
  <si>
    <t>GOO-128GB-STA</t>
  </si>
  <si>
    <t>350100000688953</t>
  </si>
  <si>
    <t>EBA-5062</t>
  </si>
  <si>
    <t>SAM-256GB-BLU</t>
  </si>
  <si>
    <t>350100000490978</t>
  </si>
  <si>
    <t>EBA-5037</t>
  </si>
  <si>
    <t>EBA-5012</t>
  </si>
  <si>
    <t>350100000102947</t>
  </si>
  <si>
    <t>EBA-5082</t>
  </si>
  <si>
    <t>350100000649358</t>
  </si>
  <si>
    <t>EBA-5057</t>
  </si>
  <si>
    <t>350100000451383</t>
  </si>
  <si>
    <t>EBA-5032</t>
  </si>
  <si>
    <t>IPH-64GB-GRE</t>
  </si>
  <si>
    <t>350100000253408</t>
  </si>
  <si>
    <t>EBA-5007</t>
  </si>
  <si>
    <t>GOO-128GB-WHI</t>
  </si>
  <si>
    <t>350100000055433</t>
  </si>
  <si>
    <t>EBA-5077</t>
  </si>
  <si>
    <t>350100000609763</t>
  </si>
  <si>
    <t>EBA-5052</t>
  </si>
  <si>
    <t>IPH-256GB-PUR</t>
  </si>
  <si>
    <t>350100000411788</t>
  </si>
  <si>
    <t>EBA-5027</t>
  </si>
  <si>
    <t>IPH-256GB-MID</t>
  </si>
  <si>
    <t>350100000213813</t>
  </si>
  <si>
    <t>EBA-5002</t>
  </si>
  <si>
    <t>350100000015838</t>
  </si>
  <si>
    <t>EBA-5097</t>
  </si>
  <si>
    <t>350100007895243</t>
  </si>
  <si>
    <t>EBA-5072</t>
  </si>
  <si>
    <t>350100000578087</t>
  </si>
  <si>
    <t>VAT 20%</t>
  </si>
  <si>
    <t>ONB-5023</t>
  </si>
  <si>
    <t>350100000182137</t>
  </si>
  <si>
    <t>ONB-5093</t>
  </si>
  <si>
    <t>350100007863567</t>
  </si>
  <si>
    <t>ONB-5068</t>
  </si>
  <si>
    <t>350100000538492</t>
  </si>
  <si>
    <t>ONB-5043</t>
  </si>
  <si>
    <t>350100000340517</t>
  </si>
  <si>
    <t>ONB-5018</t>
  </si>
  <si>
    <t>350100000142542</t>
  </si>
  <si>
    <t>ONB-5088</t>
  </si>
  <si>
    <t>IPH-64GB-STA</t>
  </si>
  <si>
    <t>350100000696872</t>
  </si>
  <si>
    <t>ONB-5063</t>
  </si>
  <si>
    <t>350100000498897</t>
  </si>
  <si>
    <t>ONB-5038</t>
  </si>
  <si>
    <t>350100000300922</t>
  </si>
  <si>
    <t>ONB-5013</t>
  </si>
  <si>
    <t>ONB-5083</t>
  </si>
  <si>
    <t>350100000657277</t>
  </si>
  <si>
    <t>ONB-5058</t>
  </si>
  <si>
    <t>350100000459302</t>
  </si>
  <si>
    <t>ONB-5033</t>
  </si>
  <si>
    <t>350100000261327</t>
  </si>
  <si>
    <t>ONB-5008</t>
  </si>
  <si>
    <t>IPH-64GB-PUR</t>
  </si>
  <si>
    <t>350100000063352</t>
  </si>
  <si>
    <t>ONB-5078</t>
  </si>
  <si>
    <t>SAM-256GB-GRE</t>
  </si>
  <si>
    <t>350100000617682</t>
  </si>
  <si>
    <t>ONB-5053</t>
  </si>
  <si>
    <t>SAM-128GB-STA</t>
  </si>
  <si>
    <t>350100000419707</t>
  </si>
  <si>
    <t>ONB-5028</t>
  </si>
  <si>
    <t>350100000221732</t>
  </si>
  <si>
    <t>ONB-5003</t>
  </si>
  <si>
    <t>IPH-256GB-BLU</t>
  </si>
  <si>
    <t>350100000023757</t>
  </si>
  <si>
    <t>ONB-5098</t>
  </si>
  <si>
    <t>350100007903162</t>
  </si>
  <si>
    <t>ONB-5073</t>
  </si>
  <si>
    <t>ONB-5048</t>
  </si>
  <si>
    <t>350100000388031</t>
  </si>
  <si>
    <t>Commission VAT</t>
  </si>
  <si>
    <t>Commission+VAT</t>
  </si>
  <si>
    <t>TEM-5094</t>
  </si>
  <si>
    <t>350100007871486</t>
  </si>
  <si>
    <t>TEM-5069</t>
  </si>
  <si>
    <t>350100000546411</t>
  </si>
  <si>
    <t>TEM-5044</t>
  </si>
  <si>
    <t>350100000348436</t>
  </si>
  <si>
    <t>TEM-5019</t>
  </si>
  <si>
    <t>350100000150461</t>
  </si>
  <si>
    <t>TEM-5089</t>
  </si>
  <si>
    <t>350100000704791</t>
  </si>
  <si>
    <t>TEM-5064</t>
  </si>
  <si>
    <t>350100000506816</t>
  </si>
  <si>
    <t>TEM-5039</t>
  </si>
  <si>
    <t>350100000308841</t>
  </si>
  <si>
    <t>TEM-5014</t>
  </si>
  <si>
    <t>350100000110866</t>
  </si>
  <si>
    <t>TEM-5084</t>
  </si>
  <si>
    <t>TEM-5059</t>
  </si>
  <si>
    <t>350100000467221</t>
  </si>
  <si>
    <t>TEM-5034</t>
  </si>
  <si>
    <t>350100000269246</t>
  </si>
  <si>
    <t>TEM-5009</t>
  </si>
  <si>
    <t>350100000071271</t>
  </si>
  <si>
    <t>TEM-5079</t>
  </si>
  <si>
    <t>350100000625601</t>
  </si>
  <si>
    <t>TEM-5054</t>
  </si>
  <si>
    <t>350100000427626</t>
  </si>
  <si>
    <t>TEM-5029</t>
  </si>
  <si>
    <t>350100000229651</t>
  </si>
  <si>
    <t>TEM-5004</t>
  </si>
  <si>
    <t>350100000031676</t>
  </si>
  <si>
    <t>TEM-5099</t>
  </si>
  <si>
    <t>350100007911081</t>
  </si>
  <si>
    <t>TEM-5074</t>
  </si>
  <si>
    <t>350100000586006</t>
  </si>
  <si>
    <t>TEM-5049</t>
  </si>
  <si>
    <t>TEM-5024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</si>
  <si>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</si>
  <si>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</si>
  <si>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</si>
  <si>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</si>
  <si>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</si>
  <si>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</si>
  <si>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</si>
  <si>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</si>
  <si>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</si>
  <si>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</si>
  <si>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Name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</si>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</sst>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21+COUNT('AMAZON'!$H$23:$H$222)</f>
      </c>
      <c r="C6">
        <v>0</v>
      </c>
      <c r="D6">
        <v>0</v>
      </c>
      <c r="E6">
        <v>0</v>
      </c>
      <c r="F6" s="4">
        <f>1112.38+SUM('AMAZON'!$V$23:$V$222)</f>
      </c>
      <c r="G6" s="4">
        <v>0</v>
      </c>
      <c r="H6" s="4">
        <f>F6-G6</f>
      </c>
      <c r="I6" s="4">
        <f>IFERROR((F6-G6)/(6415.50+SUM('AMAZON'!$G$23:$G$222))*100,0)</f>
      </c>
    </row>
    <row r="7" spans="1:9" x14ac:dyDescent="0.25">
      <c r="A7" t="s">
        <v>14</v>
      </c>
      <c r="B7">
        <f>20+COUNT('BM'!$H$22:$H$221)</f>
      </c>
      <c r="C7">
        <v>0</v>
      </c>
      <c r="D7">
        <v>0</v>
      </c>
      <c r="E7">
        <v>0</v>
      </c>
      <c r="F7" s="4">
        <f>664.49+SUM('BM'!$U$22:$U$221)</f>
      </c>
      <c r="G7" s="4">
        <v>0</v>
      </c>
      <c r="H7" s="4">
        <f>F7-G7</f>
      </c>
      <c r="I7" s="4">
        <f>IFERROR((F7-G7)/(6673.31+SUM('BM'!$G$22:$G$221))*100,0)</f>
      </c>
    </row>
    <row r="8" spans="1:9" x14ac:dyDescent="0.25">
      <c r="A8" t="s">
        <v>15</v>
      </c>
      <c r="B8">
        <f>20+COUNT('EBAY'!$H$22:$H$221)</f>
      </c>
      <c r="C8">
        <v>0</v>
      </c>
      <c r="D8">
        <v>0</v>
      </c>
      <c r="E8">
        <v>0</v>
      </c>
      <c r="F8" s="4">
        <f>1278.25+SUM('EBAY'!$Y$22:$Y$221)</f>
      </c>
      <c r="G8" s="4">
        <v>0</v>
      </c>
      <c r="H8" s="4">
        <f>F8-G8</f>
      </c>
      <c r="I8" s="4">
        <f>IFERROR((F8-G8)/(6437.01+SUM('EBAY'!$G$22:$G$221))*100,0)</f>
      </c>
    </row>
    <row r="9" spans="1:9" x14ac:dyDescent="0.25">
      <c r="A9" t="s">
        <v>16</v>
      </c>
      <c r="B9">
        <f>20+COUNT('ONBUY'!$G$22:$G$221)</f>
      </c>
      <c r="C9">
        <v>0</v>
      </c>
      <c r="D9">
        <v>0</v>
      </c>
      <c r="E9">
        <v>0</v>
      </c>
      <c r="F9" s="4">
        <f>1133.34+SUM('ONBUY'!$S$22:$S$221)</f>
      </c>
      <c r="G9" s="4">
        <v>0</v>
      </c>
      <c r="H9" s="4">
        <f>F9-G9</f>
      </c>
      <c r="I9" s="4">
        <f>IFERROR((F9-G9)/(6683.97+SUM('ONBUY'!$F$22:$F$221))*100,0)</f>
      </c>
    </row>
    <row r="10" spans="1:9" x14ac:dyDescent="0.25">
      <c r="A10" t="s">
        <v>17</v>
      </c>
      <c r="B10">
        <f>20+COUNT('TEMU'!$H$22:$H$221)</f>
      </c>
      <c r="C10">
        <v>0</v>
      </c>
      <c r="D10">
        <v>0</v>
      </c>
      <c r="E10">
        <v>0</v>
      </c>
      <c r="F10" s="4">
        <f>1336.79+SUM('TEMU'!$U$22:$U$221)</f>
      </c>
      <c r="G10" s="4">
        <v>0</v>
      </c>
      <c r="H10" s="4">
        <f>F10-G10</f>
      </c>
      <c r="I10" s="4">
        <f>IFERROR((F10-G10)/(6826.54+SUM('TEMU'!$G$22:$G$221))*100,0)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IFERROR((F11-G11)/(33036.33+SUM('AMAZON'!$G$23:$G$222)+SUM('BM'!$G$22:$G$221)+SUM('EBAY'!$G$22:$G$221)+SUM('ONBUY'!$F$22:$F$221)+SUM('TEMU'!$G$22:$G$221))*100,0)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3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>
        <v>46227.5</v>
      </c>
      <c r="B2" t="s">
        <v>62</v>
      </c>
      <c r="C2" t="s">
        <v>63</v>
      </c>
      <c r="D2" s="9" t="s">
        <v>64</v>
      </c>
      <c r="E2" t="s">
        <v>65</v>
      </c>
      <c r="F2" t="s">
        <v>66</v>
      </c>
      <c r="G2" t="s">
        <v>67</v>
      </c>
      <c r="H2" t="s">
        <v>68</v>
      </c>
      <c r="I2">
        <v>1</v>
      </c>
      <c r="J2" s="4">
        <v>206.45</v>
      </c>
      <c r="K2" s="4">
        <v>268.39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(V2-AC2)/J2*100</f>
      </c>
      <c r="X2" s="4">
        <f>M2-U2</f>
      </c>
      <c r="AD2" s="4">
        <f>V2-AC2</f>
      </c>
      <c r="AI2" t="s">
        <v>1</v>
      </c>
    </row>
    <row r="3" spans="1:35" x14ac:dyDescent="0.25">
      <c r="A3" s="8">
        <v>46227.5</v>
      </c>
      <c r="B3" t="s">
        <v>69</v>
      </c>
      <c r="C3" t="s">
        <v>70</v>
      </c>
      <c r="D3" s="9" t="s">
        <v>71</v>
      </c>
      <c r="E3" t="s">
        <v>70</v>
      </c>
      <c r="F3" t="s">
        <v>66</v>
      </c>
      <c r="G3" t="s">
        <v>72</v>
      </c>
      <c r="H3" t="s">
        <v>73</v>
      </c>
      <c r="I3">
        <v>1</v>
      </c>
      <c r="J3" s="4">
        <v>293.74</v>
      </c>
      <c r="K3" s="4">
        <v>406.06</v>
      </c>
      <c r="L3" s="4">
        <f>K3-J3</f>
      </c>
      <c r="M3" s="4">
        <f>L3*16.67%</f>
      </c>
      <c r="N3" s="4">
        <f>K3/100*7</f>
      </c>
      <c r="O3" s="4">
        <f>N3*20%</f>
      </c>
      <c r="P3" s="4">
        <f>N3*2%</f>
      </c>
      <c r="Q3" s="4">
        <f>P3*20%</f>
      </c>
      <c r="R3" s="4">
        <v>8</v>
      </c>
      <c r="S3" s="4">
        <f>R3*20%</f>
      </c>
      <c r="T3" s="4">
        <v>1</v>
      </c>
      <c r="U3" s="4">
        <f>O3+Q3+S3</f>
      </c>
      <c r="V3" s="4">
        <f>L3-M3-N3-O3-P3-Q3-R3-S3-T3</f>
      </c>
      <c r="W3" s="4">
        <f>(V3-AC3)/J3*100</f>
      </c>
      <c r="X3" s="4">
        <f>M3-U3</f>
      </c>
      <c r="AD3" s="4">
        <f>V3-AC3</f>
      </c>
      <c r="AI3" t="s">
        <v>1</v>
      </c>
    </row>
    <row r="4" spans="1:35" x14ac:dyDescent="0.25">
      <c r="A4" s="8">
        <v>46226.5</v>
      </c>
      <c r="B4" t="s">
        <v>74</v>
      </c>
      <c r="C4" t="s">
        <v>75</v>
      </c>
      <c r="D4" s="9" t="s">
        <v>76</v>
      </c>
      <c r="E4" t="s">
        <v>75</v>
      </c>
      <c r="F4" t="s">
        <v>77</v>
      </c>
      <c r="G4" t="s">
        <v>78</v>
      </c>
      <c r="H4" t="s">
        <v>79</v>
      </c>
      <c r="I4">
        <v>1</v>
      </c>
      <c r="J4" s="4">
        <v>451.39</v>
      </c>
      <c r="K4" s="4">
        <v>574.19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</v>
      </c>
      <c r="S4" s="4">
        <f>R4*20%</f>
      </c>
      <c r="T4" s="4">
        <v>1</v>
      </c>
      <c r="U4" s="4">
        <f>O4+Q4+S4</f>
      </c>
      <c r="V4" s="4">
        <f>L4-M4-N4-O4-P4-Q4-R4-S4-T4</f>
      </c>
      <c r="W4" s="4">
        <f>(V4-AC4)/J4*100</f>
      </c>
      <c r="X4" s="4">
        <f>M4-U4</f>
      </c>
      <c r="AD4" s="4">
        <f>V4-AC4</f>
      </c>
      <c r="AI4" t="s">
        <v>1</v>
      </c>
    </row>
    <row r="5" spans="1:35" x14ac:dyDescent="0.25">
      <c r="A5" s="8">
        <v>46225.5</v>
      </c>
      <c r="B5" t="s">
        <v>80</v>
      </c>
      <c r="C5" t="s">
        <v>81</v>
      </c>
      <c r="D5" s="9" t="s">
        <v>82</v>
      </c>
      <c r="E5" t="s">
        <v>81</v>
      </c>
      <c r="F5" t="s">
        <v>83</v>
      </c>
      <c r="G5" t="s">
        <v>72</v>
      </c>
      <c r="H5" t="s">
        <v>79</v>
      </c>
      <c r="I5">
        <v>1</v>
      </c>
      <c r="J5" s="4">
        <v>237.5</v>
      </c>
      <c r="K5" s="4">
        <v>333.23</v>
      </c>
      <c r="L5" s="4">
        <f>K5-J5</f>
      </c>
      <c r="M5" s="4">
        <f>L5*16.67%</f>
      </c>
      <c r="N5" s="4">
        <f>K5/100*7</f>
      </c>
      <c r="O5" s="4">
        <f>N5*20%</f>
      </c>
      <c r="P5" s="4">
        <f>N5*2%</f>
      </c>
      <c r="Q5" s="4">
        <f>P5*20%</f>
      </c>
      <c r="R5" s="4">
        <v>8</v>
      </c>
      <c r="S5" s="4">
        <f>R5*20%</f>
      </c>
      <c r="T5" s="4">
        <v>1</v>
      </c>
      <c r="U5" s="4">
        <f>O5+Q5+S5</f>
      </c>
      <c r="V5" s="4">
        <f>L5-M5-N5-O5-P5-Q5-R5-S5-T5</f>
      </c>
      <c r="W5" s="4">
        <f>(V5-AC5)/J5*100</f>
      </c>
      <c r="X5" s="4">
        <f>M5-U5</f>
      </c>
      <c r="AD5" s="4">
        <f>V5-AC5</f>
      </c>
      <c r="AI5" t="s">
        <v>1</v>
      </c>
    </row>
    <row r="6" spans="1:35" x14ac:dyDescent="0.25">
      <c r="A6" s="8">
        <v>46224.5</v>
      </c>
      <c r="B6" t="s">
        <v>84</v>
      </c>
      <c r="C6" t="s">
        <v>85</v>
      </c>
      <c r="D6" s="9" t="s">
        <v>86</v>
      </c>
      <c r="E6" t="s">
        <v>65</v>
      </c>
      <c r="F6" t="s">
        <v>87</v>
      </c>
      <c r="G6" t="s">
        <v>78</v>
      </c>
      <c r="H6" t="s">
        <v>79</v>
      </c>
      <c r="I6">
        <v>1</v>
      </c>
      <c r="J6" s="4">
        <v>469.17</v>
      </c>
      <c r="K6" s="4">
        <v>662.93</v>
      </c>
      <c r="L6" s="4">
        <f>K6-J6</f>
      </c>
      <c r="M6" s="4">
        <f>L6*16.67%</f>
      </c>
      <c r="N6" s="4">
        <f>K6/100*7</f>
      </c>
      <c r="O6" s="4">
        <f>N6*20%</f>
      </c>
      <c r="P6" s="4">
        <f>N6*2%</f>
      </c>
      <c r="Q6" s="4">
        <f>P6*20%</f>
      </c>
      <c r="R6" s="4">
        <v>6.3</v>
      </c>
      <c r="S6" s="4">
        <f>R6*20%</f>
      </c>
      <c r="T6" s="4">
        <v>1</v>
      </c>
      <c r="U6" s="4">
        <f>O6+Q6+S6</f>
      </c>
      <c r="V6" s="4">
        <f>L6-M6-N6-O6-P6-Q6-R6-S6-T6</f>
      </c>
      <c r="W6" s="4">
        <f>(V6-AC6)/J6*100</f>
      </c>
      <c r="X6" s="4">
        <f>M6-U6</f>
      </c>
      <c r="AD6" s="4">
        <f>V6-AC6</f>
      </c>
      <c r="AI6" t="s">
        <v>1</v>
      </c>
    </row>
    <row r="7" spans="1:35" x14ac:dyDescent="0.25">
      <c r="A7" s="8">
        <v>46222.5</v>
      </c>
      <c r="B7" t="s">
        <v>88</v>
      </c>
      <c r="C7" t="s">
        <v>89</v>
      </c>
      <c r="D7" s="9" t="s">
        <v>90</v>
      </c>
      <c r="E7" t="s">
        <v>65</v>
      </c>
      <c r="F7" t="s">
        <v>66</v>
      </c>
      <c r="G7" t="s">
        <v>72</v>
      </c>
      <c r="H7" t="s">
        <v>91</v>
      </c>
      <c r="I7">
        <v>1</v>
      </c>
      <c r="J7" s="4">
        <v>335.04</v>
      </c>
      <c r="K7" s="4">
        <v>494.65</v>
      </c>
      <c r="L7" s="4">
        <f>K7-J7</f>
      </c>
      <c r="M7" s="4">
        <f>L7*16.67%</f>
      </c>
      <c r="N7" s="4">
        <f>K7/100*7</f>
      </c>
      <c r="O7" s="4">
        <f>N7*20%</f>
      </c>
      <c r="P7" s="4">
        <f>N7*2%</f>
      </c>
      <c r="Q7" s="4">
        <f>P7*20%</f>
      </c>
      <c r="R7" s="4">
        <v>6.3</v>
      </c>
      <c r="S7" s="4">
        <f>R7*20%</f>
      </c>
      <c r="T7" s="4">
        <v>1</v>
      </c>
      <c r="U7" s="4">
        <f>O7+Q7+S7</f>
      </c>
      <c r="V7" s="4">
        <f>L7-M7-N7-O7-P7-Q7-R7-S7-T7</f>
      </c>
      <c r="W7" s="4">
        <f>(V7-AC7)/J7*100</f>
      </c>
      <c r="X7" s="4">
        <f>M7-U7</f>
      </c>
      <c r="AD7" s="4">
        <f>V7-AC7</f>
      </c>
      <c r="AI7" t="s">
        <v>1</v>
      </c>
    </row>
    <row r="8" spans="1:35" x14ac:dyDescent="0.25">
      <c r="A8" s="8">
        <v>46221.5</v>
      </c>
      <c r="B8" t="s">
        <v>92</v>
      </c>
      <c r="C8" t="s">
        <v>93</v>
      </c>
      <c r="D8" s="9" t="s">
        <v>94</v>
      </c>
      <c r="E8" t="s">
        <v>65</v>
      </c>
      <c r="F8" t="s">
        <v>95</v>
      </c>
      <c r="G8" t="s">
        <v>72</v>
      </c>
      <c r="H8" t="s">
        <v>91</v>
      </c>
      <c r="I8">
        <v>1</v>
      </c>
      <c r="J8" s="4">
        <v>222.24</v>
      </c>
      <c r="K8" s="4">
        <v>294.66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6.3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(V8-AC8)/J8*100</f>
      </c>
      <c r="X8" s="4">
        <f>M8-U8</f>
      </c>
      <c r="AD8" s="4">
        <f>V8-AC8</f>
      </c>
      <c r="AI8" t="s">
        <v>1</v>
      </c>
    </row>
    <row r="9" spans="1:35" x14ac:dyDescent="0.25">
      <c r="A9" s="8">
        <v>46220.5</v>
      </c>
      <c r="B9" t="s">
        <v>96</v>
      </c>
      <c r="C9" t="s">
        <v>97</v>
      </c>
      <c r="D9" s="9" t="s">
        <v>98</v>
      </c>
      <c r="E9" t="s">
        <v>65</v>
      </c>
      <c r="F9" t="s">
        <v>95</v>
      </c>
      <c r="G9" t="s">
        <v>67</v>
      </c>
      <c r="H9" t="s">
        <v>73</v>
      </c>
      <c r="I9">
        <v>1</v>
      </c>
      <c r="J9" s="4">
        <v>192.93</v>
      </c>
      <c r="K9" s="4">
        <v>288.15</v>
      </c>
      <c r="L9" s="4">
        <f>K9-J9</f>
      </c>
      <c r="M9" s="4">
        <f>L9*16.67%</f>
      </c>
      <c r="N9" s="4">
        <f>K9/100*7</f>
      </c>
      <c r="O9" s="4">
        <f>N9*20%</f>
      </c>
      <c r="P9" s="4">
        <f>N9*2%</f>
      </c>
      <c r="Q9" s="4">
        <f>P9*20%</f>
      </c>
      <c r="R9" s="4">
        <v>8</v>
      </c>
      <c r="S9" s="4">
        <f>R9*20%</f>
      </c>
      <c r="T9" s="4">
        <v>1</v>
      </c>
      <c r="U9" s="4">
        <f>O9+Q9+S9</f>
      </c>
      <c r="V9" s="4">
        <f>L9-M9-N9-O9-P9-Q9-R9-S9-T9</f>
      </c>
      <c r="W9" s="4">
        <f>(V9-AC9)/J9*100</f>
      </c>
      <c r="X9" s="4">
        <f>M9-U9</f>
      </c>
      <c r="AD9" s="4">
        <f>V9-AC9</f>
      </c>
      <c r="AI9" t="s">
        <v>1</v>
      </c>
    </row>
    <row r="10" spans="1:35" x14ac:dyDescent="0.25">
      <c r="A10" s="8">
        <v>46219.5</v>
      </c>
      <c r="B10" t="s">
        <v>99</v>
      </c>
      <c r="C10" t="s">
        <v>100</v>
      </c>
      <c r="D10" s="9" t="s">
        <v>101</v>
      </c>
      <c r="E10" t="s">
        <v>100</v>
      </c>
      <c r="F10" t="s">
        <v>102</v>
      </c>
      <c r="G10" t="s">
        <v>72</v>
      </c>
      <c r="H10" t="s">
        <v>91</v>
      </c>
      <c r="I10">
        <v>1</v>
      </c>
      <c r="J10" s="4">
        <v>280.37</v>
      </c>
      <c r="K10" s="4">
        <v>392.6</v>
      </c>
      <c r="L10" s="4">
        <f>K10-J10</f>
      </c>
      <c r="M10" s="4">
        <f>L10*16.67%</f>
      </c>
      <c r="N10" s="4">
        <f>K10/100*7</f>
      </c>
      <c r="O10" s="4">
        <f>N10*20%</f>
      </c>
      <c r="P10" s="4">
        <f>N10*2%</f>
      </c>
      <c r="Q10" s="4">
        <f>P10*20%</f>
      </c>
      <c r="R10" s="4">
        <v>8</v>
      </c>
      <c r="S10" s="4">
        <f>R10*20%</f>
      </c>
      <c r="T10" s="4">
        <v>1</v>
      </c>
      <c r="U10" s="4">
        <f>O10+Q10+S10</f>
      </c>
      <c r="V10" s="4">
        <f>L10-M10-N10-O10-P10-Q10-R10-S10-T10</f>
      </c>
      <c r="W10" s="4">
        <f>(V10-AC10)/J10*100</f>
      </c>
      <c r="X10" s="4">
        <f>M10-U10</f>
      </c>
      <c r="AD10" s="4">
        <f>V10-AC10</f>
      </c>
      <c r="AI10" t="s">
        <v>1</v>
      </c>
    </row>
    <row r="11" spans="1:35" x14ac:dyDescent="0.25">
      <c r="A11" s="8">
        <v>46217.5</v>
      </c>
      <c r="B11" t="s">
        <v>103</v>
      </c>
      <c r="C11" t="s">
        <v>104</v>
      </c>
      <c r="D11" s="9" t="s">
        <v>105</v>
      </c>
      <c r="E11" t="s">
        <v>104</v>
      </c>
      <c r="F11" t="s">
        <v>77</v>
      </c>
      <c r="G11" t="s">
        <v>72</v>
      </c>
      <c r="H11" t="s">
        <v>68</v>
      </c>
      <c r="I11">
        <v>1</v>
      </c>
      <c r="J11" s="4">
        <v>246.21</v>
      </c>
      <c r="K11" s="4">
        <v>319.55</v>
      </c>
      <c r="L11" s="4">
        <f>K11-J11</f>
      </c>
      <c r="M11" s="4">
        <f>L11*16.67%</f>
      </c>
      <c r="N11" s="4">
        <f>K11/100*7</f>
      </c>
      <c r="O11" s="4">
        <f>N11*20%</f>
      </c>
      <c r="P11" s="4">
        <f>N11*2%</f>
      </c>
      <c r="Q11" s="4">
        <f>P11*20%</f>
      </c>
      <c r="R11" s="4">
        <v>8</v>
      </c>
      <c r="S11" s="4">
        <f>R11*20%</f>
      </c>
      <c r="T11" s="4">
        <v>1</v>
      </c>
      <c r="U11" s="4">
        <f>O11+Q11+S11</f>
      </c>
      <c r="V11" s="4">
        <f>L11-M11-N11-O11-P11-Q11-R11-S11-T11</f>
      </c>
      <c r="W11" s="4">
        <f>(V11-AC11)/J11*100</f>
      </c>
      <c r="X11" s="4">
        <f>M11-U11</f>
      </c>
      <c r="AD11" s="4">
        <f>V11-AC11</f>
      </c>
      <c r="AI11" t="s">
        <v>1</v>
      </c>
    </row>
    <row r="12" spans="1:35" x14ac:dyDescent="0.25">
      <c r="A12" s="8">
        <v>46216.5</v>
      </c>
      <c r="B12" t="s">
        <v>106</v>
      </c>
      <c r="C12" t="s">
        <v>107</v>
      </c>
      <c r="D12" s="9" t="s">
        <v>108</v>
      </c>
      <c r="E12" t="s">
        <v>107</v>
      </c>
      <c r="F12" t="s">
        <v>95</v>
      </c>
      <c r="G12" t="s">
        <v>72</v>
      </c>
      <c r="H12" t="s">
        <v>73</v>
      </c>
      <c r="I12">
        <v>1</v>
      </c>
      <c r="J12" s="4">
        <v>250.16</v>
      </c>
      <c r="K12" s="4">
        <v>335.89</v>
      </c>
      <c r="L12" s="4">
        <f>K12-J12</f>
      </c>
      <c r="M12" s="4">
        <f>L12*16.67%</f>
      </c>
      <c r="N12" s="4">
        <f>K12/100*7</f>
      </c>
      <c r="O12" s="4">
        <f>N12*20%</f>
      </c>
      <c r="P12" s="4">
        <f>N12*2%</f>
      </c>
      <c r="Q12" s="4">
        <f>P12*20%</f>
      </c>
      <c r="R12" s="4">
        <v>8</v>
      </c>
      <c r="S12" s="4">
        <f>R12*20%</f>
      </c>
      <c r="T12" s="4">
        <v>1</v>
      </c>
      <c r="U12" s="4">
        <f>O12+Q12+S12</f>
      </c>
      <c r="V12" s="4">
        <f>L12-M12-N12-O12-P12-Q12-R12-S12-T12</f>
      </c>
      <c r="W12" s="4">
        <f>(V12-AC12)/J12*100</f>
      </c>
      <c r="X12" s="4">
        <f>M12-U12</f>
      </c>
      <c r="AD12" s="4">
        <f>V12-AC12</f>
      </c>
      <c r="AI12" t="s">
        <v>1</v>
      </c>
    </row>
    <row r="13" spans="1:35" x14ac:dyDescent="0.25">
      <c r="A13" s="8">
        <v>46215.5</v>
      </c>
      <c r="B13" t="s">
        <v>109</v>
      </c>
      <c r="C13" t="s">
        <v>85</v>
      </c>
      <c r="D13" s="9" t="s">
        <v>110</v>
      </c>
      <c r="E13" t="s">
        <v>65</v>
      </c>
      <c r="F13" t="s">
        <v>87</v>
      </c>
      <c r="G13" t="s">
        <v>78</v>
      </c>
      <c r="H13" t="s">
        <v>79</v>
      </c>
      <c r="I13">
        <v>1</v>
      </c>
      <c r="J13" s="4">
        <v>495.98</v>
      </c>
      <c r="K13" s="4">
        <v>737.52</v>
      </c>
      <c r="L13" s="4">
        <f>K13-J13</f>
      </c>
      <c r="M13" s="4">
        <f>L13*16.67%</f>
      </c>
      <c r="N13" s="4">
        <f>K13/100*7</f>
      </c>
      <c r="O13" s="4">
        <f>N13*20%</f>
      </c>
      <c r="P13" s="4">
        <f>N13*2%</f>
      </c>
      <c r="Q13" s="4">
        <f>P13*20%</f>
      </c>
      <c r="R13" s="4">
        <v>6.3</v>
      </c>
      <c r="S13" s="4">
        <f>R13*20%</f>
      </c>
      <c r="T13" s="4">
        <v>1</v>
      </c>
      <c r="U13" s="4">
        <f>O13+Q13+S13</f>
      </c>
      <c r="V13" s="4">
        <f>L13-M13-N13-O13-P13-Q13-R13-S13-T13</f>
      </c>
      <c r="W13" s="4">
        <f>(V13-AC13)/J13*100</f>
      </c>
      <c r="X13" s="4">
        <f>M13-U13</f>
      </c>
      <c r="AD13" s="4">
        <f>V13-AC13</f>
      </c>
      <c r="AI13" t="s">
        <v>1</v>
      </c>
    </row>
    <row r="14" spans="1:35" x14ac:dyDescent="0.25">
      <c r="A14" s="8">
        <v>46214.5</v>
      </c>
      <c r="B14" t="s">
        <v>111</v>
      </c>
      <c r="C14" t="s">
        <v>112</v>
      </c>
      <c r="D14" s="9" t="s">
        <v>113</v>
      </c>
      <c r="E14" t="s">
        <v>65</v>
      </c>
      <c r="F14" t="s">
        <v>87</v>
      </c>
      <c r="G14" t="s">
        <v>72</v>
      </c>
      <c r="H14" t="s">
        <v>91</v>
      </c>
      <c r="I14">
        <v>1</v>
      </c>
      <c r="J14" s="4">
        <v>311.8</v>
      </c>
      <c r="K14" s="4">
        <v>464.89</v>
      </c>
      <c r="L14" s="4">
        <f>K14-J14</f>
      </c>
      <c r="M14" s="4">
        <f>L14*16.67%</f>
      </c>
      <c r="N14" s="4">
        <f>K14/100*7</f>
      </c>
      <c r="O14" s="4">
        <f>N14*20%</f>
      </c>
      <c r="P14" s="4">
        <f>N14*2%</f>
      </c>
      <c r="Q14" s="4">
        <f>P14*20%</f>
      </c>
      <c r="R14" s="4">
        <v>8</v>
      </c>
      <c r="S14" s="4">
        <f>R14*20%</f>
      </c>
      <c r="T14" s="4">
        <v>1</v>
      </c>
      <c r="U14" s="4">
        <f>O14+Q14+S14</f>
      </c>
      <c r="V14" s="4">
        <f>L14-M14-N14-O14-P14-Q14-R14-S14-T14</f>
      </c>
      <c r="W14" s="4">
        <f>(V14-AC14)/J14*100</f>
      </c>
      <c r="X14" s="4">
        <f>M14-U14</f>
      </c>
      <c r="AD14" s="4">
        <f>V14-AC14</f>
      </c>
      <c r="AI14" t="s">
        <v>1</v>
      </c>
    </row>
    <row r="15" spans="1:35" x14ac:dyDescent="0.25">
      <c r="A15" s="8">
        <v>46212.5</v>
      </c>
      <c r="B15" t="s">
        <v>114</v>
      </c>
      <c r="C15" t="s">
        <v>97</v>
      </c>
      <c r="D15" s="9" t="s">
        <v>115</v>
      </c>
      <c r="E15" t="s">
        <v>65</v>
      </c>
      <c r="F15" t="s">
        <v>95</v>
      </c>
      <c r="G15" t="s">
        <v>67</v>
      </c>
      <c r="H15" t="s">
        <v>73</v>
      </c>
      <c r="I15">
        <v>1</v>
      </c>
      <c r="J15" s="4">
        <v>190.34</v>
      </c>
      <c r="K15" s="4">
        <v>275.79</v>
      </c>
      <c r="L15" s="4">
        <f>K15-J15</f>
      </c>
      <c r="M15" s="4">
        <f>L15*16.67%</f>
      </c>
      <c r="N15" s="4">
        <f>K15/100*7</f>
      </c>
      <c r="O15" s="4">
        <f>N15*20%</f>
      </c>
      <c r="P15" s="4">
        <f>N15*2%</f>
      </c>
      <c r="Q15" s="4">
        <f>P15*20%</f>
      </c>
      <c r="R15" s="4">
        <v>6.3</v>
      </c>
      <c r="S15" s="4">
        <f>R15*20%</f>
      </c>
      <c r="T15" s="4">
        <v>1</v>
      </c>
      <c r="U15" s="4">
        <f>O15+Q15+S15</f>
      </c>
      <c r="V15" s="4">
        <f>L15-M15-N15-O15-P15-Q15-R15-S15-T15</f>
      </c>
      <c r="W15" s="4">
        <f>(V15-AC15)/J15*100</f>
      </c>
      <c r="X15" s="4">
        <f>M15-U15</f>
      </c>
      <c r="AD15" s="4">
        <f>V15-AC15</f>
      </c>
      <c r="AI15" t="s">
        <v>1</v>
      </c>
    </row>
    <row r="16" spans="1:35" x14ac:dyDescent="0.25">
      <c r="A16" s="8">
        <v>46211.5</v>
      </c>
      <c r="B16" t="s">
        <v>116</v>
      </c>
      <c r="C16" t="s">
        <v>117</v>
      </c>
      <c r="D16" s="9" t="s">
        <v>118</v>
      </c>
      <c r="E16" t="s">
        <v>117</v>
      </c>
      <c r="F16" t="s">
        <v>83</v>
      </c>
      <c r="G16" t="s">
        <v>72</v>
      </c>
      <c r="H16" t="s">
        <v>73</v>
      </c>
      <c r="I16">
        <v>1</v>
      </c>
      <c r="J16" s="4">
        <v>267</v>
      </c>
      <c r="K16" s="4">
        <v>377.39</v>
      </c>
      <c r="L16" s="4">
        <f>K16-J16</f>
      </c>
      <c r="M16" s="4">
        <f>L16*16.67%</f>
      </c>
      <c r="N16" s="4">
        <f>K16/100*7</f>
      </c>
      <c r="O16" s="4">
        <f>N16*20%</f>
      </c>
      <c r="P16" s="4">
        <f>N16*2%</f>
      </c>
      <c r="Q16" s="4">
        <f>P16*20%</f>
      </c>
      <c r="R16" s="4">
        <v>8</v>
      </c>
      <c r="S16" s="4">
        <f>R16*20%</f>
      </c>
      <c r="T16" s="4">
        <v>1</v>
      </c>
      <c r="U16" s="4">
        <f>O16+Q16+S16</f>
      </c>
      <c r="V16" s="4">
        <f>L16-M16-N16-O16-P16-Q16-R16-S16-T16</f>
      </c>
      <c r="W16" s="4">
        <f>(V16-AC16)/J16*100</f>
      </c>
      <c r="X16" s="4">
        <f>M16-U16</f>
      </c>
      <c r="AD16" s="4">
        <f>V16-AC16</f>
      </c>
      <c r="AI16" t="s">
        <v>1</v>
      </c>
    </row>
    <row r="17" spans="1:35" x14ac:dyDescent="0.25">
      <c r="A17" s="8">
        <v>46210.5</v>
      </c>
      <c r="B17" t="s">
        <v>119</v>
      </c>
      <c r="C17" t="s">
        <v>75</v>
      </c>
      <c r="D17" s="9" t="s">
        <v>120</v>
      </c>
      <c r="E17" t="s">
        <v>75</v>
      </c>
      <c r="F17" t="s">
        <v>77</v>
      </c>
      <c r="G17" t="s">
        <v>78</v>
      </c>
      <c r="H17" t="s">
        <v>73</v>
      </c>
      <c r="I17">
        <v>1</v>
      </c>
      <c r="J17" s="4">
        <v>418.34</v>
      </c>
      <c r="K17" s="4">
        <v>600.73</v>
      </c>
      <c r="L17" s="4">
        <f>K17-J17</f>
      </c>
      <c r="M17" s="4">
        <f>L17*16.67%</f>
      </c>
      <c r="N17" s="4">
        <f>K17/100*7</f>
      </c>
      <c r="O17" s="4">
        <f>N17*20%</f>
      </c>
      <c r="P17" s="4">
        <f>N17*2%</f>
      </c>
      <c r="Q17" s="4">
        <f>P17*20%</f>
      </c>
      <c r="R17" s="4">
        <v>8</v>
      </c>
      <c r="S17" s="4">
        <f>R17*20%</f>
      </c>
      <c r="T17" s="4">
        <v>1</v>
      </c>
      <c r="U17" s="4">
        <f>O17+Q17+S17</f>
      </c>
      <c r="V17" s="4">
        <f>L17-M17-N17-O17-P17-Q17-R17-S17-T17</f>
      </c>
      <c r="W17" s="4">
        <f>(V17-AC17)/J17*100</f>
      </c>
      <c r="X17" s="4">
        <f>M17-U17</f>
      </c>
      <c r="AD17" s="4">
        <f>V17-AC17</f>
      </c>
      <c r="AI17" t="s">
        <v>1</v>
      </c>
    </row>
    <row r="18" spans="1:35" x14ac:dyDescent="0.25">
      <c r="A18" s="8">
        <v>46209.5</v>
      </c>
      <c r="B18" t="s">
        <v>121</v>
      </c>
      <c r="C18" t="s">
        <v>81</v>
      </c>
      <c r="D18" s="9" t="s">
        <v>122</v>
      </c>
      <c r="E18" t="s">
        <v>81</v>
      </c>
      <c r="F18" t="s">
        <v>83</v>
      </c>
      <c r="G18" t="s">
        <v>72</v>
      </c>
      <c r="H18" t="s">
        <v>68</v>
      </c>
      <c r="I18">
        <v>1</v>
      </c>
      <c r="J18" s="4">
        <v>261.54</v>
      </c>
      <c r="K18" s="4">
        <v>348.93</v>
      </c>
      <c r="L18" s="4">
        <f>K18-J18</f>
      </c>
      <c r="M18" s="4">
        <f>L18*16.67%</f>
      </c>
      <c r="N18" s="4">
        <f>K18/100*7</f>
      </c>
      <c r="O18" s="4">
        <f>N18*20%</f>
      </c>
      <c r="P18" s="4">
        <f>N18*2%</f>
      </c>
      <c r="Q18" s="4">
        <f>P18*20%</f>
      </c>
      <c r="R18" s="4">
        <v>2</v>
      </c>
      <c r="S18" s="4">
        <f>R18*20%</f>
      </c>
      <c r="T18" s="4">
        <v>1</v>
      </c>
      <c r="U18" s="4">
        <f>O18+Q18+S18</f>
      </c>
      <c r="V18" s="4">
        <f>L18-M18-N18-O18-P18-Q18-R18-S18-T18</f>
      </c>
      <c r="W18" s="4">
        <f>(V18-AC18)/J18*100</f>
      </c>
      <c r="X18" s="4">
        <f>M18-U18</f>
      </c>
      <c r="AD18" s="4">
        <f>V18-AC18</f>
      </c>
      <c r="AI18" t="s">
        <v>1</v>
      </c>
    </row>
    <row r="19" spans="1:35" x14ac:dyDescent="0.25">
      <c r="A19" s="8">
        <v>46207.5</v>
      </c>
      <c r="B19" t="s">
        <v>123</v>
      </c>
      <c r="C19" t="s">
        <v>124</v>
      </c>
      <c r="D19" s="9" t="s">
        <v>125</v>
      </c>
      <c r="E19" t="s">
        <v>65</v>
      </c>
      <c r="F19" t="s">
        <v>102</v>
      </c>
      <c r="G19" t="s">
        <v>78</v>
      </c>
      <c r="H19" t="s">
        <v>68</v>
      </c>
      <c r="I19">
        <v>1</v>
      </c>
      <c r="J19" s="4">
        <v>501.14</v>
      </c>
      <c r="K19" s="4">
        <v>631.55</v>
      </c>
      <c r="L19" s="4">
        <f>K19-J19</f>
      </c>
      <c r="M19" s="4">
        <f>L19*16.67%</f>
      </c>
      <c r="N19" s="4">
        <f>K19/100*7</f>
      </c>
      <c r="O19" s="4">
        <f>N19*20%</f>
      </c>
      <c r="P19" s="4">
        <f>N19*2%</f>
      </c>
      <c r="Q19" s="4">
        <f>P19*20%</f>
      </c>
      <c r="R19" s="4">
        <v>6.3</v>
      </c>
      <c r="S19" s="4">
        <f>R19*20%</f>
      </c>
      <c r="T19" s="4">
        <v>1</v>
      </c>
      <c r="U19" s="4">
        <f>O19+Q19+S19</f>
      </c>
      <c r="V19" s="4">
        <f>L19-M19-N19-O19-P19-Q19-R19-S19-T19</f>
      </c>
      <c r="W19" s="4">
        <f>(V19-AC19)/J19*100</f>
      </c>
      <c r="X19" s="4">
        <f>M19-U19</f>
      </c>
      <c r="AD19" s="4">
        <f>V19-AC19</f>
      </c>
      <c r="AI19" t="s">
        <v>1</v>
      </c>
    </row>
    <row r="20" spans="1:35" x14ac:dyDescent="0.25">
      <c r="A20" s="8">
        <v>46206.5</v>
      </c>
      <c r="B20" t="s">
        <v>126</v>
      </c>
      <c r="C20" t="s">
        <v>127</v>
      </c>
      <c r="D20" s="9" t="s">
        <v>128</v>
      </c>
      <c r="E20" t="s">
        <v>65</v>
      </c>
      <c r="F20" t="s">
        <v>129</v>
      </c>
      <c r="G20" t="s">
        <v>72</v>
      </c>
      <c r="H20" t="s">
        <v>91</v>
      </c>
      <c r="I20">
        <v>1</v>
      </c>
      <c r="J20" s="4">
        <v>316.67</v>
      </c>
      <c r="K20" s="4">
        <v>443.11</v>
      </c>
      <c r="L20" s="4">
        <f>K20-J20</f>
      </c>
      <c r="M20" s="4">
        <f>L20*16.67%</f>
      </c>
      <c r="N20" s="4">
        <f>K20/100*7</f>
      </c>
      <c r="O20" s="4">
        <f>N20*20%</f>
      </c>
      <c r="P20" s="4">
        <f>N20*2%</f>
      </c>
      <c r="Q20" s="4">
        <f>P20*20%</f>
      </c>
      <c r="R20" s="4">
        <v>2</v>
      </c>
      <c r="S20" s="4">
        <f>R20*20%</f>
      </c>
      <c r="T20" s="4">
        <v>1</v>
      </c>
      <c r="U20" s="4">
        <f>O20+Q20+S20</f>
      </c>
      <c r="V20" s="4">
        <f>L20-M20-N20-O20-P20-Q20-R20-S20-T20</f>
      </c>
      <c r="W20" s="4">
        <f>(V20-AC20)/J20*100</f>
      </c>
      <c r="X20" s="4">
        <f>M20-U20</f>
      </c>
      <c r="AD20" s="4">
        <f>V20-AC20</f>
      </c>
      <c r="AI20" t="s">
        <v>1</v>
      </c>
    </row>
    <row r="21" spans="1:35" x14ac:dyDescent="0.25">
      <c r="A21" s="8">
        <v>46205.5</v>
      </c>
      <c r="B21" t="s">
        <v>130</v>
      </c>
      <c r="C21" t="s">
        <v>131</v>
      </c>
      <c r="D21" s="9" t="s">
        <v>132</v>
      </c>
      <c r="E21" t="s">
        <v>65</v>
      </c>
      <c r="F21" t="s">
        <v>133</v>
      </c>
      <c r="G21" t="s">
        <v>72</v>
      </c>
      <c r="H21" t="s">
        <v>91</v>
      </c>
      <c r="I21">
        <v>1</v>
      </c>
      <c r="J21" s="4">
        <v>233.36</v>
      </c>
      <c r="K21" s="4">
        <v>318.95</v>
      </c>
      <c r="L21" s="4">
        <f>K21-J21</f>
      </c>
      <c r="M21" s="4">
        <f>L21*16.67%</f>
      </c>
      <c r="N21" s="4">
        <f>K21/100*7</f>
      </c>
      <c r="O21" s="4">
        <f>N21*20%</f>
      </c>
      <c r="P21" s="4">
        <f>N21*2%</f>
      </c>
      <c r="Q21" s="4">
        <f>P21*20%</f>
      </c>
      <c r="R21" s="4">
        <v>6.3</v>
      </c>
      <c r="S21" s="4">
        <f>R21*20%</f>
      </c>
      <c r="T21" s="4">
        <v>1</v>
      </c>
      <c r="U21" s="4">
        <f>O21+Q21+S21</f>
      </c>
      <c r="V21" s="4">
        <f>L21-M21-N21-O21-P21-Q21-R21-S21-T21</f>
      </c>
      <c r="W21" s="4">
        <f>(V21-AC21)/J21*100</f>
      </c>
      <c r="X21" s="4">
        <f>M21-U21</f>
      </c>
      <c r="AD21" s="4">
        <f>V21-AC21</f>
      </c>
      <c r="AI21" t="s">
        <v>1</v>
      </c>
    </row>
    <row r="22" spans="1:35" x14ac:dyDescent="0.25">
      <c r="A22" s="8">
        <v>46204.5</v>
      </c>
      <c r="B22" t="s">
        <v>134</v>
      </c>
      <c r="C22" t="s">
        <v>89</v>
      </c>
      <c r="D22" s="9" t="s">
        <v>135</v>
      </c>
      <c r="E22" t="s">
        <v>65</v>
      </c>
      <c r="F22" t="s">
        <v>77</v>
      </c>
      <c r="G22" t="s">
        <v>72</v>
      </c>
      <c r="H22" t="s">
        <v>91</v>
      </c>
      <c r="I22">
        <v>1</v>
      </c>
      <c r="J22" s="4">
        <v>234.13</v>
      </c>
      <c r="K22" s="4">
        <v>319.21</v>
      </c>
      <c r="L22" s="4">
        <f>K22-J22</f>
      </c>
      <c r="M22" s="4">
        <f>L22*16.67%</f>
      </c>
      <c r="N22" s="4">
        <f>K22/100*7</f>
      </c>
      <c r="O22" s="4">
        <f>N22*20%</f>
      </c>
      <c r="P22" s="4">
        <f>N22*2%</f>
      </c>
      <c r="Q22" s="4">
        <f>P22*20%</f>
      </c>
      <c r="R22" s="4">
        <v>8</v>
      </c>
      <c r="S22" s="4">
        <f>R22*20%</f>
      </c>
      <c r="T22" s="4">
        <v>1</v>
      </c>
      <c r="U22" s="4">
        <f>O22+Q22+S22</f>
      </c>
      <c r="V22" s="4">
        <f>L22-M22-N22-O22-P22-Q22-R22-S22-T22</f>
      </c>
      <c r="W22" s="4">
        <f>(V22-AC22)/J22*100</f>
      </c>
      <c r="X22" s="4">
        <f>M22-U22</f>
      </c>
      <c r="AD22" s="4">
        <f>V22-AC22</f>
      </c>
      <c r="AI22" t="s">
        <v>1</v>
      </c>
    </row>
    <row r="23" spans="1:35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IF($K202="","",(V202-AC202)/J202*100)</f>
      </c>
      <c r="X202" s="4">
        <f>IF($K202="","",M202-U202)</f>
      </c>
      <c r="AD202" s="4">
        <f>IF($K202="","",V202-AC202)</f>
      </c>
    </row>
    <row r="203" spans="1:35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IF($K203="","",(V203-AC203)/J203*100)</f>
      </c>
      <c r="X203" s="4">
        <f>IF($K203="","",M203-U203)</f>
      </c>
      <c r="AD203" s="4">
        <f>IF($K203="","",V203-AC203)</f>
      </c>
    </row>
    <row r="204" spans="1:35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IF($K204="","",(V204-AC204)/J204*100)</f>
      </c>
      <c r="X204" s="4">
        <f>IF($K204="","",M204-U204)</f>
      </c>
      <c r="AD204" s="4">
        <f>IF($K204="","",V204-AC204)</f>
      </c>
    </row>
    <row r="205" spans="1:35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IF($K205="","",(V205-AC205)/J205*100)</f>
      </c>
      <c r="X205" s="4">
        <f>IF($K205="","",M205-U205)</f>
      </c>
      <c r="AD205" s="4">
        <f>IF($K205="","",V205-AC205)</f>
      </c>
    </row>
    <row r="206" spans="1:35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IF($K206="","",(V206-AC206)/J206*100)</f>
      </c>
      <c r="X206" s="4">
        <f>IF($K206="","",M206-U206)</f>
      </c>
      <c r="AD206" s="4">
        <f>IF($K206="","",V206-AC206)</f>
      </c>
    </row>
    <row r="207" spans="1:35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IF($K207="","",(V207-AC207)/J207*100)</f>
      </c>
      <c r="X207" s="4">
        <f>IF($K207="","",M207-U207)</f>
      </c>
      <c r="AD207" s="4">
        <f>IF($K207="","",V207-AC207)</f>
      </c>
    </row>
    <row r="208" spans="1:35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IF($K208="","",(V208-AC208)/J208*100)</f>
      </c>
      <c r="X208" s="4">
        <f>IF($K208="","",M208-U208)</f>
      </c>
      <c r="AD208" s="4">
        <f>IF($K208="","",V208-AC208)</f>
      </c>
    </row>
    <row r="209" spans="1:35" x14ac:dyDescent="0.25">
      <c r="A209" s="8"/>
      <c r="D209" s="9"/>
      <c r="J209" s="4"/>
      <c r="K209" s="4"/>
      <c r="L209" s="4">
        <f>IF($K209="","",K209-J209)</f>
      </c>
      <c r="M209" s="4">
        <f>IF($K209="","",L209*16.67%)</f>
      </c>
      <c r="N209" s="4">
        <f>IF($K209="","",K209/100*7)</f>
      </c>
      <c r="O209" s="4">
        <f>IF($K209="","",N209*20%)</f>
      </c>
      <c r="P209" s="4">
        <f>IF($K209="","",N209*2%)</f>
      </c>
      <c r="Q209" s="4">
        <f>IF($K209="","",P209*20%)</f>
      </c>
      <c r="R209" s="4"/>
      <c r="S209" s="4">
        <f>IF($K209="","",R209*20%)</f>
      </c>
      <c r="T209" s="4">
        <v>1</v>
      </c>
      <c r="U209" s="4">
        <f>IF($K209="","",O209+Q209+S209)</f>
      </c>
      <c r="V209" s="4">
        <f>IF($K209="","",L209-M209-N209-O209-P209-Q209-R209-S209-T209)</f>
      </c>
      <c r="W209" s="4">
        <f>IF($K209="","",(V209-AC209)/J209*100)</f>
      </c>
      <c r="X209" s="4">
        <f>IF($K209="","",M209-U209)</f>
      </c>
      <c r="AD209" s="4">
        <f>IF($K209="","",V209-AC209)</f>
      </c>
    </row>
    <row r="210" spans="1:35" x14ac:dyDescent="0.25">
      <c r="A210" s="8"/>
      <c r="D210" s="9"/>
      <c r="J210" s="4"/>
      <c r="K210" s="4"/>
      <c r="L210" s="4">
        <f>IF($K210="","",K210-J210)</f>
      </c>
      <c r="M210" s="4">
        <f>IF($K210="","",L210*16.67%)</f>
      </c>
      <c r="N210" s="4">
        <f>IF($K210="","",K210/100*7)</f>
      </c>
      <c r="O210" s="4">
        <f>IF($K210="","",N210*20%)</f>
      </c>
      <c r="P210" s="4">
        <f>IF($K210="","",N210*2%)</f>
      </c>
      <c r="Q210" s="4">
        <f>IF($K210="","",P210*20%)</f>
      </c>
      <c r="R210" s="4"/>
      <c r="S210" s="4">
        <f>IF($K210="","",R210*20%)</f>
      </c>
      <c r="T210" s="4">
        <v>1</v>
      </c>
      <c r="U210" s="4">
        <f>IF($K210="","",O210+Q210+S210)</f>
      </c>
      <c r="V210" s="4">
        <f>IF($K210="","",L210-M210-N210-O210-P210-Q210-R210-S210-T210)</f>
      </c>
      <c r="W210" s="4">
        <f>IF($K210="","",(V210-AC210)/J210*100)</f>
      </c>
      <c r="X210" s="4">
        <f>IF($K210="","",M210-U210)</f>
      </c>
      <c r="AD210" s="4">
        <f>IF($K210="","",V210-AC210)</f>
      </c>
    </row>
    <row r="211" spans="1:35" x14ac:dyDescent="0.25">
      <c r="A211" s="8"/>
      <c r="D211" s="9"/>
      <c r="J211" s="4"/>
      <c r="K211" s="4"/>
      <c r="L211" s="4">
        <f>IF($K211="","",K211-J211)</f>
      </c>
      <c r="M211" s="4">
        <f>IF($K211="","",L211*16.67%)</f>
      </c>
      <c r="N211" s="4">
        <f>IF($K211="","",K211/100*7)</f>
      </c>
      <c r="O211" s="4">
        <f>IF($K211="","",N211*20%)</f>
      </c>
      <c r="P211" s="4">
        <f>IF($K211="","",N211*2%)</f>
      </c>
      <c r="Q211" s="4">
        <f>IF($K211="","",P211*20%)</f>
      </c>
      <c r="R211" s="4"/>
      <c r="S211" s="4">
        <f>IF($K211="","",R211*20%)</f>
      </c>
      <c r="T211" s="4">
        <v>1</v>
      </c>
      <c r="U211" s="4">
        <f>IF($K211="","",O211+Q211+S211)</f>
      </c>
      <c r="V211" s="4">
        <f>IF($K211="","",L211-M211-N211-O211-P211-Q211-R211-S211-T211)</f>
      </c>
      <c r="W211" s="4">
        <f>IF($K211="","",(V211-AC211)/J211*100)</f>
      </c>
      <c r="X211" s="4">
        <f>IF($K211="","",M211-U211)</f>
      </c>
      <c r="AD211" s="4">
        <f>IF($K211="","",V211-AC211)</f>
      </c>
    </row>
    <row r="212" spans="1:35" x14ac:dyDescent="0.25">
      <c r="A212" s="8"/>
      <c r="D212" s="9"/>
      <c r="J212" s="4"/>
      <c r="K212" s="4"/>
      <c r="L212" s="4">
        <f>IF($K212="","",K212-J212)</f>
      </c>
      <c r="M212" s="4">
        <f>IF($K212="","",L212*16.67%)</f>
      </c>
      <c r="N212" s="4">
        <f>IF($K212="","",K212/100*7)</f>
      </c>
      <c r="O212" s="4">
        <f>IF($K212="","",N212*20%)</f>
      </c>
      <c r="P212" s="4">
        <f>IF($K212="","",N212*2%)</f>
      </c>
      <c r="Q212" s="4">
        <f>IF($K212="","",P212*20%)</f>
      </c>
      <c r="R212" s="4"/>
      <c r="S212" s="4">
        <f>IF($K212="","",R212*20%)</f>
      </c>
      <c r="T212" s="4">
        <v>1</v>
      </c>
      <c r="U212" s="4">
        <f>IF($K212="","",O212+Q212+S212)</f>
      </c>
      <c r="V212" s="4">
        <f>IF($K212="","",L212-M212-N212-O212-P212-Q212-R212-S212-T212)</f>
      </c>
      <c r="W212" s="4">
        <f>IF($K212="","",(V212-AC212)/J212*100)</f>
      </c>
      <c r="X212" s="4">
        <f>IF($K212="","",M212-U212)</f>
      </c>
      <c r="AD212" s="4">
        <f>IF($K212="","",V212-AC212)</f>
      </c>
    </row>
    <row r="213" spans="1:35" x14ac:dyDescent="0.25">
      <c r="A213" s="8"/>
      <c r="D213" s="9"/>
      <c r="J213" s="4"/>
      <c r="K213" s="4"/>
      <c r="L213" s="4">
        <f>IF($K213="","",K213-J213)</f>
      </c>
      <c r="M213" s="4">
        <f>IF($K213="","",L213*16.67%)</f>
      </c>
      <c r="N213" s="4">
        <f>IF($K213="","",K213/100*7)</f>
      </c>
      <c r="O213" s="4">
        <f>IF($K213="","",N213*20%)</f>
      </c>
      <c r="P213" s="4">
        <f>IF($K213="","",N213*2%)</f>
      </c>
      <c r="Q213" s="4">
        <f>IF($K213="","",P213*20%)</f>
      </c>
      <c r="R213" s="4"/>
      <c r="S213" s="4">
        <f>IF($K213="","",R213*20%)</f>
      </c>
      <c r="T213" s="4">
        <v>1</v>
      </c>
      <c r="U213" s="4">
        <f>IF($K213="","",O213+Q213+S213)</f>
      </c>
      <c r="V213" s="4">
        <f>IF($K213="","",L213-M213-N213-O213-P213-Q213-R213-S213-T213)</f>
      </c>
      <c r="W213" s="4">
        <f>IF($K213="","",(V213-AC213)/J213*100)</f>
      </c>
      <c r="X213" s="4">
        <f>IF($K213="","",M213-U213)</f>
      </c>
      <c r="AD213" s="4">
        <f>IF($K213="","",V213-AC213)</f>
      </c>
    </row>
    <row r="214" spans="1:35" x14ac:dyDescent="0.25">
      <c r="A214" s="8"/>
      <c r="D214" s="9"/>
      <c r="J214" s="4"/>
      <c r="K214" s="4"/>
      <c r="L214" s="4">
        <f>IF($K214="","",K214-J214)</f>
      </c>
      <c r="M214" s="4">
        <f>IF($K214="","",L214*16.67%)</f>
      </c>
      <c r="N214" s="4">
        <f>IF($K214="","",K214/100*7)</f>
      </c>
      <c r="O214" s="4">
        <f>IF($K214="","",N214*20%)</f>
      </c>
      <c r="P214" s="4">
        <f>IF($K214="","",N214*2%)</f>
      </c>
      <c r="Q214" s="4">
        <f>IF($K214="","",P214*20%)</f>
      </c>
      <c r="R214" s="4"/>
      <c r="S214" s="4">
        <f>IF($K214="","",R214*20%)</f>
      </c>
      <c r="T214" s="4">
        <v>1</v>
      </c>
      <c r="U214" s="4">
        <f>IF($K214="","",O214+Q214+S214)</f>
      </c>
      <c r="V214" s="4">
        <f>IF($K214="","",L214-M214-N214-O214-P214-Q214-R214-S214-T214)</f>
      </c>
      <c r="W214" s="4">
        <f>IF($K214="","",(V214-AC214)/J214*100)</f>
      </c>
      <c r="X214" s="4">
        <f>IF($K214="","",M214-U214)</f>
      </c>
      <c r="AD214" s="4">
        <f>IF($K214="","",V214-AC214)</f>
      </c>
    </row>
    <row r="215" spans="1:35" x14ac:dyDescent="0.25">
      <c r="A215" s="8"/>
      <c r="D215" s="9"/>
      <c r="J215" s="4"/>
      <c r="K215" s="4"/>
      <c r="L215" s="4">
        <f>IF($K215="","",K215-J215)</f>
      </c>
      <c r="M215" s="4">
        <f>IF($K215="","",L215*16.67%)</f>
      </c>
      <c r="N215" s="4">
        <f>IF($K215="","",K215/100*7)</f>
      </c>
      <c r="O215" s="4">
        <f>IF($K215="","",N215*20%)</f>
      </c>
      <c r="P215" s="4">
        <f>IF($K215="","",N215*2%)</f>
      </c>
      <c r="Q215" s="4">
        <f>IF($K215="","",P215*20%)</f>
      </c>
      <c r="R215" s="4"/>
      <c r="S215" s="4">
        <f>IF($K215="","",R215*20%)</f>
      </c>
      <c r="T215" s="4">
        <v>1</v>
      </c>
      <c r="U215" s="4">
        <f>IF($K215="","",O215+Q215+S215)</f>
      </c>
      <c r="V215" s="4">
        <f>IF($K215="","",L215-M215-N215-O215-P215-Q215-R215-S215-T215)</f>
      </c>
      <c r="W215" s="4">
        <f>IF($K215="","",(V215-AC215)/J215*100)</f>
      </c>
      <c r="X215" s="4">
        <f>IF($K215="","",M215-U215)</f>
      </c>
      <c r="AD215" s="4">
        <f>IF($K215="","",V215-AC215)</f>
      </c>
    </row>
    <row r="216" spans="1:35" x14ac:dyDescent="0.25">
      <c r="A216" s="8"/>
      <c r="D216" s="9"/>
      <c r="J216" s="4"/>
      <c r="K216" s="4"/>
      <c r="L216" s="4">
        <f>IF($K216="","",K216-J216)</f>
      </c>
      <c r="M216" s="4">
        <f>IF($K216="","",L216*16.67%)</f>
      </c>
      <c r="N216" s="4">
        <f>IF($K216="","",K216/100*7)</f>
      </c>
      <c r="O216" s="4">
        <f>IF($K216="","",N216*20%)</f>
      </c>
      <c r="P216" s="4">
        <f>IF($K216="","",N216*2%)</f>
      </c>
      <c r="Q216" s="4">
        <f>IF($K216="","",P216*20%)</f>
      </c>
      <c r="R216" s="4"/>
      <c r="S216" s="4">
        <f>IF($K216="","",R216*20%)</f>
      </c>
      <c r="T216" s="4">
        <v>1</v>
      </c>
      <c r="U216" s="4">
        <f>IF($K216="","",O216+Q216+S216)</f>
      </c>
      <c r="V216" s="4">
        <f>IF($K216="","",L216-M216-N216-O216-P216-Q216-R216-S216-T216)</f>
      </c>
      <c r="W216" s="4">
        <f>IF($K216="","",(V216-AC216)/J216*100)</f>
      </c>
      <c r="X216" s="4">
        <f>IF($K216="","",M216-U216)</f>
      </c>
      <c r="AD216" s="4">
        <f>IF($K216="","",V216-AC216)</f>
      </c>
    </row>
    <row r="217" spans="1:35" x14ac:dyDescent="0.25">
      <c r="A217" s="8"/>
      <c r="D217" s="9"/>
      <c r="J217" s="4"/>
      <c r="K217" s="4"/>
      <c r="L217" s="4">
        <f>IF($K217="","",K217-J217)</f>
      </c>
      <c r="M217" s="4">
        <f>IF($K217="","",L217*16.67%)</f>
      </c>
      <c r="N217" s="4">
        <f>IF($K217="","",K217/100*7)</f>
      </c>
      <c r="O217" s="4">
        <f>IF($K217="","",N217*20%)</f>
      </c>
      <c r="P217" s="4">
        <f>IF($K217="","",N217*2%)</f>
      </c>
      <c r="Q217" s="4">
        <f>IF($K217="","",P217*20%)</f>
      </c>
      <c r="R217" s="4"/>
      <c r="S217" s="4">
        <f>IF($K217="","",R217*20%)</f>
      </c>
      <c r="T217" s="4">
        <v>1</v>
      </c>
      <c r="U217" s="4">
        <f>IF($K217="","",O217+Q217+S217)</f>
      </c>
      <c r="V217" s="4">
        <f>IF($K217="","",L217-M217-N217-O217-P217-Q217-R217-S217-T217)</f>
      </c>
      <c r="W217" s="4">
        <f>IF($K217="","",(V217-AC217)/J217*100)</f>
      </c>
      <c r="X217" s="4">
        <f>IF($K217="","",M217-U217)</f>
      </c>
      <c r="AD217" s="4">
        <f>IF($K217="","",V217-AC217)</f>
      </c>
    </row>
    <row r="218" spans="1:35" x14ac:dyDescent="0.25">
      <c r="A218" s="8"/>
      <c r="D218" s="9"/>
      <c r="J218" s="4"/>
      <c r="K218" s="4"/>
      <c r="L218" s="4">
        <f>IF($K218="","",K218-J218)</f>
      </c>
      <c r="M218" s="4">
        <f>IF($K218="","",L218*16.67%)</f>
      </c>
      <c r="N218" s="4">
        <f>IF($K218="","",K218/100*7)</f>
      </c>
      <c r="O218" s="4">
        <f>IF($K218="","",N218*20%)</f>
      </c>
      <c r="P218" s="4">
        <f>IF($K218="","",N218*2%)</f>
      </c>
      <c r="Q218" s="4">
        <f>IF($K218="","",P218*20%)</f>
      </c>
      <c r="R218" s="4"/>
      <c r="S218" s="4">
        <f>IF($K218="","",R218*20%)</f>
      </c>
      <c r="T218" s="4">
        <v>1</v>
      </c>
      <c r="U218" s="4">
        <f>IF($K218="","",O218+Q218+S218)</f>
      </c>
      <c r="V218" s="4">
        <f>IF($K218="","",L218-M218-N218-O218-P218-Q218-R218-S218-T218)</f>
      </c>
      <c r="W218" s="4">
        <f>IF($K218="","",(V218-AC218)/J218*100)</f>
      </c>
      <c r="X218" s="4">
        <f>IF($K218="","",M218-U218)</f>
      </c>
      <c r="AD218" s="4">
        <f>IF($K218="","",V218-AC218)</f>
      </c>
    </row>
    <row r="219" spans="1:35" x14ac:dyDescent="0.25">
      <c r="A219" s="8"/>
      <c r="D219" s="9"/>
      <c r="J219" s="4"/>
      <c r="K219" s="4"/>
      <c r="L219" s="4">
        <f>IF($K219="","",K219-J219)</f>
      </c>
      <c r="M219" s="4">
        <f>IF($K219="","",L219*16.67%)</f>
      </c>
      <c r="N219" s="4">
        <f>IF($K219="","",K219/100*7)</f>
      </c>
      <c r="O219" s="4">
        <f>IF($K219="","",N219*20%)</f>
      </c>
      <c r="P219" s="4">
        <f>IF($K219="","",N219*2%)</f>
      </c>
      <c r="Q219" s="4">
        <f>IF($K219="","",P219*20%)</f>
      </c>
      <c r="R219" s="4"/>
      <c r="S219" s="4">
        <f>IF($K219="","",R219*20%)</f>
      </c>
      <c r="T219" s="4">
        <v>1</v>
      </c>
      <c r="U219" s="4">
        <f>IF($K219="","",O219+Q219+S219)</f>
      </c>
      <c r="V219" s="4">
        <f>IF($K219="","",L219-M219-N219-O219-P219-Q219-R219-S219-T219)</f>
      </c>
      <c r="W219" s="4">
        <f>IF($K219="","",(V219-AC219)/J219*100)</f>
      </c>
      <c r="X219" s="4">
        <f>IF($K219="","",M219-U219)</f>
      </c>
      <c r="AD219" s="4">
        <f>IF($K219="","",V219-AC219)</f>
      </c>
    </row>
    <row r="220" spans="1:35" x14ac:dyDescent="0.25">
      <c r="A220" s="8"/>
      <c r="D220" s="9"/>
      <c r="J220" s="4"/>
      <c r="K220" s="4"/>
      <c r="L220" s="4">
        <f>IF($K220="","",K220-J220)</f>
      </c>
      <c r="M220" s="4">
        <f>IF($K220="","",L220*16.67%)</f>
      </c>
      <c r="N220" s="4">
        <f>IF($K220="","",K220/100*7)</f>
      </c>
      <c r="O220" s="4">
        <f>IF($K220="","",N220*20%)</f>
      </c>
      <c r="P220" s="4">
        <f>IF($K220="","",N220*2%)</f>
      </c>
      <c r="Q220" s="4">
        <f>IF($K220="","",P220*20%)</f>
      </c>
      <c r="R220" s="4"/>
      <c r="S220" s="4">
        <f>IF($K220="","",R220*20%)</f>
      </c>
      <c r="T220" s="4">
        <v>1</v>
      </c>
      <c r="U220" s="4">
        <f>IF($K220="","",O220+Q220+S220)</f>
      </c>
      <c r="V220" s="4">
        <f>IF($K220="","",L220-M220-N220-O220-P220-Q220-R220-S220-T220)</f>
      </c>
      <c r="W220" s="4">
        <f>IF($K220="","",(V220-AC220)/J220*100)</f>
      </c>
      <c r="X220" s="4">
        <f>IF($K220="","",M220-U220)</f>
      </c>
      <c r="AD220" s="4">
        <f>IF($K220="","",V220-AC220)</f>
      </c>
    </row>
    <row r="221" spans="1:35" x14ac:dyDescent="0.25">
      <c r="A221" s="8"/>
      <c r="D221" s="9"/>
      <c r="J221" s="4"/>
      <c r="K221" s="4"/>
      <c r="L221" s="4">
        <f>IF($K221="","",K221-J221)</f>
      </c>
      <c r="M221" s="4">
        <f>IF($K221="","",L221*16.67%)</f>
      </c>
      <c r="N221" s="4">
        <f>IF($K221="","",K221/100*7)</f>
      </c>
      <c r="O221" s="4">
        <f>IF($K221="","",N221*20%)</f>
      </c>
      <c r="P221" s="4">
        <f>IF($K221="","",N221*2%)</f>
      </c>
      <c r="Q221" s="4">
        <f>IF($K221="","",P221*20%)</f>
      </c>
      <c r="R221" s="4"/>
      <c r="S221" s="4">
        <f>IF($K221="","",R221*20%)</f>
      </c>
      <c r="T221" s="4">
        <v>1</v>
      </c>
      <c r="U221" s="4">
        <f>IF($K221="","",O221+Q221+S221)</f>
      </c>
      <c r="V221" s="4">
        <f>IF($K221="","",L221-M221-N221-O221-P221-Q221-R221-S221-T221)</f>
      </c>
      <c r="W221" s="4">
        <f>IF($K221="","",(V221-AC221)/J221*100)</f>
      </c>
      <c r="X221" s="4">
        <f>IF($K221="","",M221-U221)</f>
      </c>
      <c r="AD221" s="4">
        <f>IF($K221="","",V221-AC221)</f>
      </c>
    </row>
    <row r="222" spans="1:35" x14ac:dyDescent="0.25">
      <c r="A222" s="8"/>
      <c r="D222" s="9"/>
      <c r="J222" s="4"/>
      <c r="K222" s="4"/>
      <c r="L222" s="4">
        <f>IF($K222="","",K222-J222)</f>
      </c>
      <c r="M222" s="4">
        <f>IF($K222="","",L222*16.67%)</f>
      </c>
      <c r="N222" s="4">
        <f>IF($K222="","",K222/100*7)</f>
      </c>
      <c r="O222" s="4">
        <f>IF($K222="","",N222*20%)</f>
      </c>
      <c r="P222" s="4">
        <f>IF($K222="","",N222*2%)</f>
      </c>
      <c r="Q222" s="4">
        <f>IF($K222="","",P222*20%)</f>
      </c>
      <c r="R222" s="4"/>
      <c r="S222" s="4">
        <f>IF($K222="","",R222*20%)</f>
      </c>
      <c r="T222" s="4">
        <v>1</v>
      </c>
      <c r="U222" s="4">
        <f>IF($K222="","",O222+Q222+S222)</f>
      </c>
      <c r="V222" s="4">
        <f>IF($K222="","",L222-M222-N222-O222-P222-Q222-R222-S222-T222)</f>
      </c>
      <c r="W222" s="4">
        <f>IF($K222="","",(V222-AC222)/J222*100)</f>
      </c>
      <c r="X222" s="4">
        <f>IF($K222="","",M222-U222)</f>
      </c>
      <c r="AD222" s="4">
        <f>IF($K222="","",V222-AC222)</f>
      </c>
    </row>
    <row r="223" spans="1:35" s="7" customFormat="1" x14ac:dyDescent="0.25">
      <c r="A223" s="3" t="s">
        <v>18</v>
      </c>
      <c r="B223" s="7"/>
      <c r="C223" s="7"/>
      <c r="D223" s="7"/>
      <c r="E223" s="7"/>
      <c r="F223" s="7"/>
      <c r="G223" s="7"/>
      <c r="H223" s="7"/>
      <c r="I223" s="10">
        <f>SUM(I2:I222)</f>
      </c>
      <c r="J223" s="10">
        <f>SUM(J2:J222)</f>
      </c>
      <c r="K223" s="10">
        <f>SUM(K2:K222)</f>
      </c>
      <c r="L223" s="10">
        <f>SUM(L2:L222)</f>
      </c>
      <c r="M223" s="10">
        <f>SUM(M2:M222)</f>
      </c>
      <c r="N223" s="10">
        <f>SUM(N2:N222)</f>
      </c>
      <c r="O223" s="10">
        <f>SUM(O2:O222)</f>
      </c>
      <c r="P223" s="10">
        <f>SUM(P2:P222)</f>
      </c>
      <c r="Q223" s="10">
        <f>SUM(Q2:Q222)</f>
      </c>
      <c r="R223" s="10">
        <f>SUM(R2:R222)</f>
      </c>
      <c r="S223" s="10">
        <f>SUM(S2:S222)</f>
      </c>
      <c r="T223" s="10">
        <f>SUM(T2:T222)</f>
      </c>
      <c r="U223" s="10">
        <f>SUM(U2:U222)</f>
      </c>
      <c r="V223" s="10">
        <f>SUM(V2:V222)</f>
      </c>
      <c r="W223" s="10">
        <f>IFERROR((V223-AC223)/J223*100,0)</f>
      </c>
      <c r="X223" s="10">
        <f>SUM(X2:X222)</f>
      </c>
      <c r="Y223" s="10">
        <f>SUM(Y2:Y222)</f>
      </c>
      <c r="Z223" s="10">
        <f>SUM(Z2:Z222)</f>
      </c>
      <c r="AA223" s="10">
        <f>SUM(AA2:AA222)</f>
      </c>
      <c r="AB223" s="10">
        <f>SUM(AB2:AB222)</f>
      </c>
      <c r="AC223" s="10">
        <f>SUM(AC2:AC222)</f>
      </c>
      <c r="AD223" s="10">
        <f>SUM(AD2:AD222)</f>
      </c>
      <c r="AE223" s="7"/>
      <c r="AF223" s="7"/>
      <c r="AG223" s="7"/>
      <c r="AH223" s="7"/>
      <c r="AI22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2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136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137</v>
      </c>
      <c r="Q1" t="s">
        <v>138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8">
        <v>46227.5</v>
      </c>
      <c r="B2" t="s">
        <v>139</v>
      </c>
      <c r="C2" t="s">
        <v>70</v>
      </c>
      <c r="D2" s="9" t="s">
        <v>140</v>
      </c>
      <c r="E2" t="s">
        <v>70</v>
      </c>
      <c r="F2" t="s">
        <v>129</v>
      </c>
      <c r="G2" t="s">
        <v>72</v>
      </c>
      <c r="H2" t="s">
        <v>91</v>
      </c>
      <c r="I2">
        <v>1</v>
      </c>
      <c r="J2" t="s">
        <v>141</v>
      </c>
      <c r="K2" s="4">
        <v>264.82</v>
      </c>
      <c r="L2" s="4">
        <v>382.77</v>
      </c>
      <c r="M2" s="4">
        <f>L2-K2</f>
      </c>
      <c r="N2" s="4">
        <f>M2*16.67%</f>
      </c>
      <c r="O2" s="4">
        <f>L2/100*11</f>
      </c>
      <c r="P2" s="4">
        <v>8.99</v>
      </c>
      <c r="Q2" s="4">
        <v>0</v>
      </c>
      <c r="R2" s="4">
        <v>6.3</v>
      </c>
      <c r="S2" s="4">
        <f>R2*20%</f>
      </c>
      <c r="T2" s="4">
        <v>1</v>
      </c>
      <c r="U2" s="4">
        <f>M2-N2-O2-P2-Q2-R2-S2-T2</f>
      </c>
      <c r="V2" s="4">
        <f>(U2-AB2)/K2*100</f>
      </c>
      <c r="W2" s="4">
        <f>N2-S2</f>
      </c>
      <c r="AC2" s="4">
        <f>U2-AB2</f>
      </c>
      <c r="AH2" t="s">
        <v>1</v>
      </c>
    </row>
    <row r="3" spans="1:34" x14ac:dyDescent="0.25">
      <c r="A3" s="8">
        <v>46226.5</v>
      </c>
      <c r="B3" t="s">
        <v>142</v>
      </c>
      <c r="C3" t="s">
        <v>143</v>
      </c>
      <c r="D3" s="9" t="s">
        <v>144</v>
      </c>
      <c r="E3" t="s">
        <v>143</v>
      </c>
      <c r="F3" t="s">
        <v>145</v>
      </c>
      <c r="G3" t="s">
        <v>78</v>
      </c>
      <c r="H3" t="s">
        <v>73</v>
      </c>
      <c r="I3">
        <v>1</v>
      </c>
      <c r="J3" t="s">
        <v>141</v>
      </c>
      <c r="K3" s="4">
        <v>453.75</v>
      </c>
      <c r="L3" s="4">
        <v>609.97</v>
      </c>
      <c r="M3" s="4">
        <f>L3-K3</f>
      </c>
      <c r="N3" s="4">
        <f>M3*16.67%</f>
      </c>
      <c r="O3" s="4">
        <f>L3/100*11</f>
      </c>
      <c r="P3" s="4">
        <v>8.99</v>
      </c>
      <c r="Q3" s="4">
        <v>0</v>
      </c>
      <c r="R3" s="4">
        <v>2</v>
      </c>
      <c r="S3" s="4">
        <f>R3*20%</f>
      </c>
      <c r="T3" s="4">
        <v>1</v>
      </c>
      <c r="U3" s="4">
        <f>M3-N3-O3-P3-Q3-R3-S3-T3</f>
      </c>
      <c r="V3" s="4">
        <f>(U3-AB3)/K3*100</f>
      </c>
      <c r="W3" s="4">
        <f>N3-S3</f>
      </c>
      <c r="AC3" s="4">
        <f>U3-AB3</f>
      </c>
      <c r="AH3" t="s">
        <v>1</v>
      </c>
    </row>
    <row r="4" spans="1:34" x14ac:dyDescent="0.25">
      <c r="A4" s="8">
        <v>46225.5</v>
      </c>
      <c r="B4" t="s">
        <v>146</v>
      </c>
      <c r="C4" t="s">
        <v>147</v>
      </c>
      <c r="D4" s="9" t="s">
        <v>148</v>
      </c>
      <c r="E4" t="s">
        <v>147</v>
      </c>
      <c r="F4" t="s">
        <v>129</v>
      </c>
      <c r="G4" t="s">
        <v>72</v>
      </c>
      <c r="H4" t="s">
        <v>68</v>
      </c>
      <c r="I4">
        <v>1</v>
      </c>
      <c r="J4" t="s">
        <v>141</v>
      </c>
      <c r="K4" s="4">
        <v>246.31</v>
      </c>
      <c r="L4" s="4">
        <v>323.35</v>
      </c>
      <c r="M4" s="4">
        <f>L4-K4</f>
      </c>
      <c r="N4" s="4">
        <f>M4*16.67%</f>
      </c>
      <c r="O4" s="4">
        <f>L4/100*11</f>
      </c>
      <c r="P4" s="4">
        <v>8.99</v>
      </c>
      <c r="Q4" s="4">
        <v>0</v>
      </c>
      <c r="R4" s="4">
        <v>8</v>
      </c>
      <c r="S4" s="4">
        <f>R4*20%</f>
      </c>
      <c r="T4" s="4">
        <v>1</v>
      </c>
      <c r="U4" s="4">
        <f>M4-N4-O4-P4-Q4-R4-S4-T4</f>
      </c>
      <c r="V4" s="4">
        <f>(U4-AB4)/K4*100</f>
      </c>
      <c r="W4" s="4">
        <f>N4-S4</f>
      </c>
      <c r="AC4" s="4">
        <f>U4-AB4</f>
      </c>
      <c r="AH4" t="s">
        <v>1</v>
      </c>
    </row>
    <row r="5" spans="1:34" x14ac:dyDescent="0.25">
      <c r="A5" s="8">
        <v>46223.5</v>
      </c>
      <c r="B5" t="s">
        <v>149</v>
      </c>
      <c r="C5" t="s">
        <v>150</v>
      </c>
      <c r="D5" s="9" t="s">
        <v>151</v>
      </c>
      <c r="E5" t="s">
        <v>65</v>
      </c>
      <c r="F5" t="s">
        <v>66</v>
      </c>
      <c r="G5" t="s">
        <v>78</v>
      </c>
      <c r="H5" t="s">
        <v>68</v>
      </c>
      <c r="I5">
        <v>1</v>
      </c>
      <c r="J5" t="s">
        <v>141</v>
      </c>
      <c r="K5" s="4">
        <v>530.25</v>
      </c>
      <c r="L5" s="4">
        <v>746.88</v>
      </c>
      <c r="M5" s="4">
        <f>L5-K5</f>
      </c>
      <c r="N5" s="4">
        <f>M5*16.67%</f>
      </c>
      <c r="O5" s="4">
        <f>L5/100*11</f>
      </c>
      <c r="P5" s="4">
        <v>8.99</v>
      </c>
      <c r="Q5" s="4">
        <v>0</v>
      </c>
      <c r="R5" s="4">
        <v>8</v>
      </c>
      <c r="S5" s="4">
        <f>R5*20%</f>
      </c>
      <c r="T5" s="4">
        <v>1</v>
      </c>
      <c r="U5" s="4">
        <f>M5-N5-O5-P5-Q5-R5-S5-T5</f>
      </c>
      <c r="V5" s="4">
        <f>(U5-AB5)/K5*100</f>
      </c>
      <c r="W5" s="4">
        <f>N5-S5</f>
      </c>
      <c r="AC5" s="4">
        <f>U5-AB5</f>
      </c>
      <c r="AH5" t="s">
        <v>1</v>
      </c>
    </row>
    <row r="6" spans="1:34" x14ac:dyDescent="0.25">
      <c r="A6" s="8">
        <v>46222.5</v>
      </c>
      <c r="B6" t="s">
        <v>152</v>
      </c>
      <c r="C6" t="s">
        <v>153</v>
      </c>
      <c r="D6" s="9" t="s">
        <v>154</v>
      </c>
      <c r="E6" t="s">
        <v>65</v>
      </c>
      <c r="F6" t="s">
        <v>102</v>
      </c>
      <c r="G6" t="s">
        <v>72</v>
      </c>
      <c r="H6" t="s">
        <v>79</v>
      </c>
      <c r="I6">
        <v>1</v>
      </c>
      <c r="J6" t="s">
        <v>155</v>
      </c>
      <c r="K6" s="4">
        <v>337.53</v>
      </c>
      <c r="L6" s="4">
        <v>453.07</v>
      </c>
      <c r="M6" s="4">
        <f>L6-K6</f>
      </c>
      <c r="N6" s="4">
        <f>M6*16.67%</f>
      </c>
      <c r="O6" s="4">
        <f>L6/100*11</f>
      </c>
      <c r="P6" s="4">
        <v>8.99</v>
      </c>
      <c r="Q6" s="4">
        <v>0</v>
      </c>
      <c r="R6" s="4">
        <v>2</v>
      </c>
      <c r="S6" s="4">
        <f>R6*20%</f>
      </c>
      <c r="T6" s="4">
        <v>1</v>
      </c>
      <c r="U6" s="4">
        <f>M6-N6-O6-P6-Q6-R6-S6-T6</f>
      </c>
      <c r="V6" s="4">
        <f>(U6-AB6)/K6*100</f>
      </c>
      <c r="W6" s="4">
        <f>N6-S6</f>
      </c>
      <c r="AC6" s="4">
        <f>U6-AB6</f>
      </c>
      <c r="AH6" t="s">
        <v>1</v>
      </c>
    </row>
    <row r="7" spans="1:34" x14ac:dyDescent="0.25">
      <c r="A7" s="8">
        <v>46221.5</v>
      </c>
      <c r="B7" t="s">
        <v>156</v>
      </c>
      <c r="C7" t="s">
        <v>157</v>
      </c>
      <c r="D7" s="9" t="s">
        <v>158</v>
      </c>
      <c r="E7" t="s">
        <v>65</v>
      </c>
      <c r="F7" t="s">
        <v>83</v>
      </c>
      <c r="G7" t="s">
        <v>72</v>
      </c>
      <c r="H7" t="s">
        <v>91</v>
      </c>
      <c r="I7">
        <v>1</v>
      </c>
      <c r="J7" t="s">
        <v>155</v>
      </c>
      <c r="K7" s="4">
        <v>232.24</v>
      </c>
      <c r="L7" s="4">
        <v>310.64</v>
      </c>
      <c r="M7" s="4">
        <f>L7-K7</f>
      </c>
      <c r="N7" s="4">
        <f>M7*16.67%</f>
      </c>
      <c r="O7" s="4">
        <f>L7/100*11</f>
      </c>
      <c r="P7" s="4">
        <v>8.99</v>
      </c>
      <c r="Q7" s="4">
        <v>0</v>
      </c>
      <c r="R7" s="4">
        <v>2</v>
      </c>
      <c r="S7" s="4">
        <f>R7*20%</f>
      </c>
      <c r="T7" s="4">
        <v>1</v>
      </c>
      <c r="U7" s="4">
        <f>M7-N7-O7-P7-Q7-R7-S7-T7</f>
      </c>
      <c r="V7" s="4">
        <f>(U7-AB7)/K7*100</f>
      </c>
      <c r="W7" s="4">
        <f>N7-S7</f>
      </c>
      <c r="AC7" s="4">
        <f>U7-AB7</f>
      </c>
      <c r="AH7" t="s">
        <v>1</v>
      </c>
    </row>
    <row r="8" spans="1:34" x14ac:dyDescent="0.25">
      <c r="A8" s="8">
        <v>46220.5</v>
      </c>
      <c r="B8" t="s">
        <v>159</v>
      </c>
      <c r="C8" t="s">
        <v>160</v>
      </c>
      <c r="D8" s="9" t="s">
        <v>161</v>
      </c>
      <c r="E8" t="s">
        <v>65</v>
      </c>
      <c r="F8" t="s">
        <v>83</v>
      </c>
      <c r="G8" t="s">
        <v>67</v>
      </c>
      <c r="H8" t="s">
        <v>73</v>
      </c>
      <c r="I8">
        <v>1</v>
      </c>
      <c r="J8" t="s">
        <v>162</v>
      </c>
      <c r="K8" s="4">
        <v>212.15</v>
      </c>
      <c r="L8" s="4">
        <v>302.32</v>
      </c>
      <c r="M8" s="4">
        <f>L8-K8</f>
      </c>
      <c r="N8" s="4">
        <f>M8*16.67%</f>
      </c>
      <c r="O8" s="4">
        <f>L8/100*11</f>
      </c>
      <c r="P8" s="4">
        <v>8.99</v>
      </c>
      <c r="Q8" s="4">
        <v>0</v>
      </c>
      <c r="R8" s="4">
        <v>8</v>
      </c>
      <c r="S8" s="4">
        <f>R8*20%</f>
      </c>
      <c r="T8" s="4">
        <v>1</v>
      </c>
      <c r="U8" s="4">
        <f>M8-N8-O8-P8-Q8-R8-S8-T8</f>
      </c>
      <c r="V8" s="4">
        <f>(U8-AB8)/K8*100</f>
      </c>
      <c r="W8" s="4">
        <f>N8-S8</f>
      </c>
      <c r="AC8" s="4">
        <f>U8-AB8</f>
      </c>
      <c r="AH8" t="s">
        <v>1</v>
      </c>
    </row>
    <row r="9" spans="1:34" x14ac:dyDescent="0.25">
      <c r="A9" s="8">
        <v>46218.5</v>
      </c>
      <c r="B9" t="s">
        <v>163</v>
      </c>
      <c r="C9" t="s">
        <v>75</v>
      </c>
      <c r="D9" s="9" t="s">
        <v>164</v>
      </c>
      <c r="E9" t="s">
        <v>75</v>
      </c>
      <c r="F9" t="s">
        <v>77</v>
      </c>
      <c r="G9" t="s">
        <v>78</v>
      </c>
      <c r="H9" t="s">
        <v>73</v>
      </c>
      <c r="I9">
        <v>1</v>
      </c>
      <c r="J9" t="s">
        <v>162</v>
      </c>
      <c r="K9" s="4">
        <v>413.46</v>
      </c>
      <c r="L9" s="4">
        <v>533.81</v>
      </c>
      <c r="M9" s="4">
        <f>L9-K9</f>
      </c>
      <c r="N9" s="4">
        <f>M9*16.67%</f>
      </c>
      <c r="O9" s="4">
        <f>L9/100*11</f>
      </c>
      <c r="P9" s="4">
        <v>8.99</v>
      </c>
      <c r="Q9" s="4">
        <v>0</v>
      </c>
      <c r="R9" s="4">
        <v>8</v>
      </c>
      <c r="S9" s="4">
        <f>R9*20%</f>
      </c>
      <c r="T9" s="4">
        <v>1</v>
      </c>
      <c r="U9" s="4">
        <f>M9-N9-O9-P9-Q9-R9-S9-T9</f>
      </c>
      <c r="V9" s="4">
        <f>(U9-AB9)/K9*100</f>
      </c>
      <c r="W9" s="4">
        <f>N9-S9</f>
      </c>
      <c r="AC9" s="4">
        <f>U9-AB9</f>
      </c>
      <c r="AH9" t="s">
        <v>1</v>
      </c>
    </row>
    <row r="10" spans="1:34" x14ac:dyDescent="0.25">
      <c r="A10" s="8">
        <v>46217.5</v>
      </c>
      <c r="B10" t="s">
        <v>165</v>
      </c>
      <c r="C10" t="s">
        <v>107</v>
      </c>
      <c r="D10" s="9" t="s">
        <v>108</v>
      </c>
      <c r="E10" t="s">
        <v>107</v>
      </c>
      <c r="F10" t="s">
        <v>95</v>
      </c>
      <c r="G10" t="s">
        <v>72</v>
      </c>
      <c r="H10" t="s">
        <v>73</v>
      </c>
      <c r="I10">
        <v>1</v>
      </c>
      <c r="J10" t="s">
        <v>155</v>
      </c>
      <c r="K10" s="4">
        <v>250.16</v>
      </c>
      <c r="L10" s="4">
        <v>352.23</v>
      </c>
      <c r="M10" s="4">
        <f>L10-K10</f>
      </c>
      <c r="N10" s="4">
        <f>M10*16.67%</f>
      </c>
      <c r="O10" s="4">
        <f>L10/100*11</f>
      </c>
      <c r="P10" s="4">
        <v>8.99</v>
      </c>
      <c r="Q10" s="4">
        <v>0</v>
      </c>
      <c r="R10" s="4">
        <v>8</v>
      </c>
      <c r="S10" s="4">
        <f>R10*20%</f>
      </c>
      <c r="T10" s="4">
        <v>1</v>
      </c>
      <c r="U10" s="4">
        <f>M10-N10-O10-P10-Q10-R10-S10-T10</f>
      </c>
      <c r="V10" s="4">
        <f>(U10-AB10)/K10*100</f>
      </c>
      <c r="W10" s="4">
        <f>N10-S10</f>
      </c>
      <c r="AC10" s="4">
        <f>U10-AB10</f>
      </c>
      <c r="AH10" t="s">
        <v>1</v>
      </c>
    </row>
    <row r="11" spans="1:34" x14ac:dyDescent="0.25">
      <c r="A11" s="8">
        <v>46216.5</v>
      </c>
      <c r="B11" t="s">
        <v>166</v>
      </c>
      <c r="C11" t="s">
        <v>167</v>
      </c>
      <c r="D11" s="9" t="s">
        <v>168</v>
      </c>
      <c r="E11" t="s">
        <v>167</v>
      </c>
      <c r="F11" t="s">
        <v>87</v>
      </c>
      <c r="G11" t="s">
        <v>72</v>
      </c>
      <c r="H11" t="s">
        <v>73</v>
      </c>
      <c r="I11">
        <v>1</v>
      </c>
      <c r="J11" t="s">
        <v>141</v>
      </c>
      <c r="K11" s="4">
        <v>262.94</v>
      </c>
      <c r="L11" s="4">
        <v>388.08</v>
      </c>
      <c r="M11" s="4">
        <f>L11-K11</f>
      </c>
      <c r="N11" s="4">
        <f>M11*16.67%</f>
      </c>
      <c r="O11" s="4">
        <f>L11/100*11</f>
      </c>
      <c r="P11" s="4">
        <v>8.99</v>
      </c>
      <c r="Q11" s="4">
        <v>0</v>
      </c>
      <c r="R11" s="4">
        <v>8</v>
      </c>
      <c r="S11" s="4">
        <f>R11*20%</f>
      </c>
      <c r="T11" s="4">
        <v>1</v>
      </c>
      <c r="U11" s="4">
        <f>M11-N11-O11-P11-Q11-R11-S11-T11</f>
      </c>
      <c r="V11" s="4">
        <f>(U11-AB11)/K11*100</f>
      </c>
      <c r="W11" s="4">
        <f>N11-S11</f>
      </c>
      <c r="AC11" s="4">
        <f>U11-AB11</f>
      </c>
      <c r="AH11" t="s">
        <v>1</v>
      </c>
    </row>
    <row r="12" spans="1:34" x14ac:dyDescent="0.25">
      <c r="A12" s="8">
        <v>46215.5</v>
      </c>
      <c r="B12" t="s">
        <v>169</v>
      </c>
      <c r="C12" t="s">
        <v>124</v>
      </c>
      <c r="D12" s="9" t="s">
        <v>170</v>
      </c>
      <c r="E12" t="s">
        <v>65</v>
      </c>
      <c r="F12" t="s">
        <v>102</v>
      </c>
      <c r="G12" t="s">
        <v>78</v>
      </c>
      <c r="H12" t="s">
        <v>73</v>
      </c>
      <c r="I12">
        <v>1</v>
      </c>
      <c r="J12" t="s">
        <v>162</v>
      </c>
      <c r="K12" s="4">
        <v>514.23</v>
      </c>
      <c r="L12" s="4">
        <v>704.32</v>
      </c>
      <c r="M12" s="4">
        <f>L12-K12</f>
      </c>
      <c r="N12" s="4">
        <f>M12*16.67%</f>
      </c>
      <c r="O12" s="4">
        <f>L12/100*11</f>
      </c>
      <c r="P12" s="4">
        <v>8.99</v>
      </c>
      <c r="Q12" s="4">
        <v>0</v>
      </c>
      <c r="R12" s="4">
        <v>2</v>
      </c>
      <c r="S12" s="4">
        <f>R12*20%</f>
      </c>
      <c r="T12" s="4">
        <v>1</v>
      </c>
      <c r="U12" s="4">
        <f>M12-N12-O12-P12-Q12-R12-S12-T12</f>
      </c>
      <c r="V12" s="4">
        <f>(U12-AB12)/K12*100</f>
      </c>
      <c r="W12" s="4">
        <f>N12-S12</f>
      </c>
      <c r="AC12" s="4">
        <f>U12-AB12</f>
      </c>
      <c r="AH12" t="s">
        <v>1</v>
      </c>
    </row>
    <row r="13" spans="1:34" x14ac:dyDescent="0.25">
      <c r="A13" s="8">
        <v>46213.5</v>
      </c>
      <c r="B13" t="s">
        <v>171</v>
      </c>
      <c r="C13" t="s">
        <v>172</v>
      </c>
      <c r="D13" s="9" t="s">
        <v>173</v>
      </c>
      <c r="E13" t="s">
        <v>65</v>
      </c>
      <c r="F13" t="s">
        <v>145</v>
      </c>
      <c r="G13" t="s">
        <v>72</v>
      </c>
      <c r="H13" t="s">
        <v>91</v>
      </c>
      <c r="I13">
        <v>1</v>
      </c>
      <c r="J13" t="s">
        <v>141</v>
      </c>
      <c r="K13" s="4">
        <v>231.07</v>
      </c>
      <c r="L13" s="4">
        <v>317.79</v>
      </c>
      <c r="M13" s="4">
        <f>L13-K13</f>
      </c>
      <c r="N13" s="4">
        <f>M13*16.67%</f>
      </c>
      <c r="O13" s="4">
        <f>L13/100*11</f>
      </c>
      <c r="P13" s="4">
        <v>8.99</v>
      </c>
      <c r="Q13" s="4">
        <v>0</v>
      </c>
      <c r="R13" s="4">
        <v>8</v>
      </c>
      <c r="S13" s="4">
        <f>R13*20%</f>
      </c>
      <c r="T13" s="4">
        <v>1</v>
      </c>
      <c r="U13" s="4">
        <f>M13-N13-O13-P13-Q13-R13-S13-T13</f>
      </c>
      <c r="V13" s="4">
        <f>(U13-AB13)/K13*100</f>
      </c>
      <c r="W13" s="4">
        <f>N13-S13</f>
      </c>
      <c r="AC13" s="4">
        <f>U13-AB13</f>
      </c>
      <c r="AH13" t="s">
        <v>1</v>
      </c>
    </row>
    <row r="14" spans="1:34" x14ac:dyDescent="0.25">
      <c r="A14" s="8">
        <v>46212.5</v>
      </c>
      <c r="B14" t="s">
        <v>174</v>
      </c>
      <c r="C14" t="s">
        <v>160</v>
      </c>
      <c r="D14" s="9" t="s">
        <v>175</v>
      </c>
      <c r="E14" t="s">
        <v>65</v>
      </c>
      <c r="F14" t="s">
        <v>83</v>
      </c>
      <c r="G14" t="s">
        <v>67</v>
      </c>
      <c r="H14" t="s">
        <v>73</v>
      </c>
      <c r="I14">
        <v>1</v>
      </c>
      <c r="J14" t="s">
        <v>162</v>
      </c>
      <c r="K14" s="4">
        <v>194.75</v>
      </c>
      <c r="L14" s="4">
        <v>250.75</v>
      </c>
      <c r="M14" s="4">
        <f>L14-K14</f>
      </c>
      <c r="N14" s="4">
        <f>M14*16.67%</f>
      </c>
      <c r="O14" s="4">
        <f>L14/100*11</f>
      </c>
      <c r="P14" s="4">
        <v>8.99</v>
      </c>
      <c r="Q14" s="4">
        <v>0</v>
      </c>
      <c r="R14" s="4">
        <v>8</v>
      </c>
      <c r="S14" s="4">
        <f>R14*20%</f>
      </c>
      <c r="T14" s="4">
        <v>1</v>
      </c>
      <c r="U14" s="4">
        <f>M14-N14-O14-P14-Q14-R14-S14-T14</f>
      </c>
      <c r="V14" s="4">
        <f>(U14-AB14)/K14*100</f>
      </c>
      <c r="W14" s="4">
        <f>N14-S14</f>
      </c>
      <c r="AC14" s="4">
        <f>U14-AB14</f>
      </c>
      <c r="AH14" t="s">
        <v>1</v>
      </c>
    </row>
    <row r="15" spans="1:34" x14ac:dyDescent="0.25">
      <c r="A15" s="8">
        <v>46211.5</v>
      </c>
      <c r="B15" t="s">
        <v>176</v>
      </c>
      <c r="C15" t="s">
        <v>177</v>
      </c>
      <c r="D15" s="9" t="s">
        <v>178</v>
      </c>
      <c r="E15" t="s">
        <v>177</v>
      </c>
      <c r="F15" t="s">
        <v>87</v>
      </c>
      <c r="G15" t="s">
        <v>72</v>
      </c>
      <c r="H15" t="s">
        <v>73</v>
      </c>
      <c r="I15">
        <v>1</v>
      </c>
      <c r="J15" t="s">
        <v>141</v>
      </c>
      <c r="K15" s="4">
        <v>290.37</v>
      </c>
      <c r="L15" s="4">
        <v>415.64</v>
      </c>
      <c r="M15" s="4">
        <f>L15-K15</f>
      </c>
      <c r="N15" s="4">
        <f>M15*16.67%</f>
      </c>
      <c r="O15" s="4">
        <f>L15/100*11</f>
      </c>
      <c r="P15" s="4">
        <v>8.99</v>
      </c>
      <c r="Q15" s="4">
        <v>0</v>
      </c>
      <c r="R15" s="4">
        <v>8</v>
      </c>
      <c r="S15" s="4">
        <f>R15*20%</f>
      </c>
      <c r="T15" s="4">
        <v>1</v>
      </c>
      <c r="U15" s="4">
        <f>M15-N15-O15-P15-Q15-R15-S15-T15</f>
      </c>
      <c r="V15" s="4">
        <f>(U15-AB15)/K15*100</f>
      </c>
      <c r="W15" s="4">
        <f>N15-S15</f>
      </c>
      <c r="AC15" s="4">
        <f>U15-AB15</f>
      </c>
      <c r="AH15" t="s">
        <v>1</v>
      </c>
    </row>
    <row r="16" spans="1:34" x14ac:dyDescent="0.25">
      <c r="A16" s="8">
        <v>46210.5</v>
      </c>
      <c r="B16" t="s">
        <v>179</v>
      </c>
      <c r="C16" t="s">
        <v>180</v>
      </c>
      <c r="D16" s="9" t="s">
        <v>181</v>
      </c>
      <c r="E16" t="s">
        <v>180</v>
      </c>
      <c r="F16" t="s">
        <v>95</v>
      </c>
      <c r="G16" t="s">
        <v>78</v>
      </c>
      <c r="H16" t="s">
        <v>91</v>
      </c>
      <c r="I16">
        <v>1</v>
      </c>
      <c r="J16" t="s">
        <v>155</v>
      </c>
      <c r="K16" s="4">
        <v>446.53</v>
      </c>
      <c r="L16" s="4">
        <v>643.55</v>
      </c>
      <c r="M16" s="4">
        <f>L16-K16</f>
      </c>
      <c r="N16" s="4">
        <f>M16*16.67%</f>
      </c>
      <c r="O16" s="4">
        <f>L16/100*11</f>
      </c>
      <c r="P16" s="4">
        <v>8.99</v>
      </c>
      <c r="Q16" s="4">
        <v>0</v>
      </c>
      <c r="R16" s="4">
        <v>6.3</v>
      </c>
      <c r="S16" s="4">
        <f>R16*20%</f>
      </c>
      <c r="T16" s="4">
        <v>1</v>
      </c>
      <c r="U16" s="4">
        <f>M16-N16-O16-P16-Q16-R16-S16-T16</f>
      </c>
      <c r="V16" s="4">
        <f>(U16-AB16)/K16*100</f>
      </c>
      <c r="W16" s="4">
        <f>N16-S16</f>
      </c>
      <c r="AC16" s="4">
        <f>U16-AB16</f>
      </c>
      <c r="AH16" t="s">
        <v>1</v>
      </c>
    </row>
    <row r="17" spans="1:34" x14ac:dyDescent="0.25">
      <c r="A17" s="8">
        <v>46208.5</v>
      </c>
      <c r="B17" t="s">
        <v>182</v>
      </c>
      <c r="C17" t="s">
        <v>183</v>
      </c>
      <c r="D17" s="9" t="s">
        <v>184</v>
      </c>
      <c r="E17" t="s">
        <v>65</v>
      </c>
      <c r="F17" t="s">
        <v>133</v>
      </c>
      <c r="G17" t="s">
        <v>78</v>
      </c>
      <c r="H17" t="s">
        <v>73</v>
      </c>
      <c r="I17">
        <v>1</v>
      </c>
      <c r="J17" t="s">
        <v>155</v>
      </c>
      <c r="K17" s="4">
        <v>476.5</v>
      </c>
      <c r="L17" s="4">
        <v>605.3</v>
      </c>
      <c r="M17" s="4">
        <f>L17-K17</f>
      </c>
      <c r="N17" s="4">
        <f>M17*16.67%</f>
      </c>
      <c r="O17" s="4">
        <f>L17/100*11</f>
      </c>
      <c r="P17" s="4">
        <v>8.99</v>
      </c>
      <c r="Q17" s="4">
        <v>0</v>
      </c>
      <c r="R17" s="4">
        <v>8</v>
      </c>
      <c r="S17" s="4">
        <f>R17*20%</f>
      </c>
      <c r="T17" s="4">
        <v>1</v>
      </c>
      <c r="U17" s="4">
        <f>M17-N17-O17-P17-Q17-R17-S17-T17</f>
      </c>
      <c r="V17" s="4">
        <f>(U17-AB17)/K17*100</f>
      </c>
      <c r="W17" s="4">
        <f>N17-S17</f>
      </c>
      <c r="AC17" s="4">
        <f>U17-AB17</f>
      </c>
      <c r="AH17" t="s">
        <v>1</v>
      </c>
    </row>
    <row r="18" spans="1:34" x14ac:dyDescent="0.25">
      <c r="A18" s="8">
        <v>46207.5</v>
      </c>
      <c r="B18" t="s">
        <v>185</v>
      </c>
      <c r="C18" t="s">
        <v>85</v>
      </c>
      <c r="D18" s="9" t="s">
        <v>186</v>
      </c>
      <c r="E18" t="s">
        <v>65</v>
      </c>
      <c r="F18" t="s">
        <v>87</v>
      </c>
      <c r="G18" t="s">
        <v>78</v>
      </c>
      <c r="H18" t="s">
        <v>91</v>
      </c>
      <c r="I18">
        <v>1</v>
      </c>
      <c r="J18" t="s">
        <v>141</v>
      </c>
      <c r="K18" s="4">
        <v>533.2</v>
      </c>
      <c r="L18" s="4">
        <v>791.22</v>
      </c>
      <c r="M18" s="4">
        <f>L18-K18</f>
      </c>
      <c r="N18" s="4">
        <f>M18*16.67%</f>
      </c>
      <c r="O18" s="4">
        <f>L18/100*11</f>
      </c>
      <c r="P18" s="4">
        <v>8.99</v>
      </c>
      <c r="Q18" s="4">
        <v>0</v>
      </c>
      <c r="R18" s="4">
        <v>8</v>
      </c>
      <c r="S18" s="4">
        <f>R18*20%</f>
      </c>
      <c r="T18" s="4">
        <v>1</v>
      </c>
      <c r="U18" s="4">
        <f>M18-N18-O18-P18-Q18-R18-S18-T18</f>
      </c>
      <c r="V18" s="4">
        <f>(U18-AB18)/K18*100</f>
      </c>
      <c r="W18" s="4">
        <f>N18-S18</f>
      </c>
      <c r="AC18" s="4">
        <f>U18-AB18</f>
      </c>
      <c r="AH18" t="s">
        <v>1</v>
      </c>
    </row>
    <row r="19" spans="1:34" x14ac:dyDescent="0.25">
      <c r="A19" s="8">
        <v>46206.5</v>
      </c>
      <c r="B19" t="s">
        <v>187</v>
      </c>
      <c r="C19" t="s">
        <v>172</v>
      </c>
      <c r="D19" s="9" t="s">
        <v>188</v>
      </c>
      <c r="E19" t="s">
        <v>65</v>
      </c>
      <c r="F19" t="s">
        <v>145</v>
      </c>
      <c r="G19" t="s">
        <v>72</v>
      </c>
      <c r="H19" t="s">
        <v>91</v>
      </c>
      <c r="I19">
        <v>1</v>
      </c>
      <c r="J19" t="s">
        <v>162</v>
      </c>
      <c r="K19" s="4">
        <v>325.88</v>
      </c>
      <c r="L19" s="4">
        <v>448.08</v>
      </c>
      <c r="M19" s="4">
        <f>L19-K19</f>
      </c>
      <c r="N19" s="4">
        <f>M19*16.67%</f>
      </c>
      <c r="O19" s="4">
        <f>L19/100*11</f>
      </c>
      <c r="P19" s="4">
        <v>8.99</v>
      </c>
      <c r="Q19" s="4">
        <v>0</v>
      </c>
      <c r="R19" s="4">
        <v>6.3</v>
      </c>
      <c r="S19" s="4">
        <f>R19*20%</f>
      </c>
      <c r="T19" s="4">
        <v>1</v>
      </c>
      <c r="U19" s="4">
        <f>M19-N19-O19-P19-Q19-R19-S19-T19</f>
      </c>
      <c r="V19" s="4">
        <f>(U19-AB19)/K19*100</f>
      </c>
      <c r="W19" s="4">
        <f>N19-S19</f>
      </c>
      <c r="AC19" s="4">
        <f>U19-AB19</f>
      </c>
      <c r="AH19" t="s">
        <v>1</v>
      </c>
    </row>
    <row r="20" spans="1:34" x14ac:dyDescent="0.25">
      <c r="A20" s="8">
        <v>46205.5</v>
      </c>
      <c r="B20" t="s">
        <v>189</v>
      </c>
      <c r="C20" t="s">
        <v>89</v>
      </c>
      <c r="D20" s="9" t="s">
        <v>135</v>
      </c>
      <c r="E20" t="s">
        <v>65</v>
      </c>
      <c r="F20" t="s">
        <v>77</v>
      </c>
      <c r="G20" t="s">
        <v>72</v>
      </c>
      <c r="H20" t="s">
        <v>91</v>
      </c>
      <c r="I20">
        <v>1</v>
      </c>
      <c r="J20" t="s">
        <v>141</v>
      </c>
      <c r="K20" s="4">
        <v>234.13</v>
      </c>
      <c r="L20" s="4">
        <v>346.91</v>
      </c>
      <c r="M20" s="4">
        <f>L20-K20</f>
      </c>
      <c r="N20" s="4">
        <f>M20*16.67%</f>
      </c>
      <c r="O20" s="4">
        <f>L20/100*11</f>
      </c>
      <c r="P20" s="4">
        <v>8.99</v>
      </c>
      <c r="Q20" s="4">
        <v>0</v>
      </c>
      <c r="R20" s="4">
        <v>8</v>
      </c>
      <c r="S20" s="4">
        <f>R20*20%</f>
      </c>
      <c r="T20" s="4">
        <v>1</v>
      </c>
      <c r="U20" s="4">
        <f>M20-N20-O20-P20-Q20-R20-S20-T20</f>
      </c>
      <c r="V20" s="4">
        <f>(U20-AB20)/K20*100</f>
      </c>
      <c r="W20" s="4">
        <f>N20-S20</f>
      </c>
      <c r="AC20" s="4">
        <f>U20-AB20</f>
      </c>
      <c r="AH20" t="s">
        <v>1</v>
      </c>
    </row>
    <row r="21" spans="1:34" x14ac:dyDescent="0.25">
      <c r="A21" s="8">
        <v>46204.5</v>
      </c>
      <c r="B21" t="s">
        <v>190</v>
      </c>
      <c r="C21" t="s">
        <v>89</v>
      </c>
      <c r="D21" s="9" t="s">
        <v>191</v>
      </c>
      <c r="E21" t="s">
        <v>65</v>
      </c>
      <c r="F21" t="s">
        <v>66</v>
      </c>
      <c r="G21" t="s">
        <v>72</v>
      </c>
      <c r="H21" t="s">
        <v>91</v>
      </c>
      <c r="I21">
        <v>1</v>
      </c>
      <c r="J21" t="s">
        <v>141</v>
      </c>
      <c r="K21" s="4">
        <v>223.04</v>
      </c>
      <c r="L21" s="4">
        <v>298.35</v>
      </c>
      <c r="M21" s="4">
        <f>L21-K21</f>
      </c>
      <c r="N21" s="4">
        <f>M21*16.67%</f>
      </c>
      <c r="O21" s="4">
        <f>L21/100*11</f>
      </c>
      <c r="P21" s="4">
        <v>8.99</v>
      </c>
      <c r="Q21" s="4">
        <v>0</v>
      </c>
      <c r="R21" s="4">
        <v>6.3</v>
      </c>
      <c r="S21" s="4">
        <f>R21*20%</f>
      </c>
      <c r="T21" s="4">
        <v>1</v>
      </c>
      <c r="U21" s="4">
        <f>M21-N21-O21-P21-Q21-R21-S21-T21</f>
      </c>
      <c r="V21" s="4">
        <f>(U21-AB21)/K21*100</f>
      </c>
      <c r="W21" s="4">
        <f>N21-S21</f>
      </c>
      <c r="AC21" s="4">
        <f>U21-AB21</f>
      </c>
      <c r="AH21" t="s">
        <v>1</v>
      </c>
    </row>
    <row r="22" spans="1:34" x14ac:dyDescent="0.25">
      <c r="A22" s="8"/>
      <c r="D22" s="9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8"/>
      <c r="D23" s="9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8"/>
      <c r="D24" s="9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8"/>
      <c r="D25" s="9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8"/>
      <c r="D26" s="9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8"/>
      <c r="D27" s="9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8"/>
      <c r="D28" s="9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8"/>
      <c r="D29" s="9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8"/>
      <c r="D30" s="9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8"/>
      <c r="D31" s="9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8"/>
      <c r="D32" s="9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8"/>
      <c r="D33" s="9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8"/>
      <c r="D34" s="9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8"/>
      <c r="D35" s="9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8"/>
      <c r="D36" s="9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8"/>
      <c r="D37" s="9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8"/>
      <c r="D38" s="9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8"/>
      <c r="D39" s="9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8"/>
      <c r="D40" s="9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8"/>
      <c r="D41" s="9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8"/>
      <c r="D42" s="9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8"/>
      <c r="D43" s="9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8"/>
      <c r="D44" s="9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8"/>
      <c r="D45" s="9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8"/>
      <c r="D46" s="9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8"/>
      <c r="D47" s="9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8"/>
      <c r="D48" s="9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8"/>
      <c r="D49" s="9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8"/>
      <c r="D50" s="9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8"/>
      <c r="D51" s="9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8"/>
      <c r="D52" s="9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8"/>
      <c r="D53" s="9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8"/>
      <c r="D54" s="9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8"/>
      <c r="D55" s="9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8"/>
      <c r="D56" s="9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8"/>
      <c r="D57" s="9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8"/>
      <c r="D58" s="9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8"/>
      <c r="D59" s="9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8"/>
      <c r="D60" s="9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8"/>
      <c r="D61" s="9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8"/>
      <c r="D62" s="9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8"/>
      <c r="D63" s="9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8"/>
      <c r="D64" s="9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8"/>
      <c r="D65" s="9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8"/>
      <c r="D66" s="9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8"/>
      <c r="D67" s="9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8"/>
      <c r="D68" s="9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8"/>
      <c r="D69" s="9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8"/>
      <c r="D70" s="9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8"/>
      <c r="D71" s="9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8"/>
      <c r="D72" s="9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8"/>
      <c r="D73" s="9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8"/>
      <c r="D74" s="9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8"/>
      <c r="D75" s="9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8"/>
      <c r="D76" s="9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8"/>
      <c r="D77" s="9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8"/>
      <c r="D78" s="9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8"/>
      <c r="D79" s="9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8"/>
      <c r="D80" s="9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8"/>
      <c r="D81" s="9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8"/>
      <c r="D82" s="9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8"/>
      <c r="D83" s="9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8"/>
      <c r="D84" s="9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8"/>
      <c r="D85" s="9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8"/>
      <c r="D86" s="9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8"/>
      <c r="D87" s="9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8"/>
      <c r="D88" s="9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8"/>
      <c r="D89" s="9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8"/>
      <c r="D90" s="9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8"/>
      <c r="D91" s="9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8"/>
      <c r="D92" s="9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8"/>
      <c r="D93" s="9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8"/>
      <c r="D94" s="9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8"/>
      <c r="D95" s="9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8"/>
      <c r="D96" s="9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8"/>
      <c r="D97" s="9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8"/>
      <c r="D98" s="9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8"/>
      <c r="D99" s="9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8"/>
      <c r="D100" s="9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8"/>
      <c r="D101" s="9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8"/>
      <c r="D102" s="9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8"/>
      <c r="D103" s="9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8"/>
      <c r="D104" s="9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8"/>
      <c r="D105" s="9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8"/>
      <c r="D106" s="9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8"/>
      <c r="D107" s="9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8"/>
      <c r="D108" s="9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8"/>
      <c r="D109" s="9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8"/>
      <c r="D110" s="9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8"/>
      <c r="D111" s="9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8"/>
      <c r="D112" s="9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8"/>
      <c r="D113" s="9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8"/>
      <c r="D114" s="9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8"/>
      <c r="D115" s="9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8"/>
      <c r="D116" s="9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8"/>
      <c r="D117" s="9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8"/>
      <c r="D118" s="9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8"/>
      <c r="D119" s="9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8"/>
      <c r="D120" s="9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8"/>
      <c r="D121" s="9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8"/>
      <c r="D122" s="9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8"/>
      <c r="D123" s="9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8"/>
      <c r="D124" s="9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8"/>
      <c r="D125" s="9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8"/>
      <c r="D126" s="9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8"/>
      <c r="D127" s="9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8"/>
      <c r="D128" s="9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8"/>
      <c r="D129" s="9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8"/>
      <c r="D130" s="9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8"/>
      <c r="D131" s="9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8"/>
      <c r="D132" s="9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8"/>
      <c r="D133" s="9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8"/>
      <c r="D134" s="9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8"/>
      <c r="D135" s="9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8"/>
      <c r="D136" s="9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8"/>
      <c r="D137" s="9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8"/>
      <c r="D138" s="9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8"/>
      <c r="D139" s="9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8"/>
      <c r="D140" s="9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8"/>
      <c r="D141" s="9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8"/>
      <c r="D142" s="9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8"/>
      <c r="D143" s="9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8"/>
      <c r="D144" s="9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8"/>
      <c r="D145" s="9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8"/>
      <c r="D146" s="9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8"/>
      <c r="D147" s="9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8"/>
      <c r="D148" s="9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8"/>
      <c r="D149" s="9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8"/>
      <c r="D150" s="9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8"/>
      <c r="D151" s="9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8"/>
      <c r="D152" s="9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8"/>
      <c r="D153" s="9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8"/>
      <c r="D154" s="9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8"/>
      <c r="D155" s="9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8"/>
      <c r="D156" s="9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8"/>
      <c r="D157" s="9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8"/>
      <c r="D158" s="9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8"/>
      <c r="D159" s="9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8"/>
      <c r="D160" s="9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8"/>
      <c r="D161" s="9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8"/>
      <c r="D162" s="9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8"/>
      <c r="D163" s="9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8"/>
      <c r="D164" s="9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8"/>
      <c r="D165" s="9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8"/>
      <c r="D166" s="9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8"/>
      <c r="D167" s="9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8"/>
      <c r="D168" s="9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8"/>
      <c r="D169" s="9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8"/>
      <c r="D170" s="9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8"/>
      <c r="D171" s="9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8"/>
      <c r="D172" s="9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8"/>
      <c r="D173" s="9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8"/>
      <c r="D174" s="9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8"/>
      <c r="D175" s="9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8"/>
      <c r="D176" s="9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8"/>
      <c r="D177" s="9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8"/>
      <c r="D178" s="9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8"/>
      <c r="D179" s="9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8"/>
      <c r="D180" s="9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8"/>
      <c r="D181" s="9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8"/>
      <c r="D182" s="9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8"/>
      <c r="D183" s="9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8"/>
      <c r="D184" s="9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8"/>
      <c r="D185" s="9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8"/>
      <c r="D186" s="9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8"/>
      <c r="D187" s="9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8"/>
      <c r="D188" s="9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8"/>
      <c r="D189" s="9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8"/>
      <c r="D190" s="9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8"/>
      <c r="D191" s="9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8"/>
      <c r="D192" s="9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8"/>
      <c r="D193" s="9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8"/>
      <c r="D194" s="9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8"/>
      <c r="D195" s="9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8"/>
      <c r="D196" s="9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8"/>
      <c r="D197" s="9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8"/>
      <c r="D198" s="9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8"/>
      <c r="D199" s="9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8"/>
      <c r="D200" s="9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8"/>
      <c r="D201" s="9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x14ac:dyDescent="0.25">
      <c r="A202" s="8"/>
      <c r="D202" s="9"/>
      <c r="K202" s="4"/>
      <c r="L202" s="4"/>
      <c r="M202" s="4">
        <f>IF($L202="","",L202-K202)</f>
      </c>
      <c r="N202" s="4">
        <f>IF($L202="","",M202*16.67%)</f>
      </c>
      <c r="O202" s="4">
        <f>IF($L202="","",L202/100*11)</f>
      </c>
      <c r="P202" s="4">
        <v>8.99</v>
      </c>
      <c r="Q202" s="4">
        <f>IF($L202="","",L202*1%)</f>
      </c>
      <c r="R202" s="4"/>
      <c r="S202" s="4">
        <f>IF($L202="","",R202*20%)</f>
      </c>
      <c r="T202" s="4">
        <v>1</v>
      </c>
      <c r="U202" s="4">
        <f>IF($L202="","",M202-N202-O202-P202-Q202-R202-S202-T202)</f>
      </c>
      <c r="V202" s="4">
        <f>IF($L202="","",(U202-AB202)/K202*100)</f>
      </c>
      <c r="W202" s="4">
        <f>IF($L202="","",N202-S202)</f>
      </c>
      <c r="AC202" s="4">
        <f>IF($L202="","",U202-AB202)</f>
      </c>
    </row>
    <row r="203" spans="1:34" x14ac:dyDescent="0.25">
      <c r="A203" s="8"/>
      <c r="D203" s="9"/>
      <c r="K203" s="4"/>
      <c r="L203" s="4"/>
      <c r="M203" s="4">
        <f>IF($L203="","",L203-K203)</f>
      </c>
      <c r="N203" s="4">
        <f>IF($L203="","",M203*16.67%)</f>
      </c>
      <c r="O203" s="4">
        <f>IF($L203="","",L203/100*11)</f>
      </c>
      <c r="P203" s="4">
        <v>8.99</v>
      </c>
      <c r="Q203" s="4">
        <f>IF($L203="","",L203*1%)</f>
      </c>
      <c r="R203" s="4"/>
      <c r="S203" s="4">
        <f>IF($L203="","",R203*20%)</f>
      </c>
      <c r="T203" s="4">
        <v>1</v>
      </c>
      <c r="U203" s="4">
        <f>IF($L203="","",M203-N203-O203-P203-Q203-R203-S203-T203)</f>
      </c>
      <c r="V203" s="4">
        <f>IF($L203="","",(U203-AB203)/K203*100)</f>
      </c>
      <c r="W203" s="4">
        <f>IF($L203="","",N203-S203)</f>
      </c>
      <c r="AC203" s="4">
        <f>IF($L203="","",U203-AB203)</f>
      </c>
    </row>
    <row r="204" spans="1:34" x14ac:dyDescent="0.25">
      <c r="A204" s="8"/>
      <c r="D204" s="9"/>
      <c r="K204" s="4"/>
      <c r="L204" s="4"/>
      <c r="M204" s="4">
        <f>IF($L204="","",L204-K204)</f>
      </c>
      <c r="N204" s="4">
        <f>IF($L204="","",M204*16.67%)</f>
      </c>
      <c r="O204" s="4">
        <f>IF($L204="","",L204/100*11)</f>
      </c>
      <c r="P204" s="4">
        <v>8.99</v>
      </c>
      <c r="Q204" s="4">
        <f>IF($L204="","",L204*1%)</f>
      </c>
      <c r="R204" s="4"/>
      <c r="S204" s="4">
        <f>IF($L204="","",R204*20%)</f>
      </c>
      <c r="T204" s="4">
        <v>1</v>
      </c>
      <c r="U204" s="4">
        <f>IF($L204="","",M204-N204-O204-P204-Q204-R204-S204-T204)</f>
      </c>
      <c r="V204" s="4">
        <f>IF($L204="","",(U204-AB204)/K204*100)</f>
      </c>
      <c r="W204" s="4">
        <f>IF($L204="","",N204-S204)</f>
      </c>
      <c r="AC204" s="4">
        <f>IF($L204="","",U204-AB204)</f>
      </c>
    </row>
    <row r="205" spans="1:34" x14ac:dyDescent="0.25">
      <c r="A205" s="8"/>
      <c r="D205" s="9"/>
      <c r="K205" s="4"/>
      <c r="L205" s="4"/>
      <c r="M205" s="4">
        <f>IF($L205="","",L205-K205)</f>
      </c>
      <c r="N205" s="4">
        <f>IF($L205="","",M205*16.67%)</f>
      </c>
      <c r="O205" s="4">
        <f>IF($L205="","",L205/100*11)</f>
      </c>
      <c r="P205" s="4">
        <v>8.99</v>
      </c>
      <c r="Q205" s="4">
        <f>IF($L205="","",L205*1%)</f>
      </c>
      <c r="R205" s="4"/>
      <c r="S205" s="4">
        <f>IF($L205="","",R205*20%)</f>
      </c>
      <c r="T205" s="4">
        <v>1</v>
      </c>
      <c r="U205" s="4">
        <f>IF($L205="","",M205-N205-O205-P205-Q205-R205-S205-T205)</f>
      </c>
      <c r="V205" s="4">
        <f>IF($L205="","",(U205-AB205)/K205*100)</f>
      </c>
      <c r="W205" s="4">
        <f>IF($L205="","",N205-S205)</f>
      </c>
      <c r="AC205" s="4">
        <f>IF($L205="","",U205-AB205)</f>
      </c>
    </row>
    <row r="206" spans="1:34" x14ac:dyDescent="0.25">
      <c r="A206" s="8"/>
      <c r="D206" s="9"/>
      <c r="K206" s="4"/>
      <c r="L206" s="4"/>
      <c r="M206" s="4">
        <f>IF($L206="","",L206-K206)</f>
      </c>
      <c r="N206" s="4">
        <f>IF($L206="","",M206*16.67%)</f>
      </c>
      <c r="O206" s="4">
        <f>IF($L206="","",L206/100*11)</f>
      </c>
      <c r="P206" s="4">
        <v>8.99</v>
      </c>
      <c r="Q206" s="4">
        <f>IF($L206="","",L206*1%)</f>
      </c>
      <c r="R206" s="4"/>
      <c r="S206" s="4">
        <f>IF($L206="","",R206*20%)</f>
      </c>
      <c r="T206" s="4">
        <v>1</v>
      </c>
      <c r="U206" s="4">
        <f>IF($L206="","",M206-N206-O206-P206-Q206-R206-S206-T206)</f>
      </c>
      <c r="V206" s="4">
        <f>IF($L206="","",(U206-AB206)/K206*100)</f>
      </c>
      <c r="W206" s="4">
        <f>IF($L206="","",N206-S206)</f>
      </c>
      <c r="AC206" s="4">
        <f>IF($L206="","",U206-AB206)</f>
      </c>
    </row>
    <row r="207" spans="1:34" x14ac:dyDescent="0.25">
      <c r="A207" s="8"/>
      <c r="D207" s="9"/>
      <c r="K207" s="4"/>
      <c r="L207" s="4"/>
      <c r="M207" s="4">
        <f>IF($L207="","",L207-K207)</f>
      </c>
      <c r="N207" s="4">
        <f>IF($L207="","",M207*16.67%)</f>
      </c>
      <c r="O207" s="4">
        <f>IF($L207="","",L207/100*11)</f>
      </c>
      <c r="P207" s="4">
        <v>8.99</v>
      </c>
      <c r="Q207" s="4">
        <f>IF($L207="","",L207*1%)</f>
      </c>
      <c r="R207" s="4"/>
      <c r="S207" s="4">
        <f>IF($L207="","",R207*20%)</f>
      </c>
      <c r="T207" s="4">
        <v>1</v>
      </c>
      <c r="U207" s="4">
        <f>IF($L207="","",M207-N207-O207-P207-Q207-R207-S207-T207)</f>
      </c>
      <c r="V207" s="4">
        <f>IF($L207="","",(U207-AB207)/K207*100)</f>
      </c>
      <c r="W207" s="4">
        <f>IF($L207="","",N207-S207)</f>
      </c>
      <c r="AC207" s="4">
        <f>IF($L207="","",U207-AB207)</f>
      </c>
    </row>
    <row r="208" spans="1:34" x14ac:dyDescent="0.25">
      <c r="A208" s="8"/>
      <c r="D208" s="9"/>
      <c r="K208" s="4"/>
      <c r="L208" s="4"/>
      <c r="M208" s="4">
        <f>IF($L208="","",L208-K208)</f>
      </c>
      <c r="N208" s="4">
        <f>IF($L208="","",M208*16.67%)</f>
      </c>
      <c r="O208" s="4">
        <f>IF($L208="","",L208/100*11)</f>
      </c>
      <c r="P208" s="4">
        <v>8.99</v>
      </c>
      <c r="Q208" s="4">
        <f>IF($L208="","",L208*1%)</f>
      </c>
      <c r="R208" s="4"/>
      <c r="S208" s="4">
        <f>IF($L208="","",R208*20%)</f>
      </c>
      <c r="T208" s="4">
        <v>1</v>
      </c>
      <c r="U208" s="4">
        <f>IF($L208="","",M208-N208-O208-P208-Q208-R208-S208-T208)</f>
      </c>
      <c r="V208" s="4">
        <f>IF($L208="","",(U208-AB208)/K208*100)</f>
      </c>
      <c r="W208" s="4">
        <f>IF($L208="","",N208-S208)</f>
      </c>
      <c r="AC208" s="4">
        <f>IF($L208="","",U208-AB208)</f>
      </c>
    </row>
    <row r="209" spans="1:34" x14ac:dyDescent="0.25">
      <c r="A209" s="8"/>
      <c r="D209" s="9"/>
      <c r="K209" s="4"/>
      <c r="L209" s="4"/>
      <c r="M209" s="4">
        <f>IF($L209="","",L209-K209)</f>
      </c>
      <c r="N209" s="4">
        <f>IF($L209="","",M209*16.67%)</f>
      </c>
      <c r="O209" s="4">
        <f>IF($L209="","",L209/100*11)</f>
      </c>
      <c r="P209" s="4">
        <v>8.99</v>
      </c>
      <c r="Q209" s="4">
        <f>IF($L209="","",L209*1%)</f>
      </c>
      <c r="R209" s="4"/>
      <c r="S209" s="4">
        <f>IF($L209="","",R209*20%)</f>
      </c>
      <c r="T209" s="4">
        <v>1</v>
      </c>
      <c r="U209" s="4">
        <f>IF($L209="","",M209-N209-O209-P209-Q209-R209-S209-T209)</f>
      </c>
      <c r="V209" s="4">
        <f>IF($L209="","",(U209-AB209)/K209*100)</f>
      </c>
      <c r="W209" s="4">
        <f>IF($L209="","",N209-S209)</f>
      </c>
      <c r="AC209" s="4">
        <f>IF($L209="","",U209-AB209)</f>
      </c>
    </row>
    <row r="210" spans="1:34" x14ac:dyDescent="0.25">
      <c r="A210" s="8"/>
      <c r="D210" s="9"/>
      <c r="K210" s="4"/>
      <c r="L210" s="4"/>
      <c r="M210" s="4">
        <f>IF($L210="","",L210-K210)</f>
      </c>
      <c r="N210" s="4">
        <f>IF($L210="","",M210*16.67%)</f>
      </c>
      <c r="O210" s="4">
        <f>IF($L210="","",L210/100*11)</f>
      </c>
      <c r="P210" s="4">
        <v>8.99</v>
      </c>
      <c r="Q210" s="4">
        <f>IF($L210="","",L210*1%)</f>
      </c>
      <c r="R210" s="4"/>
      <c r="S210" s="4">
        <f>IF($L210="","",R210*20%)</f>
      </c>
      <c r="T210" s="4">
        <v>1</v>
      </c>
      <c r="U210" s="4">
        <f>IF($L210="","",M210-N210-O210-P210-Q210-R210-S210-T210)</f>
      </c>
      <c r="V210" s="4">
        <f>IF($L210="","",(U210-AB210)/K210*100)</f>
      </c>
      <c r="W210" s="4">
        <f>IF($L210="","",N210-S210)</f>
      </c>
      <c r="AC210" s="4">
        <f>IF($L210="","",U210-AB210)</f>
      </c>
    </row>
    <row r="211" spans="1:34" x14ac:dyDescent="0.25">
      <c r="A211" s="8"/>
      <c r="D211" s="9"/>
      <c r="K211" s="4"/>
      <c r="L211" s="4"/>
      <c r="M211" s="4">
        <f>IF($L211="","",L211-K211)</f>
      </c>
      <c r="N211" s="4">
        <f>IF($L211="","",M211*16.67%)</f>
      </c>
      <c r="O211" s="4">
        <f>IF($L211="","",L211/100*11)</f>
      </c>
      <c r="P211" s="4">
        <v>8.99</v>
      </c>
      <c r="Q211" s="4">
        <f>IF($L211="","",L211*1%)</f>
      </c>
      <c r="R211" s="4"/>
      <c r="S211" s="4">
        <f>IF($L211="","",R211*20%)</f>
      </c>
      <c r="T211" s="4">
        <v>1</v>
      </c>
      <c r="U211" s="4">
        <f>IF($L211="","",M211-N211-O211-P211-Q211-R211-S211-T211)</f>
      </c>
      <c r="V211" s="4">
        <f>IF($L211="","",(U211-AB211)/K211*100)</f>
      </c>
      <c r="W211" s="4">
        <f>IF($L211="","",N211-S211)</f>
      </c>
      <c r="AC211" s="4">
        <f>IF($L211="","",U211-AB211)</f>
      </c>
    </row>
    <row r="212" spans="1:34" x14ac:dyDescent="0.25">
      <c r="A212" s="8"/>
      <c r="D212" s="9"/>
      <c r="K212" s="4"/>
      <c r="L212" s="4"/>
      <c r="M212" s="4">
        <f>IF($L212="","",L212-K212)</f>
      </c>
      <c r="N212" s="4">
        <f>IF($L212="","",M212*16.67%)</f>
      </c>
      <c r="O212" s="4">
        <f>IF($L212="","",L212/100*11)</f>
      </c>
      <c r="P212" s="4">
        <v>8.99</v>
      </c>
      <c r="Q212" s="4">
        <f>IF($L212="","",L212*1%)</f>
      </c>
      <c r="R212" s="4"/>
      <c r="S212" s="4">
        <f>IF($L212="","",R212*20%)</f>
      </c>
      <c r="T212" s="4">
        <v>1</v>
      </c>
      <c r="U212" s="4">
        <f>IF($L212="","",M212-N212-O212-P212-Q212-R212-S212-T212)</f>
      </c>
      <c r="V212" s="4">
        <f>IF($L212="","",(U212-AB212)/K212*100)</f>
      </c>
      <c r="W212" s="4">
        <f>IF($L212="","",N212-S212)</f>
      </c>
      <c r="AC212" s="4">
        <f>IF($L212="","",U212-AB212)</f>
      </c>
    </row>
    <row r="213" spans="1:34" x14ac:dyDescent="0.25">
      <c r="A213" s="8"/>
      <c r="D213" s="9"/>
      <c r="K213" s="4"/>
      <c r="L213" s="4"/>
      <c r="M213" s="4">
        <f>IF($L213="","",L213-K213)</f>
      </c>
      <c r="N213" s="4">
        <f>IF($L213="","",M213*16.67%)</f>
      </c>
      <c r="O213" s="4">
        <f>IF($L213="","",L213/100*11)</f>
      </c>
      <c r="P213" s="4">
        <v>8.99</v>
      </c>
      <c r="Q213" s="4">
        <f>IF($L213="","",L213*1%)</f>
      </c>
      <c r="R213" s="4"/>
      <c r="S213" s="4">
        <f>IF($L213="","",R213*20%)</f>
      </c>
      <c r="T213" s="4">
        <v>1</v>
      </c>
      <c r="U213" s="4">
        <f>IF($L213="","",M213-N213-O213-P213-Q213-R213-S213-T213)</f>
      </c>
      <c r="V213" s="4">
        <f>IF($L213="","",(U213-AB213)/K213*100)</f>
      </c>
      <c r="W213" s="4">
        <f>IF($L213="","",N213-S213)</f>
      </c>
      <c r="AC213" s="4">
        <f>IF($L213="","",U213-AB213)</f>
      </c>
    </row>
    <row r="214" spans="1:34" x14ac:dyDescent="0.25">
      <c r="A214" s="8"/>
      <c r="D214" s="9"/>
      <c r="K214" s="4"/>
      <c r="L214" s="4"/>
      <c r="M214" s="4">
        <f>IF($L214="","",L214-K214)</f>
      </c>
      <c r="N214" s="4">
        <f>IF($L214="","",M214*16.67%)</f>
      </c>
      <c r="O214" s="4">
        <f>IF($L214="","",L214/100*11)</f>
      </c>
      <c r="P214" s="4">
        <v>8.99</v>
      </c>
      <c r="Q214" s="4">
        <f>IF($L214="","",L214*1%)</f>
      </c>
      <c r="R214" s="4"/>
      <c r="S214" s="4">
        <f>IF($L214="","",R214*20%)</f>
      </c>
      <c r="T214" s="4">
        <v>1</v>
      </c>
      <c r="U214" s="4">
        <f>IF($L214="","",M214-N214-O214-P214-Q214-R214-S214-T214)</f>
      </c>
      <c r="V214" s="4">
        <f>IF($L214="","",(U214-AB214)/K214*100)</f>
      </c>
      <c r="W214" s="4">
        <f>IF($L214="","",N214-S214)</f>
      </c>
      <c r="AC214" s="4">
        <f>IF($L214="","",U214-AB214)</f>
      </c>
    </row>
    <row r="215" spans="1:34" x14ac:dyDescent="0.25">
      <c r="A215" s="8"/>
      <c r="D215" s="9"/>
      <c r="K215" s="4"/>
      <c r="L215" s="4"/>
      <c r="M215" s="4">
        <f>IF($L215="","",L215-K215)</f>
      </c>
      <c r="N215" s="4">
        <f>IF($L215="","",M215*16.67%)</f>
      </c>
      <c r="O215" s="4">
        <f>IF($L215="","",L215/100*11)</f>
      </c>
      <c r="P215" s="4">
        <v>8.99</v>
      </c>
      <c r="Q215" s="4">
        <f>IF($L215="","",L215*1%)</f>
      </c>
      <c r="R215" s="4"/>
      <c r="S215" s="4">
        <f>IF($L215="","",R215*20%)</f>
      </c>
      <c r="T215" s="4">
        <v>1</v>
      </c>
      <c r="U215" s="4">
        <f>IF($L215="","",M215-N215-O215-P215-Q215-R215-S215-T215)</f>
      </c>
      <c r="V215" s="4">
        <f>IF($L215="","",(U215-AB215)/K215*100)</f>
      </c>
      <c r="W215" s="4">
        <f>IF($L215="","",N215-S215)</f>
      </c>
      <c r="AC215" s="4">
        <f>IF($L215="","",U215-AB215)</f>
      </c>
    </row>
    <row r="216" spans="1:34" x14ac:dyDescent="0.25">
      <c r="A216" s="8"/>
      <c r="D216" s="9"/>
      <c r="K216" s="4"/>
      <c r="L216" s="4"/>
      <c r="M216" s="4">
        <f>IF($L216="","",L216-K216)</f>
      </c>
      <c r="N216" s="4">
        <f>IF($L216="","",M216*16.67%)</f>
      </c>
      <c r="O216" s="4">
        <f>IF($L216="","",L216/100*11)</f>
      </c>
      <c r="P216" s="4">
        <v>8.99</v>
      </c>
      <c r="Q216" s="4">
        <f>IF($L216="","",L216*1%)</f>
      </c>
      <c r="R216" s="4"/>
      <c r="S216" s="4">
        <f>IF($L216="","",R216*20%)</f>
      </c>
      <c r="T216" s="4">
        <v>1</v>
      </c>
      <c r="U216" s="4">
        <f>IF($L216="","",M216-N216-O216-P216-Q216-R216-S216-T216)</f>
      </c>
      <c r="V216" s="4">
        <f>IF($L216="","",(U216-AB216)/K216*100)</f>
      </c>
      <c r="W216" s="4">
        <f>IF($L216="","",N216-S216)</f>
      </c>
      <c r="AC216" s="4">
        <f>IF($L216="","",U216-AB216)</f>
      </c>
    </row>
    <row r="217" spans="1:34" x14ac:dyDescent="0.25">
      <c r="A217" s="8"/>
      <c r="D217" s="9"/>
      <c r="K217" s="4"/>
      <c r="L217" s="4"/>
      <c r="M217" s="4">
        <f>IF($L217="","",L217-K217)</f>
      </c>
      <c r="N217" s="4">
        <f>IF($L217="","",M217*16.67%)</f>
      </c>
      <c r="O217" s="4">
        <f>IF($L217="","",L217/100*11)</f>
      </c>
      <c r="P217" s="4">
        <v>8.99</v>
      </c>
      <c r="Q217" s="4">
        <f>IF($L217="","",L217*1%)</f>
      </c>
      <c r="R217" s="4"/>
      <c r="S217" s="4">
        <f>IF($L217="","",R217*20%)</f>
      </c>
      <c r="T217" s="4">
        <v>1</v>
      </c>
      <c r="U217" s="4">
        <f>IF($L217="","",M217-N217-O217-P217-Q217-R217-S217-T217)</f>
      </c>
      <c r="V217" s="4">
        <f>IF($L217="","",(U217-AB217)/K217*100)</f>
      </c>
      <c r="W217" s="4">
        <f>IF($L217="","",N217-S217)</f>
      </c>
      <c r="AC217" s="4">
        <f>IF($L217="","",U217-AB217)</f>
      </c>
    </row>
    <row r="218" spans="1:34" x14ac:dyDescent="0.25">
      <c r="A218" s="8"/>
      <c r="D218" s="9"/>
      <c r="K218" s="4"/>
      <c r="L218" s="4"/>
      <c r="M218" s="4">
        <f>IF($L218="","",L218-K218)</f>
      </c>
      <c r="N218" s="4">
        <f>IF($L218="","",M218*16.67%)</f>
      </c>
      <c r="O218" s="4">
        <f>IF($L218="","",L218/100*11)</f>
      </c>
      <c r="P218" s="4">
        <v>8.99</v>
      </c>
      <c r="Q218" s="4">
        <f>IF($L218="","",L218*1%)</f>
      </c>
      <c r="R218" s="4"/>
      <c r="S218" s="4">
        <f>IF($L218="","",R218*20%)</f>
      </c>
      <c r="T218" s="4">
        <v>1</v>
      </c>
      <c r="U218" s="4">
        <f>IF($L218="","",M218-N218-O218-P218-Q218-R218-S218-T218)</f>
      </c>
      <c r="V218" s="4">
        <f>IF($L218="","",(U218-AB218)/K218*100)</f>
      </c>
      <c r="W218" s="4">
        <f>IF($L218="","",N218-S218)</f>
      </c>
      <c r="AC218" s="4">
        <f>IF($L218="","",U218-AB218)</f>
      </c>
    </row>
    <row r="219" spans="1:34" x14ac:dyDescent="0.25">
      <c r="A219" s="8"/>
      <c r="D219" s="9"/>
      <c r="K219" s="4"/>
      <c r="L219" s="4"/>
      <c r="M219" s="4">
        <f>IF($L219="","",L219-K219)</f>
      </c>
      <c r="N219" s="4">
        <f>IF($L219="","",M219*16.67%)</f>
      </c>
      <c r="O219" s="4">
        <f>IF($L219="","",L219/100*11)</f>
      </c>
      <c r="P219" s="4">
        <v>8.99</v>
      </c>
      <c r="Q219" s="4">
        <f>IF($L219="","",L219*1%)</f>
      </c>
      <c r="R219" s="4"/>
      <c r="S219" s="4">
        <f>IF($L219="","",R219*20%)</f>
      </c>
      <c r="T219" s="4">
        <v>1</v>
      </c>
      <c r="U219" s="4">
        <f>IF($L219="","",M219-N219-O219-P219-Q219-R219-S219-T219)</f>
      </c>
      <c r="V219" s="4">
        <f>IF($L219="","",(U219-AB219)/K219*100)</f>
      </c>
      <c r="W219" s="4">
        <f>IF($L219="","",N219-S219)</f>
      </c>
      <c r="AC219" s="4">
        <f>IF($L219="","",U219-AB219)</f>
      </c>
    </row>
    <row r="220" spans="1:34" x14ac:dyDescent="0.25">
      <c r="A220" s="8"/>
      <c r="D220" s="9"/>
      <c r="K220" s="4"/>
      <c r="L220" s="4"/>
      <c r="M220" s="4">
        <f>IF($L220="","",L220-K220)</f>
      </c>
      <c r="N220" s="4">
        <f>IF($L220="","",M220*16.67%)</f>
      </c>
      <c r="O220" s="4">
        <f>IF($L220="","",L220/100*11)</f>
      </c>
      <c r="P220" s="4">
        <v>8.99</v>
      </c>
      <c r="Q220" s="4">
        <f>IF($L220="","",L220*1%)</f>
      </c>
      <c r="R220" s="4"/>
      <c r="S220" s="4">
        <f>IF($L220="","",R220*20%)</f>
      </c>
      <c r="T220" s="4">
        <v>1</v>
      </c>
      <c r="U220" s="4">
        <f>IF($L220="","",M220-N220-O220-P220-Q220-R220-S220-T220)</f>
      </c>
      <c r="V220" s="4">
        <f>IF($L220="","",(U220-AB220)/K220*100)</f>
      </c>
      <c r="W220" s="4">
        <f>IF($L220="","",N220-S220)</f>
      </c>
      <c r="AC220" s="4">
        <f>IF($L220="","",U220-AB220)</f>
      </c>
    </row>
    <row r="221" spans="1:34" x14ac:dyDescent="0.25">
      <c r="A221" s="8"/>
      <c r="D221" s="9"/>
      <c r="K221" s="4"/>
      <c r="L221" s="4"/>
      <c r="M221" s="4">
        <f>IF($L221="","",L221-K221)</f>
      </c>
      <c r="N221" s="4">
        <f>IF($L221="","",M221*16.67%)</f>
      </c>
      <c r="O221" s="4">
        <f>IF($L221="","",L221/100*11)</f>
      </c>
      <c r="P221" s="4">
        <v>8.99</v>
      </c>
      <c r="Q221" s="4">
        <f>IF($L221="","",L221*1%)</f>
      </c>
      <c r="R221" s="4"/>
      <c r="S221" s="4">
        <f>IF($L221="","",R221*20%)</f>
      </c>
      <c r="T221" s="4">
        <v>1</v>
      </c>
      <c r="U221" s="4">
        <f>IF($L221="","",M221-N221-O221-P221-Q221-R221-S221-T221)</f>
      </c>
      <c r="V221" s="4">
        <f>IF($L221="","",(U221-AB221)/K221*100)</f>
      </c>
      <c r="W221" s="4">
        <f>IF($L221="","",N221-S221)</f>
      </c>
      <c r="AC221" s="4">
        <f>IF($L221="","",U221-AB221)</f>
      </c>
    </row>
    <row r="222" spans="1:34" s="7" customFormat="1" x14ac:dyDescent="0.25">
      <c r="A222" s="3" t="s">
        <v>18</v>
      </c>
      <c r="B222" s="7"/>
      <c r="C222" s="7"/>
      <c r="D222" s="7"/>
      <c r="E222" s="7"/>
      <c r="F222" s="7"/>
      <c r="G222" s="7"/>
      <c r="H222" s="7"/>
      <c r="I222" s="10">
        <f>SUM(I2:I221)</f>
      </c>
      <c r="J222" s="7"/>
      <c r="K222" s="10">
        <f>SUM(K2:K221)</f>
      </c>
      <c r="L222" s="10">
        <f>SUM(L2:L221)</f>
      </c>
      <c r="M222" s="10">
        <f>SUM(M2:M221)</f>
      </c>
      <c r="N222" s="10">
        <f>SUM(N2:N221)</f>
      </c>
      <c r="O222" s="10">
        <f>SUM(O2:O221)</f>
      </c>
      <c r="P222" s="10">
        <f>SUM(P2:P221)</f>
      </c>
      <c r="Q222" s="10">
        <f>SUM(Q2:Q221)</f>
      </c>
      <c r="R222" s="10">
        <f>SUM(R2:R221)</f>
      </c>
      <c r="S222" s="10">
        <f>SUM(S2:S221)</f>
      </c>
      <c r="T222" s="10">
        <f>SUM(T2:T221)</f>
      </c>
      <c r="U222" s="10">
        <f>SUM(U2:U221)</f>
      </c>
      <c r="V222" s="10">
        <f>IFERROR((U222-AB222)/K222*100,0)</f>
      </c>
      <c r="W222" s="10">
        <f>SUM(W2:W221)</f>
      </c>
      <c r="X222" s="10">
        <f>SUM(X2:X221)</f>
      </c>
      <c r="Y222" s="10">
        <f>SUM(Y2:Y221)</f>
      </c>
      <c r="Z222" s="10">
        <f>SUM(Z2:Z221)</f>
      </c>
      <c r="AA222" s="10">
        <f>SUM(AA2:AA221)</f>
      </c>
      <c r="AB222" s="10">
        <f>SUM(AB2:AB221)</f>
      </c>
      <c r="AC222" s="10">
        <f>SUM(AC2:AC221)</f>
      </c>
      <c r="AD222" s="7"/>
      <c r="AE222" s="7"/>
      <c r="AF222" s="7"/>
      <c r="AG222" s="7"/>
      <c r="AH22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192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193</v>
      </c>
      <c r="P1" t="s">
        <v>194</v>
      </c>
      <c r="Q1" t="s">
        <v>195</v>
      </c>
      <c r="R1" t="s">
        <v>196</v>
      </c>
      <c r="S1" t="s">
        <v>45</v>
      </c>
      <c r="T1" t="s">
        <v>46</v>
      </c>
      <c r="U1" t="s">
        <v>197</v>
      </c>
      <c r="V1" t="s">
        <v>198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8">
        <v>46227.5</v>
      </c>
      <c r="B2" t="s">
        <v>199</v>
      </c>
      <c r="C2" t="s">
        <v>200</v>
      </c>
      <c r="D2" s="9" t="s">
        <v>201</v>
      </c>
      <c r="E2" t="s">
        <v>200</v>
      </c>
      <c r="F2" t="s">
        <v>77</v>
      </c>
      <c r="G2" t="s">
        <v>72</v>
      </c>
      <c r="H2" t="s">
        <v>79</v>
      </c>
      <c r="I2">
        <v>1</v>
      </c>
      <c r="J2" s="4">
        <v>256.93</v>
      </c>
      <c r="K2" s="4">
        <v>344.13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8</v>
      </c>
      <c r="T2" s="4">
        <v>0</v>
      </c>
      <c r="U2" s="4">
        <v>0</v>
      </c>
      <c r="V2" s="4">
        <f>U2*20%</f>
      </c>
      <c r="W2" s="4">
        <v>1</v>
      </c>
      <c r="X2" s="4">
        <f>Q2+T2+V2</f>
      </c>
      <c r="Y2" s="4">
        <f>L2-M2-R2-S2-T2-U2-V2-W2</f>
      </c>
      <c r="Z2" s="4">
        <f>(Y2-AF2)/J2*100</f>
      </c>
      <c r="AA2" s="4">
        <f>M2-X2</f>
      </c>
      <c r="AG2" s="4">
        <f>Y2-AF2</f>
      </c>
      <c r="AL2" t="s">
        <v>1</v>
      </c>
    </row>
    <row r="3" spans="1:38" x14ac:dyDescent="0.25">
      <c r="A3" s="8">
        <v>46226.5</v>
      </c>
      <c r="B3" t="s">
        <v>202</v>
      </c>
      <c r="C3" t="s">
        <v>203</v>
      </c>
      <c r="D3" s="9" t="s">
        <v>204</v>
      </c>
      <c r="E3" t="s">
        <v>203</v>
      </c>
      <c r="F3" t="s">
        <v>83</v>
      </c>
      <c r="G3" t="s">
        <v>78</v>
      </c>
      <c r="H3" t="s">
        <v>79</v>
      </c>
      <c r="I3">
        <v>1</v>
      </c>
      <c r="J3" s="4">
        <v>449.53</v>
      </c>
      <c r="K3" s="4">
        <v>632.67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(Y3-AF3)/J3*100</f>
      </c>
      <c r="AA3" s="4">
        <f>M3-X3</f>
      </c>
      <c r="AG3" s="4">
        <f>Y3-AF3</f>
      </c>
      <c r="AL3" t="s">
        <v>1</v>
      </c>
    </row>
    <row r="4" spans="1:38" x14ac:dyDescent="0.25">
      <c r="A4" s="8">
        <v>46224.5</v>
      </c>
      <c r="B4" t="s">
        <v>205</v>
      </c>
      <c r="C4" t="s">
        <v>150</v>
      </c>
      <c r="D4" s="9" t="s">
        <v>206</v>
      </c>
      <c r="E4" t="s">
        <v>65</v>
      </c>
      <c r="F4" t="s">
        <v>66</v>
      </c>
      <c r="G4" t="s">
        <v>78</v>
      </c>
      <c r="H4" t="s">
        <v>91</v>
      </c>
      <c r="I4">
        <v>1</v>
      </c>
      <c r="J4" s="4">
        <v>462.92</v>
      </c>
      <c r="K4" s="4">
        <v>686.89</v>
      </c>
      <c r="L4" s="4">
        <f>K4-J4</f>
      </c>
      <c r="M4" s="4">
        <f>L4*16.67%</f>
      </c>
      <c r="N4" s="4">
        <f>(K4*6.9%)-(K4*6.9%)*10%</f>
      </c>
      <c r="O4" s="4">
        <f>K4*0.35%</f>
      </c>
      <c r="P4" s="4">
        <v>0.4</v>
      </c>
      <c r="Q4" s="4">
        <f>(N4+O4+P4)*20%</f>
      </c>
      <c r="R4" s="4">
        <f>N4+O4+P4+Q4</f>
      </c>
      <c r="S4" s="4">
        <v>8</v>
      </c>
      <c r="T4" s="4">
        <v>0</v>
      </c>
      <c r="U4" s="4">
        <v>0</v>
      </c>
      <c r="V4" s="4">
        <f>U4*20%</f>
      </c>
      <c r="W4" s="4">
        <v>1</v>
      </c>
      <c r="X4" s="4">
        <f>Q4+T4+V4</f>
      </c>
      <c r="Y4" s="4">
        <f>L4-M4-R4-S4-T4-U4-V4-W4</f>
      </c>
      <c r="Z4" s="4">
        <f>(Y4-AF4)/J4*100</f>
      </c>
      <c r="AA4" s="4">
        <f>M4-X4</f>
      </c>
      <c r="AG4" s="4">
        <f>Y4-AF4</f>
      </c>
      <c r="AL4" t="s">
        <v>1</v>
      </c>
    </row>
    <row r="5" spans="1:38" x14ac:dyDescent="0.25">
      <c r="A5" s="8">
        <v>46223.5</v>
      </c>
      <c r="B5" t="s">
        <v>207</v>
      </c>
      <c r="C5" t="s">
        <v>150</v>
      </c>
      <c r="D5" s="9" t="s">
        <v>208</v>
      </c>
      <c r="E5" t="s">
        <v>65</v>
      </c>
      <c r="F5" t="s">
        <v>77</v>
      </c>
      <c r="G5" t="s">
        <v>78</v>
      </c>
      <c r="H5" t="s">
        <v>79</v>
      </c>
      <c r="I5">
        <v>1</v>
      </c>
      <c r="J5" s="4">
        <v>500.16</v>
      </c>
      <c r="K5" s="4">
        <v>745.1</v>
      </c>
      <c r="L5" s="4">
        <f>K5-J5</f>
      </c>
      <c r="M5" s="4">
        <f>L5*16.67%</f>
      </c>
      <c r="N5" s="4">
        <f>(K5*6.9%)-(K5*6.9%)*10%</f>
      </c>
      <c r="O5" s="4">
        <f>K5*0.35%</f>
      </c>
      <c r="P5" s="4">
        <v>0.4</v>
      </c>
      <c r="Q5" s="4">
        <f>(N5+O5+P5)*20%</f>
      </c>
      <c r="R5" s="4">
        <f>N5+O5+P5+Q5</f>
      </c>
      <c r="S5" s="4">
        <v>8</v>
      </c>
      <c r="T5" s="4">
        <v>0</v>
      </c>
      <c r="U5" s="4">
        <v>0</v>
      </c>
      <c r="V5" s="4">
        <f>U5*20%</f>
      </c>
      <c r="W5" s="4">
        <v>1</v>
      </c>
      <c r="X5" s="4">
        <f>Q5+T5+V5</f>
      </c>
      <c r="Y5" s="4">
        <f>L5-M5-R5-S5-T5-U5-V5-W5</f>
      </c>
      <c r="Z5" s="4">
        <f>(Y5-AF5)/J5*100</f>
      </c>
      <c r="AA5" s="4">
        <f>M5-X5</f>
      </c>
      <c r="AG5" s="4">
        <f>Y5-AF5</f>
      </c>
      <c r="AL5" t="s">
        <v>1</v>
      </c>
    </row>
    <row r="6" spans="1:38" x14ac:dyDescent="0.25">
      <c r="A6" s="8">
        <v>46222.5</v>
      </c>
      <c r="B6" t="s">
        <v>209</v>
      </c>
      <c r="C6" t="s">
        <v>93</v>
      </c>
      <c r="D6" s="9" t="s">
        <v>210</v>
      </c>
      <c r="E6" t="s">
        <v>65</v>
      </c>
      <c r="F6" t="s">
        <v>95</v>
      </c>
      <c r="G6" t="s">
        <v>72</v>
      </c>
      <c r="H6" t="s">
        <v>68</v>
      </c>
      <c r="I6">
        <v>1</v>
      </c>
      <c r="J6" s="4">
        <v>334.64</v>
      </c>
      <c r="K6" s="4">
        <v>432.05</v>
      </c>
      <c r="L6" s="4">
        <f>K6-J6</f>
      </c>
      <c r="M6" s="4">
        <f>L6*16.67%</f>
      </c>
      <c r="N6" s="4">
        <f>(K6*6.9%)-(K6*6.9%)*10%</f>
      </c>
      <c r="O6" s="4">
        <f>K6*0.35%</f>
      </c>
      <c r="P6" s="4">
        <v>0.4</v>
      </c>
      <c r="Q6" s="4">
        <f>(N6+O6+P6)*20%</f>
      </c>
      <c r="R6" s="4">
        <f>N6+O6+P6+Q6</f>
      </c>
      <c r="S6" s="4">
        <v>2</v>
      </c>
      <c r="T6" s="4">
        <v>0</v>
      </c>
      <c r="U6" s="4">
        <v>0</v>
      </c>
      <c r="V6" s="4">
        <f>U6*20%</f>
      </c>
      <c r="W6" s="4">
        <v>1</v>
      </c>
      <c r="X6" s="4">
        <f>Q6+T6+V6</f>
      </c>
      <c r="Y6" s="4">
        <f>L6-M6-R6-S6-T6-U6-V6-W6</f>
      </c>
      <c r="Z6" s="4">
        <f>(Y6-AF6)/J6*100</f>
      </c>
      <c r="AA6" s="4">
        <f>M6-X6</f>
      </c>
      <c r="AG6" s="4">
        <f>Y6-AF6</f>
      </c>
      <c r="AL6" t="s">
        <v>1</v>
      </c>
    </row>
    <row r="7" spans="1:38" x14ac:dyDescent="0.25">
      <c r="A7" s="8">
        <v>46221.5</v>
      </c>
      <c r="B7" t="s">
        <v>211</v>
      </c>
      <c r="C7" t="s">
        <v>89</v>
      </c>
      <c r="D7" s="9" t="s">
        <v>212</v>
      </c>
      <c r="E7" t="s">
        <v>65</v>
      </c>
      <c r="F7" t="s">
        <v>77</v>
      </c>
      <c r="G7" t="s">
        <v>72</v>
      </c>
      <c r="H7" t="s">
        <v>79</v>
      </c>
      <c r="I7">
        <v>1</v>
      </c>
      <c r="J7" s="4">
        <v>219.35</v>
      </c>
      <c r="K7" s="4">
        <v>322.18</v>
      </c>
      <c r="L7" s="4">
        <f>K7-J7</f>
      </c>
      <c r="M7" s="4">
        <f>L7*16.67%</f>
      </c>
      <c r="N7" s="4">
        <f>(K7*6.9%)-(K7*6.9%)*10%</f>
      </c>
      <c r="O7" s="4">
        <f>K7*0.35%</f>
      </c>
      <c r="P7" s="4">
        <v>0.4</v>
      </c>
      <c r="Q7" s="4">
        <f>(N7+O7+P7)*20%</f>
      </c>
      <c r="R7" s="4">
        <f>N7+O7+P7+Q7</f>
      </c>
      <c r="S7" s="4">
        <v>2</v>
      </c>
      <c r="T7" s="4">
        <v>0</v>
      </c>
      <c r="U7" s="4">
        <v>0</v>
      </c>
      <c r="V7" s="4">
        <f>U7*20%</f>
      </c>
      <c r="W7" s="4">
        <v>1</v>
      </c>
      <c r="X7" s="4">
        <f>Q7+T7+V7</f>
      </c>
      <c r="Y7" s="4">
        <f>L7-M7-R7-S7-T7-U7-V7-W7</f>
      </c>
      <c r="Z7" s="4">
        <f>(Y7-AF7)/J7*100</f>
      </c>
      <c r="AA7" s="4">
        <f>M7-X7</f>
      </c>
      <c r="AG7" s="4">
        <f>Y7-AF7</f>
      </c>
      <c r="AL7" t="s">
        <v>1</v>
      </c>
    </row>
    <row r="8" spans="1:38" x14ac:dyDescent="0.25">
      <c r="A8" s="8">
        <v>46219.5</v>
      </c>
      <c r="B8" t="s">
        <v>213</v>
      </c>
      <c r="C8" t="s">
        <v>214</v>
      </c>
      <c r="D8" s="9" t="s">
        <v>215</v>
      </c>
      <c r="E8" t="s">
        <v>214</v>
      </c>
      <c r="F8" t="s">
        <v>133</v>
      </c>
      <c r="G8" t="s">
        <v>72</v>
      </c>
      <c r="H8" t="s">
        <v>91</v>
      </c>
      <c r="I8">
        <v>1</v>
      </c>
      <c r="J8" s="4">
        <v>275.49</v>
      </c>
      <c r="K8" s="4">
        <v>405.63</v>
      </c>
      <c r="L8" s="4">
        <f>K8-J8</f>
      </c>
      <c r="M8" s="4">
        <f>L8*16.67%</f>
      </c>
      <c r="N8" s="4">
        <f>(K8*6.9%)-(K8*6.9%)*10%</f>
      </c>
      <c r="O8" s="4">
        <f>K8*0.35%</f>
      </c>
      <c r="P8" s="4">
        <v>0.4</v>
      </c>
      <c r="Q8" s="4">
        <f>(N8+O8+P8)*20%</f>
      </c>
      <c r="R8" s="4">
        <f>N8+O8+P8+Q8</f>
      </c>
      <c r="S8" s="4">
        <v>8</v>
      </c>
      <c r="T8" s="4">
        <v>0</v>
      </c>
      <c r="U8" s="4">
        <v>0</v>
      </c>
      <c r="V8" s="4">
        <f>U8*20%</f>
      </c>
      <c r="W8" s="4">
        <v>1</v>
      </c>
      <c r="X8" s="4">
        <f>Q8+T8+V8</f>
      </c>
      <c r="Y8" s="4">
        <f>L8-M8-R8-S8-T8-U8-V8-W8</f>
      </c>
      <c r="Z8" s="4">
        <f>(Y8-AF8)/J8*100</f>
      </c>
      <c r="AA8" s="4">
        <f>M8-X8</f>
      </c>
      <c r="AG8" s="4">
        <f>Y8-AF8</f>
      </c>
      <c r="AL8" t="s">
        <v>1</v>
      </c>
    </row>
    <row r="9" spans="1:38" x14ac:dyDescent="0.25">
      <c r="A9" s="8">
        <v>46218.5</v>
      </c>
      <c r="B9" t="s">
        <v>216</v>
      </c>
      <c r="C9" t="s">
        <v>217</v>
      </c>
      <c r="D9" s="9" t="s">
        <v>218</v>
      </c>
      <c r="E9" t="s">
        <v>217</v>
      </c>
      <c r="F9" t="s">
        <v>129</v>
      </c>
      <c r="G9" t="s">
        <v>78</v>
      </c>
      <c r="H9" t="s">
        <v>79</v>
      </c>
      <c r="I9">
        <v>1</v>
      </c>
      <c r="J9" s="4">
        <v>431.55</v>
      </c>
      <c r="K9" s="4">
        <v>555.17</v>
      </c>
      <c r="L9" s="4">
        <f>K9-J9</f>
      </c>
      <c r="M9" s="4">
        <f>L9*16.67%</f>
      </c>
      <c r="N9" s="4">
        <f>(K9*6.9%)-(K9*6.9%)*10%</f>
      </c>
      <c r="O9" s="4">
        <f>K9*0.35%</f>
      </c>
      <c r="P9" s="4">
        <v>0.4</v>
      </c>
      <c r="Q9" s="4">
        <f>(N9+O9+P9)*20%</f>
      </c>
      <c r="R9" s="4">
        <f>N9+O9+P9+Q9</f>
      </c>
      <c r="S9" s="4">
        <v>8</v>
      </c>
      <c r="T9" s="4">
        <v>0</v>
      </c>
      <c r="U9" s="4">
        <v>0</v>
      </c>
      <c r="V9" s="4">
        <f>U9*20%</f>
      </c>
      <c r="W9" s="4">
        <v>1</v>
      </c>
      <c r="X9" s="4">
        <f>Q9+T9+V9</f>
      </c>
      <c r="Y9" s="4">
        <f>L9-M9-R9-S9-T9-U9-V9-W9</f>
      </c>
      <c r="Z9" s="4">
        <f>(Y9-AF9)/J9*100</f>
      </c>
      <c r="AA9" s="4">
        <f>M9-X9</f>
      </c>
      <c r="AG9" s="4">
        <f>Y9-AF9</f>
      </c>
      <c r="AL9" t="s">
        <v>1</v>
      </c>
    </row>
    <row r="10" spans="1:38" x14ac:dyDescent="0.25">
      <c r="A10" s="8">
        <v>46217.5</v>
      </c>
      <c r="B10" t="s">
        <v>219</v>
      </c>
      <c r="C10" t="s">
        <v>167</v>
      </c>
      <c r="D10" s="9" t="s">
        <v>168</v>
      </c>
      <c r="E10" t="s">
        <v>167</v>
      </c>
      <c r="F10" t="s">
        <v>87</v>
      </c>
      <c r="G10" t="s">
        <v>72</v>
      </c>
      <c r="H10" t="s">
        <v>73</v>
      </c>
      <c r="I10">
        <v>1</v>
      </c>
      <c r="J10" s="4">
        <v>262.94</v>
      </c>
      <c r="K10" s="4">
        <v>393.16</v>
      </c>
      <c r="L10" s="4">
        <f>K10-J10</f>
      </c>
      <c r="M10" s="4">
        <f>L10*16.67%</f>
      </c>
      <c r="N10" s="4">
        <f>(K10*6.9%)-(K10*6.9%)*10%</f>
      </c>
      <c r="O10" s="4">
        <f>K10*0.35%</f>
      </c>
      <c r="P10" s="4">
        <v>0.4</v>
      </c>
      <c r="Q10" s="4">
        <f>(N10+O10+P10)*20%</f>
      </c>
      <c r="R10" s="4">
        <f>N10+O10+P10+Q10</f>
      </c>
      <c r="S10" s="4">
        <v>2</v>
      </c>
      <c r="T10" s="4">
        <v>0</v>
      </c>
      <c r="U10" s="4">
        <v>0</v>
      </c>
      <c r="V10" s="4">
        <f>U10*20%</f>
      </c>
      <c r="W10" s="4">
        <v>1</v>
      </c>
      <c r="X10" s="4">
        <f>Q10+T10+V10</f>
      </c>
      <c r="Y10" s="4">
        <f>L10-M10-R10-S10-T10-U10-V10-W10</f>
      </c>
      <c r="Z10" s="4">
        <f>(Y10-AF10)/J10*100</f>
      </c>
      <c r="AA10" s="4">
        <f>M10-X10</f>
      </c>
      <c r="AG10" s="4">
        <f>Y10-AF10</f>
      </c>
      <c r="AL10" t="s">
        <v>1</v>
      </c>
    </row>
    <row r="11" spans="1:38" x14ac:dyDescent="0.25">
      <c r="A11" s="8">
        <v>46216.5</v>
      </c>
      <c r="B11" t="s">
        <v>220</v>
      </c>
      <c r="C11" t="s">
        <v>147</v>
      </c>
      <c r="D11" s="9" t="s">
        <v>221</v>
      </c>
      <c r="E11" t="s">
        <v>147</v>
      </c>
      <c r="F11" t="s">
        <v>129</v>
      </c>
      <c r="G11" t="s">
        <v>72</v>
      </c>
      <c r="H11" t="s">
        <v>73</v>
      </c>
      <c r="I11">
        <v>1</v>
      </c>
      <c r="J11" s="4">
        <v>230.57</v>
      </c>
      <c r="K11" s="4">
        <v>319.34</v>
      </c>
      <c r="L11" s="4">
        <f>K11-J11</f>
      </c>
      <c r="M11" s="4">
        <f>L11*16.67%</f>
      </c>
      <c r="N11" s="4">
        <f>(K11*6.9%)-(K11*6.9%)*10%</f>
      </c>
      <c r="O11" s="4">
        <f>K11*0.35%</f>
      </c>
      <c r="P11" s="4">
        <v>0.4</v>
      </c>
      <c r="Q11" s="4">
        <f>(N11+O11+P11)*20%</f>
      </c>
      <c r="R11" s="4">
        <f>N11+O11+P11+Q11</f>
      </c>
      <c r="S11" s="4">
        <v>8</v>
      </c>
      <c r="T11" s="4">
        <v>0</v>
      </c>
      <c r="U11" s="4">
        <v>0</v>
      </c>
      <c r="V11" s="4">
        <f>U11*20%</f>
      </c>
      <c r="W11" s="4">
        <v>1</v>
      </c>
      <c r="X11" s="4">
        <f>Q11+T11+V11</f>
      </c>
      <c r="Y11" s="4">
        <f>L11-M11-R11-S11-T11-U11-V11-W11</f>
      </c>
      <c r="Z11" s="4">
        <f>(Y11-AF11)/J11*100</f>
      </c>
      <c r="AA11" s="4">
        <f>M11-X11</f>
      </c>
      <c r="AG11" s="4">
        <f>Y11-AF11</f>
      </c>
      <c r="AL11" t="s">
        <v>1</v>
      </c>
    </row>
    <row r="12" spans="1:38" x14ac:dyDescent="0.25">
      <c r="A12" s="8">
        <v>46214.5</v>
      </c>
      <c r="B12" t="s">
        <v>222</v>
      </c>
      <c r="C12" t="s">
        <v>157</v>
      </c>
      <c r="D12" s="9" t="s">
        <v>223</v>
      </c>
      <c r="E12" t="s">
        <v>65</v>
      </c>
      <c r="F12" t="s">
        <v>83</v>
      </c>
      <c r="G12" t="s">
        <v>72</v>
      </c>
      <c r="H12" t="s">
        <v>91</v>
      </c>
      <c r="I12">
        <v>1</v>
      </c>
      <c r="J12" s="4">
        <v>315.22</v>
      </c>
      <c r="K12" s="4">
        <v>397.26</v>
      </c>
      <c r="L12" s="4">
        <f>K12-J12</f>
      </c>
      <c r="M12" s="4">
        <f>L12*16.67%</f>
      </c>
      <c r="N12" s="4">
        <f>(K12*6.9%)-(K12*6.9%)*10%</f>
      </c>
      <c r="O12" s="4">
        <f>K12*0.35%</f>
      </c>
      <c r="P12" s="4">
        <v>0.4</v>
      </c>
      <c r="Q12" s="4">
        <f>(N12+O12+P12)*20%</f>
      </c>
      <c r="R12" s="4">
        <f>N12+O12+P12+Q12</f>
      </c>
      <c r="S12" s="4">
        <v>8</v>
      </c>
      <c r="T12" s="4">
        <v>0</v>
      </c>
      <c r="U12" s="4">
        <v>0</v>
      </c>
      <c r="V12" s="4">
        <f>U12*20%</f>
      </c>
      <c r="W12" s="4">
        <v>1</v>
      </c>
      <c r="X12" s="4">
        <f>Q12+T12+V12</f>
      </c>
      <c r="Y12" s="4">
        <f>L12-M12-R12-S12-T12-U12-V12-W12</f>
      </c>
      <c r="Z12" s="4">
        <f>(Y12-AF12)/J12*100</f>
      </c>
      <c r="AA12" s="4">
        <f>M12-X12</f>
      </c>
      <c r="AG12" s="4">
        <f>Y12-AF12</f>
      </c>
      <c r="AL12" t="s">
        <v>1</v>
      </c>
    </row>
    <row r="13" spans="1:38" x14ac:dyDescent="0.25">
      <c r="A13" s="8">
        <v>46213.5</v>
      </c>
      <c r="B13" t="s">
        <v>224</v>
      </c>
      <c r="C13" t="s">
        <v>153</v>
      </c>
      <c r="D13" s="9" t="s">
        <v>225</v>
      </c>
      <c r="E13" t="s">
        <v>65</v>
      </c>
      <c r="F13" t="s">
        <v>102</v>
      </c>
      <c r="G13" t="s">
        <v>72</v>
      </c>
      <c r="H13" t="s">
        <v>91</v>
      </c>
      <c r="I13">
        <v>1</v>
      </c>
      <c r="J13" s="4">
        <v>218.51</v>
      </c>
      <c r="K13" s="4">
        <v>303.91</v>
      </c>
      <c r="L13" s="4">
        <f>K13-J13</f>
      </c>
      <c r="M13" s="4">
        <f>L13*16.67%</f>
      </c>
      <c r="N13" s="4">
        <f>(K13*6.9%)-(K13*6.9%)*10%</f>
      </c>
      <c r="O13" s="4">
        <f>K13*0.35%</f>
      </c>
      <c r="P13" s="4">
        <v>0.4</v>
      </c>
      <c r="Q13" s="4">
        <f>(N13+O13+P13)*20%</f>
      </c>
      <c r="R13" s="4">
        <f>N13+O13+P13+Q13</f>
      </c>
      <c r="S13" s="4">
        <v>8</v>
      </c>
      <c r="T13" s="4">
        <v>0</v>
      </c>
      <c r="U13" s="4">
        <v>0</v>
      </c>
      <c r="V13" s="4">
        <f>U13*20%</f>
      </c>
      <c r="W13" s="4">
        <v>1</v>
      </c>
      <c r="X13" s="4">
        <f>Q13+T13+V13</f>
      </c>
      <c r="Y13" s="4">
        <f>L13-M13-R13-S13-T13-U13-V13-W13</f>
      </c>
      <c r="Z13" s="4">
        <f>(Y13-AF13)/J13*100</f>
      </c>
      <c r="AA13" s="4">
        <f>M13-X13</f>
      </c>
      <c r="AG13" s="4">
        <f>Y13-AF13</f>
      </c>
      <c r="AL13" t="s">
        <v>1</v>
      </c>
    </row>
    <row r="14" spans="1:38" x14ac:dyDescent="0.25">
      <c r="A14" s="8">
        <v>46212.5</v>
      </c>
      <c r="B14" t="s">
        <v>226</v>
      </c>
      <c r="C14" t="s">
        <v>227</v>
      </c>
      <c r="D14" s="9" t="s">
        <v>228</v>
      </c>
      <c r="E14" t="s">
        <v>65</v>
      </c>
      <c r="F14" t="s">
        <v>87</v>
      </c>
      <c r="G14" t="s">
        <v>67</v>
      </c>
      <c r="H14" t="s">
        <v>91</v>
      </c>
      <c r="I14">
        <v>1</v>
      </c>
      <c r="J14" s="4">
        <v>196.32</v>
      </c>
      <c r="K14" s="4">
        <v>281.67</v>
      </c>
      <c r="L14" s="4">
        <f>K14-J14</f>
      </c>
      <c r="M14" s="4">
        <f>L14*16.67%</f>
      </c>
      <c r="N14" s="4">
        <f>(K14*6.9%)-(K14*6.9%)*10%</f>
      </c>
      <c r="O14" s="4">
        <f>K14*0.35%</f>
      </c>
      <c r="P14" s="4">
        <v>0.4</v>
      </c>
      <c r="Q14" s="4">
        <f>(N14+O14+P14)*20%</f>
      </c>
      <c r="R14" s="4">
        <f>N14+O14+P14+Q14</f>
      </c>
      <c r="S14" s="4">
        <v>8</v>
      </c>
      <c r="T14" s="4">
        <v>0</v>
      </c>
      <c r="U14" s="4">
        <v>0</v>
      </c>
      <c r="V14" s="4">
        <f>U14*20%</f>
      </c>
      <c r="W14" s="4">
        <v>1</v>
      </c>
      <c r="X14" s="4">
        <f>Q14+T14+V14</f>
      </c>
      <c r="Y14" s="4">
        <f>L14-M14-R14-S14-T14-U14-V14-W14</f>
      </c>
      <c r="Z14" s="4">
        <f>(Y14-AF14)/J14*100</f>
      </c>
      <c r="AA14" s="4">
        <f>M14-X14</f>
      </c>
      <c r="AG14" s="4">
        <f>Y14-AF14</f>
      </c>
      <c r="AL14" t="s">
        <v>1</v>
      </c>
    </row>
    <row r="15" spans="1:38" x14ac:dyDescent="0.25">
      <c r="A15" s="8">
        <v>46211.5</v>
      </c>
      <c r="B15" t="s">
        <v>229</v>
      </c>
      <c r="C15" t="s">
        <v>230</v>
      </c>
      <c r="D15" s="9" t="s">
        <v>231</v>
      </c>
      <c r="E15" t="s">
        <v>230</v>
      </c>
      <c r="F15" t="s">
        <v>95</v>
      </c>
      <c r="G15" t="s">
        <v>72</v>
      </c>
      <c r="H15" t="s">
        <v>79</v>
      </c>
      <c r="I15">
        <v>1</v>
      </c>
      <c r="J15" s="4">
        <v>260.29</v>
      </c>
      <c r="K15" s="4">
        <v>371.44</v>
      </c>
      <c r="L15" s="4">
        <f>K15-J15</f>
      </c>
      <c r="M15" s="4">
        <f>L15*16.67%</f>
      </c>
      <c r="N15" s="4">
        <f>(K15*6.9%)-(K15*6.9%)*10%</f>
      </c>
      <c r="O15" s="4">
        <f>K15*0.35%</f>
      </c>
      <c r="P15" s="4">
        <v>0.4</v>
      </c>
      <c r="Q15" s="4">
        <f>(N15+O15+P15)*20%</f>
      </c>
      <c r="R15" s="4">
        <f>N15+O15+P15+Q15</f>
      </c>
      <c r="S15" s="4">
        <v>6.3</v>
      </c>
      <c r="T15" s="4">
        <v>0</v>
      </c>
      <c r="U15" s="4">
        <v>0</v>
      </c>
      <c r="V15" s="4">
        <f>U15*20%</f>
      </c>
      <c r="W15" s="4">
        <v>1</v>
      </c>
      <c r="X15" s="4">
        <f>Q15+T15+V15</f>
      </c>
      <c r="Y15" s="4">
        <f>L15-M15-R15-S15-T15-U15-V15-W15</f>
      </c>
      <c r="Z15" s="4">
        <f>(Y15-AF15)/J15*100</f>
      </c>
      <c r="AA15" s="4">
        <f>M15-X15</f>
      </c>
      <c r="AG15" s="4">
        <f>Y15-AF15</f>
      </c>
      <c r="AL15" t="s">
        <v>1</v>
      </c>
    </row>
    <row r="16" spans="1:38" x14ac:dyDescent="0.25">
      <c r="A16" s="8">
        <v>46209.5</v>
      </c>
      <c r="B16" t="s">
        <v>232</v>
      </c>
      <c r="C16" t="s">
        <v>107</v>
      </c>
      <c r="D16" s="9" t="s">
        <v>233</v>
      </c>
      <c r="E16" t="s">
        <v>107</v>
      </c>
      <c r="F16" t="s">
        <v>95</v>
      </c>
      <c r="G16" t="s">
        <v>72</v>
      </c>
      <c r="H16" t="s">
        <v>91</v>
      </c>
      <c r="I16">
        <v>1</v>
      </c>
      <c r="J16" s="4">
        <v>257.31</v>
      </c>
      <c r="K16" s="4">
        <v>378.96</v>
      </c>
      <c r="L16" s="4">
        <f>K16-J16</f>
      </c>
      <c r="M16" s="4">
        <f>L16*16.67%</f>
      </c>
      <c r="N16" s="4">
        <f>(K16*6.9%)-(K16*6.9%)*10%</f>
      </c>
      <c r="O16" s="4">
        <f>K16*0.35%</f>
      </c>
      <c r="P16" s="4">
        <v>0.4</v>
      </c>
      <c r="Q16" s="4">
        <f>(N16+O16+P16)*20%</f>
      </c>
      <c r="R16" s="4">
        <f>N16+O16+P16+Q16</f>
      </c>
      <c r="S16" s="4">
        <v>8</v>
      </c>
      <c r="T16" s="4">
        <v>0</v>
      </c>
      <c r="U16" s="4">
        <v>0</v>
      </c>
      <c r="V16" s="4">
        <f>U16*20%</f>
      </c>
      <c r="W16" s="4">
        <v>1</v>
      </c>
      <c r="X16" s="4">
        <f>Q16+T16+V16</f>
      </c>
      <c r="Y16" s="4">
        <f>L16-M16-R16-S16-T16-U16-V16-W16</f>
      </c>
      <c r="Z16" s="4">
        <f>(Y16-AF16)/J16*100</f>
      </c>
      <c r="AA16" s="4">
        <f>M16-X16</f>
      </c>
      <c r="AG16" s="4">
        <f>Y16-AF16</f>
      </c>
      <c r="AL16" t="s">
        <v>1</v>
      </c>
    </row>
    <row r="17" spans="1:38" x14ac:dyDescent="0.25">
      <c r="A17" s="8">
        <v>46208.5</v>
      </c>
      <c r="B17" t="s">
        <v>234</v>
      </c>
      <c r="C17" t="s">
        <v>235</v>
      </c>
      <c r="D17" s="9" t="s">
        <v>236</v>
      </c>
      <c r="E17" t="s">
        <v>65</v>
      </c>
      <c r="F17" t="s">
        <v>145</v>
      </c>
      <c r="G17" t="s">
        <v>78</v>
      </c>
      <c r="H17" t="s">
        <v>73</v>
      </c>
      <c r="I17">
        <v>1</v>
      </c>
      <c r="J17" s="4">
        <v>497.17</v>
      </c>
      <c r="K17" s="4">
        <v>654.36</v>
      </c>
      <c r="L17" s="4">
        <f>K17-J17</f>
      </c>
      <c r="M17" s="4">
        <f>L17*16.67%</f>
      </c>
      <c r="N17" s="4">
        <f>(K17*6.9%)-(K17*6.9%)*10%</f>
      </c>
      <c r="O17" s="4">
        <f>K17*0.35%</f>
      </c>
      <c r="P17" s="4">
        <v>0.4</v>
      </c>
      <c r="Q17" s="4">
        <f>(N17+O17+P17)*20%</f>
      </c>
      <c r="R17" s="4">
        <f>N17+O17+P17+Q17</f>
      </c>
      <c r="S17" s="4">
        <v>8</v>
      </c>
      <c r="T17" s="4">
        <v>0</v>
      </c>
      <c r="U17" s="4">
        <v>0</v>
      </c>
      <c r="V17" s="4">
        <f>U17*20%</f>
      </c>
      <c r="W17" s="4">
        <v>1</v>
      </c>
      <c r="X17" s="4">
        <f>Q17+T17+V17</f>
      </c>
      <c r="Y17" s="4">
        <f>L17-M17-R17-S17-T17-U17-V17-W17</f>
      </c>
      <c r="Z17" s="4">
        <f>(Y17-AF17)/J17*100</f>
      </c>
      <c r="AA17" s="4">
        <f>M17-X17</f>
      </c>
      <c r="AG17" s="4">
        <f>Y17-AF17</f>
      </c>
      <c r="AL17" t="s">
        <v>1</v>
      </c>
    </row>
    <row r="18" spans="1:38" x14ac:dyDescent="0.25">
      <c r="A18" s="8">
        <v>46207.5</v>
      </c>
      <c r="B18" t="s">
        <v>237</v>
      </c>
      <c r="C18" t="s">
        <v>238</v>
      </c>
      <c r="D18" s="9" t="s">
        <v>239</v>
      </c>
      <c r="E18" t="s">
        <v>65</v>
      </c>
      <c r="F18" t="s">
        <v>83</v>
      </c>
      <c r="G18" t="s">
        <v>78</v>
      </c>
      <c r="H18" t="s">
        <v>91</v>
      </c>
      <c r="I18">
        <v>1</v>
      </c>
      <c r="J18" s="4">
        <v>499.91</v>
      </c>
      <c r="K18" s="4">
        <v>726.64</v>
      </c>
      <c r="L18" s="4">
        <f>K18-J18</f>
      </c>
      <c r="M18" s="4">
        <f>L18*16.67%</f>
      </c>
      <c r="N18" s="4">
        <f>(K18*6.9%)-(K18*6.9%)*10%</f>
      </c>
      <c r="O18" s="4">
        <f>K18*0.35%</f>
      </c>
      <c r="P18" s="4">
        <v>0.4</v>
      </c>
      <c r="Q18" s="4">
        <f>(N18+O18+P18)*20%</f>
      </c>
      <c r="R18" s="4">
        <f>N18+O18+P18+Q18</f>
      </c>
      <c r="S18" s="4">
        <v>8</v>
      </c>
      <c r="T18" s="4">
        <v>0</v>
      </c>
      <c r="U18" s="4">
        <v>0</v>
      </c>
      <c r="V18" s="4">
        <f>U18*20%</f>
      </c>
      <c r="W18" s="4">
        <v>1</v>
      </c>
      <c r="X18" s="4">
        <f>Q18+T18+V18</f>
      </c>
      <c r="Y18" s="4">
        <f>L18-M18-R18-S18-T18-U18-V18-W18</f>
      </c>
      <c r="Z18" s="4">
        <f>(Y18-AF18)/J18*100</f>
      </c>
      <c r="AA18" s="4">
        <f>M18-X18</f>
      </c>
      <c r="AG18" s="4">
        <f>Y18-AF18</f>
      </c>
      <c r="AL18" t="s">
        <v>1</v>
      </c>
    </row>
    <row r="19" spans="1:38" x14ac:dyDescent="0.25">
      <c r="A19" s="8">
        <v>46206.5</v>
      </c>
      <c r="B19" t="s">
        <v>240</v>
      </c>
      <c r="C19" t="s">
        <v>131</v>
      </c>
      <c r="D19" s="9" t="s">
        <v>241</v>
      </c>
      <c r="E19" t="s">
        <v>65</v>
      </c>
      <c r="F19" t="s">
        <v>133</v>
      </c>
      <c r="G19" t="s">
        <v>72</v>
      </c>
      <c r="H19" t="s">
        <v>73</v>
      </c>
      <c r="I19">
        <v>1</v>
      </c>
      <c r="J19" s="4">
        <v>322.25</v>
      </c>
      <c r="K19" s="4">
        <v>446.88</v>
      </c>
      <c r="L19" s="4">
        <f>K19-J19</f>
      </c>
      <c r="M19" s="4">
        <f>L19*16.67%</f>
      </c>
      <c r="N19" s="4">
        <f>(K19*6.9%)-(K19*6.9%)*10%</f>
      </c>
      <c r="O19" s="4">
        <f>K19*0.35%</f>
      </c>
      <c r="P19" s="4">
        <v>0.4</v>
      </c>
      <c r="Q19" s="4">
        <f>(N19+O19+P19)*20%</f>
      </c>
      <c r="R19" s="4">
        <f>N19+O19+P19+Q19</f>
      </c>
      <c r="S19" s="4">
        <v>8</v>
      </c>
      <c r="T19" s="4">
        <v>0</v>
      </c>
      <c r="U19" s="4">
        <v>0</v>
      </c>
      <c r="V19" s="4">
        <f>U19*20%</f>
      </c>
      <c r="W19" s="4">
        <v>1</v>
      </c>
      <c r="X19" s="4">
        <f>Q19+T19+V19</f>
      </c>
      <c r="Y19" s="4">
        <f>L19-M19-R19-S19-T19-U19-V19-W19</f>
      </c>
      <c r="Z19" s="4">
        <f>(Y19-AF19)/J19*100</f>
      </c>
      <c r="AA19" s="4">
        <f>M19-X19</f>
      </c>
      <c r="AG19" s="4">
        <f>Y19-AF19</f>
      </c>
      <c r="AL19" t="s">
        <v>1</v>
      </c>
    </row>
    <row r="20" spans="1:38" x14ac:dyDescent="0.25">
      <c r="A20" s="8">
        <v>46205.5</v>
      </c>
      <c r="B20" t="s">
        <v>242</v>
      </c>
      <c r="C20" t="s">
        <v>89</v>
      </c>
      <c r="D20" s="9" t="s">
        <v>243</v>
      </c>
      <c r="E20" t="s">
        <v>65</v>
      </c>
      <c r="F20" t="s">
        <v>66</v>
      </c>
      <c r="G20" t="s">
        <v>72</v>
      </c>
      <c r="H20" t="s">
        <v>91</v>
      </c>
      <c r="I20">
        <v>1</v>
      </c>
      <c r="J20" s="4">
        <v>223.04</v>
      </c>
      <c r="K20" s="4">
        <v>305.42</v>
      </c>
      <c r="L20" s="4">
        <f>K20-J20</f>
      </c>
      <c r="M20" s="4">
        <f>L20*16.67%</f>
      </c>
      <c r="N20" s="4">
        <f>(K20*6.9%)-(K20*6.9%)*10%</f>
      </c>
      <c r="O20" s="4">
        <f>K20*0.35%</f>
      </c>
      <c r="P20" s="4">
        <v>0.4</v>
      </c>
      <c r="Q20" s="4">
        <f>(N20+O20+P20)*20%</f>
      </c>
      <c r="R20" s="4">
        <f>N20+O20+P20+Q20</f>
      </c>
      <c r="S20" s="4">
        <v>2</v>
      </c>
      <c r="T20" s="4">
        <v>0</v>
      </c>
      <c r="U20" s="4">
        <v>0</v>
      </c>
      <c r="V20" s="4">
        <f>U20*20%</f>
      </c>
      <c r="W20" s="4">
        <v>1</v>
      </c>
      <c r="X20" s="4">
        <f>Q20+T20+V20</f>
      </c>
      <c r="Y20" s="4">
        <f>L20-M20-R20-S20-T20-U20-V20-W20</f>
      </c>
      <c r="Z20" s="4">
        <f>(Y20-AF20)/J20*100</f>
      </c>
      <c r="AA20" s="4">
        <f>M20-X20</f>
      </c>
      <c r="AG20" s="4">
        <f>Y20-AF20</f>
      </c>
      <c r="AL20" t="s">
        <v>1</v>
      </c>
    </row>
    <row r="21" spans="1:38" x14ac:dyDescent="0.25">
      <c r="A21" s="8">
        <v>46204.5</v>
      </c>
      <c r="B21" t="s">
        <v>244</v>
      </c>
      <c r="C21" t="s">
        <v>157</v>
      </c>
      <c r="D21" s="9" t="s">
        <v>245</v>
      </c>
      <c r="E21" t="s">
        <v>65</v>
      </c>
      <c r="F21" t="s">
        <v>83</v>
      </c>
      <c r="G21" t="s">
        <v>72</v>
      </c>
      <c r="H21" t="s">
        <v>68</v>
      </c>
      <c r="I21">
        <v>1</v>
      </c>
      <c r="J21" s="4">
        <v>222.91</v>
      </c>
      <c r="K21" s="4">
        <v>314.64</v>
      </c>
      <c r="L21" s="4">
        <f>K21-J21</f>
      </c>
      <c r="M21" s="4">
        <f>L21*16.67%</f>
      </c>
      <c r="N21" s="4">
        <f>(K21*6.9%)-(K21*6.9%)*10%</f>
      </c>
      <c r="O21" s="4">
        <f>K21*0.35%</f>
      </c>
      <c r="P21" s="4">
        <v>0.4</v>
      </c>
      <c r="Q21" s="4">
        <f>(N21+O21+P21)*20%</f>
      </c>
      <c r="R21" s="4">
        <f>N21+O21+P21+Q21</f>
      </c>
      <c r="S21" s="4">
        <v>6.3</v>
      </c>
      <c r="T21" s="4">
        <v>0</v>
      </c>
      <c r="U21" s="4">
        <v>0</v>
      </c>
      <c r="V21" s="4">
        <f>U21*20%</f>
      </c>
      <c r="W21" s="4">
        <v>1</v>
      </c>
      <c r="X21" s="4">
        <f>Q21+T21+V21</f>
      </c>
      <c r="Y21" s="4">
        <f>L21-M21-R21-S21-T21-U21-V21-W21</f>
      </c>
      <c r="Z21" s="4">
        <f>(Y21-AF21)/J21*100</f>
      </c>
      <c r="AA21" s="4">
        <f>M21-X21</f>
      </c>
      <c r="AG21" s="4">
        <f>Y21-AF21</f>
      </c>
      <c r="AL21" t="s">
        <v>1</v>
      </c>
    </row>
    <row r="22" spans="1:3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IF($K202="","",(Y202-AF202)/J202*100)</f>
      </c>
      <c r="AA202" s="4">
        <f>IF($K202="","",M202-X202)</f>
      </c>
      <c r="AG202" s="4">
        <f>IF($K202="","",Y202-AF202)</f>
      </c>
    </row>
    <row r="203" spans="1:38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IF($K203="","",(Y203-AF203)/J203*100)</f>
      </c>
      <c r="AA203" s="4">
        <f>IF($K203="","",M203-X203)</f>
      </c>
      <c r="AG203" s="4">
        <f>IF($K203="","",Y203-AF203)</f>
      </c>
    </row>
    <row r="204" spans="1:38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IF($K204="","",(Y204-AF204)/J204*100)</f>
      </c>
      <c r="AA204" s="4">
        <f>IF($K204="","",M204-X204)</f>
      </c>
      <c r="AG204" s="4">
        <f>IF($K204="","",Y204-AF204)</f>
      </c>
    </row>
    <row r="205" spans="1:38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IF($K205="","",(K205*6.9%)-(K205*6.9%)*10%)</f>
      </c>
      <c r="O205" s="4">
        <f>IF($K205="","",K205*0.35%)</f>
      </c>
      <c r="P205" s="4">
        <v>0.4</v>
      </c>
      <c r="Q205" s="4">
        <f>IF($K205="","",(N205+O205+P205)*20%)</f>
      </c>
      <c r="R205" s="4">
        <f>IF($K205="","",N205+O205+P205+Q205)</f>
      </c>
      <c r="S205" s="4"/>
      <c r="T205" s="4"/>
      <c r="U205" s="4"/>
      <c r="V205" s="4">
        <f>IF($K205="","",U205*20%)</f>
      </c>
      <c r="W205" s="4">
        <v>1</v>
      </c>
      <c r="X205" s="4">
        <f>IF($K205="","",Q205+T205+V205)</f>
      </c>
      <c r="Y205" s="4">
        <f>IF($K205="","",L205-M205-R205-S205-T205-U205-V205-W205)</f>
      </c>
      <c r="Z205" s="4">
        <f>IF($K205="","",(Y205-AF205)/J205*100)</f>
      </c>
      <c r="AA205" s="4">
        <f>IF($K205="","",M205-X205)</f>
      </c>
      <c r="AG205" s="4">
        <f>IF($K205="","",Y205-AF205)</f>
      </c>
    </row>
    <row r="206" spans="1:38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IF($K206="","",(K206*6.9%)-(K206*6.9%)*10%)</f>
      </c>
      <c r="O206" s="4">
        <f>IF($K206="","",K206*0.35%)</f>
      </c>
      <c r="P206" s="4">
        <v>0.4</v>
      </c>
      <c r="Q206" s="4">
        <f>IF($K206="","",(N206+O206+P206)*20%)</f>
      </c>
      <c r="R206" s="4">
        <f>IF($K206="","",N206+O206+P206+Q206)</f>
      </c>
      <c r="S206" s="4"/>
      <c r="T206" s="4"/>
      <c r="U206" s="4"/>
      <c r="V206" s="4">
        <f>IF($K206="","",U206*20%)</f>
      </c>
      <c r="W206" s="4">
        <v>1</v>
      </c>
      <c r="X206" s="4">
        <f>IF($K206="","",Q206+T206+V206)</f>
      </c>
      <c r="Y206" s="4">
        <f>IF($K206="","",L206-M206-R206-S206-T206-U206-V206-W206)</f>
      </c>
      <c r="Z206" s="4">
        <f>IF($K206="","",(Y206-AF206)/J206*100)</f>
      </c>
      <c r="AA206" s="4">
        <f>IF($K206="","",M206-X206)</f>
      </c>
      <c r="AG206" s="4">
        <f>IF($K206="","",Y206-AF206)</f>
      </c>
    </row>
    <row r="207" spans="1:38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IF($K207="","",(K207*6.9%)-(K207*6.9%)*10%)</f>
      </c>
      <c r="O207" s="4">
        <f>IF($K207="","",K207*0.35%)</f>
      </c>
      <c r="P207" s="4">
        <v>0.4</v>
      </c>
      <c r="Q207" s="4">
        <f>IF($K207="","",(N207+O207+P207)*20%)</f>
      </c>
      <c r="R207" s="4">
        <f>IF($K207="","",N207+O207+P207+Q207)</f>
      </c>
      <c r="S207" s="4"/>
      <c r="T207" s="4"/>
      <c r="U207" s="4"/>
      <c r="V207" s="4">
        <f>IF($K207="","",U207*20%)</f>
      </c>
      <c r="W207" s="4">
        <v>1</v>
      </c>
      <c r="X207" s="4">
        <f>IF($K207="","",Q207+T207+V207)</f>
      </c>
      <c r="Y207" s="4">
        <f>IF($K207="","",L207-M207-R207-S207-T207-U207-V207-W207)</f>
      </c>
      <c r="Z207" s="4">
        <f>IF($K207="","",(Y207-AF207)/J207*100)</f>
      </c>
      <c r="AA207" s="4">
        <f>IF($K207="","",M207-X207)</f>
      </c>
      <c r="AG207" s="4">
        <f>IF($K207="","",Y207-AF207)</f>
      </c>
    </row>
    <row r="208" spans="1:38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IF($K208="","",(K208*6.9%)-(K208*6.9%)*10%)</f>
      </c>
      <c r="O208" s="4">
        <f>IF($K208="","",K208*0.35%)</f>
      </c>
      <c r="P208" s="4">
        <v>0.4</v>
      </c>
      <c r="Q208" s="4">
        <f>IF($K208="","",(N208+O208+P208)*20%)</f>
      </c>
      <c r="R208" s="4">
        <f>IF($K208="","",N208+O208+P208+Q208)</f>
      </c>
      <c r="S208" s="4"/>
      <c r="T208" s="4"/>
      <c r="U208" s="4"/>
      <c r="V208" s="4">
        <f>IF($K208="","",U208*20%)</f>
      </c>
      <c r="W208" s="4">
        <v>1</v>
      </c>
      <c r="X208" s="4">
        <f>IF($K208="","",Q208+T208+V208)</f>
      </c>
      <c r="Y208" s="4">
        <f>IF($K208="","",L208-M208-R208-S208-T208-U208-V208-W208)</f>
      </c>
      <c r="Z208" s="4">
        <f>IF($K208="","",(Y208-AF208)/J208*100)</f>
      </c>
      <c r="AA208" s="4">
        <f>IF($K208="","",M208-X208)</f>
      </c>
      <c r="AG208" s="4">
        <f>IF($K208="","",Y208-AF208)</f>
      </c>
    </row>
    <row r="209" spans="1:38" x14ac:dyDescent="0.25">
      <c r="A209" s="8"/>
      <c r="D209" s="9"/>
      <c r="J209" s="4"/>
      <c r="K209" s="4"/>
      <c r="L209" s="4">
        <f>IF($K209="","",K209-J209)</f>
      </c>
      <c r="M209" s="4">
        <f>IF($K209="","",L209*16.67%)</f>
      </c>
      <c r="N209" s="4">
        <f>IF($K209="","",(K209*6.9%)-(K209*6.9%)*10%)</f>
      </c>
      <c r="O209" s="4">
        <f>IF($K209="","",K209*0.35%)</f>
      </c>
      <c r="P209" s="4">
        <v>0.4</v>
      </c>
      <c r="Q209" s="4">
        <f>IF($K209="","",(N209+O209+P209)*20%)</f>
      </c>
      <c r="R209" s="4">
        <f>IF($K209="","",N209+O209+P209+Q209)</f>
      </c>
      <c r="S209" s="4"/>
      <c r="T209" s="4"/>
      <c r="U209" s="4"/>
      <c r="V209" s="4">
        <f>IF($K209="","",U209*20%)</f>
      </c>
      <c r="W209" s="4">
        <v>1</v>
      </c>
      <c r="X209" s="4">
        <f>IF($K209="","",Q209+T209+V209)</f>
      </c>
      <c r="Y209" s="4">
        <f>IF($K209="","",L209-M209-R209-S209-T209-U209-V209-W209)</f>
      </c>
      <c r="Z209" s="4">
        <f>IF($K209="","",(Y209-AF209)/J209*100)</f>
      </c>
      <c r="AA209" s="4">
        <f>IF($K209="","",M209-X209)</f>
      </c>
      <c r="AG209" s="4">
        <f>IF($K209="","",Y209-AF209)</f>
      </c>
    </row>
    <row r="210" spans="1:38" x14ac:dyDescent="0.25">
      <c r="A210" s="8"/>
      <c r="D210" s="9"/>
      <c r="J210" s="4"/>
      <c r="K210" s="4"/>
      <c r="L210" s="4">
        <f>IF($K210="","",K210-J210)</f>
      </c>
      <c r="M210" s="4">
        <f>IF($K210="","",L210*16.67%)</f>
      </c>
      <c r="N210" s="4">
        <f>IF($K210="","",(K210*6.9%)-(K210*6.9%)*10%)</f>
      </c>
      <c r="O210" s="4">
        <f>IF($K210="","",K210*0.35%)</f>
      </c>
      <c r="P210" s="4">
        <v>0.4</v>
      </c>
      <c r="Q210" s="4">
        <f>IF($K210="","",(N210+O210+P210)*20%)</f>
      </c>
      <c r="R210" s="4">
        <f>IF($K210="","",N210+O210+P210+Q210)</f>
      </c>
      <c r="S210" s="4"/>
      <c r="T210" s="4"/>
      <c r="U210" s="4"/>
      <c r="V210" s="4">
        <f>IF($K210="","",U210*20%)</f>
      </c>
      <c r="W210" s="4">
        <v>1</v>
      </c>
      <c r="X210" s="4">
        <f>IF($K210="","",Q210+T210+V210)</f>
      </c>
      <c r="Y210" s="4">
        <f>IF($K210="","",L210-M210-R210-S210-T210-U210-V210-W210)</f>
      </c>
      <c r="Z210" s="4">
        <f>IF($K210="","",(Y210-AF210)/J210*100)</f>
      </c>
      <c r="AA210" s="4">
        <f>IF($K210="","",M210-X210)</f>
      </c>
      <c r="AG210" s="4">
        <f>IF($K210="","",Y210-AF210)</f>
      </c>
    </row>
    <row r="211" spans="1:38" x14ac:dyDescent="0.25">
      <c r="A211" s="8"/>
      <c r="D211" s="9"/>
      <c r="J211" s="4"/>
      <c r="K211" s="4"/>
      <c r="L211" s="4">
        <f>IF($K211="","",K211-J211)</f>
      </c>
      <c r="M211" s="4">
        <f>IF($K211="","",L211*16.67%)</f>
      </c>
      <c r="N211" s="4">
        <f>IF($K211="","",(K211*6.9%)-(K211*6.9%)*10%)</f>
      </c>
      <c r="O211" s="4">
        <f>IF($K211="","",K211*0.35%)</f>
      </c>
      <c r="P211" s="4">
        <v>0.4</v>
      </c>
      <c r="Q211" s="4">
        <f>IF($K211="","",(N211+O211+P211)*20%)</f>
      </c>
      <c r="R211" s="4">
        <f>IF($K211="","",N211+O211+P211+Q211)</f>
      </c>
      <c r="S211" s="4"/>
      <c r="T211" s="4"/>
      <c r="U211" s="4"/>
      <c r="V211" s="4">
        <f>IF($K211="","",U211*20%)</f>
      </c>
      <c r="W211" s="4">
        <v>1</v>
      </c>
      <c r="X211" s="4">
        <f>IF($K211="","",Q211+T211+V211)</f>
      </c>
      <c r="Y211" s="4">
        <f>IF($K211="","",L211-M211-R211-S211-T211-U211-V211-W211)</f>
      </c>
      <c r="Z211" s="4">
        <f>IF($K211="","",(Y211-AF211)/J211*100)</f>
      </c>
      <c r="AA211" s="4">
        <f>IF($K211="","",M211-X211)</f>
      </c>
      <c r="AG211" s="4">
        <f>IF($K211="","",Y211-AF211)</f>
      </c>
    </row>
    <row r="212" spans="1:38" x14ac:dyDescent="0.25">
      <c r="A212" s="8"/>
      <c r="D212" s="9"/>
      <c r="J212" s="4"/>
      <c r="K212" s="4"/>
      <c r="L212" s="4">
        <f>IF($K212="","",K212-J212)</f>
      </c>
      <c r="M212" s="4">
        <f>IF($K212="","",L212*16.67%)</f>
      </c>
      <c r="N212" s="4">
        <f>IF($K212="","",(K212*6.9%)-(K212*6.9%)*10%)</f>
      </c>
      <c r="O212" s="4">
        <f>IF($K212="","",K212*0.35%)</f>
      </c>
      <c r="P212" s="4">
        <v>0.4</v>
      </c>
      <c r="Q212" s="4">
        <f>IF($K212="","",(N212+O212+P212)*20%)</f>
      </c>
      <c r="R212" s="4">
        <f>IF($K212="","",N212+O212+P212+Q212)</f>
      </c>
      <c r="S212" s="4"/>
      <c r="T212" s="4"/>
      <c r="U212" s="4"/>
      <c r="V212" s="4">
        <f>IF($K212="","",U212*20%)</f>
      </c>
      <c r="W212" s="4">
        <v>1</v>
      </c>
      <c r="X212" s="4">
        <f>IF($K212="","",Q212+T212+V212)</f>
      </c>
      <c r="Y212" s="4">
        <f>IF($K212="","",L212-M212-R212-S212-T212-U212-V212-W212)</f>
      </c>
      <c r="Z212" s="4">
        <f>IF($K212="","",(Y212-AF212)/J212*100)</f>
      </c>
      <c r="AA212" s="4">
        <f>IF($K212="","",M212-X212)</f>
      </c>
      <c r="AG212" s="4">
        <f>IF($K212="","",Y212-AF212)</f>
      </c>
    </row>
    <row r="213" spans="1:38" x14ac:dyDescent="0.25">
      <c r="A213" s="8"/>
      <c r="D213" s="9"/>
      <c r="J213" s="4"/>
      <c r="K213" s="4"/>
      <c r="L213" s="4">
        <f>IF($K213="","",K213-J213)</f>
      </c>
      <c r="M213" s="4">
        <f>IF($K213="","",L213*16.67%)</f>
      </c>
      <c r="N213" s="4">
        <f>IF($K213="","",(K213*6.9%)-(K213*6.9%)*10%)</f>
      </c>
      <c r="O213" s="4">
        <f>IF($K213="","",K213*0.35%)</f>
      </c>
      <c r="P213" s="4">
        <v>0.4</v>
      </c>
      <c r="Q213" s="4">
        <f>IF($K213="","",(N213+O213+P213)*20%)</f>
      </c>
      <c r="R213" s="4">
        <f>IF($K213="","",N213+O213+P213+Q213)</f>
      </c>
      <c r="S213" s="4"/>
      <c r="T213" s="4"/>
      <c r="U213" s="4"/>
      <c r="V213" s="4">
        <f>IF($K213="","",U213*20%)</f>
      </c>
      <c r="W213" s="4">
        <v>1</v>
      </c>
      <c r="X213" s="4">
        <f>IF($K213="","",Q213+T213+V213)</f>
      </c>
      <c r="Y213" s="4">
        <f>IF($K213="","",L213-M213-R213-S213-T213-U213-V213-W213)</f>
      </c>
      <c r="Z213" s="4">
        <f>IF($K213="","",(Y213-AF213)/J213*100)</f>
      </c>
      <c r="AA213" s="4">
        <f>IF($K213="","",M213-X213)</f>
      </c>
      <c r="AG213" s="4">
        <f>IF($K213="","",Y213-AF213)</f>
      </c>
    </row>
    <row r="214" spans="1:38" x14ac:dyDescent="0.25">
      <c r="A214" s="8"/>
      <c r="D214" s="9"/>
      <c r="J214" s="4"/>
      <c r="K214" s="4"/>
      <c r="L214" s="4">
        <f>IF($K214="","",K214-J214)</f>
      </c>
      <c r="M214" s="4">
        <f>IF($K214="","",L214*16.67%)</f>
      </c>
      <c r="N214" s="4">
        <f>IF($K214="","",(K214*6.9%)-(K214*6.9%)*10%)</f>
      </c>
      <c r="O214" s="4">
        <f>IF($K214="","",K214*0.35%)</f>
      </c>
      <c r="P214" s="4">
        <v>0.4</v>
      </c>
      <c r="Q214" s="4">
        <f>IF($K214="","",(N214+O214+P214)*20%)</f>
      </c>
      <c r="R214" s="4">
        <f>IF($K214="","",N214+O214+P214+Q214)</f>
      </c>
      <c r="S214" s="4"/>
      <c r="T214" s="4"/>
      <c r="U214" s="4"/>
      <c r="V214" s="4">
        <f>IF($K214="","",U214*20%)</f>
      </c>
      <c r="W214" s="4">
        <v>1</v>
      </c>
      <c r="X214" s="4">
        <f>IF($K214="","",Q214+T214+V214)</f>
      </c>
      <c r="Y214" s="4">
        <f>IF($K214="","",L214-M214-R214-S214-T214-U214-V214-W214)</f>
      </c>
      <c r="Z214" s="4">
        <f>IF($K214="","",(Y214-AF214)/J214*100)</f>
      </c>
      <c r="AA214" s="4">
        <f>IF($K214="","",M214-X214)</f>
      </c>
      <c r="AG214" s="4">
        <f>IF($K214="","",Y214-AF214)</f>
      </c>
    </row>
    <row r="215" spans="1:38" x14ac:dyDescent="0.25">
      <c r="A215" s="8"/>
      <c r="D215" s="9"/>
      <c r="J215" s="4"/>
      <c r="K215" s="4"/>
      <c r="L215" s="4">
        <f>IF($K215="","",K215-J215)</f>
      </c>
      <c r="M215" s="4">
        <f>IF($K215="","",L215*16.67%)</f>
      </c>
      <c r="N215" s="4">
        <f>IF($K215="","",(K215*6.9%)-(K215*6.9%)*10%)</f>
      </c>
      <c r="O215" s="4">
        <f>IF($K215="","",K215*0.35%)</f>
      </c>
      <c r="P215" s="4">
        <v>0.4</v>
      </c>
      <c r="Q215" s="4">
        <f>IF($K215="","",(N215+O215+P215)*20%)</f>
      </c>
      <c r="R215" s="4">
        <f>IF($K215="","",N215+O215+P215+Q215)</f>
      </c>
      <c r="S215" s="4"/>
      <c r="T215" s="4"/>
      <c r="U215" s="4"/>
      <c r="V215" s="4">
        <f>IF($K215="","",U215*20%)</f>
      </c>
      <c r="W215" s="4">
        <v>1</v>
      </c>
      <c r="X215" s="4">
        <f>IF($K215="","",Q215+T215+V215)</f>
      </c>
      <c r="Y215" s="4">
        <f>IF($K215="","",L215-M215-R215-S215-T215-U215-V215-W215)</f>
      </c>
      <c r="Z215" s="4">
        <f>IF($K215="","",(Y215-AF215)/J215*100)</f>
      </c>
      <c r="AA215" s="4">
        <f>IF($K215="","",M215-X215)</f>
      </c>
      <c r="AG215" s="4">
        <f>IF($K215="","",Y215-AF215)</f>
      </c>
    </row>
    <row r="216" spans="1:38" x14ac:dyDescent="0.25">
      <c r="A216" s="8"/>
      <c r="D216" s="9"/>
      <c r="J216" s="4"/>
      <c r="K216" s="4"/>
      <c r="L216" s="4">
        <f>IF($K216="","",K216-J216)</f>
      </c>
      <c r="M216" s="4">
        <f>IF($K216="","",L216*16.67%)</f>
      </c>
      <c r="N216" s="4">
        <f>IF($K216="","",(K216*6.9%)-(K216*6.9%)*10%)</f>
      </c>
      <c r="O216" s="4">
        <f>IF($K216="","",K216*0.35%)</f>
      </c>
      <c r="P216" s="4">
        <v>0.4</v>
      </c>
      <c r="Q216" s="4">
        <f>IF($K216="","",(N216+O216+P216)*20%)</f>
      </c>
      <c r="R216" s="4">
        <f>IF($K216="","",N216+O216+P216+Q216)</f>
      </c>
      <c r="S216" s="4"/>
      <c r="T216" s="4"/>
      <c r="U216" s="4"/>
      <c r="V216" s="4">
        <f>IF($K216="","",U216*20%)</f>
      </c>
      <c r="W216" s="4">
        <v>1</v>
      </c>
      <c r="X216" s="4">
        <f>IF($K216="","",Q216+T216+V216)</f>
      </c>
      <c r="Y216" s="4">
        <f>IF($K216="","",L216-M216-R216-S216-T216-U216-V216-W216)</f>
      </c>
      <c r="Z216" s="4">
        <f>IF($K216="","",(Y216-AF216)/J216*100)</f>
      </c>
      <c r="AA216" s="4">
        <f>IF($K216="","",M216-X216)</f>
      </c>
      <c r="AG216" s="4">
        <f>IF($K216="","",Y216-AF216)</f>
      </c>
    </row>
    <row r="217" spans="1:38" x14ac:dyDescent="0.25">
      <c r="A217" s="8"/>
      <c r="D217" s="9"/>
      <c r="J217" s="4"/>
      <c r="K217" s="4"/>
      <c r="L217" s="4">
        <f>IF($K217="","",K217-J217)</f>
      </c>
      <c r="M217" s="4">
        <f>IF($K217="","",L217*16.67%)</f>
      </c>
      <c r="N217" s="4">
        <f>IF($K217="","",(K217*6.9%)-(K217*6.9%)*10%)</f>
      </c>
      <c r="O217" s="4">
        <f>IF($K217="","",K217*0.35%)</f>
      </c>
      <c r="P217" s="4">
        <v>0.4</v>
      </c>
      <c r="Q217" s="4">
        <f>IF($K217="","",(N217+O217+P217)*20%)</f>
      </c>
      <c r="R217" s="4">
        <f>IF($K217="","",N217+O217+P217+Q217)</f>
      </c>
      <c r="S217" s="4"/>
      <c r="T217" s="4"/>
      <c r="U217" s="4"/>
      <c r="V217" s="4">
        <f>IF($K217="","",U217*20%)</f>
      </c>
      <c r="W217" s="4">
        <v>1</v>
      </c>
      <c r="X217" s="4">
        <f>IF($K217="","",Q217+T217+V217)</f>
      </c>
      <c r="Y217" s="4">
        <f>IF($K217="","",L217-M217-R217-S217-T217-U217-V217-W217)</f>
      </c>
      <c r="Z217" s="4">
        <f>IF($K217="","",(Y217-AF217)/J217*100)</f>
      </c>
      <c r="AA217" s="4">
        <f>IF($K217="","",M217-X217)</f>
      </c>
      <c r="AG217" s="4">
        <f>IF($K217="","",Y217-AF217)</f>
      </c>
    </row>
    <row r="218" spans="1:38" x14ac:dyDescent="0.25">
      <c r="A218" s="8"/>
      <c r="D218" s="9"/>
      <c r="J218" s="4"/>
      <c r="K218" s="4"/>
      <c r="L218" s="4">
        <f>IF($K218="","",K218-J218)</f>
      </c>
      <c r="M218" s="4">
        <f>IF($K218="","",L218*16.67%)</f>
      </c>
      <c r="N218" s="4">
        <f>IF($K218="","",(K218*6.9%)-(K218*6.9%)*10%)</f>
      </c>
      <c r="O218" s="4">
        <f>IF($K218="","",K218*0.35%)</f>
      </c>
      <c r="P218" s="4">
        <v>0.4</v>
      </c>
      <c r="Q218" s="4">
        <f>IF($K218="","",(N218+O218+P218)*20%)</f>
      </c>
      <c r="R218" s="4">
        <f>IF($K218="","",N218+O218+P218+Q218)</f>
      </c>
      <c r="S218" s="4"/>
      <c r="T218" s="4"/>
      <c r="U218" s="4"/>
      <c r="V218" s="4">
        <f>IF($K218="","",U218*20%)</f>
      </c>
      <c r="W218" s="4">
        <v>1</v>
      </c>
      <c r="X218" s="4">
        <f>IF($K218="","",Q218+T218+V218)</f>
      </c>
      <c r="Y218" s="4">
        <f>IF($K218="","",L218-M218-R218-S218-T218-U218-V218-W218)</f>
      </c>
      <c r="Z218" s="4">
        <f>IF($K218="","",(Y218-AF218)/J218*100)</f>
      </c>
      <c r="AA218" s="4">
        <f>IF($K218="","",M218-X218)</f>
      </c>
      <c r="AG218" s="4">
        <f>IF($K218="","",Y218-AF218)</f>
      </c>
    </row>
    <row r="219" spans="1:38" x14ac:dyDescent="0.25">
      <c r="A219" s="8"/>
      <c r="D219" s="9"/>
      <c r="J219" s="4"/>
      <c r="K219" s="4"/>
      <c r="L219" s="4">
        <f>IF($K219="","",K219-J219)</f>
      </c>
      <c r="M219" s="4">
        <f>IF($K219="","",L219*16.67%)</f>
      </c>
      <c r="N219" s="4">
        <f>IF($K219="","",(K219*6.9%)-(K219*6.9%)*10%)</f>
      </c>
      <c r="O219" s="4">
        <f>IF($K219="","",K219*0.35%)</f>
      </c>
      <c r="P219" s="4">
        <v>0.4</v>
      </c>
      <c r="Q219" s="4">
        <f>IF($K219="","",(N219+O219+P219)*20%)</f>
      </c>
      <c r="R219" s="4">
        <f>IF($K219="","",N219+O219+P219+Q219)</f>
      </c>
      <c r="S219" s="4"/>
      <c r="T219" s="4"/>
      <c r="U219" s="4"/>
      <c r="V219" s="4">
        <f>IF($K219="","",U219*20%)</f>
      </c>
      <c r="W219" s="4">
        <v>1</v>
      </c>
      <c r="X219" s="4">
        <f>IF($K219="","",Q219+T219+V219)</f>
      </c>
      <c r="Y219" s="4">
        <f>IF($K219="","",L219-M219-R219-S219-T219-U219-V219-W219)</f>
      </c>
      <c r="Z219" s="4">
        <f>IF($K219="","",(Y219-AF219)/J219*100)</f>
      </c>
      <c r="AA219" s="4">
        <f>IF($K219="","",M219-X219)</f>
      </c>
      <c r="AG219" s="4">
        <f>IF($K219="","",Y219-AF219)</f>
      </c>
    </row>
    <row r="220" spans="1:38" x14ac:dyDescent="0.25">
      <c r="A220" s="8"/>
      <c r="D220" s="9"/>
      <c r="J220" s="4"/>
      <c r="K220" s="4"/>
      <c r="L220" s="4">
        <f>IF($K220="","",K220-J220)</f>
      </c>
      <c r="M220" s="4">
        <f>IF($K220="","",L220*16.67%)</f>
      </c>
      <c r="N220" s="4">
        <f>IF($K220="","",(K220*6.9%)-(K220*6.9%)*10%)</f>
      </c>
      <c r="O220" s="4">
        <f>IF($K220="","",K220*0.35%)</f>
      </c>
      <c r="P220" s="4">
        <v>0.4</v>
      </c>
      <c r="Q220" s="4">
        <f>IF($K220="","",(N220+O220+P220)*20%)</f>
      </c>
      <c r="R220" s="4">
        <f>IF($K220="","",N220+O220+P220+Q220)</f>
      </c>
      <c r="S220" s="4"/>
      <c r="T220" s="4"/>
      <c r="U220" s="4"/>
      <c r="V220" s="4">
        <f>IF($K220="","",U220*20%)</f>
      </c>
      <c r="W220" s="4">
        <v>1</v>
      </c>
      <c r="X220" s="4">
        <f>IF($K220="","",Q220+T220+V220)</f>
      </c>
      <c r="Y220" s="4">
        <f>IF($K220="","",L220-M220-R220-S220-T220-U220-V220-W220)</f>
      </c>
      <c r="Z220" s="4">
        <f>IF($K220="","",(Y220-AF220)/J220*100)</f>
      </c>
      <c r="AA220" s="4">
        <f>IF($K220="","",M220-X220)</f>
      </c>
      <c r="AG220" s="4">
        <f>IF($K220="","",Y220-AF220)</f>
      </c>
    </row>
    <row r="221" spans="1:38" x14ac:dyDescent="0.25">
      <c r="A221" s="8"/>
      <c r="D221" s="9"/>
      <c r="J221" s="4"/>
      <c r="K221" s="4"/>
      <c r="L221" s="4">
        <f>IF($K221="","",K221-J221)</f>
      </c>
      <c r="M221" s="4">
        <f>IF($K221="","",L221*16.67%)</f>
      </c>
      <c r="N221" s="4">
        <f>IF($K221="","",(K221*6.9%)-(K221*6.9%)*10%)</f>
      </c>
      <c r="O221" s="4">
        <f>IF($K221="","",K221*0.35%)</f>
      </c>
      <c r="P221" s="4">
        <v>0.4</v>
      </c>
      <c r="Q221" s="4">
        <f>IF($K221="","",(N221+O221+P221)*20%)</f>
      </c>
      <c r="R221" s="4">
        <f>IF($K221="","",N221+O221+P221+Q221)</f>
      </c>
      <c r="S221" s="4"/>
      <c r="T221" s="4"/>
      <c r="U221" s="4"/>
      <c r="V221" s="4">
        <f>IF($K221="","",U221*20%)</f>
      </c>
      <c r="W221" s="4">
        <v>1</v>
      </c>
      <c r="X221" s="4">
        <f>IF($K221="","",Q221+T221+V221)</f>
      </c>
      <c r="Y221" s="4">
        <f>IF($K221="","",L221-M221-R221-S221-T221-U221-V221-W221)</f>
      </c>
      <c r="Z221" s="4">
        <f>IF($K221="","",(Y221-AF221)/J221*100)</f>
      </c>
      <c r="AA221" s="4">
        <f>IF($K221="","",M221-X221)</f>
      </c>
      <c r="AG221" s="4">
        <f>IF($K221="","",Y221-AF221)</f>
      </c>
    </row>
    <row r="222" spans="1:38" s="7" customFormat="1" x14ac:dyDescent="0.25">
      <c r="A222" s="3" t="s">
        <v>18</v>
      </c>
      <c r="B222" s="7"/>
      <c r="C222" s="7"/>
      <c r="D222" s="7"/>
      <c r="E222" s="7"/>
      <c r="F222" s="7"/>
      <c r="G222" s="7"/>
      <c r="H222" s="7"/>
      <c r="I222" s="10">
        <f>SUM(I2:I221)</f>
      </c>
      <c r="J222" s="10">
        <f>SUM(J2:J221)</f>
      </c>
      <c r="K222" s="10">
        <f>SUM(K2:K221)</f>
      </c>
      <c r="L222" s="10">
        <f>SUM(L2:L221)</f>
      </c>
      <c r="M222" s="10">
        <f>SUM(M2:M221)</f>
      </c>
      <c r="N222" s="10">
        <f>SUM(N2:N221)</f>
      </c>
      <c r="O222" s="10">
        <f>SUM(O2:O221)</f>
      </c>
      <c r="P222" s="10">
        <f>SUM(P2:P221)</f>
      </c>
      <c r="Q222" s="10">
        <f>SUM(Q2:Q221)</f>
      </c>
      <c r="R222" s="10">
        <f>SUM(R2:R221)</f>
      </c>
      <c r="S222" s="10">
        <f>SUM(S2:S221)</f>
      </c>
      <c r="T222" s="10">
        <f>SUM(T2:T221)</f>
      </c>
      <c r="U222" s="10">
        <f>SUM(U2:U221)</f>
      </c>
      <c r="V222" s="10">
        <f>SUM(V2:V221)</f>
      </c>
      <c r="W222" s="10">
        <f>SUM(W2:W221)</f>
      </c>
      <c r="X222" s="10">
        <f>SUM(X2:X221)</f>
      </c>
      <c r="Y222" s="10">
        <f>SUM(Y2:Y221)</f>
      </c>
      <c r="Z222" s="10">
        <f>IFERROR((Y222-AF222)/K222*100,0)</f>
      </c>
      <c r="AA222" s="10">
        <f>SUM(AA2:AA221)</f>
      </c>
      <c r="AB222" s="10">
        <f>SUM(AB2:AB221)</f>
      </c>
      <c r="AC222" s="10">
        <f>SUM(AC2:AC221)</f>
      </c>
      <c r="AD222" s="10">
        <f>SUM(AD2:AD221)</f>
      </c>
      <c r="AE222" s="10">
        <f>SUM(AE2:AE221)</f>
      </c>
      <c r="AF222" s="10">
        <f>SUM(AF2:AF221)</f>
      </c>
      <c r="AG222" s="10">
        <f>SUM(AG2:AG221)</f>
      </c>
      <c r="AH222" s="7"/>
      <c r="AI222" s="7"/>
      <c r="AJ222" s="7"/>
      <c r="AK222" s="7"/>
      <c r="AL22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2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246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8">
        <v>46227.5</v>
      </c>
      <c r="B2" t="s">
        <v>247</v>
      </c>
      <c r="C2" t="s">
        <v>100</v>
      </c>
      <c r="D2" s="9" t="s">
        <v>248</v>
      </c>
      <c r="E2" t="s">
        <v>100</v>
      </c>
      <c r="F2" t="s">
        <v>102</v>
      </c>
      <c r="G2" t="s">
        <v>72</v>
      </c>
      <c r="H2" t="s">
        <v>79</v>
      </c>
      <c r="I2" s="4">
        <v>276.86</v>
      </c>
      <c r="J2" s="4">
        <v>347.16</v>
      </c>
      <c r="K2" s="4">
        <f>J2-I2</f>
      </c>
      <c r="L2" s="4">
        <f>K2*16.67%</f>
      </c>
      <c r="M2" s="4">
        <f>J2*7%</f>
      </c>
      <c r="N2" s="4">
        <f>M2*20%</f>
      </c>
      <c r="O2" s="4">
        <v>0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(S2-Z2)/I2*100</f>
      </c>
      <c r="U2" s="4">
        <f>L2-R2</f>
      </c>
      <c r="AA2" s="4">
        <f>S2-Z2</f>
      </c>
      <c r="AF2" t="s">
        <v>1</v>
      </c>
    </row>
    <row r="3" spans="1:32" x14ac:dyDescent="0.25">
      <c r="A3" s="8">
        <v>46225.5</v>
      </c>
      <c r="B3" t="s">
        <v>249</v>
      </c>
      <c r="C3" t="s">
        <v>81</v>
      </c>
      <c r="D3" s="9" t="s">
        <v>250</v>
      </c>
      <c r="E3" t="s">
        <v>81</v>
      </c>
      <c r="F3" t="s">
        <v>66</v>
      </c>
      <c r="G3" t="s">
        <v>72</v>
      </c>
      <c r="H3" t="s">
        <v>68</v>
      </c>
      <c r="I3" s="4">
        <v>242</v>
      </c>
      <c r="J3" s="4">
        <v>353.11</v>
      </c>
      <c r="K3" s="4">
        <f>J3-I3</f>
      </c>
      <c r="L3" s="4">
        <f>K3*16.67%</f>
      </c>
      <c r="M3" s="4">
        <f>J3*7%</f>
      </c>
      <c r="N3" s="4">
        <f>M3*20%</f>
      </c>
      <c r="O3" s="4">
        <v>0</v>
      </c>
      <c r="P3" s="4">
        <f>O3*20%</f>
      </c>
      <c r="Q3" s="4">
        <v>1</v>
      </c>
      <c r="R3" s="4">
        <f>N3+P3</f>
      </c>
      <c r="S3" s="4">
        <f>K3-L3-M3-N3-O3-P3-Q3</f>
      </c>
      <c r="T3" s="4">
        <f>(S3-Z3)/I3*100</f>
      </c>
      <c r="U3" s="4">
        <f>L3-R3</f>
      </c>
      <c r="AA3" s="4">
        <f>S3-Z3</f>
      </c>
      <c r="AF3" t="s">
        <v>1</v>
      </c>
    </row>
    <row r="4" spans="1:32" x14ac:dyDescent="0.25">
      <c r="A4" s="8">
        <v>46224.5</v>
      </c>
      <c r="B4" t="s">
        <v>251</v>
      </c>
      <c r="C4" t="s">
        <v>238</v>
      </c>
      <c r="D4" s="9" t="s">
        <v>252</v>
      </c>
      <c r="E4" t="s">
        <v>65</v>
      </c>
      <c r="F4" t="s">
        <v>83</v>
      </c>
      <c r="G4" t="s">
        <v>78</v>
      </c>
      <c r="H4" t="s">
        <v>73</v>
      </c>
      <c r="I4" s="4">
        <v>482.51</v>
      </c>
      <c r="J4" s="4">
        <v>628.06</v>
      </c>
      <c r="K4" s="4">
        <f>J4-I4</f>
      </c>
      <c r="L4" s="4">
        <f>K4*16.67%</f>
      </c>
      <c r="M4" s="4">
        <f>J4*7%</f>
      </c>
      <c r="N4" s="4">
        <f>M4*20%</f>
      </c>
      <c r="O4" s="4">
        <v>0</v>
      </c>
      <c r="P4" s="4">
        <f>O4*20%</f>
      </c>
      <c r="Q4" s="4">
        <v>1</v>
      </c>
      <c r="R4" s="4">
        <f>N4+P4</f>
      </c>
      <c r="S4" s="4">
        <f>K4-L4-M4-N4-O4-P4-Q4</f>
      </c>
      <c r="T4" s="4">
        <f>(S4-Z4)/I4*100</f>
      </c>
      <c r="U4" s="4">
        <f>L4-R4</f>
      </c>
      <c r="AA4" s="4">
        <f>S4-Z4</f>
      </c>
      <c r="AF4" t="s">
        <v>1</v>
      </c>
    </row>
    <row r="5" spans="1:32" x14ac:dyDescent="0.25">
      <c r="A5" s="8">
        <v>46223.5</v>
      </c>
      <c r="B5" t="s">
        <v>253</v>
      </c>
      <c r="C5" t="s">
        <v>183</v>
      </c>
      <c r="D5" s="9" t="s">
        <v>254</v>
      </c>
      <c r="E5" t="s">
        <v>65</v>
      </c>
      <c r="F5" t="s">
        <v>133</v>
      </c>
      <c r="G5" t="s">
        <v>78</v>
      </c>
      <c r="H5" t="s">
        <v>68</v>
      </c>
      <c r="I5" s="4">
        <v>500.85</v>
      </c>
      <c r="J5" s="4">
        <v>631.84</v>
      </c>
      <c r="K5" s="4">
        <f>J5-I5</f>
      </c>
      <c r="L5" s="4">
        <f>K5*16.67%</f>
      </c>
      <c r="M5" s="4">
        <f>J5*7%</f>
      </c>
      <c r="N5" s="4">
        <f>M5*20%</f>
      </c>
      <c r="O5" s="4">
        <v>0</v>
      </c>
      <c r="P5" s="4">
        <f>O5*20%</f>
      </c>
      <c r="Q5" s="4">
        <v>1</v>
      </c>
      <c r="R5" s="4">
        <f>N5+P5</f>
      </c>
      <c r="S5" s="4">
        <f>K5-L5-M5-N5-O5-P5-Q5</f>
      </c>
      <c r="T5" s="4">
        <f>(S5-Z5)/I5*100</f>
      </c>
      <c r="U5" s="4">
        <f>L5-R5</f>
      </c>
      <c r="AA5" s="4">
        <f>S5-Z5</f>
      </c>
      <c r="AF5" t="s">
        <v>1</v>
      </c>
    </row>
    <row r="6" spans="1:32" x14ac:dyDescent="0.25">
      <c r="A6" s="8">
        <v>46222.5</v>
      </c>
      <c r="B6" t="s">
        <v>255</v>
      </c>
      <c r="C6" t="s">
        <v>127</v>
      </c>
      <c r="D6" s="9" t="s">
        <v>256</v>
      </c>
      <c r="E6" t="s">
        <v>65</v>
      </c>
      <c r="F6" t="s">
        <v>129</v>
      </c>
      <c r="G6" t="s">
        <v>72</v>
      </c>
      <c r="H6" t="s">
        <v>79</v>
      </c>
      <c r="I6" s="4">
        <v>316.37</v>
      </c>
      <c r="J6" s="4">
        <v>409.99</v>
      </c>
      <c r="K6" s="4">
        <f>J6-I6</f>
      </c>
      <c r="L6" s="4">
        <f>K6*16.67%</f>
      </c>
      <c r="M6" s="4">
        <f>J6*7%</f>
      </c>
      <c r="N6" s="4">
        <f>M6*20%</f>
      </c>
      <c r="O6" s="4">
        <v>0</v>
      </c>
      <c r="P6" s="4">
        <f>O6*20%</f>
      </c>
      <c r="Q6" s="4">
        <v>1</v>
      </c>
      <c r="R6" s="4">
        <f>N6+P6</f>
      </c>
      <c r="S6" s="4">
        <f>K6-L6-M6-N6-O6-P6-Q6</f>
      </c>
      <c r="T6" s="4">
        <f>(S6-Z6)/I6*100</f>
      </c>
      <c r="U6" s="4">
        <f>L6-R6</f>
      </c>
      <c r="AA6" s="4">
        <f>S6-Z6</f>
      </c>
      <c r="AF6" t="s">
        <v>1</v>
      </c>
    </row>
    <row r="7" spans="1:32" x14ac:dyDescent="0.25">
      <c r="A7" s="8">
        <v>46220.5</v>
      </c>
      <c r="B7" t="s">
        <v>257</v>
      </c>
      <c r="C7" t="s">
        <v>258</v>
      </c>
      <c r="D7" s="9" t="s">
        <v>259</v>
      </c>
      <c r="E7" t="s">
        <v>65</v>
      </c>
      <c r="F7" t="s">
        <v>133</v>
      </c>
      <c r="G7" t="s">
        <v>67</v>
      </c>
      <c r="H7" t="s">
        <v>68</v>
      </c>
      <c r="I7" s="4">
        <v>186.57</v>
      </c>
      <c r="J7" s="4">
        <v>264.87</v>
      </c>
      <c r="K7" s="4">
        <f>J7-I7</f>
      </c>
      <c r="L7" s="4">
        <f>K7*16.67%</f>
      </c>
      <c r="M7" s="4">
        <f>J7*7%</f>
      </c>
      <c r="N7" s="4">
        <f>M7*20%</f>
      </c>
      <c r="O7" s="4">
        <v>0</v>
      </c>
      <c r="P7" s="4">
        <f>O7*20%</f>
      </c>
      <c r="Q7" s="4">
        <v>1</v>
      </c>
      <c r="R7" s="4">
        <f>N7+P7</f>
      </c>
      <c r="S7" s="4">
        <f>K7-L7-M7-N7-O7-P7-Q7</f>
      </c>
      <c r="T7" s="4">
        <f>(S7-Z7)/I7*100</f>
      </c>
      <c r="U7" s="4">
        <f>L7-R7</f>
      </c>
      <c r="AA7" s="4">
        <f>S7-Z7</f>
      </c>
      <c r="AF7" t="s">
        <v>1</v>
      </c>
    </row>
    <row r="8" spans="1:32" x14ac:dyDescent="0.25">
      <c r="A8" s="8">
        <v>46219.5</v>
      </c>
      <c r="B8" t="s">
        <v>260</v>
      </c>
      <c r="C8" t="s">
        <v>70</v>
      </c>
      <c r="D8" s="9" t="s">
        <v>261</v>
      </c>
      <c r="E8" t="s">
        <v>70</v>
      </c>
      <c r="F8" t="s">
        <v>129</v>
      </c>
      <c r="G8" t="s">
        <v>72</v>
      </c>
      <c r="H8" t="s">
        <v>79</v>
      </c>
      <c r="I8" s="4">
        <v>287.02</v>
      </c>
      <c r="J8" s="4">
        <v>379.48</v>
      </c>
      <c r="K8" s="4">
        <f>J8-I8</f>
      </c>
      <c r="L8" s="4">
        <f>K8*16.67%</f>
      </c>
      <c r="M8" s="4">
        <f>J8*7%</f>
      </c>
      <c r="N8" s="4">
        <f>M8*20%</f>
      </c>
      <c r="O8" s="4">
        <v>0</v>
      </c>
      <c r="P8" s="4">
        <f>O8*20%</f>
      </c>
      <c r="Q8" s="4">
        <v>1</v>
      </c>
      <c r="R8" s="4">
        <f>N8+P8</f>
      </c>
      <c r="S8" s="4">
        <f>K8-L8-M8-N8-O8-P8-Q8</f>
      </c>
      <c r="T8" s="4">
        <f>(S8-Z8)/I8*100</f>
      </c>
      <c r="U8" s="4">
        <f>L8-R8</f>
      </c>
      <c r="AA8" s="4">
        <f>S8-Z8</f>
      </c>
      <c r="AF8" t="s">
        <v>1</v>
      </c>
    </row>
    <row r="9" spans="1:32" x14ac:dyDescent="0.25">
      <c r="A9" s="8">
        <v>46218.5</v>
      </c>
      <c r="B9" t="s">
        <v>262</v>
      </c>
      <c r="C9" t="s">
        <v>203</v>
      </c>
      <c r="D9" s="9" t="s">
        <v>263</v>
      </c>
      <c r="E9" t="s">
        <v>203</v>
      </c>
      <c r="F9" t="s">
        <v>83</v>
      </c>
      <c r="G9" t="s">
        <v>78</v>
      </c>
      <c r="H9" t="s">
        <v>68</v>
      </c>
      <c r="I9" s="4">
        <v>422.16</v>
      </c>
      <c r="J9" s="4">
        <v>534.52</v>
      </c>
      <c r="K9" s="4">
        <f>J9-I9</f>
      </c>
      <c r="L9" s="4">
        <f>K9*16.67%</f>
      </c>
      <c r="M9" s="4">
        <f>J9*7%</f>
      </c>
      <c r="N9" s="4">
        <f>M9*20%</f>
      </c>
      <c r="O9" s="4">
        <v>0</v>
      </c>
      <c r="P9" s="4">
        <f>O9*20%</f>
      </c>
      <c r="Q9" s="4">
        <v>1</v>
      </c>
      <c r="R9" s="4">
        <f>N9+P9</f>
      </c>
      <c r="S9" s="4">
        <f>K9-L9-M9-N9-O9-P9-Q9</f>
      </c>
      <c r="T9" s="4">
        <f>(S9-Z9)/I9*100</f>
      </c>
      <c r="U9" s="4">
        <f>L9-R9</f>
      </c>
      <c r="AA9" s="4">
        <f>S9-Z9</f>
      </c>
      <c r="AF9" t="s">
        <v>1</v>
      </c>
    </row>
    <row r="10" spans="1:32" x14ac:dyDescent="0.25">
      <c r="A10" s="8">
        <v>46217.5</v>
      </c>
      <c r="B10" t="s">
        <v>264</v>
      </c>
      <c r="C10" t="s">
        <v>147</v>
      </c>
      <c r="D10" s="9" t="s">
        <v>221</v>
      </c>
      <c r="E10" t="s">
        <v>147</v>
      </c>
      <c r="F10" t="s">
        <v>129</v>
      </c>
      <c r="G10" t="s">
        <v>72</v>
      </c>
      <c r="H10" t="s">
        <v>73</v>
      </c>
      <c r="I10" s="4">
        <v>230.57</v>
      </c>
      <c r="J10" s="4">
        <v>310.06</v>
      </c>
      <c r="K10" s="4">
        <f>J10-I10</f>
      </c>
      <c r="L10" s="4">
        <f>K10*16.67%</f>
      </c>
      <c r="M10" s="4">
        <f>J10*7%</f>
      </c>
      <c r="N10" s="4">
        <f>M10*20%</f>
      </c>
      <c r="O10" s="4">
        <v>0</v>
      </c>
      <c r="P10" s="4">
        <f>O10*20%</f>
      </c>
      <c r="Q10" s="4">
        <v>1</v>
      </c>
      <c r="R10" s="4">
        <f>N10+P10</f>
      </c>
      <c r="S10" s="4">
        <f>K10-L10-M10-N10-O10-P10-Q10</f>
      </c>
      <c r="T10" s="4">
        <f>(S10-Z10)/I10*100</f>
      </c>
      <c r="U10" s="4">
        <f>L10-R10</f>
      </c>
      <c r="AA10" s="4">
        <f>S10-Z10</f>
      </c>
      <c r="AF10" t="s">
        <v>1</v>
      </c>
    </row>
    <row r="11" spans="1:32" x14ac:dyDescent="0.25">
      <c r="A11" s="8">
        <v>46215.5</v>
      </c>
      <c r="B11" t="s">
        <v>265</v>
      </c>
      <c r="C11" t="s">
        <v>235</v>
      </c>
      <c r="D11" s="9" t="s">
        <v>266</v>
      </c>
      <c r="E11" t="s">
        <v>65</v>
      </c>
      <c r="F11" t="s">
        <v>145</v>
      </c>
      <c r="G11" t="s">
        <v>78</v>
      </c>
      <c r="H11" t="s">
        <v>73</v>
      </c>
      <c r="I11" s="4">
        <v>511.35</v>
      </c>
      <c r="J11" s="4">
        <v>700.16</v>
      </c>
      <c r="K11" s="4">
        <f>J11-I11</f>
      </c>
      <c r="L11" s="4">
        <f>K11*16.67%</f>
      </c>
      <c r="M11" s="4">
        <f>J11*7%</f>
      </c>
      <c r="N11" s="4">
        <f>M11*20%</f>
      </c>
      <c r="O11" s="4">
        <v>0</v>
      </c>
      <c r="P11" s="4">
        <f>O11*20%</f>
      </c>
      <c r="Q11" s="4">
        <v>1</v>
      </c>
      <c r="R11" s="4">
        <f>N11+P11</f>
      </c>
      <c r="S11" s="4">
        <f>K11-L11-M11-N11-O11-P11-Q11</f>
      </c>
      <c r="T11" s="4">
        <f>(S11-Z11)/I11*100</f>
      </c>
      <c r="U11" s="4">
        <f>L11-R11</f>
      </c>
      <c r="AA11" s="4">
        <f>S11-Z11</f>
      </c>
      <c r="AF11" t="s">
        <v>1</v>
      </c>
    </row>
    <row r="12" spans="1:32" x14ac:dyDescent="0.25">
      <c r="A12" s="8">
        <v>46214.5</v>
      </c>
      <c r="B12" t="s">
        <v>267</v>
      </c>
      <c r="C12" t="s">
        <v>93</v>
      </c>
      <c r="D12" s="9" t="s">
        <v>268</v>
      </c>
      <c r="E12" t="s">
        <v>65</v>
      </c>
      <c r="F12" t="s">
        <v>95</v>
      </c>
      <c r="G12" t="s">
        <v>72</v>
      </c>
      <c r="H12" t="s">
        <v>91</v>
      </c>
      <c r="I12" s="4">
        <v>336.42</v>
      </c>
      <c r="J12" s="4">
        <v>468.11</v>
      </c>
      <c r="K12" s="4">
        <f>J12-I12</f>
      </c>
      <c r="L12" s="4">
        <f>K12*16.67%</f>
      </c>
      <c r="M12" s="4">
        <f>J12*7%</f>
      </c>
      <c r="N12" s="4">
        <f>M12*20%</f>
      </c>
      <c r="O12" s="4">
        <v>0</v>
      </c>
      <c r="P12" s="4">
        <f>O12*20%</f>
      </c>
      <c r="Q12" s="4">
        <v>1</v>
      </c>
      <c r="R12" s="4">
        <f>N12+P12</f>
      </c>
      <c r="S12" s="4">
        <f>K12-L12-M12-N12-O12-P12-Q12</f>
      </c>
      <c r="T12" s="4">
        <f>(S12-Z12)/I12*100</f>
      </c>
      <c r="U12" s="4">
        <f>L12-R12</f>
      </c>
      <c r="AA12" s="4">
        <f>S12-Z12</f>
      </c>
      <c r="AF12" t="s">
        <v>1</v>
      </c>
    </row>
    <row r="13" spans="1:32" x14ac:dyDescent="0.25">
      <c r="A13" s="8">
        <v>46213.5</v>
      </c>
      <c r="B13" t="s">
        <v>269</v>
      </c>
      <c r="C13" t="s">
        <v>112</v>
      </c>
      <c r="D13" s="9" t="s">
        <v>270</v>
      </c>
      <c r="E13" t="s">
        <v>65</v>
      </c>
      <c r="F13" t="s">
        <v>87</v>
      </c>
      <c r="G13" t="s">
        <v>72</v>
      </c>
      <c r="H13" t="s">
        <v>79</v>
      </c>
      <c r="I13" s="4">
        <v>209.59</v>
      </c>
      <c r="J13" s="4">
        <v>298.71</v>
      </c>
      <c r="K13" s="4">
        <f>J13-I13</f>
      </c>
      <c r="L13" s="4">
        <f>K13*16.67%</f>
      </c>
      <c r="M13" s="4">
        <f>J13*7%</f>
      </c>
      <c r="N13" s="4">
        <f>M13*20%</f>
      </c>
      <c r="O13" s="4">
        <v>0</v>
      </c>
      <c r="P13" s="4">
        <f>O13*20%</f>
      </c>
      <c r="Q13" s="4">
        <v>1</v>
      </c>
      <c r="R13" s="4">
        <f>N13+P13</f>
      </c>
      <c r="S13" s="4">
        <f>K13-L13-M13-N13-O13-P13-Q13</f>
      </c>
      <c r="T13" s="4">
        <f>(S13-Z13)/I13*100</f>
      </c>
      <c r="U13" s="4">
        <f>L13-R13</f>
      </c>
      <c r="AA13" s="4">
        <f>S13-Z13</f>
      </c>
      <c r="AF13" t="s">
        <v>1</v>
      </c>
    </row>
    <row r="14" spans="1:32" x14ac:dyDescent="0.25">
      <c r="A14" s="8">
        <v>46212.5</v>
      </c>
      <c r="B14" t="s">
        <v>271</v>
      </c>
      <c r="C14" t="s">
        <v>272</v>
      </c>
      <c r="D14" s="9" t="s">
        <v>273</v>
      </c>
      <c r="E14" t="s">
        <v>65</v>
      </c>
      <c r="F14" t="s">
        <v>145</v>
      </c>
      <c r="G14" t="s">
        <v>67</v>
      </c>
      <c r="H14" t="s">
        <v>91</v>
      </c>
      <c r="I14" s="4">
        <v>196.74</v>
      </c>
      <c r="J14" s="4">
        <v>251.83</v>
      </c>
      <c r="K14" s="4">
        <f>J14-I14</f>
      </c>
      <c r="L14" s="4">
        <f>K14*16.67%</f>
      </c>
      <c r="M14" s="4">
        <f>J14*7%</f>
      </c>
      <c r="N14" s="4">
        <f>M14*20%</f>
      </c>
      <c r="O14" s="4">
        <v>0</v>
      </c>
      <c r="P14" s="4">
        <f>O14*20%</f>
      </c>
      <c r="Q14" s="4">
        <v>1</v>
      </c>
      <c r="R14" s="4">
        <f>N14+P14</f>
      </c>
      <c r="S14" s="4">
        <f>K14-L14-M14-N14-O14-P14-Q14</f>
      </c>
      <c r="T14" s="4">
        <f>(S14-Z14)/I14*100</f>
      </c>
      <c r="U14" s="4">
        <f>L14-R14</f>
      </c>
      <c r="AA14" s="4">
        <f>S14-Z14</f>
      </c>
      <c r="AF14" t="s">
        <v>1</v>
      </c>
    </row>
    <row r="15" spans="1:32" x14ac:dyDescent="0.25">
      <c r="A15" s="8">
        <v>46210.5</v>
      </c>
      <c r="B15" t="s">
        <v>274</v>
      </c>
      <c r="C15" t="s">
        <v>275</v>
      </c>
      <c r="D15" s="9" t="s">
        <v>276</v>
      </c>
      <c r="E15" t="s">
        <v>275</v>
      </c>
      <c r="F15" t="s">
        <v>87</v>
      </c>
      <c r="G15" t="s">
        <v>78</v>
      </c>
      <c r="H15" t="s">
        <v>91</v>
      </c>
      <c r="I15" s="4">
        <v>422.7</v>
      </c>
      <c r="J15" s="4">
        <v>601.22</v>
      </c>
      <c r="K15" s="4">
        <f>J15-I15</f>
      </c>
      <c r="L15" s="4">
        <f>K15*16.67%</f>
      </c>
      <c r="M15" s="4">
        <f>J15*7%</f>
      </c>
      <c r="N15" s="4">
        <f>M15*20%</f>
      </c>
      <c r="O15" s="4">
        <v>0</v>
      </c>
      <c r="P15" s="4">
        <f>O15*20%</f>
      </c>
      <c r="Q15" s="4">
        <v>1</v>
      </c>
      <c r="R15" s="4">
        <f>N15+P15</f>
      </c>
      <c r="S15" s="4">
        <f>K15-L15-M15-N15-O15-P15-Q15</f>
      </c>
      <c r="T15" s="4">
        <f>(S15-Z15)/I15*100</f>
      </c>
      <c r="U15" s="4">
        <f>L15-R15</f>
      </c>
      <c r="AA15" s="4">
        <f>S15-Z15</f>
      </c>
      <c r="AF15" t="s">
        <v>1</v>
      </c>
    </row>
    <row r="16" spans="1:32" x14ac:dyDescent="0.25">
      <c r="A16" s="8">
        <v>46209.5</v>
      </c>
      <c r="B16" t="s">
        <v>277</v>
      </c>
      <c r="C16" t="s">
        <v>278</v>
      </c>
      <c r="D16" s="9" t="s">
        <v>279</v>
      </c>
      <c r="E16" t="s">
        <v>278</v>
      </c>
      <c r="F16" t="s">
        <v>133</v>
      </c>
      <c r="G16" t="s">
        <v>72</v>
      </c>
      <c r="H16" t="s">
        <v>73</v>
      </c>
      <c r="I16" s="4">
        <v>243.53</v>
      </c>
      <c r="J16" s="4">
        <v>336.62</v>
      </c>
      <c r="K16" s="4">
        <f>J16-I16</f>
      </c>
      <c r="L16" s="4">
        <f>K16*16.67%</f>
      </c>
      <c r="M16" s="4">
        <f>J16*7%</f>
      </c>
      <c r="N16" s="4">
        <f>M16*20%</f>
      </c>
      <c r="O16" s="4">
        <v>0</v>
      </c>
      <c r="P16" s="4">
        <f>O16*20%</f>
      </c>
      <c r="Q16" s="4">
        <v>1</v>
      </c>
      <c r="R16" s="4">
        <f>N16+P16</f>
      </c>
      <c r="S16" s="4">
        <f>K16-L16-M16-N16-O16-P16-Q16</f>
      </c>
      <c r="T16" s="4">
        <f>(S16-Z16)/I16*100</f>
      </c>
      <c r="U16" s="4">
        <f>L16-R16</f>
      </c>
      <c r="AA16" s="4">
        <f>S16-Z16</f>
      </c>
      <c r="AF16" t="s">
        <v>1</v>
      </c>
    </row>
    <row r="17" spans="1:32" x14ac:dyDescent="0.25">
      <c r="A17" s="8">
        <v>46208.5</v>
      </c>
      <c r="B17" t="s">
        <v>280</v>
      </c>
      <c r="C17" t="s">
        <v>150</v>
      </c>
      <c r="D17" s="9" t="s">
        <v>281</v>
      </c>
      <c r="E17" t="s">
        <v>65</v>
      </c>
      <c r="F17" t="s">
        <v>77</v>
      </c>
      <c r="G17" t="s">
        <v>78</v>
      </c>
      <c r="H17" t="s">
        <v>91</v>
      </c>
      <c r="I17" s="4">
        <v>499.6</v>
      </c>
      <c r="J17" s="4">
        <v>644.6</v>
      </c>
      <c r="K17" s="4">
        <f>J17-I17</f>
      </c>
      <c r="L17" s="4">
        <f>K17*16.67%</f>
      </c>
      <c r="M17" s="4">
        <f>J17*7%</f>
      </c>
      <c r="N17" s="4">
        <f>M17*20%</f>
      </c>
      <c r="O17" s="4">
        <v>0</v>
      </c>
      <c r="P17" s="4">
        <f>O17*20%</f>
      </c>
      <c r="Q17" s="4">
        <v>1</v>
      </c>
      <c r="R17" s="4">
        <f>N17+P17</f>
      </c>
      <c r="S17" s="4">
        <f>K17-L17-M17-N17-O17-P17-Q17</f>
      </c>
      <c r="T17" s="4">
        <f>(S17-Z17)/I17*100</f>
      </c>
      <c r="U17" s="4">
        <f>L17-R17</f>
      </c>
      <c r="AA17" s="4">
        <f>S17-Z17</f>
      </c>
      <c r="AF17" t="s">
        <v>1</v>
      </c>
    </row>
    <row r="18" spans="1:32" x14ac:dyDescent="0.25">
      <c r="A18" s="8">
        <v>46207.5</v>
      </c>
      <c r="B18" t="s">
        <v>282</v>
      </c>
      <c r="C18" t="s">
        <v>283</v>
      </c>
      <c r="D18" s="9" t="s">
        <v>284</v>
      </c>
      <c r="E18" t="s">
        <v>65</v>
      </c>
      <c r="F18" t="s">
        <v>129</v>
      </c>
      <c r="G18" t="s">
        <v>78</v>
      </c>
      <c r="H18" t="s">
        <v>91</v>
      </c>
      <c r="I18" s="4">
        <v>535.83</v>
      </c>
      <c r="J18" s="4">
        <v>723.07</v>
      </c>
      <c r="K18" s="4">
        <f>J18-I18</f>
      </c>
      <c r="L18" s="4">
        <f>K18*16.67%</f>
      </c>
      <c r="M18" s="4">
        <f>J18*7%</f>
      </c>
      <c r="N18" s="4">
        <f>M18*20%</f>
      </c>
      <c r="O18" s="4">
        <v>0</v>
      </c>
      <c r="P18" s="4">
        <f>O18*20%</f>
      </c>
      <c r="Q18" s="4">
        <v>1</v>
      </c>
      <c r="R18" s="4">
        <f>N18+P18</f>
      </c>
      <c r="S18" s="4">
        <f>K18-L18-M18-N18-O18-P18-Q18</f>
      </c>
      <c r="T18" s="4">
        <f>(S18-Z18)/I18*100</f>
      </c>
      <c r="U18" s="4">
        <f>L18-R18</f>
      </c>
      <c r="AA18" s="4">
        <f>S18-Z18</f>
      </c>
      <c r="AF18" t="s">
        <v>1</v>
      </c>
    </row>
    <row r="19" spans="1:32" x14ac:dyDescent="0.25">
      <c r="A19" s="8">
        <v>46206.5</v>
      </c>
      <c r="B19" t="s">
        <v>285</v>
      </c>
      <c r="C19" t="s">
        <v>153</v>
      </c>
      <c r="D19" s="9" t="s">
        <v>286</v>
      </c>
      <c r="E19" t="s">
        <v>65</v>
      </c>
      <c r="F19" t="s">
        <v>66</v>
      </c>
      <c r="G19" t="s">
        <v>72</v>
      </c>
      <c r="H19" t="s">
        <v>79</v>
      </c>
      <c r="I19" s="4">
        <v>327.58</v>
      </c>
      <c r="J19" s="4">
        <v>485.49</v>
      </c>
      <c r="K19" s="4">
        <f>J19-I19</f>
      </c>
      <c r="L19" s="4">
        <f>K19*16.67%</f>
      </c>
      <c r="M19" s="4">
        <f>J19*7%</f>
      </c>
      <c r="N19" s="4">
        <f>M19*20%</f>
      </c>
      <c r="O19" s="4">
        <v>0</v>
      </c>
      <c r="P19" s="4">
        <f>O19*20%</f>
      </c>
      <c r="Q19" s="4">
        <v>1</v>
      </c>
      <c r="R19" s="4">
        <f>N19+P19</f>
      </c>
      <c r="S19" s="4">
        <f>K19-L19-M19-N19-O19-P19-Q19</f>
      </c>
      <c r="T19" s="4">
        <f>(S19-Z19)/I19*100</f>
      </c>
      <c r="U19" s="4">
        <f>L19-R19</f>
      </c>
      <c r="AA19" s="4">
        <f>S19-Z19</f>
      </c>
      <c r="AF19" t="s">
        <v>1</v>
      </c>
    </row>
    <row r="20" spans="1:32" x14ac:dyDescent="0.25">
      <c r="A20" s="8">
        <v>46205.5</v>
      </c>
      <c r="B20" t="s">
        <v>287</v>
      </c>
      <c r="C20" t="s">
        <v>157</v>
      </c>
      <c r="D20" s="9" t="s">
        <v>245</v>
      </c>
      <c r="E20" t="s">
        <v>65</v>
      </c>
      <c r="F20" t="s">
        <v>83</v>
      </c>
      <c r="G20" t="s">
        <v>72</v>
      </c>
      <c r="H20" t="s">
        <v>68</v>
      </c>
      <c r="I20" s="4">
        <v>222.91</v>
      </c>
      <c r="J20" s="4">
        <v>305.01</v>
      </c>
      <c r="K20" s="4">
        <f>J20-I20</f>
      </c>
      <c r="L20" s="4">
        <f>K20*16.67%</f>
      </c>
      <c r="M20" s="4">
        <f>J20*7%</f>
      </c>
      <c r="N20" s="4">
        <f>M20*20%</f>
      </c>
      <c r="O20" s="4">
        <v>0</v>
      </c>
      <c r="P20" s="4">
        <f>O20*20%</f>
      </c>
      <c r="Q20" s="4">
        <v>1</v>
      </c>
      <c r="R20" s="4">
        <f>N20+P20</f>
      </c>
      <c r="S20" s="4">
        <f>K20-L20-M20-N20-O20-P20-Q20</f>
      </c>
      <c r="T20" s="4">
        <f>(S20-Z20)/I20*100</f>
      </c>
      <c r="U20" s="4">
        <f>L20-R20</f>
      </c>
      <c r="AA20" s="4">
        <f>S20-Z20</f>
      </c>
      <c r="AF20" t="s">
        <v>1</v>
      </c>
    </row>
    <row r="21" spans="1:32" x14ac:dyDescent="0.25">
      <c r="A21" s="8">
        <v>46204.5</v>
      </c>
      <c r="B21" t="s">
        <v>288</v>
      </c>
      <c r="C21" t="s">
        <v>153</v>
      </c>
      <c r="D21" s="9" t="s">
        <v>289</v>
      </c>
      <c r="E21" t="s">
        <v>65</v>
      </c>
      <c r="F21" t="s">
        <v>102</v>
      </c>
      <c r="G21" t="s">
        <v>72</v>
      </c>
      <c r="H21" t="s">
        <v>68</v>
      </c>
      <c r="I21" s="4">
        <v>232.81</v>
      </c>
      <c r="J21" s="4">
        <v>298.59</v>
      </c>
      <c r="K21" s="4">
        <f>J21-I21</f>
      </c>
      <c r="L21" s="4">
        <f>K21*16.67%</f>
      </c>
      <c r="M21" s="4">
        <f>J21*7%</f>
      </c>
      <c r="N21" s="4">
        <f>M21*20%</f>
      </c>
      <c r="O21" s="4">
        <v>0</v>
      </c>
      <c r="P21" s="4">
        <f>O21*20%</f>
      </c>
      <c r="Q21" s="4">
        <v>1</v>
      </c>
      <c r="R21" s="4">
        <f>N21+P21</f>
      </c>
      <c r="S21" s="4">
        <f>K21-L21-M21-N21-O21-P21-Q21</f>
      </c>
      <c r="T21" s="4">
        <f>(S21-Z21)/I21*100</f>
      </c>
      <c r="U21" s="4">
        <f>L21-R21</f>
      </c>
      <c r="AA21" s="4">
        <f>S21-Z21</f>
      </c>
      <c r="AF21" t="s">
        <v>1</v>
      </c>
    </row>
    <row r="22" spans="1:32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IF($J202="","",(S202-Z202)/I202*100)</f>
      </c>
      <c r="U202" s="4">
        <f>IF($J202="","",L202-R202)</f>
      </c>
      <c r="AA202" s="4">
        <f>IF($J202="","",S202-Z202)</f>
      </c>
    </row>
    <row r="203" spans="1:32" x14ac:dyDescent="0.25">
      <c r="A203" s="8"/>
      <c r="D203" s="9"/>
      <c r="I203" s="4"/>
      <c r="J203" s="4"/>
      <c r="K203" s="4">
        <f>IF($J203="","",J203-I203)</f>
      </c>
      <c r="L203" s="4">
        <f>IF($J203="","",K203*16.67%)</f>
      </c>
      <c r="M203" s="4">
        <f>IF($J203="","",J203*7%)</f>
      </c>
      <c r="N203" s="4">
        <f>IF($J203="","",M203*20%)</f>
      </c>
      <c r="O203" s="4"/>
      <c r="P203" s="4">
        <f>IF($J203="","",O203*20%)</f>
      </c>
      <c r="Q203" s="4">
        <v>1</v>
      </c>
      <c r="R203" s="4">
        <f>IF($J203="","",N203+P203)</f>
      </c>
      <c r="S203" s="4">
        <f>IF($J203="","",K203-L203-M203-N203-O203-P203-Q203)</f>
      </c>
      <c r="T203" s="4">
        <f>IF($J203="","",(S203-Z203)/I203*100)</f>
      </c>
      <c r="U203" s="4">
        <f>IF($J203="","",L203-R203)</f>
      </c>
      <c r="AA203" s="4">
        <f>IF($J203="","",S203-Z203)</f>
      </c>
    </row>
    <row r="204" spans="1:32" x14ac:dyDescent="0.25">
      <c r="A204" s="8"/>
      <c r="D204" s="9"/>
      <c r="I204" s="4"/>
      <c r="J204" s="4"/>
      <c r="K204" s="4">
        <f>IF($J204="","",J204-I204)</f>
      </c>
      <c r="L204" s="4">
        <f>IF($J204="","",K204*16.67%)</f>
      </c>
      <c r="M204" s="4">
        <f>IF($J204="","",J204*7%)</f>
      </c>
      <c r="N204" s="4">
        <f>IF($J204="","",M204*20%)</f>
      </c>
      <c r="O204" s="4"/>
      <c r="P204" s="4">
        <f>IF($J204="","",O204*20%)</f>
      </c>
      <c r="Q204" s="4">
        <v>1</v>
      </c>
      <c r="R204" s="4">
        <f>IF($J204="","",N204+P204)</f>
      </c>
      <c r="S204" s="4">
        <f>IF($J204="","",K204-L204-M204-N204-O204-P204-Q204)</f>
      </c>
      <c r="T204" s="4">
        <f>IF($J204="","",(S204-Z204)/I204*100)</f>
      </c>
      <c r="U204" s="4">
        <f>IF($J204="","",L204-R204)</f>
      </c>
      <c r="AA204" s="4">
        <f>IF($J204="","",S204-Z204)</f>
      </c>
    </row>
    <row r="205" spans="1:32" x14ac:dyDescent="0.25">
      <c r="A205" s="8"/>
      <c r="D205" s="9"/>
      <c r="I205" s="4"/>
      <c r="J205" s="4"/>
      <c r="K205" s="4">
        <f>IF($J205="","",J205-I205)</f>
      </c>
      <c r="L205" s="4">
        <f>IF($J205="","",K205*16.67%)</f>
      </c>
      <c r="M205" s="4">
        <f>IF($J205="","",J205*7%)</f>
      </c>
      <c r="N205" s="4">
        <f>IF($J205="","",M205*20%)</f>
      </c>
      <c r="O205" s="4"/>
      <c r="P205" s="4">
        <f>IF($J205="","",O205*20%)</f>
      </c>
      <c r="Q205" s="4">
        <v>1</v>
      </c>
      <c r="R205" s="4">
        <f>IF($J205="","",N205+P205)</f>
      </c>
      <c r="S205" s="4">
        <f>IF($J205="","",K205-L205-M205-N205-O205-P205-Q205)</f>
      </c>
      <c r="T205" s="4">
        <f>IF($J205="","",(S205-Z205)/I205*100)</f>
      </c>
      <c r="U205" s="4">
        <f>IF($J205="","",L205-R205)</f>
      </c>
      <c r="AA205" s="4">
        <f>IF($J205="","",S205-Z205)</f>
      </c>
    </row>
    <row r="206" spans="1:32" x14ac:dyDescent="0.25">
      <c r="A206" s="8"/>
      <c r="D206" s="9"/>
      <c r="I206" s="4"/>
      <c r="J206" s="4"/>
      <c r="K206" s="4">
        <f>IF($J206="","",J206-I206)</f>
      </c>
      <c r="L206" s="4">
        <f>IF($J206="","",K206*16.67%)</f>
      </c>
      <c r="M206" s="4">
        <f>IF($J206="","",J206*7%)</f>
      </c>
      <c r="N206" s="4">
        <f>IF($J206="","",M206*20%)</f>
      </c>
      <c r="O206" s="4"/>
      <c r="P206" s="4">
        <f>IF($J206="","",O206*20%)</f>
      </c>
      <c r="Q206" s="4">
        <v>1</v>
      </c>
      <c r="R206" s="4">
        <f>IF($J206="","",N206+P206)</f>
      </c>
      <c r="S206" s="4">
        <f>IF($J206="","",K206-L206-M206-N206-O206-P206-Q206)</f>
      </c>
      <c r="T206" s="4">
        <f>IF($J206="","",(S206-Z206)/I206*100)</f>
      </c>
      <c r="U206" s="4">
        <f>IF($J206="","",L206-R206)</f>
      </c>
      <c r="AA206" s="4">
        <f>IF($J206="","",S206-Z206)</f>
      </c>
    </row>
    <row r="207" spans="1:32" x14ac:dyDescent="0.25">
      <c r="A207" s="8"/>
      <c r="D207" s="9"/>
      <c r="I207" s="4"/>
      <c r="J207" s="4"/>
      <c r="K207" s="4">
        <f>IF($J207="","",J207-I207)</f>
      </c>
      <c r="L207" s="4">
        <f>IF($J207="","",K207*16.67%)</f>
      </c>
      <c r="M207" s="4">
        <f>IF($J207="","",J207*7%)</f>
      </c>
      <c r="N207" s="4">
        <f>IF($J207="","",M207*20%)</f>
      </c>
      <c r="O207" s="4"/>
      <c r="P207" s="4">
        <f>IF($J207="","",O207*20%)</f>
      </c>
      <c r="Q207" s="4">
        <v>1</v>
      </c>
      <c r="R207" s="4">
        <f>IF($J207="","",N207+P207)</f>
      </c>
      <c r="S207" s="4">
        <f>IF($J207="","",K207-L207-M207-N207-O207-P207-Q207)</f>
      </c>
      <c r="T207" s="4">
        <f>IF($J207="","",(S207-Z207)/I207*100)</f>
      </c>
      <c r="U207" s="4">
        <f>IF($J207="","",L207-R207)</f>
      </c>
      <c r="AA207" s="4">
        <f>IF($J207="","",S207-Z207)</f>
      </c>
    </row>
    <row r="208" spans="1:32" x14ac:dyDescent="0.25">
      <c r="A208" s="8"/>
      <c r="D208" s="9"/>
      <c r="I208" s="4"/>
      <c r="J208" s="4"/>
      <c r="K208" s="4">
        <f>IF($J208="","",J208-I208)</f>
      </c>
      <c r="L208" s="4">
        <f>IF($J208="","",K208*16.67%)</f>
      </c>
      <c r="M208" s="4">
        <f>IF($J208="","",J208*7%)</f>
      </c>
      <c r="N208" s="4">
        <f>IF($J208="","",M208*20%)</f>
      </c>
      <c r="O208" s="4"/>
      <c r="P208" s="4">
        <f>IF($J208="","",O208*20%)</f>
      </c>
      <c r="Q208" s="4">
        <v>1</v>
      </c>
      <c r="R208" s="4">
        <f>IF($J208="","",N208+P208)</f>
      </c>
      <c r="S208" s="4">
        <f>IF($J208="","",K208-L208-M208-N208-O208-P208-Q208)</f>
      </c>
      <c r="T208" s="4">
        <f>IF($J208="","",(S208-Z208)/I208*100)</f>
      </c>
      <c r="U208" s="4">
        <f>IF($J208="","",L208-R208)</f>
      </c>
      <c r="AA208" s="4">
        <f>IF($J208="","",S208-Z208)</f>
      </c>
    </row>
    <row r="209" spans="1:32" x14ac:dyDescent="0.25">
      <c r="A209" s="8"/>
      <c r="D209" s="9"/>
      <c r="I209" s="4"/>
      <c r="J209" s="4"/>
      <c r="K209" s="4">
        <f>IF($J209="","",J209-I209)</f>
      </c>
      <c r="L209" s="4">
        <f>IF($J209="","",K209*16.67%)</f>
      </c>
      <c r="M209" s="4">
        <f>IF($J209="","",J209*7%)</f>
      </c>
      <c r="N209" s="4">
        <f>IF($J209="","",M209*20%)</f>
      </c>
      <c r="O209" s="4"/>
      <c r="P209" s="4">
        <f>IF($J209="","",O209*20%)</f>
      </c>
      <c r="Q209" s="4">
        <v>1</v>
      </c>
      <c r="R209" s="4">
        <f>IF($J209="","",N209+P209)</f>
      </c>
      <c r="S209" s="4">
        <f>IF($J209="","",K209-L209-M209-N209-O209-P209-Q209)</f>
      </c>
      <c r="T209" s="4">
        <f>IF($J209="","",(S209-Z209)/I209*100)</f>
      </c>
      <c r="U209" s="4">
        <f>IF($J209="","",L209-R209)</f>
      </c>
      <c r="AA209" s="4">
        <f>IF($J209="","",S209-Z209)</f>
      </c>
    </row>
    <row r="210" spans="1:32" x14ac:dyDescent="0.25">
      <c r="A210" s="8"/>
      <c r="D210" s="9"/>
      <c r="I210" s="4"/>
      <c r="J210" s="4"/>
      <c r="K210" s="4">
        <f>IF($J210="","",J210-I210)</f>
      </c>
      <c r="L210" s="4">
        <f>IF($J210="","",K210*16.67%)</f>
      </c>
      <c r="M210" s="4">
        <f>IF($J210="","",J210*7%)</f>
      </c>
      <c r="N210" s="4">
        <f>IF($J210="","",M210*20%)</f>
      </c>
      <c r="O210" s="4"/>
      <c r="P210" s="4">
        <f>IF($J210="","",O210*20%)</f>
      </c>
      <c r="Q210" s="4">
        <v>1</v>
      </c>
      <c r="R210" s="4">
        <f>IF($J210="","",N210+P210)</f>
      </c>
      <c r="S210" s="4">
        <f>IF($J210="","",K210-L210-M210-N210-O210-P210-Q210)</f>
      </c>
      <c r="T210" s="4">
        <f>IF($J210="","",(S210-Z210)/I210*100)</f>
      </c>
      <c r="U210" s="4">
        <f>IF($J210="","",L210-R210)</f>
      </c>
      <c r="AA210" s="4">
        <f>IF($J210="","",S210-Z210)</f>
      </c>
    </row>
    <row r="211" spans="1:32" x14ac:dyDescent="0.25">
      <c r="A211" s="8"/>
      <c r="D211" s="9"/>
      <c r="I211" s="4"/>
      <c r="J211" s="4"/>
      <c r="K211" s="4">
        <f>IF($J211="","",J211-I211)</f>
      </c>
      <c r="L211" s="4">
        <f>IF($J211="","",K211*16.67%)</f>
      </c>
      <c r="M211" s="4">
        <f>IF($J211="","",J211*7%)</f>
      </c>
      <c r="N211" s="4">
        <f>IF($J211="","",M211*20%)</f>
      </c>
      <c r="O211" s="4"/>
      <c r="P211" s="4">
        <f>IF($J211="","",O211*20%)</f>
      </c>
      <c r="Q211" s="4">
        <v>1</v>
      </c>
      <c r="R211" s="4">
        <f>IF($J211="","",N211+P211)</f>
      </c>
      <c r="S211" s="4">
        <f>IF($J211="","",K211-L211-M211-N211-O211-P211-Q211)</f>
      </c>
      <c r="T211" s="4">
        <f>IF($J211="","",(S211-Z211)/I211*100)</f>
      </c>
      <c r="U211" s="4">
        <f>IF($J211="","",L211-R211)</f>
      </c>
      <c r="AA211" s="4">
        <f>IF($J211="","",S211-Z211)</f>
      </c>
    </row>
    <row r="212" spans="1:32" x14ac:dyDescent="0.25">
      <c r="A212" s="8"/>
      <c r="D212" s="9"/>
      <c r="I212" s="4"/>
      <c r="J212" s="4"/>
      <c r="K212" s="4">
        <f>IF($J212="","",J212-I212)</f>
      </c>
      <c r="L212" s="4">
        <f>IF($J212="","",K212*16.67%)</f>
      </c>
      <c r="M212" s="4">
        <f>IF($J212="","",J212*7%)</f>
      </c>
      <c r="N212" s="4">
        <f>IF($J212="","",M212*20%)</f>
      </c>
      <c r="O212" s="4"/>
      <c r="P212" s="4">
        <f>IF($J212="","",O212*20%)</f>
      </c>
      <c r="Q212" s="4">
        <v>1</v>
      </c>
      <c r="R212" s="4">
        <f>IF($J212="","",N212+P212)</f>
      </c>
      <c r="S212" s="4">
        <f>IF($J212="","",K212-L212-M212-N212-O212-P212-Q212)</f>
      </c>
      <c r="T212" s="4">
        <f>IF($J212="","",(S212-Z212)/I212*100)</f>
      </c>
      <c r="U212" s="4">
        <f>IF($J212="","",L212-R212)</f>
      </c>
      <c r="AA212" s="4">
        <f>IF($J212="","",S212-Z212)</f>
      </c>
    </row>
    <row r="213" spans="1:32" x14ac:dyDescent="0.25">
      <c r="A213" s="8"/>
      <c r="D213" s="9"/>
      <c r="I213" s="4"/>
      <c r="J213" s="4"/>
      <c r="K213" s="4">
        <f>IF($J213="","",J213-I213)</f>
      </c>
      <c r="L213" s="4">
        <f>IF($J213="","",K213*16.67%)</f>
      </c>
      <c r="M213" s="4">
        <f>IF($J213="","",J213*7%)</f>
      </c>
      <c r="N213" s="4">
        <f>IF($J213="","",M213*20%)</f>
      </c>
      <c r="O213" s="4"/>
      <c r="P213" s="4">
        <f>IF($J213="","",O213*20%)</f>
      </c>
      <c r="Q213" s="4">
        <v>1</v>
      </c>
      <c r="R213" s="4">
        <f>IF($J213="","",N213+P213)</f>
      </c>
      <c r="S213" s="4">
        <f>IF($J213="","",K213-L213-M213-N213-O213-P213-Q213)</f>
      </c>
      <c r="T213" s="4">
        <f>IF($J213="","",(S213-Z213)/I213*100)</f>
      </c>
      <c r="U213" s="4">
        <f>IF($J213="","",L213-R213)</f>
      </c>
      <c r="AA213" s="4">
        <f>IF($J213="","",S213-Z213)</f>
      </c>
    </row>
    <row r="214" spans="1:32" x14ac:dyDescent="0.25">
      <c r="A214" s="8"/>
      <c r="D214" s="9"/>
      <c r="I214" s="4"/>
      <c r="J214" s="4"/>
      <c r="K214" s="4">
        <f>IF($J214="","",J214-I214)</f>
      </c>
      <c r="L214" s="4">
        <f>IF($J214="","",K214*16.67%)</f>
      </c>
      <c r="M214" s="4">
        <f>IF($J214="","",J214*7%)</f>
      </c>
      <c r="N214" s="4">
        <f>IF($J214="","",M214*20%)</f>
      </c>
      <c r="O214" s="4"/>
      <c r="P214" s="4">
        <f>IF($J214="","",O214*20%)</f>
      </c>
      <c r="Q214" s="4">
        <v>1</v>
      </c>
      <c r="R214" s="4">
        <f>IF($J214="","",N214+P214)</f>
      </c>
      <c r="S214" s="4">
        <f>IF($J214="","",K214-L214-M214-N214-O214-P214-Q214)</f>
      </c>
      <c r="T214" s="4">
        <f>IF($J214="","",(S214-Z214)/I214*100)</f>
      </c>
      <c r="U214" s="4">
        <f>IF($J214="","",L214-R214)</f>
      </c>
      <c r="AA214" s="4">
        <f>IF($J214="","",S214-Z214)</f>
      </c>
    </row>
    <row r="215" spans="1:32" x14ac:dyDescent="0.25">
      <c r="A215" s="8"/>
      <c r="D215" s="9"/>
      <c r="I215" s="4"/>
      <c r="J215" s="4"/>
      <c r="K215" s="4">
        <f>IF($J215="","",J215-I215)</f>
      </c>
      <c r="L215" s="4">
        <f>IF($J215="","",K215*16.67%)</f>
      </c>
      <c r="M215" s="4">
        <f>IF($J215="","",J215*7%)</f>
      </c>
      <c r="N215" s="4">
        <f>IF($J215="","",M215*20%)</f>
      </c>
      <c r="O215" s="4"/>
      <c r="P215" s="4">
        <f>IF($J215="","",O215*20%)</f>
      </c>
      <c r="Q215" s="4">
        <v>1</v>
      </c>
      <c r="R215" s="4">
        <f>IF($J215="","",N215+P215)</f>
      </c>
      <c r="S215" s="4">
        <f>IF($J215="","",K215-L215-M215-N215-O215-P215-Q215)</f>
      </c>
      <c r="T215" s="4">
        <f>IF($J215="","",(S215-Z215)/I215*100)</f>
      </c>
      <c r="U215" s="4">
        <f>IF($J215="","",L215-R215)</f>
      </c>
      <c r="AA215" s="4">
        <f>IF($J215="","",S215-Z215)</f>
      </c>
    </row>
    <row r="216" spans="1:32" x14ac:dyDescent="0.25">
      <c r="A216" s="8"/>
      <c r="D216" s="9"/>
      <c r="I216" s="4"/>
      <c r="J216" s="4"/>
      <c r="K216" s="4">
        <f>IF($J216="","",J216-I216)</f>
      </c>
      <c r="L216" s="4">
        <f>IF($J216="","",K216*16.67%)</f>
      </c>
      <c r="M216" s="4">
        <f>IF($J216="","",J216*7%)</f>
      </c>
      <c r="N216" s="4">
        <f>IF($J216="","",M216*20%)</f>
      </c>
      <c r="O216" s="4"/>
      <c r="P216" s="4">
        <f>IF($J216="","",O216*20%)</f>
      </c>
      <c r="Q216" s="4">
        <v>1</v>
      </c>
      <c r="R216" s="4">
        <f>IF($J216="","",N216+P216)</f>
      </c>
      <c r="S216" s="4">
        <f>IF($J216="","",K216-L216-M216-N216-O216-P216-Q216)</f>
      </c>
      <c r="T216" s="4">
        <f>IF($J216="","",(S216-Z216)/I216*100)</f>
      </c>
      <c r="U216" s="4">
        <f>IF($J216="","",L216-R216)</f>
      </c>
      <c r="AA216" s="4">
        <f>IF($J216="","",S216-Z216)</f>
      </c>
    </row>
    <row r="217" spans="1:32" x14ac:dyDescent="0.25">
      <c r="A217" s="8"/>
      <c r="D217" s="9"/>
      <c r="I217" s="4"/>
      <c r="J217" s="4"/>
      <c r="K217" s="4">
        <f>IF($J217="","",J217-I217)</f>
      </c>
      <c r="L217" s="4">
        <f>IF($J217="","",K217*16.67%)</f>
      </c>
      <c r="M217" s="4">
        <f>IF($J217="","",J217*7%)</f>
      </c>
      <c r="N217" s="4">
        <f>IF($J217="","",M217*20%)</f>
      </c>
      <c r="O217" s="4"/>
      <c r="P217" s="4">
        <f>IF($J217="","",O217*20%)</f>
      </c>
      <c r="Q217" s="4">
        <v>1</v>
      </c>
      <c r="R217" s="4">
        <f>IF($J217="","",N217+P217)</f>
      </c>
      <c r="S217" s="4">
        <f>IF($J217="","",K217-L217-M217-N217-O217-P217-Q217)</f>
      </c>
      <c r="T217" s="4">
        <f>IF($J217="","",(S217-Z217)/I217*100)</f>
      </c>
      <c r="U217" s="4">
        <f>IF($J217="","",L217-R217)</f>
      </c>
      <c r="AA217" s="4">
        <f>IF($J217="","",S217-Z217)</f>
      </c>
    </row>
    <row r="218" spans="1:32" x14ac:dyDescent="0.25">
      <c r="A218" s="8"/>
      <c r="D218" s="9"/>
      <c r="I218" s="4"/>
      <c r="J218" s="4"/>
      <c r="K218" s="4">
        <f>IF($J218="","",J218-I218)</f>
      </c>
      <c r="L218" s="4">
        <f>IF($J218="","",K218*16.67%)</f>
      </c>
      <c r="M218" s="4">
        <f>IF($J218="","",J218*7%)</f>
      </c>
      <c r="N218" s="4">
        <f>IF($J218="","",M218*20%)</f>
      </c>
      <c r="O218" s="4"/>
      <c r="P218" s="4">
        <f>IF($J218="","",O218*20%)</f>
      </c>
      <c r="Q218" s="4">
        <v>1</v>
      </c>
      <c r="R218" s="4">
        <f>IF($J218="","",N218+P218)</f>
      </c>
      <c r="S218" s="4">
        <f>IF($J218="","",K218-L218-M218-N218-O218-P218-Q218)</f>
      </c>
      <c r="T218" s="4">
        <f>IF($J218="","",(S218-Z218)/I218*100)</f>
      </c>
      <c r="U218" s="4">
        <f>IF($J218="","",L218-R218)</f>
      </c>
      <c r="AA218" s="4">
        <f>IF($J218="","",S218-Z218)</f>
      </c>
    </row>
    <row r="219" spans="1:32" x14ac:dyDescent="0.25">
      <c r="A219" s="8"/>
      <c r="D219" s="9"/>
      <c r="I219" s="4"/>
      <c r="J219" s="4"/>
      <c r="K219" s="4">
        <f>IF($J219="","",J219-I219)</f>
      </c>
      <c r="L219" s="4">
        <f>IF($J219="","",K219*16.67%)</f>
      </c>
      <c r="M219" s="4">
        <f>IF($J219="","",J219*7%)</f>
      </c>
      <c r="N219" s="4">
        <f>IF($J219="","",M219*20%)</f>
      </c>
      <c r="O219" s="4"/>
      <c r="P219" s="4">
        <f>IF($J219="","",O219*20%)</f>
      </c>
      <c r="Q219" s="4">
        <v>1</v>
      </c>
      <c r="R219" s="4">
        <f>IF($J219="","",N219+P219)</f>
      </c>
      <c r="S219" s="4">
        <f>IF($J219="","",K219-L219-M219-N219-O219-P219-Q219)</f>
      </c>
      <c r="T219" s="4">
        <f>IF($J219="","",(S219-Z219)/I219*100)</f>
      </c>
      <c r="U219" s="4">
        <f>IF($J219="","",L219-R219)</f>
      </c>
      <c r="AA219" s="4">
        <f>IF($J219="","",S219-Z219)</f>
      </c>
    </row>
    <row r="220" spans="1:32" x14ac:dyDescent="0.25">
      <c r="A220" s="8"/>
      <c r="D220" s="9"/>
      <c r="I220" s="4"/>
      <c r="J220" s="4"/>
      <c r="K220" s="4">
        <f>IF($J220="","",J220-I220)</f>
      </c>
      <c r="L220" s="4">
        <f>IF($J220="","",K220*16.67%)</f>
      </c>
      <c r="M220" s="4">
        <f>IF($J220="","",J220*7%)</f>
      </c>
      <c r="N220" s="4">
        <f>IF($J220="","",M220*20%)</f>
      </c>
      <c r="O220" s="4"/>
      <c r="P220" s="4">
        <f>IF($J220="","",O220*20%)</f>
      </c>
      <c r="Q220" s="4">
        <v>1</v>
      </c>
      <c r="R220" s="4">
        <f>IF($J220="","",N220+P220)</f>
      </c>
      <c r="S220" s="4">
        <f>IF($J220="","",K220-L220-M220-N220-O220-P220-Q220)</f>
      </c>
      <c r="T220" s="4">
        <f>IF($J220="","",(S220-Z220)/I220*100)</f>
      </c>
      <c r="U220" s="4">
        <f>IF($J220="","",L220-R220)</f>
      </c>
      <c r="AA220" s="4">
        <f>IF($J220="","",S220-Z220)</f>
      </c>
    </row>
    <row r="221" spans="1:32" x14ac:dyDescent="0.25">
      <c r="A221" s="8"/>
      <c r="D221" s="9"/>
      <c r="I221" s="4"/>
      <c r="J221" s="4"/>
      <c r="K221" s="4">
        <f>IF($J221="","",J221-I221)</f>
      </c>
      <c r="L221" s="4">
        <f>IF($J221="","",K221*16.67%)</f>
      </c>
      <c r="M221" s="4">
        <f>IF($J221="","",J221*7%)</f>
      </c>
      <c r="N221" s="4">
        <f>IF($J221="","",M221*20%)</f>
      </c>
      <c r="O221" s="4"/>
      <c r="P221" s="4">
        <f>IF($J221="","",O221*20%)</f>
      </c>
      <c r="Q221" s="4">
        <v>1</v>
      </c>
      <c r="R221" s="4">
        <f>IF($J221="","",N221+P221)</f>
      </c>
      <c r="S221" s="4">
        <f>IF($J221="","",K221-L221-M221-N221-O221-P221-Q221)</f>
      </c>
      <c r="T221" s="4">
        <f>IF($J221="","",(S221-Z221)/I221*100)</f>
      </c>
      <c r="U221" s="4">
        <f>IF($J221="","",L221-R221)</f>
      </c>
      <c r="AA221" s="4">
        <f>IF($J221="","",S221-Z221)</f>
      </c>
    </row>
    <row r="222" spans="1:32" s="7" customFormat="1" x14ac:dyDescent="0.25">
      <c r="A222" s="3" t="s">
        <v>18</v>
      </c>
      <c r="B222" s="7"/>
      <c r="C222" s="7"/>
      <c r="D222" s="7"/>
      <c r="E222" s="7"/>
      <c r="F222" s="7"/>
      <c r="G222" s="7"/>
      <c r="H222" s="7"/>
      <c r="I222" s="10">
        <f>SUM(I2:I221)</f>
      </c>
      <c r="J222" s="10">
        <f>SUM(J2:J221)</f>
      </c>
      <c r="K222" s="10">
        <f>SUM(K2:K221)</f>
      </c>
      <c r="L222" s="10">
        <f>SUM(L2:L221)</f>
      </c>
      <c r="M222" s="10">
        <f>SUM(M2:M221)</f>
      </c>
      <c r="N222" s="10">
        <f>SUM(N2:N221)</f>
      </c>
      <c r="O222" s="10">
        <f>SUM(O2:O221)</f>
      </c>
      <c r="P222" s="10">
        <f>SUM(P2:P221)</f>
      </c>
      <c r="Q222" s="10">
        <f>SUM(Q2:Q221)</f>
      </c>
      <c r="R222" s="10">
        <f>SUM(R2:R221)</f>
      </c>
      <c r="S222" s="10">
        <f>SUM(S2:S221)</f>
      </c>
      <c r="T222" s="10">
        <f>IFERROR((S222-Z222)/I222*100,0)</f>
      </c>
      <c r="U222" s="10">
        <f>SUM(U2:U221)</f>
      </c>
      <c r="V222" s="10">
        <f>SUM(V2:V221)</f>
      </c>
      <c r="W222" s="10">
        <f>SUM(W2:W221)</f>
      </c>
      <c r="X222" s="10">
        <f>SUM(X2:X221)</f>
      </c>
      <c r="Y222" s="10">
        <f>SUM(Y2:Y221)</f>
      </c>
      <c r="Z222" s="10">
        <f>SUM(Z2:Z221)</f>
      </c>
      <c r="AA222" s="10">
        <f>SUM(AA2:AA221)</f>
      </c>
      <c r="AB222" s="7"/>
      <c r="AC222" s="7"/>
      <c r="AD222" s="7"/>
      <c r="AE222" s="7"/>
      <c r="AF22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2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290</v>
      </c>
      <c r="P1" t="s">
        <v>291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8">
        <v>46226.5</v>
      </c>
      <c r="B2" t="s">
        <v>292</v>
      </c>
      <c r="C2" t="s">
        <v>143</v>
      </c>
      <c r="D2" s="9" t="s">
        <v>293</v>
      </c>
      <c r="E2" t="s">
        <v>143</v>
      </c>
      <c r="F2" t="s">
        <v>66</v>
      </c>
      <c r="G2" t="s">
        <v>78</v>
      </c>
      <c r="H2" t="s">
        <v>73</v>
      </c>
      <c r="I2">
        <v>1</v>
      </c>
      <c r="J2" s="4">
        <v>417.16</v>
      </c>
      <c r="K2" s="4">
        <v>566.56</v>
      </c>
      <c r="L2" s="4">
        <f>K2-J2</f>
      </c>
      <c r="M2" s="4">
        <f>L2*16.67%</f>
      </c>
      <c r="N2" s="4">
        <f>K2*4.61%</f>
      </c>
      <c r="O2" s="4">
        <f>N2*20%</f>
      </c>
      <c r="P2" s="4">
        <f>N2+O2</f>
      </c>
      <c r="Q2" s="4">
        <v>6.3</v>
      </c>
      <c r="R2" s="4">
        <f>Q2*20%</f>
      </c>
      <c r="S2" s="4">
        <v>1</v>
      </c>
      <c r="T2" s="4">
        <f>R2</f>
      </c>
      <c r="U2" s="4">
        <f>L2-M2-N2-Q2-R2-S2</f>
      </c>
      <c r="V2" s="4">
        <f>(U2-AB2)/J2*100</f>
      </c>
      <c r="W2" s="4">
        <f>M2-T2</f>
      </c>
      <c r="AC2" s="4">
        <f>U2-AB2</f>
      </c>
      <c r="AH2" t="s">
        <v>1</v>
      </c>
    </row>
    <row r="3" spans="1:34" x14ac:dyDescent="0.25">
      <c r="A3" s="8">
        <v>46225.5</v>
      </c>
      <c r="B3" t="s">
        <v>294</v>
      </c>
      <c r="C3" t="s">
        <v>147</v>
      </c>
      <c r="D3" s="9" t="s">
        <v>295</v>
      </c>
      <c r="E3" t="s">
        <v>147</v>
      </c>
      <c r="F3" t="s">
        <v>129</v>
      </c>
      <c r="G3" t="s">
        <v>72</v>
      </c>
      <c r="H3" t="s">
        <v>73</v>
      </c>
      <c r="I3">
        <v>1</v>
      </c>
      <c r="J3" s="4">
        <v>263.11</v>
      </c>
      <c r="K3" s="4">
        <v>334.65</v>
      </c>
      <c r="L3" s="4">
        <f>K3-J3</f>
      </c>
      <c r="M3" s="4">
        <f>L3*16.67%</f>
      </c>
      <c r="N3" s="4">
        <f>K3*4.61%</f>
      </c>
      <c r="O3" s="4">
        <f>N3*20%</f>
      </c>
      <c r="P3" s="4">
        <f>N3+O3</f>
      </c>
      <c r="Q3" s="4">
        <v>2</v>
      </c>
      <c r="R3" s="4">
        <f>Q3*20%</f>
      </c>
      <c r="S3" s="4">
        <v>1</v>
      </c>
      <c r="T3" s="4">
        <f>R3</f>
      </c>
      <c r="U3" s="4">
        <f>L3-M3-N3-Q3-R3-S3</f>
      </c>
      <c r="V3" s="4">
        <f>(U3-AB3)/J3*100</f>
      </c>
      <c r="W3" s="4">
        <f>M3-T3</f>
      </c>
      <c r="AC3" s="4">
        <f>U3-AB3</f>
      </c>
      <c r="AH3" t="s">
        <v>1</v>
      </c>
    </row>
    <row r="4" spans="1:34" x14ac:dyDescent="0.25">
      <c r="A4" s="8">
        <v>46224.5</v>
      </c>
      <c r="B4" t="s">
        <v>296</v>
      </c>
      <c r="C4" t="s">
        <v>238</v>
      </c>
      <c r="D4" s="9" t="s">
        <v>297</v>
      </c>
      <c r="E4" t="s">
        <v>65</v>
      </c>
      <c r="F4" t="s">
        <v>83</v>
      </c>
      <c r="G4" t="s">
        <v>78</v>
      </c>
      <c r="H4" t="s">
        <v>73</v>
      </c>
      <c r="I4">
        <v>1</v>
      </c>
      <c r="J4" s="4">
        <v>484.06</v>
      </c>
      <c r="K4" s="4">
        <v>721.16</v>
      </c>
      <c r="L4" s="4">
        <f>K4-J4</f>
      </c>
      <c r="M4" s="4">
        <f>L4*16.67%</f>
      </c>
      <c r="N4" s="4">
        <f>K4*4.61%</f>
      </c>
      <c r="O4" s="4">
        <f>N4*20%</f>
      </c>
      <c r="P4" s="4">
        <f>N4+O4</f>
      </c>
      <c r="Q4" s="4">
        <v>2</v>
      </c>
      <c r="R4" s="4">
        <f>Q4*20%</f>
      </c>
      <c r="S4" s="4">
        <v>1</v>
      </c>
      <c r="T4" s="4">
        <f>R4</f>
      </c>
      <c r="U4" s="4">
        <f>L4-M4-N4-Q4-R4-S4</f>
      </c>
      <c r="V4" s="4">
        <f>(U4-AB4)/J4*100</f>
      </c>
      <c r="W4" s="4">
        <f>M4-T4</f>
      </c>
      <c r="AC4" s="4">
        <f>U4-AB4</f>
      </c>
      <c r="AH4" t="s">
        <v>1</v>
      </c>
    </row>
    <row r="5" spans="1:34" x14ac:dyDescent="0.25">
      <c r="A5" s="8">
        <v>46223.5</v>
      </c>
      <c r="B5" t="s">
        <v>298</v>
      </c>
      <c r="C5" t="s">
        <v>150</v>
      </c>
      <c r="D5" s="9" t="s">
        <v>299</v>
      </c>
      <c r="E5" t="s">
        <v>65</v>
      </c>
      <c r="F5" t="s">
        <v>77</v>
      </c>
      <c r="G5" t="s">
        <v>78</v>
      </c>
      <c r="H5" t="s">
        <v>79</v>
      </c>
      <c r="I5">
        <v>1</v>
      </c>
      <c r="J5" s="4">
        <v>529.23</v>
      </c>
      <c r="K5" s="4">
        <v>740.45</v>
      </c>
      <c r="L5" s="4">
        <f>K5-J5</f>
      </c>
      <c r="M5" s="4">
        <f>L5*16.67%</f>
      </c>
      <c r="N5" s="4">
        <f>K5*4.61%</f>
      </c>
      <c r="O5" s="4">
        <f>N5*20%</f>
      </c>
      <c r="P5" s="4">
        <f>N5+O5</f>
      </c>
      <c r="Q5" s="4">
        <v>8</v>
      </c>
      <c r="R5" s="4">
        <f>Q5*20%</f>
      </c>
      <c r="S5" s="4">
        <v>1</v>
      </c>
      <c r="T5" s="4">
        <f>R5</f>
      </c>
      <c r="U5" s="4">
        <f>L5-M5-N5-Q5-R5-S5</f>
      </c>
      <c r="V5" s="4">
        <f>(U5-AB5)/J5*100</f>
      </c>
      <c r="W5" s="4">
        <f>M5-T5</f>
      </c>
      <c r="AC5" s="4">
        <f>U5-AB5</f>
      </c>
      <c r="AH5" t="s">
        <v>1</v>
      </c>
    </row>
    <row r="6" spans="1:34" x14ac:dyDescent="0.25">
      <c r="A6" s="8">
        <v>46221.5</v>
      </c>
      <c r="B6" t="s">
        <v>300</v>
      </c>
      <c r="C6" t="s">
        <v>157</v>
      </c>
      <c r="D6" s="9" t="s">
        <v>301</v>
      </c>
      <c r="E6" t="s">
        <v>65</v>
      </c>
      <c r="F6" t="s">
        <v>83</v>
      </c>
      <c r="G6" t="s">
        <v>72</v>
      </c>
      <c r="H6" t="s">
        <v>73</v>
      </c>
      <c r="I6">
        <v>1</v>
      </c>
      <c r="J6" s="4">
        <v>227.85</v>
      </c>
      <c r="K6" s="4">
        <v>304.26</v>
      </c>
      <c r="L6" s="4">
        <f>K6-J6</f>
      </c>
      <c r="M6" s="4">
        <f>L6*16.67%</f>
      </c>
      <c r="N6" s="4">
        <f>K6*4.61%</f>
      </c>
      <c r="O6" s="4">
        <f>N6*20%</f>
      </c>
      <c r="P6" s="4">
        <f>N6+O6</f>
      </c>
      <c r="Q6" s="4">
        <v>8</v>
      </c>
      <c r="R6" s="4">
        <f>Q6*20%</f>
      </c>
      <c r="S6" s="4">
        <v>1</v>
      </c>
      <c r="T6" s="4">
        <f>R6</f>
      </c>
      <c r="U6" s="4">
        <f>L6-M6-N6-Q6-R6-S6</f>
      </c>
      <c r="V6" s="4">
        <f>(U6-AB6)/J6*100</f>
      </c>
      <c r="W6" s="4">
        <f>M6-T6</f>
      </c>
      <c r="AC6" s="4">
        <f>U6-AB6</f>
      </c>
      <c r="AH6" t="s">
        <v>1</v>
      </c>
    </row>
    <row r="7" spans="1:34" x14ac:dyDescent="0.25">
      <c r="A7" s="8">
        <v>46220.5</v>
      </c>
      <c r="B7" t="s">
        <v>302</v>
      </c>
      <c r="C7" t="s">
        <v>227</v>
      </c>
      <c r="D7" s="9" t="s">
        <v>303</v>
      </c>
      <c r="E7" t="s">
        <v>65</v>
      </c>
      <c r="F7" t="s">
        <v>87</v>
      </c>
      <c r="G7" t="s">
        <v>67</v>
      </c>
      <c r="H7" t="s">
        <v>73</v>
      </c>
      <c r="I7">
        <v>1</v>
      </c>
      <c r="J7" s="4">
        <v>197.28</v>
      </c>
      <c r="K7" s="4">
        <v>253.57</v>
      </c>
      <c r="L7" s="4">
        <f>K7-J7</f>
      </c>
      <c r="M7" s="4">
        <f>L7*16.67%</f>
      </c>
      <c r="N7" s="4">
        <f>K7*4.61%</f>
      </c>
      <c r="O7" s="4">
        <f>N7*20%</f>
      </c>
      <c r="P7" s="4">
        <f>N7+O7</f>
      </c>
      <c r="Q7" s="4">
        <v>8</v>
      </c>
      <c r="R7" s="4">
        <f>Q7*20%</f>
      </c>
      <c r="S7" s="4">
        <v>1</v>
      </c>
      <c r="T7" s="4">
        <f>R7</f>
      </c>
      <c r="U7" s="4">
        <f>L7-M7-N7-Q7-R7-S7</f>
      </c>
      <c r="V7" s="4">
        <f>(U7-AB7)/J7*100</f>
      </c>
      <c r="W7" s="4">
        <f>M7-T7</f>
      </c>
      <c r="AC7" s="4">
        <f>U7-AB7</f>
      </c>
      <c r="AH7" t="s">
        <v>1</v>
      </c>
    </row>
    <row r="8" spans="1:34" x14ac:dyDescent="0.25">
      <c r="A8" s="8">
        <v>46219.5</v>
      </c>
      <c r="B8" t="s">
        <v>304</v>
      </c>
      <c r="C8" t="s">
        <v>200</v>
      </c>
      <c r="D8" s="9" t="s">
        <v>305</v>
      </c>
      <c r="E8" t="s">
        <v>200</v>
      </c>
      <c r="F8" t="s">
        <v>77</v>
      </c>
      <c r="G8" t="s">
        <v>72</v>
      </c>
      <c r="H8" t="s">
        <v>73</v>
      </c>
      <c r="I8">
        <v>1</v>
      </c>
      <c r="J8" s="4">
        <v>268.59</v>
      </c>
      <c r="K8" s="4">
        <v>354.91</v>
      </c>
      <c r="L8" s="4">
        <f>K8-J8</f>
      </c>
      <c r="M8" s="4">
        <f>L8*16.67%</f>
      </c>
      <c r="N8" s="4">
        <f>K8*4.61%</f>
      </c>
      <c r="O8" s="4">
        <f>N8*20%</f>
      </c>
      <c r="P8" s="4">
        <f>N8+O8</f>
      </c>
      <c r="Q8" s="4">
        <v>8</v>
      </c>
      <c r="R8" s="4">
        <f>Q8*20%</f>
      </c>
      <c r="S8" s="4">
        <v>1</v>
      </c>
      <c r="T8" s="4">
        <f>R8</f>
      </c>
      <c r="U8" s="4">
        <f>L8-M8-N8-Q8-R8-S8</f>
      </c>
      <c r="V8" s="4">
        <f>(U8-AB8)/J8*100</f>
      </c>
      <c r="W8" s="4">
        <f>M8-T8</f>
      </c>
      <c r="AC8" s="4">
        <f>U8-AB8</f>
      </c>
      <c r="AH8" t="s">
        <v>1</v>
      </c>
    </row>
    <row r="9" spans="1:34" x14ac:dyDescent="0.25">
      <c r="A9" s="8">
        <v>46218.5</v>
      </c>
      <c r="B9" t="s">
        <v>306</v>
      </c>
      <c r="C9" t="s">
        <v>180</v>
      </c>
      <c r="D9" s="9" t="s">
        <v>307</v>
      </c>
      <c r="E9" t="s">
        <v>180</v>
      </c>
      <c r="F9" t="s">
        <v>95</v>
      </c>
      <c r="G9" t="s">
        <v>78</v>
      </c>
      <c r="H9" t="s">
        <v>91</v>
      </c>
      <c r="I9">
        <v>1</v>
      </c>
      <c r="J9" s="4">
        <v>450.57</v>
      </c>
      <c r="K9" s="4">
        <v>603.85</v>
      </c>
      <c r="L9" s="4">
        <f>K9-J9</f>
      </c>
      <c r="M9" s="4">
        <f>L9*16.67%</f>
      </c>
      <c r="N9" s="4">
        <f>K9*4.61%</f>
      </c>
      <c r="O9" s="4">
        <f>N9*20%</f>
      </c>
      <c r="P9" s="4">
        <f>N9+O9</f>
      </c>
      <c r="Q9" s="4">
        <v>2</v>
      </c>
      <c r="R9" s="4">
        <f>Q9*20%</f>
      </c>
      <c r="S9" s="4">
        <v>1</v>
      </c>
      <c r="T9" s="4">
        <f>R9</f>
      </c>
      <c r="U9" s="4">
        <f>L9-M9-N9-Q9-R9-S9</f>
      </c>
      <c r="V9" s="4">
        <f>(U9-AB9)/J9*100</f>
      </c>
      <c r="W9" s="4">
        <f>M9-T9</f>
      </c>
      <c r="AC9" s="4">
        <f>U9-AB9</f>
      </c>
      <c r="AH9" t="s">
        <v>1</v>
      </c>
    </row>
    <row r="10" spans="1:34" x14ac:dyDescent="0.25">
      <c r="A10" s="8">
        <v>46216.5</v>
      </c>
      <c r="B10" t="s">
        <v>308</v>
      </c>
      <c r="C10" t="s">
        <v>104</v>
      </c>
      <c r="D10" s="9" t="s">
        <v>105</v>
      </c>
      <c r="E10" t="s">
        <v>104</v>
      </c>
      <c r="F10" t="s">
        <v>77</v>
      </c>
      <c r="G10" t="s">
        <v>72</v>
      </c>
      <c r="H10" t="s">
        <v>68</v>
      </c>
      <c r="I10">
        <v>1</v>
      </c>
      <c r="J10" s="4">
        <v>246.21</v>
      </c>
      <c r="K10" s="4">
        <v>344.78</v>
      </c>
      <c r="L10" s="4">
        <f>K10-J10</f>
      </c>
      <c r="M10" s="4">
        <f>L10*16.67%</f>
      </c>
      <c r="N10" s="4">
        <f>K10*4.61%</f>
      </c>
      <c r="O10" s="4">
        <f>N10*20%</f>
      </c>
      <c r="P10" s="4">
        <f>N10+O10</f>
      </c>
      <c r="Q10" s="4">
        <v>6.3</v>
      </c>
      <c r="R10" s="4">
        <f>Q10*20%</f>
      </c>
      <c r="S10" s="4">
        <v>1</v>
      </c>
      <c r="T10" s="4">
        <f>R10</f>
      </c>
      <c r="U10" s="4">
        <f>L10-M10-N10-Q10-R10-S10</f>
      </c>
      <c r="V10" s="4">
        <f>(U10-AB10)/J10*100</f>
      </c>
      <c r="W10" s="4">
        <f>M10-T10</f>
      </c>
      <c r="AC10" s="4">
        <f>U10-AB10</f>
      </c>
      <c r="AH10" t="s">
        <v>1</v>
      </c>
    </row>
    <row r="11" spans="1:34" x14ac:dyDescent="0.25">
      <c r="A11" s="8">
        <v>46215.5</v>
      </c>
      <c r="B11" t="s">
        <v>309</v>
      </c>
      <c r="C11" t="s">
        <v>124</v>
      </c>
      <c r="D11" s="9" t="s">
        <v>310</v>
      </c>
      <c r="E11" t="s">
        <v>65</v>
      </c>
      <c r="F11" t="s">
        <v>102</v>
      </c>
      <c r="G11" t="s">
        <v>78</v>
      </c>
      <c r="H11" t="s">
        <v>91</v>
      </c>
      <c r="I11">
        <v>1</v>
      </c>
      <c r="J11" s="4">
        <v>507.95</v>
      </c>
      <c r="K11" s="4">
        <v>670.51</v>
      </c>
      <c r="L11" s="4">
        <f>K11-J11</f>
      </c>
      <c r="M11" s="4">
        <f>L11*16.67%</f>
      </c>
      <c r="N11" s="4">
        <f>K11*4.61%</f>
      </c>
      <c r="O11" s="4">
        <f>N11*20%</f>
      </c>
      <c r="P11" s="4">
        <f>N11+O11</f>
      </c>
      <c r="Q11" s="4">
        <v>8</v>
      </c>
      <c r="R11" s="4">
        <f>Q11*20%</f>
      </c>
      <c r="S11" s="4">
        <v>1</v>
      </c>
      <c r="T11" s="4">
        <f>R11</f>
      </c>
      <c r="U11" s="4">
        <f>L11-M11-N11-Q11-R11-S11</f>
      </c>
      <c r="V11" s="4">
        <f>(U11-AB11)/J11*100</f>
      </c>
      <c r="W11" s="4">
        <f>M11-T11</f>
      </c>
      <c r="AC11" s="4">
        <f>U11-AB11</f>
      </c>
      <c r="AH11" t="s">
        <v>1</v>
      </c>
    </row>
    <row r="12" spans="1:34" x14ac:dyDescent="0.25">
      <c r="A12" s="8">
        <v>46214.5</v>
      </c>
      <c r="B12" t="s">
        <v>311</v>
      </c>
      <c r="C12" t="s">
        <v>112</v>
      </c>
      <c r="D12" s="9" t="s">
        <v>312</v>
      </c>
      <c r="E12" t="s">
        <v>65</v>
      </c>
      <c r="F12" t="s">
        <v>87</v>
      </c>
      <c r="G12" t="s">
        <v>72</v>
      </c>
      <c r="H12" t="s">
        <v>79</v>
      </c>
      <c r="I12">
        <v>1</v>
      </c>
      <c r="J12" s="4">
        <v>305.4</v>
      </c>
      <c r="K12" s="4">
        <v>390.8</v>
      </c>
      <c r="L12" s="4">
        <f>K12-J12</f>
      </c>
      <c r="M12" s="4">
        <f>L12*16.67%</f>
      </c>
      <c r="N12" s="4">
        <f>K12*4.61%</f>
      </c>
      <c r="O12" s="4">
        <f>N12*20%</f>
      </c>
      <c r="P12" s="4">
        <f>N12+O12</f>
      </c>
      <c r="Q12" s="4">
        <v>8</v>
      </c>
      <c r="R12" s="4">
        <f>Q12*20%</f>
      </c>
      <c r="S12" s="4">
        <v>1</v>
      </c>
      <c r="T12" s="4">
        <f>R12</f>
      </c>
      <c r="U12" s="4">
        <f>L12-M12-N12-Q12-R12-S12</f>
      </c>
      <c r="V12" s="4">
        <f>(U12-AB12)/J12*100</f>
      </c>
      <c r="W12" s="4">
        <f>M12-T12</f>
      </c>
      <c r="AC12" s="4">
        <f>U12-AB12</f>
      </c>
      <c r="AH12" t="s">
        <v>1</v>
      </c>
    </row>
    <row r="13" spans="1:34" x14ac:dyDescent="0.25">
      <c r="A13" s="8">
        <v>46213.5</v>
      </c>
      <c r="B13" t="s">
        <v>313</v>
      </c>
      <c r="C13" t="s">
        <v>93</v>
      </c>
      <c r="D13" s="9" t="s">
        <v>314</v>
      </c>
      <c r="E13" t="s">
        <v>65</v>
      </c>
      <c r="F13" t="s">
        <v>95</v>
      </c>
      <c r="G13" t="s">
        <v>72</v>
      </c>
      <c r="H13" t="s">
        <v>79</v>
      </c>
      <c r="I13">
        <v>1</v>
      </c>
      <c r="J13" s="4">
        <v>229.85</v>
      </c>
      <c r="K13" s="4">
        <v>322.37</v>
      </c>
      <c r="L13" s="4">
        <f>K13-J13</f>
      </c>
      <c r="M13" s="4">
        <f>L13*16.67%</f>
      </c>
      <c r="N13" s="4">
        <f>K13*4.61%</f>
      </c>
      <c r="O13" s="4">
        <f>N13*20%</f>
      </c>
      <c r="P13" s="4">
        <f>N13+O13</f>
      </c>
      <c r="Q13" s="4">
        <v>8</v>
      </c>
      <c r="R13" s="4">
        <f>Q13*20%</f>
      </c>
      <c r="S13" s="4">
        <v>1</v>
      </c>
      <c r="T13" s="4">
        <f>R13</f>
      </c>
      <c r="U13" s="4">
        <f>L13-M13-N13-Q13-R13-S13</f>
      </c>
      <c r="V13" s="4">
        <f>(U13-AB13)/J13*100</f>
      </c>
      <c r="W13" s="4">
        <f>M13-T13</f>
      </c>
      <c r="AC13" s="4">
        <f>U13-AB13</f>
      </c>
      <c r="AH13" t="s">
        <v>1</v>
      </c>
    </row>
    <row r="14" spans="1:34" x14ac:dyDescent="0.25">
      <c r="A14" s="8">
        <v>46211.5</v>
      </c>
      <c r="B14" t="s">
        <v>315</v>
      </c>
      <c r="C14" t="s">
        <v>230</v>
      </c>
      <c r="D14" s="9" t="s">
        <v>316</v>
      </c>
      <c r="E14" t="s">
        <v>230</v>
      </c>
      <c r="F14" t="s">
        <v>95</v>
      </c>
      <c r="G14" t="s">
        <v>72</v>
      </c>
      <c r="H14" t="s">
        <v>73</v>
      </c>
      <c r="I14">
        <v>1</v>
      </c>
      <c r="J14" s="4">
        <v>262.14</v>
      </c>
      <c r="K14" s="4">
        <v>338.57</v>
      </c>
      <c r="L14" s="4">
        <f>K14-J14</f>
      </c>
      <c r="M14" s="4">
        <f>L14*16.67%</f>
      </c>
      <c r="N14" s="4">
        <f>K14*4.61%</f>
      </c>
      <c r="O14" s="4">
        <f>N14*20%</f>
      </c>
      <c r="P14" s="4">
        <f>N14+O14</f>
      </c>
      <c r="Q14" s="4">
        <v>6.3</v>
      </c>
      <c r="R14" s="4">
        <f>Q14*20%</f>
      </c>
      <c r="S14" s="4">
        <v>1</v>
      </c>
      <c r="T14" s="4">
        <f>R14</f>
      </c>
      <c r="U14" s="4">
        <f>L14-M14-N14-Q14-R14-S14</f>
      </c>
      <c r="V14" s="4">
        <f>(U14-AB14)/J14*100</f>
      </c>
      <c r="W14" s="4">
        <f>M14-T14</f>
      </c>
      <c r="AC14" s="4">
        <f>U14-AB14</f>
      </c>
      <c r="AH14" t="s">
        <v>1</v>
      </c>
    </row>
    <row r="15" spans="1:34" x14ac:dyDescent="0.25">
      <c r="A15" s="8">
        <v>46210.5</v>
      </c>
      <c r="B15" t="s">
        <v>317</v>
      </c>
      <c r="C15" t="s">
        <v>75</v>
      </c>
      <c r="D15" s="9" t="s">
        <v>318</v>
      </c>
      <c r="E15" t="s">
        <v>75</v>
      </c>
      <c r="F15" t="s">
        <v>77</v>
      </c>
      <c r="G15" t="s">
        <v>78</v>
      </c>
      <c r="H15" t="s">
        <v>68</v>
      </c>
      <c r="I15">
        <v>1</v>
      </c>
      <c r="J15" s="4">
        <v>405.86</v>
      </c>
      <c r="K15" s="4">
        <v>574.95</v>
      </c>
      <c r="L15" s="4">
        <f>K15-J15</f>
      </c>
      <c r="M15" s="4">
        <f>L15*16.67%</f>
      </c>
      <c r="N15" s="4">
        <f>K15*4.61%</f>
      </c>
      <c r="O15" s="4">
        <f>N15*20%</f>
      </c>
      <c r="P15" s="4">
        <f>N15+O15</f>
      </c>
      <c r="Q15" s="4">
        <v>8</v>
      </c>
      <c r="R15" s="4">
        <f>Q15*20%</f>
      </c>
      <c r="S15" s="4">
        <v>1</v>
      </c>
      <c r="T15" s="4">
        <f>R15</f>
      </c>
      <c r="U15" s="4">
        <f>L15-M15-N15-Q15-R15-S15</f>
      </c>
      <c r="V15" s="4">
        <f>(U15-AB15)/J15*100</f>
      </c>
      <c r="W15" s="4">
        <f>M15-T15</f>
      </c>
      <c r="AC15" s="4">
        <f>U15-AB15</f>
      </c>
      <c r="AH15" t="s">
        <v>1</v>
      </c>
    </row>
    <row r="16" spans="1:34" x14ac:dyDescent="0.25">
      <c r="A16" s="8">
        <v>46209.5</v>
      </c>
      <c r="B16" t="s">
        <v>319</v>
      </c>
      <c r="C16" t="s">
        <v>107</v>
      </c>
      <c r="D16" s="9" t="s">
        <v>320</v>
      </c>
      <c r="E16" t="s">
        <v>107</v>
      </c>
      <c r="F16" t="s">
        <v>95</v>
      </c>
      <c r="G16" t="s">
        <v>72</v>
      </c>
      <c r="H16" t="s">
        <v>68</v>
      </c>
      <c r="I16">
        <v>1</v>
      </c>
      <c r="J16" s="4">
        <v>253.86</v>
      </c>
      <c r="K16" s="4">
        <v>371.8</v>
      </c>
      <c r="L16" s="4">
        <f>K16-J16</f>
      </c>
      <c r="M16" s="4">
        <f>L16*16.67%</f>
      </c>
      <c r="N16" s="4">
        <f>K16*4.61%</f>
      </c>
      <c r="O16" s="4">
        <f>N16*20%</f>
      </c>
      <c r="P16" s="4">
        <f>N16+O16</f>
      </c>
      <c r="Q16" s="4">
        <v>8</v>
      </c>
      <c r="R16" s="4">
        <f>Q16*20%</f>
      </c>
      <c r="S16" s="4">
        <v>1</v>
      </c>
      <c r="T16" s="4">
        <f>R16</f>
      </c>
      <c r="U16" s="4">
        <f>L16-M16-N16-Q16-R16-S16</f>
      </c>
      <c r="V16" s="4">
        <f>(U16-AB16)/J16*100</f>
      </c>
      <c r="W16" s="4">
        <f>M16-T16</f>
      </c>
      <c r="AC16" s="4">
        <f>U16-AB16</f>
      </c>
      <c r="AH16" t="s">
        <v>1</v>
      </c>
    </row>
    <row r="17" spans="1:34" x14ac:dyDescent="0.25">
      <c r="A17" s="8">
        <v>46208.5</v>
      </c>
      <c r="B17" t="s">
        <v>321</v>
      </c>
      <c r="C17" t="s">
        <v>235</v>
      </c>
      <c r="D17" s="9" t="s">
        <v>322</v>
      </c>
      <c r="E17" t="s">
        <v>65</v>
      </c>
      <c r="F17" t="s">
        <v>145</v>
      </c>
      <c r="G17" t="s">
        <v>78</v>
      </c>
      <c r="H17" t="s">
        <v>68</v>
      </c>
      <c r="I17">
        <v>1</v>
      </c>
      <c r="J17" s="4">
        <v>459.49</v>
      </c>
      <c r="K17" s="4">
        <v>653.1</v>
      </c>
      <c r="L17" s="4">
        <f>K17-J17</f>
      </c>
      <c r="M17" s="4">
        <f>L17*16.67%</f>
      </c>
      <c r="N17" s="4">
        <f>K17*4.61%</f>
      </c>
      <c r="O17" s="4">
        <f>N17*20%</f>
      </c>
      <c r="P17" s="4">
        <f>N17+O17</f>
      </c>
      <c r="Q17" s="4">
        <v>2</v>
      </c>
      <c r="R17" s="4">
        <f>Q17*20%</f>
      </c>
      <c r="S17" s="4">
        <v>1</v>
      </c>
      <c r="T17" s="4">
        <f>R17</f>
      </c>
      <c r="U17" s="4">
        <f>L17-M17-N17-Q17-R17-S17</f>
      </c>
      <c r="V17" s="4">
        <f>(U17-AB17)/J17*100</f>
      </c>
      <c r="W17" s="4">
        <f>M17-T17</f>
      </c>
      <c r="AC17" s="4">
        <f>U17-AB17</f>
      </c>
      <c r="AH17" t="s">
        <v>1</v>
      </c>
    </row>
    <row r="18" spans="1:34" x14ac:dyDescent="0.25">
      <c r="A18" s="8">
        <v>46207.5</v>
      </c>
      <c r="B18" t="s">
        <v>323</v>
      </c>
      <c r="C18" t="s">
        <v>124</v>
      </c>
      <c r="D18" s="9" t="s">
        <v>324</v>
      </c>
      <c r="E18" t="s">
        <v>65</v>
      </c>
      <c r="F18" t="s">
        <v>66</v>
      </c>
      <c r="G18" t="s">
        <v>78</v>
      </c>
      <c r="H18" t="s">
        <v>91</v>
      </c>
      <c r="I18">
        <v>1</v>
      </c>
      <c r="J18" s="4">
        <v>517.1</v>
      </c>
      <c r="K18" s="4">
        <v>708.95</v>
      </c>
      <c r="L18" s="4">
        <f>K18-J18</f>
      </c>
      <c r="M18" s="4">
        <f>L18*16.67%</f>
      </c>
      <c r="N18" s="4">
        <f>K18*4.61%</f>
      </c>
      <c r="O18" s="4">
        <f>N18*20%</f>
      </c>
      <c r="P18" s="4">
        <f>N18+O18</f>
      </c>
      <c r="Q18" s="4">
        <v>2</v>
      </c>
      <c r="R18" s="4">
        <f>Q18*20%</f>
      </c>
      <c r="S18" s="4">
        <v>1</v>
      </c>
      <c r="T18" s="4">
        <f>R18</f>
      </c>
      <c r="U18" s="4">
        <f>L18-M18-N18-Q18-R18-S18</f>
      </c>
      <c r="V18" s="4">
        <f>(U18-AB18)/J18*100</f>
      </c>
      <c r="W18" s="4">
        <f>M18-T18</f>
      </c>
      <c r="AC18" s="4">
        <f>U18-AB18</f>
      </c>
      <c r="AH18" t="s">
        <v>1</v>
      </c>
    </row>
    <row r="19" spans="1:34" x14ac:dyDescent="0.25">
      <c r="A19" s="8">
        <v>46206.5</v>
      </c>
      <c r="B19" t="s">
        <v>325</v>
      </c>
      <c r="C19" t="s">
        <v>172</v>
      </c>
      <c r="D19" s="9" t="s">
        <v>326</v>
      </c>
      <c r="E19" t="s">
        <v>65</v>
      </c>
      <c r="F19" t="s">
        <v>145</v>
      </c>
      <c r="G19" t="s">
        <v>72</v>
      </c>
      <c r="H19" t="s">
        <v>68</v>
      </c>
      <c r="I19">
        <v>1</v>
      </c>
      <c r="J19" s="4">
        <v>334.66</v>
      </c>
      <c r="K19" s="4">
        <v>466.67</v>
      </c>
      <c r="L19" s="4">
        <f>K19-J19</f>
      </c>
      <c r="M19" s="4">
        <f>L19*16.67%</f>
      </c>
      <c r="N19" s="4">
        <f>K19*4.61%</f>
      </c>
      <c r="O19" s="4">
        <f>N19*20%</f>
      </c>
      <c r="P19" s="4">
        <f>N19+O19</f>
      </c>
      <c r="Q19" s="4">
        <v>8</v>
      </c>
      <c r="R19" s="4">
        <f>Q19*20%</f>
      </c>
      <c r="S19" s="4">
        <v>1</v>
      </c>
      <c r="T19" s="4">
        <f>R19</f>
      </c>
      <c r="U19" s="4">
        <f>L19-M19-N19-Q19-R19-S19</f>
      </c>
      <c r="V19" s="4">
        <f>(U19-AB19)/J19*100</f>
      </c>
      <c r="W19" s="4">
        <f>M19-T19</f>
      </c>
      <c r="AC19" s="4">
        <f>U19-AB19</f>
      </c>
      <c r="AH19" t="s">
        <v>1</v>
      </c>
    </row>
    <row r="20" spans="1:34" x14ac:dyDescent="0.25">
      <c r="A20" s="8">
        <v>46205.5</v>
      </c>
      <c r="B20" t="s">
        <v>327</v>
      </c>
      <c r="C20" t="s">
        <v>153</v>
      </c>
      <c r="D20" s="9" t="s">
        <v>289</v>
      </c>
      <c r="E20" t="s">
        <v>65</v>
      </c>
      <c r="F20" t="s">
        <v>102</v>
      </c>
      <c r="G20" t="s">
        <v>72</v>
      </c>
      <c r="H20" t="s">
        <v>68</v>
      </c>
      <c r="I20">
        <v>1</v>
      </c>
      <c r="J20" s="4">
        <v>232.81</v>
      </c>
      <c r="K20" s="4">
        <v>319.12</v>
      </c>
      <c r="L20" s="4">
        <f>K20-J20</f>
      </c>
      <c r="M20" s="4">
        <f>L20*16.67%</f>
      </c>
      <c r="N20" s="4">
        <f>K20*4.61%</f>
      </c>
      <c r="O20" s="4">
        <f>N20*20%</f>
      </c>
      <c r="P20" s="4">
        <f>N20+O20</f>
      </c>
      <c r="Q20" s="4">
        <v>8</v>
      </c>
      <c r="R20" s="4">
        <f>Q20*20%</f>
      </c>
      <c r="S20" s="4">
        <v>1</v>
      </c>
      <c r="T20" s="4">
        <f>R20</f>
      </c>
      <c r="U20" s="4">
        <f>L20-M20-N20-Q20-R20-S20</f>
      </c>
      <c r="V20" s="4">
        <f>(U20-AB20)/J20*100</f>
      </c>
      <c r="W20" s="4">
        <f>M20-T20</f>
      </c>
      <c r="AC20" s="4">
        <f>U20-AB20</f>
      </c>
      <c r="AH20" t="s">
        <v>1</v>
      </c>
    </row>
    <row r="21" spans="1:34" x14ac:dyDescent="0.25">
      <c r="A21" s="8">
        <v>46204.5</v>
      </c>
      <c r="B21" t="s">
        <v>328</v>
      </c>
      <c r="C21" t="s">
        <v>131</v>
      </c>
      <c r="D21" s="9" t="s">
        <v>132</v>
      </c>
      <c r="E21" t="s">
        <v>65</v>
      </c>
      <c r="F21" t="s">
        <v>133</v>
      </c>
      <c r="G21" t="s">
        <v>72</v>
      </c>
      <c r="H21" t="s">
        <v>91</v>
      </c>
      <c r="I21">
        <v>1</v>
      </c>
      <c r="J21" s="4">
        <v>233.36</v>
      </c>
      <c r="K21" s="4">
        <v>306.12</v>
      </c>
      <c r="L21" s="4">
        <f>K21-J21</f>
      </c>
      <c r="M21" s="4">
        <f>L21*16.67%</f>
      </c>
      <c r="N21" s="4">
        <f>K21*4.61%</f>
      </c>
      <c r="O21" s="4">
        <f>N21*20%</f>
      </c>
      <c r="P21" s="4">
        <f>N21+O21</f>
      </c>
      <c r="Q21" s="4">
        <v>8</v>
      </c>
      <c r="R21" s="4">
        <f>Q21*20%</f>
      </c>
      <c r="S21" s="4">
        <v>1</v>
      </c>
      <c r="T21" s="4">
        <f>R21</f>
      </c>
      <c r="U21" s="4">
        <f>L21-M21-N21-Q21-R21-S21</f>
      </c>
      <c r="V21" s="4">
        <f>(U21-AB21)/J21*100</f>
      </c>
      <c r="W21" s="4">
        <f>M21-T21</f>
      </c>
      <c r="AC21" s="4">
        <f>U21-AB21</f>
      </c>
      <c r="AH21" t="s">
        <v>1</v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IF($K202="","",K202*3.96%)</f>
      </c>
      <c r="O202" s="4">
        <f>IF($K202="","",N202*20%)</f>
      </c>
      <c r="P202" s="4">
        <f>IF($K202="","",N202+O202)</f>
      </c>
      <c r="Q202" s="4"/>
      <c r="R202" s="4">
        <f>IF($K202="","",Q202*20%)</f>
      </c>
      <c r="S202" s="4">
        <v>1</v>
      </c>
      <c r="T202" s="4">
        <f>IF($K202="","",R202)</f>
      </c>
      <c r="U202" s="4">
        <f>IF($K202="","",L202-M202-N202-Q202-R202-S202)</f>
      </c>
      <c r="V202" s="4">
        <f>IF($K202="","",(U202-AB202)/J202*100)</f>
      </c>
      <c r="W202" s="4">
        <f>IF($K202="","",M202-T202)</f>
      </c>
      <c r="AC202" s="4">
        <f>IF($K202="","",U202-AB202)</f>
      </c>
    </row>
    <row r="203" spans="1:34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IF($K203="","",K203*3.96%)</f>
      </c>
      <c r="O203" s="4">
        <f>IF($K203="","",N203*20%)</f>
      </c>
      <c r="P203" s="4">
        <f>IF($K203="","",N203+O203)</f>
      </c>
      <c r="Q203" s="4"/>
      <c r="R203" s="4">
        <f>IF($K203="","",Q203*20%)</f>
      </c>
      <c r="S203" s="4">
        <v>1</v>
      </c>
      <c r="T203" s="4">
        <f>IF($K203="","",R203)</f>
      </c>
      <c r="U203" s="4">
        <f>IF($K203="","",L203-M203-N203-Q203-R203-S203)</f>
      </c>
      <c r="V203" s="4">
        <f>IF($K203="","",(U203-AB203)/J203*100)</f>
      </c>
      <c r="W203" s="4">
        <f>IF($K203="","",M203-T203)</f>
      </c>
      <c r="AC203" s="4">
        <f>IF($K203="","",U203-AB203)</f>
      </c>
    </row>
    <row r="204" spans="1:34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IF($K204="","",K204*3.96%)</f>
      </c>
      <c r="O204" s="4">
        <f>IF($K204="","",N204*20%)</f>
      </c>
      <c r="P204" s="4">
        <f>IF($K204="","",N204+O204)</f>
      </c>
      <c r="Q204" s="4"/>
      <c r="R204" s="4">
        <f>IF($K204="","",Q204*20%)</f>
      </c>
      <c r="S204" s="4">
        <v>1</v>
      </c>
      <c r="T204" s="4">
        <f>IF($K204="","",R204)</f>
      </c>
      <c r="U204" s="4">
        <f>IF($K204="","",L204-M204-N204-Q204-R204-S204)</f>
      </c>
      <c r="V204" s="4">
        <f>IF($K204="","",(U204-AB204)/J204*100)</f>
      </c>
      <c r="W204" s="4">
        <f>IF($K204="","",M204-T204)</f>
      </c>
      <c r="AC204" s="4">
        <f>IF($K204="","",U204-AB204)</f>
      </c>
    </row>
    <row r="205" spans="1:34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IF($K205="","",K205*3.96%)</f>
      </c>
      <c r="O205" s="4">
        <f>IF($K205="","",N205*20%)</f>
      </c>
      <c r="P205" s="4">
        <f>IF($K205="","",N205+O205)</f>
      </c>
      <c r="Q205" s="4"/>
      <c r="R205" s="4">
        <f>IF($K205="","",Q205*20%)</f>
      </c>
      <c r="S205" s="4">
        <v>1</v>
      </c>
      <c r="T205" s="4">
        <f>IF($K205="","",R205)</f>
      </c>
      <c r="U205" s="4">
        <f>IF($K205="","",L205-M205-N205-Q205-R205-S205)</f>
      </c>
      <c r="V205" s="4">
        <f>IF($K205="","",(U205-AB205)/J205*100)</f>
      </c>
      <c r="W205" s="4">
        <f>IF($K205="","",M205-T205)</f>
      </c>
      <c r="AC205" s="4">
        <f>IF($K205="","",U205-AB205)</f>
      </c>
    </row>
    <row r="206" spans="1:34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IF($K206="","",K206*3.96%)</f>
      </c>
      <c r="O206" s="4">
        <f>IF($K206="","",N206*20%)</f>
      </c>
      <c r="P206" s="4">
        <f>IF($K206="","",N206+O206)</f>
      </c>
      <c r="Q206" s="4"/>
      <c r="R206" s="4">
        <f>IF($K206="","",Q206*20%)</f>
      </c>
      <c r="S206" s="4">
        <v>1</v>
      </c>
      <c r="T206" s="4">
        <f>IF($K206="","",R206)</f>
      </c>
      <c r="U206" s="4">
        <f>IF($K206="","",L206-M206-N206-Q206-R206-S206)</f>
      </c>
      <c r="V206" s="4">
        <f>IF($K206="","",(U206-AB206)/J206*100)</f>
      </c>
      <c r="W206" s="4">
        <f>IF($K206="","",M206-T206)</f>
      </c>
      <c r="AC206" s="4">
        <f>IF($K206="","",U206-AB206)</f>
      </c>
    </row>
    <row r="207" spans="1:34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IF($K207="","",K207*3.96%)</f>
      </c>
      <c r="O207" s="4">
        <f>IF($K207="","",N207*20%)</f>
      </c>
      <c r="P207" s="4">
        <f>IF($K207="","",N207+O207)</f>
      </c>
      <c r="Q207" s="4"/>
      <c r="R207" s="4">
        <f>IF($K207="","",Q207*20%)</f>
      </c>
      <c r="S207" s="4">
        <v>1</v>
      </c>
      <c r="T207" s="4">
        <f>IF($K207="","",R207)</f>
      </c>
      <c r="U207" s="4">
        <f>IF($K207="","",L207-M207-N207-Q207-R207-S207)</f>
      </c>
      <c r="V207" s="4">
        <f>IF($K207="","",(U207-AB207)/J207*100)</f>
      </c>
      <c r="W207" s="4">
        <f>IF($K207="","",M207-T207)</f>
      </c>
      <c r="AC207" s="4">
        <f>IF($K207="","",U207-AB207)</f>
      </c>
    </row>
    <row r="208" spans="1:34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IF($K208="","",K208*3.96%)</f>
      </c>
      <c r="O208" s="4">
        <f>IF($K208="","",N208*20%)</f>
      </c>
      <c r="P208" s="4">
        <f>IF($K208="","",N208+O208)</f>
      </c>
      <c r="Q208" s="4"/>
      <c r="R208" s="4">
        <f>IF($K208="","",Q208*20%)</f>
      </c>
      <c r="S208" s="4">
        <v>1</v>
      </c>
      <c r="T208" s="4">
        <f>IF($K208="","",R208)</f>
      </c>
      <c r="U208" s="4">
        <f>IF($K208="","",L208-M208-N208-Q208-R208-S208)</f>
      </c>
      <c r="V208" s="4">
        <f>IF($K208="","",(U208-AB208)/J208*100)</f>
      </c>
      <c r="W208" s="4">
        <f>IF($K208="","",M208-T208)</f>
      </c>
      <c r="AC208" s="4">
        <f>IF($K208="","",U208-AB208)</f>
      </c>
    </row>
    <row r="209" spans="1:34" x14ac:dyDescent="0.25">
      <c r="A209" s="8"/>
      <c r="D209" s="9"/>
      <c r="J209" s="4"/>
      <c r="K209" s="4"/>
      <c r="L209" s="4">
        <f>IF($K209="","",K209-J209)</f>
      </c>
      <c r="M209" s="4">
        <f>IF($K209="","",L209*16.67%)</f>
      </c>
      <c r="N209" s="4">
        <f>IF($K209="","",K209*3.96%)</f>
      </c>
      <c r="O209" s="4">
        <f>IF($K209="","",N209*20%)</f>
      </c>
      <c r="P209" s="4">
        <f>IF($K209="","",N209+O209)</f>
      </c>
      <c r="Q209" s="4"/>
      <c r="R209" s="4">
        <f>IF($K209="","",Q209*20%)</f>
      </c>
      <c r="S209" s="4">
        <v>1</v>
      </c>
      <c r="T209" s="4">
        <f>IF($K209="","",R209)</f>
      </c>
      <c r="U209" s="4">
        <f>IF($K209="","",L209-M209-N209-Q209-R209-S209)</f>
      </c>
      <c r="V209" s="4">
        <f>IF($K209="","",(U209-AB209)/J209*100)</f>
      </c>
      <c r="W209" s="4">
        <f>IF($K209="","",M209-T209)</f>
      </c>
      <c r="AC209" s="4">
        <f>IF($K209="","",U209-AB209)</f>
      </c>
    </row>
    <row r="210" spans="1:34" x14ac:dyDescent="0.25">
      <c r="A210" s="8"/>
      <c r="D210" s="9"/>
      <c r="J210" s="4"/>
      <c r="K210" s="4"/>
      <c r="L210" s="4">
        <f>IF($K210="","",K210-J210)</f>
      </c>
      <c r="M210" s="4">
        <f>IF($K210="","",L210*16.67%)</f>
      </c>
      <c r="N210" s="4">
        <f>IF($K210="","",K210*3.96%)</f>
      </c>
      <c r="O210" s="4">
        <f>IF($K210="","",N210*20%)</f>
      </c>
      <c r="P210" s="4">
        <f>IF($K210="","",N210+O210)</f>
      </c>
      <c r="Q210" s="4"/>
      <c r="R210" s="4">
        <f>IF($K210="","",Q210*20%)</f>
      </c>
      <c r="S210" s="4">
        <v>1</v>
      </c>
      <c r="T210" s="4">
        <f>IF($K210="","",R210)</f>
      </c>
      <c r="U210" s="4">
        <f>IF($K210="","",L210-M210-N210-Q210-R210-S210)</f>
      </c>
      <c r="V210" s="4">
        <f>IF($K210="","",(U210-AB210)/J210*100)</f>
      </c>
      <c r="W210" s="4">
        <f>IF($K210="","",M210-T210)</f>
      </c>
      <c r="AC210" s="4">
        <f>IF($K210="","",U210-AB210)</f>
      </c>
    </row>
    <row r="211" spans="1:34" x14ac:dyDescent="0.25">
      <c r="A211" s="8"/>
      <c r="D211" s="9"/>
      <c r="J211" s="4"/>
      <c r="K211" s="4"/>
      <c r="L211" s="4">
        <f>IF($K211="","",K211-J211)</f>
      </c>
      <c r="M211" s="4">
        <f>IF($K211="","",L211*16.67%)</f>
      </c>
      <c r="N211" s="4">
        <f>IF($K211="","",K211*3.96%)</f>
      </c>
      <c r="O211" s="4">
        <f>IF($K211="","",N211*20%)</f>
      </c>
      <c r="P211" s="4">
        <f>IF($K211="","",N211+O211)</f>
      </c>
      <c r="Q211" s="4"/>
      <c r="R211" s="4">
        <f>IF($K211="","",Q211*20%)</f>
      </c>
      <c r="S211" s="4">
        <v>1</v>
      </c>
      <c r="T211" s="4">
        <f>IF($K211="","",R211)</f>
      </c>
      <c r="U211" s="4">
        <f>IF($K211="","",L211-M211-N211-Q211-R211-S211)</f>
      </c>
      <c r="V211" s="4">
        <f>IF($K211="","",(U211-AB211)/J211*100)</f>
      </c>
      <c r="W211" s="4">
        <f>IF($K211="","",M211-T211)</f>
      </c>
      <c r="AC211" s="4">
        <f>IF($K211="","",U211-AB211)</f>
      </c>
    </row>
    <row r="212" spans="1:34" x14ac:dyDescent="0.25">
      <c r="A212" s="8"/>
      <c r="D212" s="9"/>
      <c r="J212" s="4"/>
      <c r="K212" s="4"/>
      <c r="L212" s="4">
        <f>IF($K212="","",K212-J212)</f>
      </c>
      <c r="M212" s="4">
        <f>IF($K212="","",L212*16.67%)</f>
      </c>
      <c r="N212" s="4">
        <f>IF($K212="","",K212*3.96%)</f>
      </c>
      <c r="O212" s="4">
        <f>IF($K212="","",N212*20%)</f>
      </c>
      <c r="P212" s="4">
        <f>IF($K212="","",N212+O212)</f>
      </c>
      <c r="Q212" s="4"/>
      <c r="R212" s="4">
        <f>IF($K212="","",Q212*20%)</f>
      </c>
      <c r="S212" s="4">
        <v>1</v>
      </c>
      <c r="T212" s="4">
        <f>IF($K212="","",R212)</f>
      </c>
      <c r="U212" s="4">
        <f>IF($K212="","",L212-M212-N212-Q212-R212-S212)</f>
      </c>
      <c r="V212" s="4">
        <f>IF($K212="","",(U212-AB212)/J212*100)</f>
      </c>
      <c r="W212" s="4">
        <f>IF($K212="","",M212-T212)</f>
      </c>
      <c r="AC212" s="4">
        <f>IF($K212="","",U212-AB212)</f>
      </c>
    </row>
    <row r="213" spans="1:34" x14ac:dyDescent="0.25">
      <c r="A213" s="8"/>
      <c r="D213" s="9"/>
      <c r="J213" s="4"/>
      <c r="K213" s="4"/>
      <c r="L213" s="4">
        <f>IF($K213="","",K213-J213)</f>
      </c>
      <c r="M213" s="4">
        <f>IF($K213="","",L213*16.67%)</f>
      </c>
      <c r="N213" s="4">
        <f>IF($K213="","",K213*3.96%)</f>
      </c>
      <c r="O213" s="4">
        <f>IF($K213="","",N213*20%)</f>
      </c>
      <c r="P213" s="4">
        <f>IF($K213="","",N213+O213)</f>
      </c>
      <c r="Q213" s="4"/>
      <c r="R213" s="4">
        <f>IF($K213="","",Q213*20%)</f>
      </c>
      <c r="S213" s="4">
        <v>1</v>
      </c>
      <c r="T213" s="4">
        <f>IF($K213="","",R213)</f>
      </c>
      <c r="U213" s="4">
        <f>IF($K213="","",L213-M213-N213-Q213-R213-S213)</f>
      </c>
      <c r="V213" s="4">
        <f>IF($K213="","",(U213-AB213)/J213*100)</f>
      </c>
      <c r="W213" s="4">
        <f>IF($K213="","",M213-T213)</f>
      </c>
      <c r="AC213" s="4">
        <f>IF($K213="","",U213-AB213)</f>
      </c>
    </row>
    <row r="214" spans="1:34" x14ac:dyDescent="0.25">
      <c r="A214" s="8"/>
      <c r="D214" s="9"/>
      <c r="J214" s="4"/>
      <c r="K214" s="4"/>
      <c r="L214" s="4">
        <f>IF($K214="","",K214-J214)</f>
      </c>
      <c r="M214" s="4">
        <f>IF($K214="","",L214*16.67%)</f>
      </c>
      <c r="N214" s="4">
        <f>IF($K214="","",K214*3.96%)</f>
      </c>
      <c r="O214" s="4">
        <f>IF($K214="","",N214*20%)</f>
      </c>
      <c r="P214" s="4">
        <f>IF($K214="","",N214+O214)</f>
      </c>
      <c r="Q214" s="4"/>
      <c r="R214" s="4">
        <f>IF($K214="","",Q214*20%)</f>
      </c>
      <c r="S214" s="4">
        <v>1</v>
      </c>
      <c r="T214" s="4">
        <f>IF($K214="","",R214)</f>
      </c>
      <c r="U214" s="4">
        <f>IF($K214="","",L214-M214-N214-Q214-R214-S214)</f>
      </c>
      <c r="V214" s="4">
        <f>IF($K214="","",(U214-AB214)/J214*100)</f>
      </c>
      <c r="W214" s="4">
        <f>IF($K214="","",M214-T214)</f>
      </c>
      <c r="AC214" s="4">
        <f>IF($K214="","",U214-AB214)</f>
      </c>
    </row>
    <row r="215" spans="1:34" x14ac:dyDescent="0.25">
      <c r="A215" s="8"/>
      <c r="D215" s="9"/>
      <c r="J215" s="4"/>
      <c r="K215" s="4"/>
      <c r="L215" s="4">
        <f>IF($K215="","",K215-J215)</f>
      </c>
      <c r="M215" s="4">
        <f>IF($K215="","",L215*16.67%)</f>
      </c>
      <c r="N215" s="4">
        <f>IF($K215="","",K215*3.96%)</f>
      </c>
      <c r="O215" s="4">
        <f>IF($K215="","",N215*20%)</f>
      </c>
      <c r="P215" s="4">
        <f>IF($K215="","",N215+O215)</f>
      </c>
      <c r="Q215" s="4"/>
      <c r="R215" s="4">
        <f>IF($K215="","",Q215*20%)</f>
      </c>
      <c r="S215" s="4">
        <v>1</v>
      </c>
      <c r="T215" s="4">
        <f>IF($K215="","",R215)</f>
      </c>
      <c r="U215" s="4">
        <f>IF($K215="","",L215-M215-N215-Q215-R215-S215)</f>
      </c>
      <c r="V215" s="4">
        <f>IF($K215="","",(U215-AB215)/J215*100)</f>
      </c>
      <c r="W215" s="4">
        <f>IF($K215="","",M215-T215)</f>
      </c>
      <c r="AC215" s="4">
        <f>IF($K215="","",U215-AB215)</f>
      </c>
    </row>
    <row r="216" spans="1:34" x14ac:dyDescent="0.25">
      <c r="A216" s="8"/>
      <c r="D216" s="9"/>
      <c r="J216" s="4"/>
      <c r="K216" s="4"/>
      <c r="L216" s="4">
        <f>IF($K216="","",K216-J216)</f>
      </c>
      <c r="M216" s="4">
        <f>IF($K216="","",L216*16.67%)</f>
      </c>
      <c r="N216" s="4">
        <f>IF($K216="","",K216*3.96%)</f>
      </c>
      <c r="O216" s="4">
        <f>IF($K216="","",N216*20%)</f>
      </c>
      <c r="P216" s="4">
        <f>IF($K216="","",N216+O216)</f>
      </c>
      <c r="Q216" s="4"/>
      <c r="R216" s="4">
        <f>IF($K216="","",Q216*20%)</f>
      </c>
      <c r="S216" s="4">
        <v>1</v>
      </c>
      <c r="T216" s="4">
        <f>IF($K216="","",R216)</f>
      </c>
      <c r="U216" s="4">
        <f>IF($K216="","",L216-M216-N216-Q216-R216-S216)</f>
      </c>
      <c r="V216" s="4">
        <f>IF($K216="","",(U216-AB216)/J216*100)</f>
      </c>
      <c r="W216" s="4">
        <f>IF($K216="","",M216-T216)</f>
      </c>
      <c r="AC216" s="4">
        <f>IF($K216="","",U216-AB216)</f>
      </c>
    </row>
    <row r="217" spans="1:34" x14ac:dyDescent="0.25">
      <c r="A217" s="8"/>
      <c r="D217" s="9"/>
      <c r="J217" s="4"/>
      <c r="K217" s="4"/>
      <c r="L217" s="4">
        <f>IF($K217="","",K217-J217)</f>
      </c>
      <c r="M217" s="4">
        <f>IF($K217="","",L217*16.67%)</f>
      </c>
      <c r="N217" s="4">
        <f>IF($K217="","",K217*3.96%)</f>
      </c>
      <c r="O217" s="4">
        <f>IF($K217="","",N217*20%)</f>
      </c>
      <c r="P217" s="4">
        <f>IF($K217="","",N217+O217)</f>
      </c>
      <c r="Q217" s="4"/>
      <c r="R217" s="4">
        <f>IF($K217="","",Q217*20%)</f>
      </c>
      <c r="S217" s="4">
        <v>1</v>
      </c>
      <c r="T217" s="4">
        <f>IF($K217="","",R217)</f>
      </c>
      <c r="U217" s="4">
        <f>IF($K217="","",L217-M217-N217-Q217-R217-S217)</f>
      </c>
      <c r="V217" s="4">
        <f>IF($K217="","",(U217-AB217)/J217*100)</f>
      </c>
      <c r="W217" s="4">
        <f>IF($K217="","",M217-T217)</f>
      </c>
      <c r="AC217" s="4">
        <f>IF($K217="","",U217-AB217)</f>
      </c>
    </row>
    <row r="218" spans="1:34" x14ac:dyDescent="0.25">
      <c r="A218" s="8"/>
      <c r="D218" s="9"/>
      <c r="J218" s="4"/>
      <c r="K218" s="4"/>
      <c r="L218" s="4">
        <f>IF($K218="","",K218-J218)</f>
      </c>
      <c r="M218" s="4">
        <f>IF($K218="","",L218*16.67%)</f>
      </c>
      <c r="N218" s="4">
        <f>IF($K218="","",K218*3.96%)</f>
      </c>
      <c r="O218" s="4">
        <f>IF($K218="","",N218*20%)</f>
      </c>
      <c r="P218" s="4">
        <f>IF($K218="","",N218+O218)</f>
      </c>
      <c r="Q218" s="4"/>
      <c r="R218" s="4">
        <f>IF($K218="","",Q218*20%)</f>
      </c>
      <c r="S218" s="4">
        <v>1</v>
      </c>
      <c r="T218" s="4">
        <f>IF($K218="","",R218)</f>
      </c>
      <c r="U218" s="4">
        <f>IF($K218="","",L218-M218-N218-Q218-R218-S218)</f>
      </c>
      <c r="V218" s="4">
        <f>IF($K218="","",(U218-AB218)/J218*100)</f>
      </c>
      <c r="W218" s="4">
        <f>IF($K218="","",M218-T218)</f>
      </c>
      <c r="AC218" s="4">
        <f>IF($K218="","",U218-AB218)</f>
      </c>
    </row>
    <row r="219" spans="1:34" x14ac:dyDescent="0.25">
      <c r="A219" s="8"/>
      <c r="D219" s="9"/>
      <c r="J219" s="4"/>
      <c r="K219" s="4"/>
      <c r="L219" s="4">
        <f>IF($K219="","",K219-J219)</f>
      </c>
      <c r="M219" s="4">
        <f>IF($K219="","",L219*16.67%)</f>
      </c>
      <c r="N219" s="4">
        <f>IF($K219="","",K219*3.96%)</f>
      </c>
      <c r="O219" s="4">
        <f>IF($K219="","",N219*20%)</f>
      </c>
      <c r="P219" s="4">
        <f>IF($K219="","",N219+O219)</f>
      </c>
      <c r="Q219" s="4"/>
      <c r="R219" s="4">
        <f>IF($K219="","",Q219*20%)</f>
      </c>
      <c r="S219" s="4">
        <v>1</v>
      </c>
      <c r="T219" s="4">
        <f>IF($K219="","",R219)</f>
      </c>
      <c r="U219" s="4">
        <f>IF($K219="","",L219-M219-N219-Q219-R219-S219)</f>
      </c>
      <c r="V219" s="4">
        <f>IF($K219="","",(U219-AB219)/J219*100)</f>
      </c>
      <c r="W219" s="4">
        <f>IF($K219="","",M219-T219)</f>
      </c>
      <c r="AC219" s="4">
        <f>IF($K219="","",U219-AB219)</f>
      </c>
    </row>
    <row r="220" spans="1:34" x14ac:dyDescent="0.25">
      <c r="A220" s="8"/>
      <c r="D220" s="9"/>
      <c r="J220" s="4"/>
      <c r="K220" s="4"/>
      <c r="L220" s="4">
        <f>IF($K220="","",K220-J220)</f>
      </c>
      <c r="M220" s="4">
        <f>IF($K220="","",L220*16.67%)</f>
      </c>
      <c r="N220" s="4">
        <f>IF($K220="","",K220*3.96%)</f>
      </c>
      <c r="O220" s="4">
        <f>IF($K220="","",N220*20%)</f>
      </c>
      <c r="P220" s="4">
        <f>IF($K220="","",N220+O220)</f>
      </c>
      <c r="Q220" s="4"/>
      <c r="R220" s="4">
        <f>IF($K220="","",Q220*20%)</f>
      </c>
      <c r="S220" s="4">
        <v>1</v>
      </c>
      <c r="T220" s="4">
        <f>IF($K220="","",R220)</f>
      </c>
      <c r="U220" s="4">
        <f>IF($K220="","",L220-M220-N220-Q220-R220-S220)</f>
      </c>
      <c r="V220" s="4">
        <f>IF($K220="","",(U220-AB220)/J220*100)</f>
      </c>
      <c r="W220" s="4">
        <f>IF($K220="","",M220-T220)</f>
      </c>
      <c r="AC220" s="4">
        <f>IF($K220="","",U220-AB220)</f>
      </c>
    </row>
    <row r="221" spans="1:34" x14ac:dyDescent="0.25">
      <c r="A221" s="8"/>
      <c r="D221" s="9"/>
      <c r="J221" s="4"/>
      <c r="K221" s="4"/>
      <c r="L221" s="4">
        <f>IF($K221="","",K221-J221)</f>
      </c>
      <c r="M221" s="4">
        <f>IF($K221="","",L221*16.67%)</f>
      </c>
      <c r="N221" s="4">
        <f>IF($K221="","",K221*3.96%)</f>
      </c>
      <c r="O221" s="4">
        <f>IF($K221="","",N221*20%)</f>
      </c>
      <c r="P221" s="4">
        <f>IF($K221="","",N221+O221)</f>
      </c>
      <c r="Q221" s="4"/>
      <c r="R221" s="4">
        <f>IF($K221="","",Q221*20%)</f>
      </c>
      <c r="S221" s="4">
        <v>1</v>
      </c>
      <c r="T221" s="4">
        <f>IF($K221="","",R221)</f>
      </c>
      <c r="U221" s="4">
        <f>IF($K221="","",L221-M221-N221-Q221-R221-S221)</f>
      </c>
      <c r="V221" s="4">
        <f>IF($K221="","",(U221-AB221)/J221*100)</f>
      </c>
      <c r="W221" s="4">
        <f>IF($K221="","",M221-T221)</f>
      </c>
      <c r="AC221" s="4">
        <f>IF($K221="","",U221-AB221)</f>
      </c>
    </row>
    <row r="222" spans="1:34" s="7" customFormat="1" x14ac:dyDescent="0.25">
      <c r="A222" s="3" t="s">
        <v>18</v>
      </c>
      <c r="B222" s="7"/>
      <c r="C222" s="7"/>
      <c r="D222" s="7"/>
      <c r="E222" s="7"/>
      <c r="F222" s="7"/>
      <c r="G222" s="7"/>
      <c r="H222" s="7"/>
      <c r="I222" s="10">
        <f>SUM(I2:I221)</f>
      </c>
      <c r="J222" s="10">
        <f>SUM(J2:J221)</f>
      </c>
      <c r="K222" s="10">
        <f>SUM(K2:K221)</f>
      </c>
      <c r="L222" s="10">
        <f>SUM(L2:L221)</f>
      </c>
      <c r="M222" s="10">
        <f>SUM(M2:M221)</f>
      </c>
      <c r="N222" s="10">
        <f>SUM(N2:N221)</f>
      </c>
      <c r="O222" s="10">
        <f>SUM(O2:O221)</f>
      </c>
      <c r="P222" s="10">
        <f>SUM(P2:P221)</f>
      </c>
      <c r="Q222" s="10">
        <f>SUM(Q2:Q221)</f>
      </c>
      <c r="R222" s="10">
        <f>SUM(R2:R221)</f>
      </c>
      <c r="S222" s="10">
        <f>SUM(S2:S221)</f>
      </c>
      <c r="T222" s="10">
        <f>SUM(T2:T221)</f>
      </c>
      <c r="U222" s="10">
        <f>SUM(U2:U221)</f>
      </c>
      <c r="V222" s="10">
        <f>IFERROR((U222-AB222)/J222*100,0)</f>
      </c>
      <c r="W222" s="10">
        <f>SUM(W2:W221)</f>
      </c>
      <c r="X222" s="10">
        <f>SUM(X2:X221)</f>
      </c>
      <c r="Y222" s="10">
        <f>SUM(Y2:Y221)</f>
      </c>
      <c r="Z222" s="10">
        <f>SUM(Z2:Z221)</f>
      </c>
      <c r="AA222" s="10">
        <f>SUM(AA2:AA221)</f>
      </c>
      <c r="AB222" s="10">
        <f>SUM(AB2:AB221)</f>
      </c>
      <c r="AC222" s="10">
        <f>SUM(AC2:AC221)</f>
      </c>
      <c r="AD222" s="7"/>
      <c r="AE222" s="7"/>
      <c r="AF222" s="7"/>
      <c r="AG222" s="7"/>
      <c r="AH22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329</v>
      </c>
    </row>
    <row r="2" ht="46" customHeight="1" spans="1:1" x14ac:dyDescent="0.25">
      <c r="A2" s="2" t="s">
        <v>330</v>
      </c>
    </row>
    <row r="4" spans="1:17" s="3" customFormat="1" x14ac:dyDescent="0.25">
      <c r="A4" s="3" t="s">
        <v>4</v>
      </c>
      <c r="B4" s="3" t="s">
        <v>5</v>
      </c>
      <c r="C4" s="3" t="s">
        <v>331</v>
      </c>
      <c r="D4" s="3" t="s">
        <v>9</v>
      </c>
      <c r="E4" s="3" t="s">
        <v>332</v>
      </c>
      <c r="F4" s="3" t="s">
        <v>6</v>
      </c>
      <c r="G4" s="3" t="s">
        <v>7</v>
      </c>
      <c r="H4" s="3" t="s">
        <v>8</v>
      </c>
      <c r="I4" s="3" t="s">
        <v>333</v>
      </c>
      <c r="J4" s="3" t="s">
        <v>334</v>
      </c>
      <c r="K4" s="3" t="s">
        <v>335</v>
      </c>
      <c r="L4" s="3" t="s">
        <v>336</v>
      </c>
      <c r="M4" s="3" t="s">
        <v>337</v>
      </c>
      <c r="N4" s="3" t="s">
        <v>10</v>
      </c>
      <c r="O4" s="3" t="s">
        <v>11</v>
      </c>
      <c r="P4" s="3" t="s">
        <v>12</v>
      </c>
      <c r="Q4" s="3" t="s">
        <v>338</v>
      </c>
    </row>
    <row r="5" spans="1:17" x14ac:dyDescent="0.25">
      <c r="A5" t="s">
        <v>13</v>
      </c>
      <c r="B5">
        <v>21</v>
      </c>
      <c r="C5" s="4">
        <v>8888.369999999999</v>
      </c>
      <c r="D5" s="4">
        <v>1112.38</v>
      </c>
      <c r="E5">
        <v>0</v>
      </c>
      <c r="F5">
        <v>0</v>
      </c>
      <c r="G5">
        <v>0</v>
      </c>
      <c r="H5">
        <v>0</v>
      </c>
      <c r="I5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1112.38</v>
      </c>
      <c r="P5" s="4">
        <v>12.515005563449769</v>
      </c>
      <c r="Q5" t="s">
        <v>1</v>
      </c>
    </row>
    <row r="6" spans="1:17" x14ac:dyDescent="0.25">
      <c r="A6" t="s">
        <v>14</v>
      </c>
      <c r="B6">
        <v>20</v>
      </c>
      <c r="C6" s="4">
        <v>9225.029999999999</v>
      </c>
      <c r="D6" s="4">
        <v>664.49</v>
      </c>
      <c r="E6">
        <v>0</v>
      </c>
      <c r="F6">
        <v>0</v>
      </c>
      <c r="G6">
        <v>0</v>
      </c>
      <c r="H6">
        <v>0</v>
      </c>
      <c r="I6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664.49</v>
      </c>
      <c r="P6" s="4">
        <v>7.203120206655155</v>
      </c>
      <c r="Q6" t="s">
        <v>1</v>
      </c>
    </row>
    <row r="7" spans="1:17" x14ac:dyDescent="0.25">
      <c r="A7" t="s">
        <v>15</v>
      </c>
      <c r="B7">
        <v>20</v>
      </c>
      <c r="C7" s="4">
        <v>9017.5</v>
      </c>
      <c r="D7" s="4">
        <v>1278.2499999999998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1278.2499999999998</v>
      </c>
      <c r="P7" s="4">
        <v>14.175214859994453</v>
      </c>
      <c r="Q7" t="s">
        <v>1</v>
      </c>
    </row>
    <row r="8" spans="1:17" x14ac:dyDescent="0.25">
      <c r="A8" t="s">
        <v>16</v>
      </c>
      <c r="B8">
        <v>20</v>
      </c>
      <c r="C8" s="4">
        <v>8972.5</v>
      </c>
      <c r="D8" s="4">
        <v>1133.34</v>
      </c>
      <c r="E8">
        <v>0</v>
      </c>
      <c r="F8">
        <v>0</v>
      </c>
      <c r="G8">
        <v>0</v>
      </c>
      <c r="H8">
        <v>0</v>
      </c>
      <c r="I8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1133.34</v>
      </c>
      <c r="P8" s="4">
        <v>12.631262190025074</v>
      </c>
      <c r="Q8" t="s">
        <v>1</v>
      </c>
    </row>
    <row r="9" spans="1:17" x14ac:dyDescent="0.25">
      <c r="A9" t="s">
        <v>17</v>
      </c>
      <c r="B9">
        <v>20</v>
      </c>
      <c r="C9" s="4">
        <v>9347.15</v>
      </c>
      <c r="D9" s="4">
        <v>1336.79</v>
      </c>
      <c r="E9">
        <v>0</v>
      </c>
      <c r="F9">
        <v>0</v>
      </c>
      <c r="G9">
        <v>0</v>
      </c>
      <c r="H9">
        <v>0</v>
      </c>
      <c r="I9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1336.79</v>
      </c>
      <c r="P9" s="4">
        <v>14.301578556030448</v>
      </c>
      <c r="Q9" t="s">
        <v>1</v>
      </c>
    </row>
    <row r="10" spans="1:17" s="3" customFormat="1" x14ac:dyDescent="0.25">
      <c r="A10" s="3" t="s">
        <v>18</v>
      </c>
      <c r="B10" s="3">
        <v>101</v>
      </c>
      <c r="C10" s="11">
        <v>45450.549999999996</v>
      </c>
      <c r="D10" s="11">
        <v>5525.25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5525.25</v>
      </c>
      <c r="P10" s="11">
        <v>12.156618566772021</v>
      </c>
      <c r="Q10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339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340</v>
      </c>
      <c r="B1" t="s">
        <v>341</v>
      </c>
    </row>
    <row r="2" spans="1:2" x14ac:dyDescent="0.25">
      <c r="A2" s="7" t="s">
        <v>342</v>
      </c>
      <c r="B2">
        <v>0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343</v>
      </c>
      <c r="B6" s="4">
        <v>0</v>
      </c>
    </row>
    <row r="7" spans="1:2" x14ac:dyDescent="0.25">
      <c r="A7" s="7" t="s">
        <v>344</v>
      </c>
      <c r="B7" s="4">
        <v>0</v>
      </c>
    </row>
    <row r="9" spans="1:2" x14ac:dyDescent="0.25">
      <c r="A9" s="7" t="s">
        <v>345</v>
      </c>
      <c r="B9" t="s">
        <v>1</v>
      </c>
    </row>
    <row r="10" spans="1:2" x14ac:dyDescent="0.25">
      <c r="A10" t="s">
        <v>346</v>
      </c>
      <c r="B10" t="s">
        <v>347</v>
      </c>
    </row>
    <row r="11" spans="1:2" x14ac:dyDescent="0.25">
      <c r="A11" t="s">
        <v>348</v>
      </c>
      <c r="B11" t="s">
        <v>349</v>
      </c>
    </row>
    <row r="12" spans="1:2" x14ac:dyDescent="0.25">
      <c r="A12" t="s">
        <v>350</v>
      </c>
      <c r="B12" t="s">
        <v>351</v>
      </c>
    </row>
    <row r="14" spans="1:2" x14ac:dyDescent="0.25">
      <c r="A14" s="7" t="s">
        <v>352</v>
      </c>
      <c r="B14" t="s">
        <v>1</v>
      </c>
    </row>
    <row r="15" spans="1:2" x14ac:dyDescent="0.25">
      <c r="A15" t="s">
        <v>353</v>
      </c>
      <c r="B15" t="s">
        <v>354</v>
      </c>
    </row>
    <row r="16" spans="1:2" x14ac:dyDescent="0.25">
      <c r="A16" t="s">
        <v>355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FormatPr defaultRowHeight="15" outlineLevelRow="0" outlineLevelCol="0" x14ac:dyDescent="55"/>
  <sheetData>
    <row r="1" spans="1:18" x14ac:dyDescent="0.25">
      <c r="A1" t="s">
        <v>57</v>
      </c>
      <c r="B1" t="s">
        <v>356</v>
      </c>
      <c r="C1" t="s">
        <v>32</v>
      </c>
      <c r="D1" t="s">
        <v>34</v>
      </c>
      <c r="E1" t="s">
        <v>33</v>
      </c>
      <c r="F1" t="s">
        <v>35</v>
      </c>
      <c r="G1" t="s">
        <v>357</v>
      </c>
      <c r="H1" t="s">
        <v>358</v>
      </c>
      <c r="I1" t="s">
        <v>4</v>
      </c>
      <c r="J1" t="s">
        <v>359</v>
      </c>
      <c r="K1" t="s">
        <v>58</v>
      </c>
      <c r="L1" t="s">
        <v>360</v>
      </c>
      <c r="M1" t="s">
        <v>61</v>
      </c>
      <c r="N1" t="s">
        <v>361</v>
      </c>
      <c r="O1" t="s">
        <v>59</v>
      </c>
      <c r="P1" t="s">
        <v>362</v>
      </c>
      <c r="Q1" t="s">
        <v>363</v>
      </c>
      <c r="R1" t="s">
        <v>364</v>
      </c>
    </row>
    <row r="2" spans="1:1" x14ac:dyDescent="0.25">
      <c r="A2" s="12" t="s">
        <v>365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356</v>
      </c>
      <c r="B1" t="s">
        <v>32</v>
      </c>
      <c r="C1" t="s">
        <v>366</v>
      </c>
      <c r="D1" t="s">
        <v>367</v>
      </c>
      <c r="E1" t="s">
        <v>368</v>
      </c>
      <c r="F1" t="s">
        <v>369</v>
      </c>
      <c r="G1" t="s">
        <v>61</v>
      </c>
    </row>
    <row r="2" spans="1:1" x14ac:dyDescent="0.25">
      <c r="A2" s="12" t="s">
        <v>370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2026-09-09T08:18:50Z</dcterms:created>
  <dcterms:modified xsi:type="dcterms:W3CDTF">2026-09-09T08:18:50Z</dcterms:modified>
</cp:coreProperties>
</file>