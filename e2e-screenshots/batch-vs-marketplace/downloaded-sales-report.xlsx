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Summary" state="visible" r:id="rId10"/>
    <sheet sheetId="8" name="Returns Detail" state="visible" r:id="rId11"/>
    <sheet sheetId="9" name="Unit Histories" state="visible" r:id="rId12"/>
  </sheets>
  <calcPr calcId="171027"/>
</workbook>
</file>

<file path=xl/sharedStrings.xml><?xml version="1.0" encoding="utf-8"?>
<sst xmlns="http://schemas.openxmlformats.org/spreadsheetml/2006/main" count="721" uniqueCount="313">
  <si>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</si>
  <si>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</si>
  <si>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</si>
  <si>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</si>
  <si>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</si>
  <si>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</si>
  <si>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</si>
  <si>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</si>
  <si>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</si>
  <si>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</si>
  <si>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</si>
  <si>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</si>
  <si>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</si>
  <si>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</si>
  <si>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</si>
  <si>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</si>
  <si>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</si>
  <si>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</si>
  <si>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</si>
  <si>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</si>
  <si>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</si>
  <si>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</si>
  <si>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</si>
  <si>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</si>
  <si>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</si>
  <si>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</si>
  <si>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</si>
  <si>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</si>
  <si>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</si>
  <si>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</si>
  <si>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</si>
  <si>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</si>
  <si>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</si>
  <si>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</si>
  <si>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</si>
  <si>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</si>
  <si>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</si>
  <si>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</si>
  <si>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</si>
  <si>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</si>
  <si>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</si>
  <si>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</si>
  <si>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</si>
  <si>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</si>
  <si>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</si>
  <si>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</si>
  <si>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</si>
  <si>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Return Date</t>
  </si>
  <si>
    <t>Outcome</t>
  </si>
  <si>
    <t>Return Reason</t>
  </si>
  <si>
    <t>Shipping Legs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</si>
  <si>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</si>
  <si>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</si>
  <si>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</si>
  <si>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</si>
  <si>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</si>
  <si>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</si>
  <si>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</si>
  <si>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</si>
  <si>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</si>
  <si>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</si>
  <si>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</si>
  <si>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</si>
  <si>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</si>
  <si>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</si>
  <si>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</si>
  <si>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</si>
  <si>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</si>
  <si>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</si>
  <si>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</si>
  <si>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</si>
  <si>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</si>
  <si>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</si>
  <si>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</si>
  <si>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</si>
  <si>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</si>
  <si>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</si>
  <si>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</si>
  <si>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</si>
  <si>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</si>
  <si>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</si>
  <si>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</si>
  <si>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</si>
  <si>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</si>
  <si>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</si>
  <si>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</si>
  <si>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</si>
  <si>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</si>
  <si>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</si>
  <si>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</si>
  <si>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</si>
  <si>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</si>
  <si>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</si>
  <si>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</si>
  <si>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</si>
  <si>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</si>
  <si>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</si>
  <si>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</si>
  <si>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</si>
  <si>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</si>
  <si>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</si>
  <si>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</si>
  <si>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</si>
  <si>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</si>
  <si>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</si>
  <si>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</si>
  <si>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</si>
  <si>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</si>
  <si>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</si>
  <si>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</si>
  <si>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</si>
  <si>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</si>
  <si>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</si>
  <si>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</si>
  <si>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</si>
  <si>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</si>
  <si>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</si>
  <si>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</si>
  <si>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</si>
  <si>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</si>
  <si>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</si>
  <si>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</si>
  <si>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</si>
  <si>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</si>
  <si>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</si>
  <si>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</si>
  <si>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</si>
  <si>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</si>
  <si>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</si>
  <si>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</si>
  <si>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</si>
  <si>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</si>
  <si>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</si>
  <si>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</si>
  <si>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</si>
  <si>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</si>
  <si>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</si>
  <si>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</si>
  <si>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</si>
  <si>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</si>
  <si>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</si>
  <si>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</si>
  <si>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</si>
  <si>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</si>
  <si>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</si>
  <si>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</si>
  <si>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</si>
  <si>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</si>
  <si>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</si>
  <si>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</si>
  <si>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</si>
  <si>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</si>
  <si>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</si>
  <si>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</si>
  <si>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</si>
  <si>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</si>
  <si>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</si>
  <si>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</si>
  <si>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</si>
  <si>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</si>
  <si>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</si>
  <si>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</si>
  <si>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</si>
  <si>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</si>
  <si>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</si>
  <si>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</si>
  <si>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</si>
  <si>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</si>
  <si>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</si>
  <si>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</si>
  <si>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</si>
  <si>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</si>
  <si>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</si>
  <si>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</si>
  <si>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</si>
  <si>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</si>
  <si>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</si>
  <si>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</si>
  <si>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</si>
  <si>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</si>
  <si>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</si>
  <si>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</si>
  <si>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</si>
  <si>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</si>
  <si>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</si>
  <si>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</si>
  <si>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</si>
  <si>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</si>
  <si>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</si>
  <si>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</si>
  <si>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</si>
  <si>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</si>
  <si>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</si>
  <si>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</si>
  <si>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</si>
  <si>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</si>
  <si>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</si>
  <si>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</si>
  <si>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</si>
  <si>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</si>
  <si>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</si>
  <si>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</si>
  <si>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</si>
  <si>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</si>
  <si>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</si>
  <si>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</si>
  <si>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</si>
  <si>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</si>
  <si>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</si>
  <si>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</si>
  <si>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</si>
  <si>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</si>
  <si>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</si>
  <si>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</si>
  <si>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</si>
  <si>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</si>
  <si>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</si>
  <si>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</si>
  <si>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</si>
  <si>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</si>
  <si>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</si>
  <si>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</si>
  <si>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</si>
  <si>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</si>
  <si>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</si>
  <si>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</si>
  <si>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</si>
  <si>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</si>
  <si>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</si>
  <si>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</si>
  <si>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</si>
  <si>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</si>
  <si>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</si>
  <si>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</si>
  <si>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</si>
  <si>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</si>
  <si>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</si>
  <si>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</si>
  <si>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</si>
  <si>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</si>
  <si>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</si>
  <si>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</si>
  <si>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</si>
  <si>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</si>
  <si>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</si>
  <si>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</si>
  <si>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</si>
  <si>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</si>
  <si>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</si>
  <si>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</si>
  <si>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</si>
  <si>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</si>
  <si>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</si>
  <si>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</si>
  <si>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</si>
  <si>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</si>
  <si>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</si>
  <si>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</si>
  <si>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</si>
  <si>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</si>
  <si>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</si>
  <si>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</si>
  <si>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</si>
  <si>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</si>
  <si>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</si>
  <si>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</si>
  <si>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</si>
  <si>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</si>
  <si>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</si>
  <si>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</si>
  <si>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</si>
  <si>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</si>
  <si>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</si>
  <si>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</si>
  <si>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</si>
  <si>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</si>
  <si>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</si>
  <si>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</si>
  <si>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</si>
  <si>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</si>
  <si>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</si>
  <si>
    <t>Commission VAT</t>
  </si>
  <si>
    <t>Period</t>
  </si>
  <si>
    <t>All Time</t>
  </si>
  <si>
    <t>Total Returns</t>
  </si>
  <si>
    <t>Total Postage Loss £</t>
  </si>
  <si>
    <t>Avg Loss per Return £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</si>
  <si>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</si>
  <si>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</si>
  <si>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</si>
  <si>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</si>
  <si>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</si>
  <si>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</si>
  <si>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</si>
  <si>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</si>
  <si>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</si>
  <si>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no costed returns in this period</t>
  </si>
  <si>
    <t>Uncosted (pre-tracking) returns</t>
  </si>
  <si>
    <t>Unit IMEI</t>
  </si>
  <si>
    <t>Model</t>
  </si>
  <si>
    <t>Storage</t>
  </si>
  <si>
    <t>Colour</t>
  </si>
  <si>
    <t>Original Sale Date</t>
  </si>
  <si>
    <t>Original Sale Price</t>
  </si>
  <si>
    <t>Return Type</t>
  </si>
  <si>
    <t>Reason</t>
  </si>
  <si>
    <t>Leg Cost £</t>
  </si>
  <si>
    <t>No returns recorded for this period.</t>
  </si>
  <si>
    <t>Event Date</t>
  </si>
  <si>
    <t>Event</t>
  </si>
  <si>
    <t>Detail</t>
  </si>
  <si>
    <t>Amount £</t>
  </si>
  <si>
    <t>No unit return history to show for this period.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</si>
</sst>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10</v>
      </c>
    </row>
    <row r="2" spans="1:28" x14ac:dyDescent="0.25">
      <c r="A2" s="7">
        <v>46227.5</v>
      </c>
      <c r="B2" t="s">
        <v>52</v>
      </c>
      <c r="C2" t="s">
        <v>53</v>
      </c>
      <c r="D2" s="8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7">
        <v>46224.5</v>
      </c>
      <c r="B3" t="s">
        <v>56</v>
      </c>
      <c r="C3" t="s">
        <v>57</v>
      </c>
      <c r="D3" s="8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7">
        <v>46224.5</v>
      </c>
      <c r="B4" t="s">
        <v>60</v>
      </c>
      <c r="C4" t="s">
        <v>57</v>
      </c>
      <c r="D4" s="8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7">
        <v>46224.5</v>
      </c>
      <c r="B5" t="s">
        <v>62</v>
      </c>
      <c r="C5" t="s">
        <v>57</v>
      </c>
      <c r="D5" s="8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7">
        <v>46224.5</v>
      </c>
      <c r="B6" t="s">
        <v>65</v>
      </c>
      <c r="C6" t="s">
        <v>57</v>
      </c>
      <c r="D6" s="8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7">
        <v>46220.5</v>
      </c>
      <c r="B7" t="s">
        <v>68</v>
      </c>
      <c r="C7" t="s">
        <v>53</v>
      </c>
      <c r="D7" s="8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7">
        <v>46220.5</v>
      </c>
      <c r="B8" t="s">
        <v>70</v>
      </c>
      <c r="C8" t="s">
        <v>53</v>
      </c>
      <c r="D8" s="8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7">
        <v>46220.5</v>
      </c>
      <c r="B9" t="s">
        <v>72</v>
      </c>
      <c r="C9" t="s">
        <v>53</v>
      </c>
      <c r="D9" s="8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7">
        <v>46220.5</v>
      </c>
      <c r="B10" t="s">
        <v>74</v>
      </c>
      <c r="C10" t="s">
        <v>53</v>
      </c>
      <c r="D10" s="8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7">
        <v>46216.5</v>
      </c>
      <c r="B11" t="s">
        <v>76</v>
      </c>
      <c r="C11" t="s">
        <v>77</v>
      </c>
      <c r="D11" s="8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7">
        <v>46216.5</v>
      </c>
      <c r="B12" t="s">
        <v>79</v>
      </c>
      <c r="C12" t="s">
        <v>80</v>
      </c>
      <c r="D12" s="8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7">
        <v>46216.5</v>
      </c>
      <c r="B13" t="s">
        <v>82</v>
      </c>
      <c r="C13" t="s">
        <v>83</v>
      </c>
      <c r="D13" s="8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7">
        <v>46216.5</v>
      </c>
      <c r="B14" t="s">
        <v>85</v>
      </c>
      <c r="C14" t="s">
        <v>86</v>
      </c>
      <c r="D14" s="8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7">
        <v>46212.5</v>
      </c>
      <c r="B15" t="s">
        <v>88</v>
      </c>
      <c r="C15" t="s">
        <v>53</v>
      </c>
      <c r="D15" s="8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7">
        <v>46212.5</v>
      </c>
      <c r="B16" t="s">
        <v>90</v>
      </c>
      <c r="C16" t="s">
        <v>53</v>
      </c>
      <c r="D16" s="8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7">
        <v>46212.5</v>
      </c>
      <c r="B17" t="s">
        <v>92</v>
      </c>
      <c r="C17" t="s">
        <v>53</v>
      </c>
      <c r="D17" s="8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7">
        <v>46212.5</v>
      </c>
      <c r="B18" t="s">
        <v>94</v>
      </c>
      <c r="C18" t="s">
        <v>53</v>
      </c>
      <c r="D18" s="8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7">
        <v>46208.5</v>
      </c>
      <c r="B19" t="s">
        <v>96</v>
      </c>
      <c r="C19" t="s">
        <v>57</v>
      </c>
      <c r="D19" s="8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7">
        <v>46208.5</v>
      </c>
      <c r="B20" t="s">
        <v>98</v>
      </c>
      <c r="C20" t="s">
        <v>57</v>
      </c>
      <c r="D20" s="8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7">
        <v>46208.5</v>
      </c>
      <c r="B21" t="s">
        <v>100</v>
      </c>
      <c r="C21" t="s">
        <v>57</v>
      </c>
      <c r="D21" s="8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7">
        <v>46208.5</v>
      </c>
      <c r="B22" t="s">
        <v>102</v>
      </c>
      <c r="C22" t="s">
        <v>57</v>
      </c>
      <c r="D22" s="8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7">
        <v>46204.5</v>
      </c>
      <c r="B23" t="s">
        <v>104</v>
      </c>
      <c r="C23" t="s">
        <v>105</v>
      </c>
      <c r="D23" s="8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7">
        <v>46204.5</v>
      </c>
      <c r="B24" t="s">
        <v>107</v>
      </c>
      <c r="C24" t="s">
        <v>105</v>
      </c>
      <c r="D24" s="8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7">
        <v>46204.5</v>
      </c>
      <c r="B25" t="s">
        <v>109</v>
      </c>
      <c r="C25" t="s">
        <v>105</v>
      </c>
      <c r="D25" s="8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7">
        <v>46204.5</v>
      </c>
      <c r="B26" t="s">
        <v>111</v>
      </c>
      <c r="C26" t="s">
        <v>105</v>
      </c>
      <c r="D26" s="8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7">
        <v>46204.5</v>
      </c>
      <c r="B27" t="s">
        <v>113</v>
      </c>
      <c r="C27" t="s">
        <v>105</v>
      </c>
      <c r="D27" s="8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9">
        <f>SUM(F2:F27)</f>
      </c>
      <c r="G28" s="9">
        <f>SUM(G2:G27)</f>
      </c>
      <c r="H28" s="9">
        <f>SUM(H2:H27)</f>
      </c>
      <c r="I28" s="9">
        <f>SUM(I2:I27)</f>
      </c>
      <c r="J28" s="9">
        <f>SUM(J2:J27)</f>
      </c>
      <c r="K28" s="9">
        <f>SUM(K2:K27)</f>
      </c>
      <c r="L28" s="9">
        <f>SUM(L2:L27)</f>
      </c>
      <c r="M28" s="9">
        <f>SUM(M2:M27)</f>
      </c>
      <c r="N28" s="9">
        <f>SUM(N2:N27)</f>
      </c>
      <c r="O28" s="9">
        <f>SUM(O2:O27)</f>
      </c>
      <c r="P28" s="9">
        <f>SUM(P2:P27)</f>
      </c>
      <c r="Q28" s="9">
        <f>SUM(Q2:Q27)</f>
      </c>
      <c r="R28" s="9">
        <f>SUM(R2:R27)</f>
      </c>
      <c r="S28" s="9">
        <f>SUM(S2:S27)</f>
      </c>
      <c r="T28" s="9">
        <f>IFERROR((S28-AA28)/G28*100,0)</f>
      </c>
      <c r="U28" s="9">
        <f>SUM(U2:U27)</f>
      </c>
      <c r="V28" s="6"/>
      <c r="W28" s="6"/>
      <c r="X28" s="6"/>
      <c r="Y28" s="6"/>
      <c r="Z28" s="6"/>
      <c r="AA28" s="9">
        <f>SUM(AA2:AA27)</f>
      </c>
      <c r="AB28" s="9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115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46225.5</v>
      </c>
      <c r="B2" t="s">
        <v>116</v>
      </c>
      <c r="C2" t="s">
        <v>86</v>
      </c>
      <c r="D2" s="8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7">
        <v>46225.5</v>
      </c>
      <c r="B3" t="s">
        <v>118</v>
      </c>
      <c r="C3" t="s">
        <v>119</v>
      </c>
      <c r="D3" s="8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7">
        <v>46225.5</v>
      </c>
      <c r="B4" t="s">
        <v>121</v>
      </c>
      <c r="C4" t="s">
        <v>86</v>
      </c>
      <c r="D4" s="8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7">
        <v>46225.5</v>
      </c>
      <c r="B5" t="s">
        <v>123</v>
      </c>
      <c r="C5" t="s">
        <v>119</v>
      </c>
      <c r="D5" s="8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7">
        <v>46221.5</v>
      </c>
      <c r="B6" t="s">
        <v>125</v>
      </c>
      <c r="C6" t="s">
        <v>105</v>
      </c>
      <c r="D6" s="8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7">
        <v>46221.5</v>
      </c>
      <c r="B7" t="s">
        <v>127</v>
      </c>
      <c r="C7" t="s">
        <v>105</v>
      </c>
      <c r="D7" s="8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7">
        <v>46221.5</v>
      </c>
      <c r="B8" t="s">
        <v>129</v>
      </c>
      <c r="C8" t="s">
        <v>105</v>
      </c>
      <c r="D8" s="8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7">
        <v>46221.5</v>
      </c>
      <c r="B9" t="s">
        <v>131</v>
      </c>
      <c r="C9" t="s">
        <v>105</v>
      </c>
      <c r="D9" s="8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7">
        <v>46217.5</v>
      </c>
      <c r="B10" t="s">
        <v>133</v>
      </c>
      <c r="C10" t="s">
        <v>77</v>
      </c>
      <c r="D10" s="8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7">
        <v>46217.5</v>
      </c>
      <c r="B11" t="s">
        <v>134</v>
      </c>
      <c r="C11" t="s">
        <v>80</v>
      </c>
      <c r="D11" s="8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7">
        <v>46217.5</v>
      </c>
      <c r="B12" t="s">
        <v>135</v>
      </c>
      <c r="C12" t="s">
        <v>83</v>
      </c>
      <c r="D12" s="8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7">
        <v>46217.5</v>
      </c>
      <c r="B13" t="s">
        <v>136</v>
      </c>
      <c r="C13" t="s">
        <v>86</v>
      </c>
      <c r="D13" s="8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7">
        <v>46213.5</v>
      </c>
      <c r="B14" t="s">
        <v>137</v>
      </c>
      <c r="C14" t="s">
        <v>105</v>
      </c>
      <c r="D14" s="8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7">
        <v>46213.5</v>
      </c>
      <c r="B15" t="s">
        <v>139</v>
      </c>
      <c r="C15" t="s">
        <v>105</v>
      </c>
      <c r="D15" s="8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7">
        <v>46213.5</v>
      </c>
      <c r="B16" t="s">
        <v>141</v>
      </c>
      <c r="C16" t="s">
        <v>105</v>
      </c>
      <c r="D16" s="8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7">
        <v>46213.5</v>
      </c>
      <c r="B17" t="s">
        <v>143</v>
      </c>
      <c r="C17" t="s">
        <v>105</v>
      </c>
      <c r="D17" s="8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7">
        <v>46209.5</v>
      </c>
      <c r="B18" t="s">
        <v>145</v>
      </c>
      <c r="C18" t="s">
        <v>80</v>
      </c>
      <c r="D18" s="8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7">
        <v>46209.5</v>
      </c>
      <c r="B19" t="s">
        <v>147</v>
      </c>
      <c r="C19" t="s">
        <v>148</v>
      </c>
      <c r="D19" s="8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7">
        <v>46209.5</v>
      </c>
      <c r="B20" t="s">
        <v>150</v>
      </c>
      <c r="C20" t="s">
        <v>80</v>
      </c>
      <c r="D20" s="8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7">
        <v>46209.5</v>
      </c>
      <c r="B21" t="s">
        <v>152</v>
      </c>
      <c r="C21" t="s">
        <v>119</v>
      </c>
      <c r="D21" s="8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7">
        <v>46205.5</v>
      </c>
      <c r="B22" t="s">
        <v>154</v>
      </c>
      <c r="C22" t="s">
        <v>105</v>
      </c>
      <c r="D22" s="8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7">
        <v>46205.5</v>
      </c>
      <c r="B23" t="s">
        <v>155</v>
      </c>
      <c r="C23" t="s">
        <v>105</v>
      </c>
      <c r="D23" s="8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7">
        <v>46205.5</v>
      </c>
      <c r="B24" t="s">
        <v>156</v>
      </c>
      <c r="C24" t="s">
        <v>105</v>
      </c>
      <c r="D24" s="8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7">
        <v>46205.5</v>
      </c>
      <c r="B25" t="s">
        <v>157</v>
      </c>
      <c r="C25" t="s">
        <v>105</v>
      </c>
      <c r="D25" s="8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7">
        <v>46205.5</v>
      </c>
      <c r="B26" t="s">
        <v>158</v>
      </c>
      <c r="C26" t="s">
        <v>105</v>
      </c>
      <c r="D26" s="8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IFERROR((P27-X27)/G27*100,0)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160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161</v>
      </c>
      <c r="M1" t="s">
        <v>162</v>
      </c>
      <c r="N1" t="s">
        <v>163</v>
      </c>
      <c r="O1" t="s">
        <v>164</v>
      </c>
      <c r="P1" t="s">
        <v>39</v>
      </c>
      <c r="Q1" t="s">
        <v>40</v>
      </c>
      <c r="R1" t="s">
        <v>165</v>
      </c>
      <c r="S1" t="s">
        <v>166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10</v>
      </c>
    </row>
    <row r="2" spans="1:31" x14ac:dyDescent="0.25">
      <c r="A2" s="7">
        <v>46226.5</v>
      </c>
      <c r="B2" t="s">
        <v>167</v>
      </c>
      <c r="C2" t="s">
        <v>168</v>
      </c>
      <c r="D2" s="8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7">
        <v>46226.5</v>
      </c>
      <c r="B3" t="s">
        <v>170</v>
      </c>
      <c r="C3" t="s">
        <v>171</v>
      </c>
      <c r="D3" s="8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7">
        <v>46226.5</v>
      </c>
      <c r="B4" t="s">
        <v>173</v>
      </c>
      <c r="C4" t="s">
        <v>174</v>
      </c>
      <c r="D4" s="8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7">
        <v>46226.5</v>
      </c>
      <c r="B5" t="s">
        <v>176</v>
      </c>
      <c r="C5" t="s">
        <v>171</v>
      </c>
      <c r="D5" s="8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7">
        <v>46222.5</v>
      </c>
      <c r="B6" t="s">
        <v>178</v>
      </c>
      <c r="C6" t="s">
        <v>105</v>
      </c>
      <c r="D6" s="8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7">
        <v>46222.5</v>
      </c>
      <c r="B7" t="s">
        <v>180</v>
      </c>
      <c r="C7" t="s">
        <v>105</v>
      </c>
      <c r="D7" s="8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7">
        <v>46222.5</v>
      </c>
      <c r="B8" t="s">
        <v>182</v>
      </c>
      <c r="C8" t="s">
        <v>105</v>
      </c>
      <c r="D8" s="8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7">
        <v>46222.5</v>
      </c>
      <c r="B9" t="s">
        <v>184</v>
      </c>
      <c r="C9" t="s">
        <v>105</v>
      </c>
      <c r="D9" s="8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7">
        <v>46218.5</v>
      </c>
      <c r="B10" t="s">
        <v>186</v>
      </c>
      <c r="C10" t="s">
        <v>168</v>
      </c>
      <c r="D10" s="8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7">
        <v>46218.5</v>
      </c>
      <c r="B11" t="s">
        <v>188</v>
      </c>
      <c r="C11" t="s">
        <v>189</v>
      </c>
      <c r="D11" s="8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7">
        <v>46218.5</v>
      </c>
      <c r="B12" t="s">
        <v>191</v>
      </c>
      <c r="C12" t="s">
        <v>174</v>
      </c>
      <c r="D12" s="8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7">
        <v>46218.5</v>
      </c>
      <c r="B13" t="s">
        <v>193</v>
      </c>
      <c r="C13" t="s">
        <v>194</v>
      </c>
      <c r="D13" s="8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7">
        <v>46214.5</v>
      </c>
      <c r="B14" t="s">
        <v>196</v>
      </c>
      <c r="C14" t="s">
        <v>105</v>
      </c>
      <c r="D14" s="8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7">
        <v>46214.5</v>
      </c>
      <c r="B15" t="s">
        <v>198</v>
      </c>
      <c r="C15" t="s">
        <v>105</v>
      </c>
      <c r="D15" s="8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7">
        <v>46214.5</v>
      </c>
      <c r="B16" t="s">
        <v>200</v>
      </c>
      <c r="C16" t="s">
        <v>105</v>
      </c>
      <c r="D16" s="8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7">
        <v>46214.5</v>
      </c>
      <c r="B17" t="s">
        <v>202</v>
      </c>
      <c r="C17" t="s">
        <v>105</v>
      </c>
      <c r="D17" s="8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7">
        <v>46210.5</v>
      </c>
      <c r="B18" t="s">
        <v>204</v>
      </c>
      <c r="C18" t="s">
        <v>205</v>
      </c>
      <c r="D18" s="8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7">
        <v>46210.5</v>
      </c>
      <c r="B19" t="s">
        <v>207</v>
      </c>
      <c r="C19" t="s">
        <v>168</v>
      </c>
      <c r="D19" s="8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7">
        <v>46210.5</v>
      </c>
      <c r="B20" t="s">
        <v>209</v>
      </c>
      <c r="C20" t="s">
        <v>168</v>
      </c>
      <c r="D20" s="8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7">
        <v>46210.5</v>
      </c>
      <c r="B21" t="s">
        <v>211</v>
      </c>
      <c r="C21" t="s">
        <v>194</v>
      </c>
      <c r="D21" s="8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7">
        <v>46206.5</v>
      </c>
      <c r="B22" t="s">
        <v>213</v>
      </c>
      <c r="C22" t="s">
        <v>105</v>
      </c>
      <c r="D22" s="8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7">
        <v>46206.5</v>
      </c>
      <c r="B23" t="s">
        <v>215</v>
      </c>
      <c r="C23" t="s">
        <v>105</v>
      </c>
      <c r="D23" s="8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7">
        <v>46206.5</v>
      </c>
      <c r="B24" t="s">
        <v>217</v>
      </c>
      <c r="C24" t="s">
        <v>105</v>
      </c>
      <c r="D24" s="8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7">
        <v>46206.5</v>
      </c>
      <c r="B25" t="s">
        <v>219</v>
      </c>
      <c r="C25" t="s">
        <v>105</v>
      </c>
      <c r="D25" s="8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7">
        <v>46206.5</v>
      </c>
      <c r="B26" t="s">
        <v>221</v>
      </c>
      <c r="C26" t="s">
        <v>105</v>
      </c>
      <c r="D26" s="8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SUM(Q2:Q26)</f>
      </c>
      <c r="R27" s="9">
        <f>SUM(R2:R26)</f>
      </c>
      <c r="S27" s="9">
        <f>SUM(S2:S26)</f>
      </c>
      <c r="T27" s="9">
        <f>SUM(T2:T26)</f>
      </c>
      <c r="U27" s="9">
        <f>SUM(U2:U26)</f>
      </c>
      <c r="V27" s="9">
        <f>SUM(V2:V26)</f>
      </c>
      <c r="W27" s="9">
        <f>IFERROR((V27-AD27)/H27*100,0)</f>
      </c>
      <c r="X27" s="9">
        <f>SUM(X2:X26)</f>
      </c>
      <c r="Y27" s="6"/>
      <c r="Z27" s="6"/>
      <c r="AA27" s="6"/>
      <c r="AB27" s="6"/>
      <c r="AC27" s="6"/>
      <c r="AD27" s="9">
        <f>SUM(AD2:AD26)</f>
      </c>
      <c r="AE27" s="9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223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10</v>
      </c>
    </row>
    <row r="2" spans="1:25" x14ac:dyDescent="0.25">
      <c r="A2" s="7">
        <v>46227.5</v>
      </c>
      <c r="B2" t="s">
        <v>224</v>
      </c>
      <c r="C2" t="s">
        <v>225</v>
      </c>
      <c r="D2" s="8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7">
        <v>46227.5</v>
      </c>
      <c r="B3" t="s">
        <v>227</v>
      </c>
      <c r="C3" t="s">
        <v>228</v>
      </c>
      <c r="D3" s="8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7">
        <v>46227.5</v>
      </c>
      <c r="B4" t="s">
        <v>230</v>
      </c>
      <c r="C4" t="s">
        <v>231</v>
      </c>
      <c r="D4" s="8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7">
        <v>46227.5</v>
      </c>
      <c r="B5" t="s">
        <v>233</v>
      </c>
      <c r="C5" t="s">
        <v>225</v>
      </c>
      <c r="D5" s="8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7">
        <v>46223.5</v>
      </c>
      <c r="B6" t="s">
        <v>235</v>
      </c>
      <c r="C6" t="s">
        <v>57</v>
      </c>
      <c r="D6" s="8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7">
        <v>46223.5</v>
      </c>
      <c r="B7" t="s">
        <v>237</v>
      </c>
      <c r="C7" t="s">
        <v>57</v>
      </c>
      <c r="D7" s="8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7">
        <v>46223.5</v>
      </c>
      <c r="B8" t="s">
        <v>239</v>
      </c>
      <c r="C8" t="s">
        <v>57</v>
      </c>
      <c r="D8" s="8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7">
        <v>46223.5</v>
      </c>
      <c r="B9" t="s">
        <v>241</v>
      </c>
      <c r="C9" t="s">
        <v>57</v>
      </c>
      <c r="D9" s="8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7">
        <v>46219.5</v>
      </c>
      <c r="B10" t="s">
        <v>243</v>
      </c>
      <c r="C10" t="s">
        <v>244</v>
      </c>
      <c r="D10" s="8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7">
        <v>46219.5</v>
      </c>
      <c r="B11" t="s">
        <v>246</v>
      </c>
      <c r="C11" t="s">
        <v>225</v>
      </c>
      <c r="D11" s="8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7">
        <v>46219.5</v>
      </c>
      <c r="B12" t="s">
        <v>248</v>
      </c>
      <c r="C12" t="s">
        <v>228</v>
      </c>
      <c r="D12" s="8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7">
        <v>46219.5</v>
      </c>
      <c r="B13" t="s">
        <v>250</v>
      </c>
      <c r="C13" t="s">
        <v>231</v>
      </c>
      <c r="D13" s="8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7">
        <v>46215.5</v>
      </c>
      <c r="B14" t="s">
        <v>252</v>
      </c>
      <c r="C14" t="s">
        <v>57</v>
      </c>
      <c r="D14" s="8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7">
        <v>46215.5</v>
      </c>
      <c r="B15" t="s">
        <v>254</v>
      </c>
      <c r="C15" t="s">
        <v>57</v>
      </c>
      <c r="D15" s="8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7">
        <v>46215.5</v>
      </c>
      <c r="B16" t="s">
        <v>256</v>
      </c>
      <c r="C16" t="s">
        <v>57</v>
      </c>
      <c r="D16" s="8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7">
        <v>46215.5</v>
      </c>
      <c r="B17" t="s">
        <v>258</v>
      </c>
      <c r="C17" t="s">
        <v>57</v>
      </c>
      <c r="D17" s="8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7">
        <v>46211.5</v>
      </c>
      <c r="B18" t="s">
        <v>260</v>
      </c>
      <c r="C18" t="s">
        <v>261</v>
      </c>
      <c r="D18" s="8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7">
        <v>46211.5</v>
      </c>
      <c r="B19" t="s">
        <v>263</v>
      </c>
      <c r="C19" t="s">
        <v>264</v>
      </c>
      <c r="D19" s="8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7">
        <v>46211.5</v>
      </c>
      <c r="B20" t="s">
        <v>266</v>
      </c>
      <c r="C20" t="s">
        <v>267</v>
      </c>
      <c r="D20" s="8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7">
        <v>46211.5</v>
      </c>
      <c r="B21" t="s">
        <v>269</v>
      </c>
      <c r="C21" t="s">
        <v>261</v>
      </c>
      <c r="D21" s="8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7">
        <v>46207.5</v>
      </c>
      <c r="B22" t="s">
        <v>271</v>
      </c>
      <c r="C22" t="s">
        <v>57</v>
      </c>
      <c r="D22" s="8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7">
        <v>46207.5</v>
      </c>
      <c r="B23" t="s">
        <v>273</v>
      </c>
      <c r="C23" t="s">
        <v>57</v>
      </c>
      <c r="D23" s="8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7">
        <v>46207.5</v>
      </c>
      <c r="B24" t="s">
        <v>275</v>
      </c>
      <c r="C24" t="s">
        <v>57</v>
      </c>
      <c r="D24" s="8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7">
        <v>46207.5</v>
      </c>
      <c r="B25" t="s">
        <v>277</v>
      </c>
      <c r="C25" t="s">
        <v>57</v>
      </c>
      <c r="D25" s="8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7">
        <v>46207.5</v>
      </c>
      <c r="B26" t="s">
        <v>279</v>
      </c>
      <c r="C26" t="s">
        <v>57</v>
      </c>
      <c r="D26" s="8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9">
        <f>SUM(F2:F26)</f>
      </c>
      <c r="G27" s="9">
        <f>SUM(G2:G26)</f>
      </c>
      <c r="H27" s="9">
        <f>SUM(H2:H26)</f>
      </c>
      <c r="I27" s="9">
        <f>SUM(I2:I26)</f>
      </c>
      <c r="J27" s="9">
        <f>SUM(J2:J26)</f>
      </c>
      <c r="K27" s="9">
        <f>SUM(K2:K26)</f>
      </c>
      <c r="L27" s="9">
        <f>SUM(L2:L26)</f>
      </c>
      <c r="M27" s="9">
        <f>SUM(M2:M26)</f>
      </c>
      <c r="N27" s="9">
        <f>SUM(N2:N26)</f>
      </c>
      <c r="O27" s="9">
        <f>SUM(O2:O26)</f>
      </c>
      <c r="P27" s="9">
        <f>SUM(P2:P26)</f>
      </c>
      <c r="Q27" s="9">
        <f>IFERROR((P27-X27)/F27*100,0)</f>
      </c>
      <c r="R27" s="9">
        <f>SUM(R2:R26)</f>
      </c>
      <c r="S27" s="6"/>
      <c r="T27" s="6"/>
      <c r="U27" s="6"/>
      <c r="V27" s="6"/>
      <c r="W27" s="6"/>
      <c r="X27" s="9">
        <f>SUM(X2:X26)</f>
      </c>
      <c r="Y27" s="9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FormatPr defaultRowHeight="15" outlineLevelRow="0" outlineLevelCol="0" x14ac:dyDescent="55"/>
  <sheetData>
    <row r="1" spans="1:2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281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282</v>
      </c>
      <c r="B1" t="s">
        <v>283</v>
      </c>
    </row>
    <row r="2" spans="1:2" x14ac:dyDescent="0.25">
      <c r="A2" s="6" t="s">
        <v>284</v>
      </c>
      <c r="B2">
        <v>0</v>
      </c>
    </row>
    <row r="3" spans="1:2" x14ac:dyDescent="0.25">
      <c r="A3" s="6" t="s">
        <v>5</v>
      </c>
      <c r="B3">
        <v>0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285</v>
      </c>
      <c r="B6" s="3">
        <v>0</v>
      </c>
    </row>
    <row r="7" spans="1:2" x14ac:dyDescent="0.25">
      <c r="A7" s="6" t="s">
        <v>286</v>
      </c>
      <c r="B7" s="3">
        <v>0</v>
      </c>
    </row>
    <row r="9" spans="1:2" x14ac:dyDescent="0.25">
      <c r="A9" s="6" t="s">
        <v>287</v>
      </c>
      <c r="B9" t="s">
        <v>1</v>
      </c>
    </row>
    <row r="10" spans="1:2" x14ac:dyDescent="0.25">
      <c r="A10" t="s">
        <v>288</v>
      </c>
      <c r="B10" t="s">
        <v>289</v>
      </c>
    </row>
    <row r="11" spans="1:2" x14ac:dyDescent="0.25">
      <c r="A11" t="s">
        <v>290</v>
      </c>
      <c r="B11" t="s">
        <v>291</v>
      </c>
    </row>
    <row r="12" spans="1:2" x14ac:dyDescent="0.25">
      <c r="A12" t="s">
        <v>292</v>
      </c>
      <c r="B12" t="s">
        <v>293</v>
      </c>
    </row>
    <row r="14" spans="1:2" x14ac:dyDescent="0.25">
      <c r="A14" s="6" t="s">
        <v>294</v>
      </c>
      <c r="B14" t="s">
        <v>1</v>
      </c>
    </row>
    <row r="15" spans="1:2" x14ac:dyDescent="0.25">
      <c r="A15" t="s">
        <v>295</v>
      </c>
      <c r="B15" t="s">
        <v>296</v>
      </c>
    </row>
    <row r="16" spans="1:2" x14ac:dyDescent="0.25">
      <c r="A16" t="s">
        <v>297</v>
      </c>
      <c r="B16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47</v>
      </c>
      <c r="B1" t="s">
        <v>298</v>
      </c>
      <c r="C1" t="s">
        <v>299</v>
      </c>
      <c r="D1" t="s">
        <v>300</v>
      </c>
      <c r="E1" t="s">
        <v>301</v>
      </c>
      <c r="F1" t="s">
        <v>29</v>
      </c>
      <c r="G1" t="s">
        <v>302</v>
      </c>
      <c r="H1" t="s">
        <v>303</v>
      </c>
      <c r="I1" t="s">
        <v>3</v>
      </c>
      <c r="J1" t="s">
        <v>304</v>
      </c>
      <c r="K1" t="s">
        <v>48</v>
      </c>
      <c r="L1" t="s">
        <v>305</v>
      </c>
      <c r="M1" t="s">
        <v>46</v>
      </c>
      <c r="N1" t="s">
        <v>306</v>
      </c>
      <c r="O1" t="s">
        <v>50</v>
      </c>
      <c r="P1" t="s">
        <v>9</v>
      </c>
    </row>
    <row r="2" spans="1:1" x14ac:dyDescent="0.25">
      <c r="A2" s="10" t="s">
        <v>307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298</v>
      </c>
      <c r="B1" t="s">
        <v>299</v>
      </c>
      <c r="C1" t="s">
        <v>308</v>
      </c>
      <c r="D1" t="s">
        <v>309</v>
      </c>
      <c r="E1" t="s">
        <v>310</v>
      </c>
      <c r="F1" t="s">
        <v>311</v>
      </c>
      <c r="G1" t="s">
        <v>46</v>
      </c>
    </row>
    <row r="2" spans="1:1" x14ac:dyDescent="0.25">
      <c r="A2" s="10" t="s">
        <v>312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AMAZON</vt:lpstr>
      <vt:lpstr>BM</vt:lpstr>
      <vt:lpstr>EBAY</vt:lpstr>
      <vt:lpstr>ONBUY</vt:lpstr>
      <vt:lpstr>TEMU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2026-07-27T15:49:57Z</dcterms:created>
  <dcterms:modified xsi:type="dcterms:W3CDTF">2026-07-27T15:49:57Z</dcterms:modified>
</cp:coreProperties>
</file>