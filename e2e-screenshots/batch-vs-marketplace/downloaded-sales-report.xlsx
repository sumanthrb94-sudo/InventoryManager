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</sheets>
  <calcPr calcId="171027"/>
</workbook>
</file>

<file path=xl/sharedStrings.xml><?xml version="1.0" encoding="utf-8"?>
<sst xmlns="http://schemas.openxmlformats.org/spreadsheetml/2006/main" count="664" uniqueCount="281">
  <si>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</si>
  <si>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</si>
  <si>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</si>
  <si>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</si>
  <si>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</si>
  <si>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</si>
  <si>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</si>
  <si>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</si>
  <si>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</si>
  <si>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</si>
  <si>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</si>
  <si>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</si>
  <si>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</si>
  <si>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</si>
  <si>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</si>
  <si>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</si>
  <si>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</si>
  <si>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</si>
  <si>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</si>
  <si>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</si>
  <si>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</si>
  <si>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</si>
  <si>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Per-marketplace sheets carry a TOTAL row at the bottom with the same maths reconciled via SUM formulas.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</si>
  <si>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</si>
  <si>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</si>
  <si>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</si>
  <si>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</si>
  <si>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</si>
  <si>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</si>
  <si>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</si>
  <si>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</si>
  <si>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</si>
  <si>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</si>
  <si>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</si>
  <si>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</si>
  <si>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</si>
  <si>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</si>
  <si>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</si>
  <si>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</si>
  <si>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</si>
  <si>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</si>
  <si>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</si>
  <si>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</si>
  <si>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</si>
  <si>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</si>
  <si>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</si>
  <si>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</si>
  <si>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</si>
  <si>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</si>
  <si>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</si>
  <si>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</si>
  <si>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</si>
  <si>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AMA-SHS-1</t>
  </si>
  <si>
    <t>Apple iPhone 64GB</t>
  </si>
  <si>
    <t>350100000000000</t>
  </si>
  <si>
    <t>NORTHSIDE STOCK</t>
  </si>
  <si>
    <t>AMA-5068</t>
  </si>
  <si>
    <t>Apple iPhone 256GB</t>
  </si>
  <si>
    <t>350100000538492</t>
  </si>
  <si>
    <t>MOBILE WHOLESALE LTD</t>
  </si>
  <si>
    <t>AMA-5044</t>
  </si>
  <si>
    <t>350100000348436</t>
  </si>
  <si>
    <t>AMA-5020</t>
  </si>
  <si>
    <t>350100000158380</t>
  </si>
  <si>
    <t>CELLHUB TRADING</t>
  </si>
  <si>
    <t>AMA-5092</t>
  </si>
  <si>
    <t>350100007855648</t>
  </si>
  <si>
    <t>PHONEBOX DIRECT</t>
  </si>
  <si>
    <t>AMA-5088</t>
  </si>
  <si>
    <t>350100000696872</t>
  </si>
  <si>
    <t>AMA-5064</t>
  </si>
  <si>
    <t>350100000506816</t>
  </si>
  <si>
    <t>AMA-5040</t>
  </si>
  <si>
    <t>350100000316760</t>
  </si>
  <si>
    <t>AMA-5016</t>
  </si>
  <si>
    <t>350100000126704</t>
  </si>
  <si>
    <t>AMA-5084</t>
  </si>
  <si>
    <t>SAM SAM-128GB-GRA 128GB</t>
  </si>
  <si>
    <t>350100000673115</t>
  </si>
  <si>
    <t>AMA-5060</t>
  </si>
  <si>
    <t>SAM SAM-128GB-WHI 128GB</t>
  </si>
  <si>
    <t>350100000483059</t>
  </si>
  <si>
    <t>AMA-5036</t>
  </si>
  <si>
    <t>SAM SAM-128GB-GRE 128GB</t>
  </si>
  <si>
    <t>350100000293003</t>
  </si>
  <si>
    <t>AMA-5012</t>
  </si>
  <si>
    <t>SAM SAM-128GB-BLU 128GB</t>
  </si>
  <si>
    <t>350100000102947</t>
  </si>
  <si>
    <t>AMA-5080</t>
  </si>
  <si>
    <t>350100000633520</t>
  </si>
  <si>
    <t>AMA-5056</t>
  </si>
  <si>
    <t>350100000443464</t>
  </si>
  <si>
    <t>AMA-5032</t>
  </si>
  <si>
    <t>350100000253408</t>
  </si>
  <si>
    <t>AMA-5008</t>
  </si>
  <si>
    <t>350100000063352</t>
  </si>
  <si>
    <t>AMA-5076</t>
  </si>
  <si>
    <t>350100000601844</t>
  </si>
  <si>
    <t>AMA-5052</t>
  </si>
  <si>
    <t>350100000411788</t>
  </si>
  <si>
    <t>AMA-5028</t>
  </si>
  <si>
    <t>350100000221732</t>
  </si>
  <si>
    <t>AMA-5004</t>
  </si>
  <si>
    <t>350100000031676</t>
  </si>
  <si>
    <t>AMA-5072</t>
  </si>
  <si>
    <t>Apple iPhone 128GB</t>
  </si>
  <si>
    <t>350100000578087</t>
  </si>
  <si>
    <t>AMA-5048</t>
  </si>
  <si>
    <t>350100000388031</t>
  </si>
  <si>
    <t>AMA-5024</t>
  </si>
  <si>
    <t>350100000197975</t>
  </si>
  <si>
    <t>AMA-5000</t>
  </si>
  <si>
    <t>350100000007919</t>
  </si>
  <si>
    <t>AMA-5096</t>
  </si>
  <si>
    <t>350100007887324</t>
  </si>
  <si>
    <t>Customer Care Fees</t>
  </si>
  <si>
    <t>BM-5069</t>
  </si>
  <si>
    <t>350100000546411</t>
  </si>
  <si>
    <t>BM-5045</t>
  </si>
  <si>
    <t>SAM SAM-128GB-MID 128GB</t>
  </si>
  <si>
    <t>350100000356355</t>
  </si>
  <si>
    <t>BM-5021</t>
  </si>
  <si>
    <t>350100000166299</t>
  </si>
  <si>
    <t>BM-5093</t>
  </si>
  <si>
    <t>350100007863567</t>
  </si>
  <si>
    <t>BM-5089</t>
  </si>
  <si>
    <t>350100000704791</t>
  </si>
  <si>
    <t>BM-5065</t>
  </si>
  <si>
    <t>350100000514735</t>
  </si>
  <si>
    <t>BM-5041</t>
  </si>
  <si>
    <t>350100000324679</t>
  </si>
  <si>
    <t>BM-5017</t>
  </si>
  <si>
    <t>350100000134623</t>
  </si>
  <si>
    <t>BM-5085</t>
  </si>
  <si>
    <t>BM-5061</t>
  </si>
  <si>
    <t>BM-5037</t>
  </si>
  <si>
    <t>BM-5013</t>
  </si>
  <si>
    <t>BM-5081</t>
  </si>
  <si>
    <t>350100000641439</t>
  </si>
  <si>
    <t>BM-5057</t>
  </si>
  <si>
    <t>350100000451383</t>
  </si>
  <si>
    <t>BM-5033</t>
  </si>
  <si>
    <t>350100000261327</t>
  </si>
  <si>
    <t>BM-5009</t>
  </si>
  <si>
    <t>350100000071271</t>
  </si>
  <si>
    <t>BM-5077</t>
  </si>
  <si>
    <t>350100000609763</t>
  </si>
  <si>
    <t>BM-5053</t>
  </si>
  <si>
    <t>SAM SAM-128GB-STA 128GB</t>
  </si>
  <si>
    <t>350100000419707</t>
  </si>
  <si>
    <t>BM-5029</t>
  </si>
  <si>
    <t>350100000229651</t>
  </si>
  <si>
    <t>BM-5005</t>
  </si>
  <si>
    <t>350100000039595</t>
  </si>
  <si>
    <t>BM-5073</t>
  </si>
  <si>
    <t>BM-5049</t>
  </si>
  <si>
    <t>BM-5025</t>
  </si>
  <si>
    <t>BM-5001</t>
  </si>
  <si>
    <t>BM-5097</t>
  </si>
  <si>
    <t>350100007895243</t>
  </si>
  <si>
    <t>Units</t>
  </si>
  <si>
    <t>ROF</t>
  </si>
  <si>
    <t>FVF</t>
  </si>
  <si>
    <t>VAT</t>
  </si>
  <si>
    <t>T.COM</t>
  </si>
  <si>
    <t>Marketing</t>
  </si>
  <si>
    <t>M. VAT</t>
  </si>
  <si>
    <t>EBA-5070</t>
  </si>
  <si>
    <t>SAM SAM-256GB-GRA 256GB</t>
  </si>
  <si>
    <t>350100000554330</t>
  </si>
  <si>
    <t>EBA-5046</t>
  </si>
  <si>
    <t>SAM SAM-256GB-PUR 256GB</t>
  </si>
  <si>
    <t>350100000364274</t>
  </si>
  <si>
    <t>EBA-5022</t>
  </si>
  <si>
    <t>SAM SAM-256GB-MID 256GB</t>
  </si>
  <si>
    <t>350100000174218</t>
  </si>
  <si>
    <t>EBA-5094</t>
  </si>
  <si>
    <t>350100007871486</t>
  </si>
  <si>
    <t>EBA-5066</t>
  </si>
  <si>
    <t>350100000522654</t>
  </si>
  <si>
    <t>EBA-5042</t>
  </si>
  <si>
    <t>350100000332598</t>
  </si>
  <si>
    <t>EBA-5018</t>
  </si>
  <si>
    <t>350100000142542</t>
  </si>
  <si>
    <t>EBA-5090</t>
  </si>
  <si>
    <t>350100007839810</t>
  </si>
  <si>
    <t>EBA-5086</t>
  </si>
  <si>
    <t>350100000681034</t>
  </si>
  <si>
    <t>EBA-5062</t>
  </si>
  <si>
    <t>SAM SAM-256GB-BLU 256GB</t>
  </si>
  <si>
    <t>350100000490978</t>
  </si>
  <si>
    <t>EBA-5038</t>
  </si>
  <si>
    <t>350100000300922</t>
  </si>
  <si>
    <t>EBA-5014</t>
  </si>
  <si>
    <t>SAM SAM-256GB-WHI 256GB</t>
  </si>
  <si>
    <t>350100000110866</t>
  </si>
  <si>
    <t>EBA-5082</t>
  </si>
  <si>
    <t>350100000649358</t>
  </si>
  <si>
    <t>EBA-5058</t>
  </si>
  <si>
    <t>350100000459302</t>
  </si>
  <si>
    <t>EBA-5034</t>
  </si>
  <si>
    <t>350100000269246</t>
  </si>
  <si>
    <t>EBA-5010</t>
  </si>
  <si>
    <t>350100000079190</t>
  </si>
  <si>
    <t>EBA-5078</t>
  </si>
  <si>
    <t>SAM SAM-256GB-GRE 256GB</t>
  </si>
  <si>
    <t>350100000617682</t>
  </si>
  <si>
    <t>EBA-5054</t>
  </si>
  <si>
    <t>350100000427626</t>
  </si>
  <si>
    <t>EBA-5030</t>
  </si>
  <si>
    <t>350100000237570</t>
  </si>
  <si>
    <t>EBA-5006</t>
  </si>
  <si>
    <t>350100000047514</t>
  </si>
  <si>
    <t>EBA-5074</t>
  </si>
  <si>
    <t>350100000586006</t>
  </si>
  <si>
    <t>EBA-5050</t>
  </si>
  <si>
    <t>350100000395950</t>
  </si>
  <si>
    <t>EBA-5026</t>
  </si>
  <si>
    <t>350100000205894</t>
  </si>
  <si>
    <t>EBA-5002</t>
  </si>
  <si>
    <t>350100000015838</t>
  </si>
  <si>
    <t>EBA-5098</t>
  </si>
  <si>
    <t>350100007903162</t>
  </si>
  <si>
    <t>VAT 20%</t>
  </si>
  <si>
    <t>ONB-5071</t>
  </si>
  <si>
    <t>GOO GOO-128GB-BLU 128GB</t>
  </si>
  <si>
    <t>350100000562249</t>
  </si>
  <si>
    <t>ONB-5047</t>
  </si>
  <si>
    <t>GOO GOO-128GB-GRA 128GB</t>
  </si>
  <si>
    <t>350100000372193</t>
  </si>
  <si>
    <t>ONB-5023</t>
  </si>
  <si>
    <t>GOO GOO-128GB-BLA 128GB</t>
  </si>
  <si>
    <t>350100000182137</t>
  </si>
  <si>
    <t>ONB-5095</t>
  </si>
  <si>
    <t>350100007879405</t>
  </si>
  <si>
    <t>ONB-5067</t>
  </si>
  <si>
    <t>350100000530573</t>
  </si>
  <si>
    <t>ONB-5043</t>
  </si>
  <si>
    <t>350100000340517</t>
  </si>
  <si>
    <t>ONB-5019</t>
  </si>
  <si>
    <t>350100000150461</t>
  </si>
  <si>
    <t>ONB-5091</t>
  </si>
  <si>
    <t>350100007847729</t>
  </si>
  <si>
    <t>ONB-5087</t>
  </si>
  <si>
    <t>GOO GOO-128GB-STA 128GB</t>
  </si>
  <si>
    <t>350100000688953</t>
  </si>
  <si>
    <t>ONB-5063</t>
  </si>
  <si>
    <t>350100000498897</t>
  </si>
  <si>
    <t>ONB-5039</t>
  </si>
  <si>
    <t>350100000308841</t>
  </si>
  <si>
    <t>ONB-5015</t>
  </si>
  <si>
    <t>350100000118785</t>
  </si>
  <si>
    <t>ONB-5083</t>
  </si>
  <si>
    <t>350100000657277</t>
  </si>
  <si>
    <t>ONB-5059</t>
  </si>
  <si>
    <t>350100000467221</t>
  </si>
  <si>
    <t>ONB-5035</t>
  </si>
  <si>
    <t>350100000277165</t>
  </si>
  <si>
    <t>ONB-5011</t>
  </si>
  <si>
    <t>350100000087109</t>
  </si>
  <si>
    <t>ONB-5079</t>
  </si>
  <si>
    <t>GOO GOO-128GB-WHI 128GB</t>
  </si>
  <si>
    <t>350100000625601</t>
  </si>
  <si>
    <t>ONB-5055</t>
  </si>
  <si>
    <t>GOO GOO-128GB-MID 128GB</t>
  </si>
  <si>
    <t>350100000435545</t>
  </si>
  <si>
    <t>ONB-5031</t>
  </si>
  <si>
    <t>GOO GOO-128GB-GRE 128GB</t>
  </si>
  <si>
    <t>350100000245489</t>
  </si>
  <si>
    <t>ONB-5007</t>
  </si>
  <si>
    <t>350100000055433</t>
  </si>
  <si>
    <t>ONB-5075</t>
  </si>
  <si>
    <t>350100000593925</t>
  </si>
  <si>
    <t>ONB-5051</t>
  </si>
  <si>
    <t>350100000403869</t>
  </si>
  <si>
    <t>ONB-5027</t>
  </si>
  <si>
    <t>350100000213813</t>
  </si>
  <si>
    <t>ONB-5003</t>
  </si>
  <si>
    <t>350100000023757</t>
  </si>
  <si>
    <t>ONB-5099</t>
  </si>
  <si>
    <t>350100007911081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</si>
</sst>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26</v>
      </c>
      <c r="C5">
        <v>0</v>
      </c>
      <c r="D5">
        <v>0</v>
      </c>
      <c r="E5">
        <v>0</v>
      </c>
      <c r="F5" s="3">
        <v>1299.61</v>
      </c>
      <c r="G5" s="3">
        <v>0</v>
      </c>
      <c r="H5" s="3">
        <v>1299.61</v>
      </c>
      <c r="I5" s="3">
        <v>16.79</v>
      </c>
    </row>
    <row r="6" spans="1:9" x14ac:dyDescent="0.25">
      <c r="A6" t="s">
        <v>13</v>
      </c>
      <c r="B6">
        <v>25</v>
      </c>
      <c r="C6">
        <v>0</v>
      </c>
      <c r="D6">
        <v>0</v>
      </c>
      <c r="E6">
        <v>0</v>
      </c>
      <c r="F6" s="3">
        <v>611.39</v>
      </c>
      <c r="G6" s="3">
        <v>0</v>
      </c>
      <c r="H6" s="3">
        <v>611.39</v>
      </c>
      <c r="I6" s="3">
        <v>10.31</v>
      </c>
    </row>
    <row r="7" spans="1:9" x14ac:dyDescent="0.25">
      <c r="A7" t="s">
        <v>14</v>
      </c>
      <c r="B7">
        <v>25</v>
      </c>
      <c r="C7">
        <v>0</v>
      </c>
      <c r="D7">
        <v>0</v>
      </c>
      <c r="E7">
        <v>0</v>
      </c>
      <c r="F7" s="3">
        <v>1027.55</v>
      </c>
      <c r="G7" s="3">
        <v>0</v>
      </c>
      <c r="H7" s="3">
        <v>1027.55</v>
      </c>
      <c r="I7" s="3">
        <v>10.93</v>
      </c>
    </row>
    <row r="8" spans="1:9" x14ac:dyDescent="0.25">
      <c r="A8" t="s">
        <v>15</v>
      </c>
      <c r="B8">
        <v>25</v>
      </c>
      <c r="C8">
        <v>0</v>
      </c>
      <c r="D8">
        <v>0</v>
      </c>
      <c r="E8">
        <v>0</v>
      </c>
      <c r="F8" s="3">
        <v>1847.96</v>
      </c>
      <c r="G8" s="3">
        <v>0</v>
      </c>
      <c r="H8" s="3">
        <v>1847.96</v>
      </c>
      <c r="I8" s="3">
        <v>18.55</v>
      </c>
    </row>
    <row r="9" spans="1:9" s="4" customFormat="1" x14ac:dyDescent="0.25">
      <c r="A9" s="4" t="s">
        <v>16</v>
      </c>
      <c r="B9" s="4">
        <v>101</v>
      </c>
      <c r="C9" s="4">
        <v>0</v>
      </c>
      <c r="D9" s="4">
        <v>0</v>
      </c>
      <c r="E9" s="4">
        <v>0</v>
      </c>
      <c r="F9" s="5">
        <v>4786.51</v>
      </c>
      <c r="G9" s="5">
        <v>0</v>
      </c>
      <c r="H9" s="5">
        <v>4786.51</v>
      </c>
      <c r="I9" s="5">
        <v>14.49</v>
      </c>
    </row>
    <row r="11" spans="1:1" s="6" customFormat="1" x14ac:dyDescent="0.25">
      <c r="A11" s="6" t="s">
        <v>17</v>
      </c>
    </row>
    <row r="12" spans="1:1" x14ac:dyDescent="0.25">
      <c r="A12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23</v>
      </c>
      <c r="B1" s="2" t="s">
        <v>24</v>
      </c>
      <c r="C1" s="2" t="s">
        <v>3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9</v>
      </c>
      <c r="L1" s="2" t="s">
        <v>32</v>
      </c>
      <c r="M1" s="2" t="s">
        <v>33</v>
      </c>
      <c r="N1" s="2" t="s">
        <v>34</v>
      </c>
      <c r="O1" s="2" t="s">
        <v>35</v>
      </c>
      <c r="P1" s="2" t="s">
        <v>36</v>
      </c>
    </row>
    <row r="2" spans="1:1" x14ac:dyDescent="0.25">
      <c r="A2" s="7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8"/>
  <sheetFormatPr defaultRowHeight="15" outlineLevelRow="0" outlineLevelCol="0" x14ac:dyDescent="55"/>
  <sheetData>
    <row r="1" spans="1:28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39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35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36</v>
      </c>
      <c r="W1" t="s">
        <v>24</v>
      </c>
      <c r="X1" t="s">
        <v>29</v>
      </c>
      <c r="Y1" t="s">
        <v>30</v>
      </c>
      <c r="Z1" t="s">
        <v>31</v>
      </c>
      <c r="AA1" t="s">
        <v>51</v>
      </c>
      <c r="AB1" t="s">
        <v>10</v>
      </c>
    </row>
    <row r="2" spans="1:28" x14ac:dyDescent="0.25">
      <c r="A2" s="8">
        <v>46227.5</v>
      </c>
      <c r="B2" t="s">
        <v>52</v>
      </c>
      <c r="C2" t="s">
        <v>53</v>
      </c>
      <c r="D2" s="9" t="s">
        <v>54</v>
      </c>
      <c r="E2" t="s">
        <v>55</v>
      </c>
      <c r="F2">
        <v>1</v>
      </c>
      <c r="G2" s="3">
        <v>206.45</v>
      </c>
      <c r="H2" s="3">
        <v>268.39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x14ac:dyDescent="0.25">
      <c r="A3" s="8">
        <v>46224.5</v>
      </c>
      <c r="B3" t="s">
        <v>56</v>
      </c>
      <c r="C3" t="s">
        <v>57</v>
      </c>
      <c r="D3" s="9" t="s">
        <v>58</v>
      </c>
      <c r="E3" t="s">
        <v>59</v>
      </c>
      <c r="F3">
        <v>1</v>
      </c>
      <c r="G3" s="3">
        <v>482.51</v>
      </c>
      <c r="H3" s="3">
        <v>620.19</v>
      </c>
      <c r="I3" s="3">
        <f>H3-G3</f>
      </c>
      <c r="J3" s="3">
        <f>I3*16.67%</f>
      </c>
      <c r="K3" s="3">
        <f>H3/100*7</f>
      </c>
      <c r="L3" s="3">
        <f>K3*20%</f>
      </c>
      <c r="M3" s="3">
        <f>K3*2%</f>
      </c>
      <c r="N3" s="3">
        <f>M3*20%</f>
      </c>
      <c r="O3" s="3">
        <v>8</v>
      </c>
      <c r="P3" s="3">
        <f>O3*20%</f>
      </c>
      <c r="Q3" s="3">
        <v>1</v>
      </c>
      <c r="R3" s="3">
        <f>L3+N3+P3</f>
      </c>
      <c r="S3" s="3">
        <f>I3-J3-K3-L3-M3-N3-O3-P3-Q3</f>
      </c>
      <c r="T3" s="3">
        <f>(S3-AA3)/G3*100</f>
      </c>
      <c r="U3" s="3">
        <f>J3-R3</f>
      </c>
      <c r="V3" t="s">
        <v>1</v>
      </c>
      <c r="AB3" s="3">
        <f>S3-AA3</f>
      </c>
    </row>
    <row r="4" spans="1:28" x14ac:dyDescent="0.25">
      <c r="A4" s="8">
        <v>46224.5</v>
      </c>
      <c r="B4" t="s">
        <v>60</v>
      </c>
      <c r="C4" t="s">
        <v>57</v>
      </c>
      <c r="D4" s="9" t="s">
        <v>61</v>
      </c>
      <c r="E4" t="s">
        <v>59</v>
      </c>
      <c r="F4">
        <v>1</v>
      </c>
      <c r="G4" s="3">
        <v>484.06</v>
      </c>
      <c r="H4" s="3">
        <v>718.37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8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(S4-AA4)/G4*100</f>
      </c>
      <c r="U4" s="3">
        <f>J4-R4</f>
      </c>
      <c r="V4" t="s">
        <v>1</v>
      </c>
      <c r="AB4" s="3">
        <f>S4-AA4</f>
      </c>
    </row>
    <row r="5" spans="1:28" x14ac:dyDescent="0.25">
      <c r="A5" s="8">
        <v>46224.5</v>
      </c>
      <c r="B5" t="s">
        <v>62</v>
      </c>
      <c r="C5" t="s">
        <v>57</v>
      </c>
      <c r="D5" s="9" t="s">
        <v>63</v>
      </c>
      <c r="E5" t="s">
        <v>64</v>
      </c>
      <c r="F5">
        <v>1</v>
      </c>
      <c r="G5" s="3">
        <v>469.17</v>
      </c>
      <c r="H5" s="3">
        <v>656.42</v>
      </c>
      <c r="I5" s="3">
        <f>H5-G5</f>
      </c>
      <c r="J5" s="3">
        <f>I5*16.67%</f>
      </c>
      <c r="K5" s="3">
        <f>H5/100*7</f>
      </c>
      <c r="L5" s="3">
        <f>K5*20%</f>
      </c>
      <c r="M5" s="3">
        <f>K5*2%</f>
      </c>
      <c r="N5" s="3">
        <f>M5*20%</f>
      </c>
      <c r="O5" s="3">
        <v>8</v>
      </c>
      <c r="P5" s="3">
        <f>O5*20%</f>
      </c>
      <c r="Q5" s="3">
        <v>1</v>
      </c>
      <c r="R5" s="3">
        <f>L5+N5+P5</f>
      </c>
      <c r="S5" s="3">
        <f>I5-J5-K5-L5-M5-N5-O5-P5-Q5</f>
      </c>
      <c r="T5" s="3">
        <f>(S5-AA5)/G5*100</f>
      </c>
      <c r="U5" s="3">
        <f>J5-R5</f>
      </c>
      <c r="V5" t="s">
        <v>1</v>
      </c>
      <c r="AB5" s="3">
        <f>S5-AA5</f>
      </c>
    </row>
    <row r="6" spans="1:28" x14ac:dyDescent="0.25">
      <c r="A6" s="8">
        <v>46224.5</v>
      </c>
      <c r="B6" t="s">
        <v>65</v>
      </c>
      <c r="C6" t="s">
        <v>57</v>
      </c>
      <c r="D6" s="9" t="s">
        <v>66</v>
      </c>
      <c r="E6" t="s">
        <v>67</v>
      </c>
      <c r="F6">
        <v>1</v>
      </c>
      <c r="G6" s="3">
        <v>462.92</v>
      </c>
      <c r="H6" s="3">
        <v>615.58</v>
      </c>
      <c r="I6" s="3">
        <f>H6-G6</f>
      </c>
      <c r="J6" s="3">
        <f>I6*16.67%</f>
      </c>
      <c r="K6" s="3">
        <f>H6/100*7</f>
      </c>
      <c r="L6" s="3">
        <f>K6*20%</f>
      </c>
      <c r="M6" s="3">
        <f>K6*2%</f>
      </c>
      <c r="N6" s="3">
        <f>M6*20%</f>
      </c>
      <c r="O6" s="3">
        <v>2</v>
      </c>
      <c r="P6" s="3">
        <f>O6*20%</f>
      </c>
      <c r="Q6" s="3">
        <v>1</v>
      </c>
      <c r="R6" s="3">
        <f>L6+N6+P6</f>
      </c>
      <c r="S6" s="3">
        <f>I6-J6-K6-L6-M6-N6-O6-P6-Q6</f>
      </c>
      <c r="T6" s="3">
        <f>(S6-AA6)/G6*100</f>
      </c>
      <c r="U6" s="3">
        <f>J6-R6</f>
      </c>
      <c r="V6" t="s">
        <v>1</v>
      </c>
      <c r="AB6" s="3">
        <f>S6-AA6</f>
      </c>
    </row>
    <row r="7" spans="1:28" x14ac:dyDescent="0.25">
      <c r="A7" s="8">
        <v>46220.5</v>
      </c>
      <c r="B7" t="s">
        <v>68</v>
      </c>
      <c r="C7" t="s">
        <v>53</v>
      </c>
      <c r="D7" s="9" t="s">
        <v>69</v>
      </c>
      <c r="E7" t="s">
        <v>55</v>
      </c>
      <c r="F7">
        <v>1</v>
      </c>
      <c r="G7" s="3">
        <v>186.57</v>
      </c>
      <c r="H7" s="3">
        <v>239.7</v>
      </c>
      <c r="I7" s="3">
        <f>H7-G7</f>
      </c>
      <c r="J7" s="3">
        <f>I7*16.67%</f>
      </c>
      <c r="K7" s="3">
        <f>H7/100*7</f>
      </c>
      <c r="L7" s="3">
        <f>K7*20%</f>
      </c>
      <c r="M7" s="3">
        <f>K7*2%</f>
      </c>
      <c r="N7" s="3">
        <f>M7*20%</f>
      </c>
      <c r="O7" s="3">
        <v>8</v>
      </c>
      <c r="P7" s="3">
        <f>O7*20%</f>
      </c>
      <c r="Q7" s="3">
        <v>1</v>
      </c>
      <c r="R7" s="3">
        <f>L7+N7+P7</f>
      </c>
      <c r="S7" s="3">
        <f>I7-J7-K7-L7-M7-N7-O7-P7-Q7</f>
      </c>
      <c r="T7" s="3">
        <f>(S7-AA7)/G7*100</f>
      </c>
      <c r="U7" s="3">
        <f>J7-R7</f>
      </c>
      <c r="V7" t="s">
        <v>1</v>
      </c>
      <c r="AB7" s="3">
        <f>S7-AA7</f>
      </c>
    </row>
    <row r="8" spans="1:28" x14ac:dyDescent="0.25">
      <c r="A8" s="8">
        <v>46220.5</v>
      </c>
      <c r="B8" t="s">
        <v>70</v>
      </c>
      <c r="C8" t="s">
        <v>53</v>
      </c>
      <c r="D8" s="9" t="s">
        <v>71</v>
      </c>
      <c r="E8" t="s">
        <v>59</v>
      </c>
      <c r="F8">
        <v>1</v>
      </c>
      <c r="G8" s="3">
        <v>197.28</v>
      </c>
      <c r="H8" s="3">
        <v>264.89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8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(S8-AA8)/G8*100</f>
      </c>
      <c r="U8" s="3">
        <f>J8-R8</f>
      </c>
      <c r="V8" t="s">
        <v>1</v>
      </c>
      <c r="AB8" s="3">
        <f>S8-AA8</f>
      </c>
    </row>
    <row r="9" spans="1:28" x14ac:dyDescent="0.25">
      <c r="A9" s="8">
        <v>46220.5</v>
      </c>
      <c r="B9" t="s">
        <v>72</v>
      </c>
      <c r="C9" t="s">
        <v>53</v>
      </c>
      <c r="D9" s="9" t="s">
        <v>73</v>
      </c>
      <c r="E9" t="s">
        <v>59</v>
      </c>
      <c r="F9">
        <v>1</v>
      </c>
      <c r="G9" s="3">
        <v>192.93</v>
      </c>
      <c r="H9" s="3">
        <v>286.77</v>
      </c>
      <c r="I9" s="3">
        <f>H9-G9</f>
      </c>
      <c r="J9" s="3">
        <f>I9*16.67%</f>
      </c>
      <c r="K9" s="3">
        <f>H9/100*7</f>
      </c>
      <c r="L9" s="3">
        <f>K9*20%</f>
      </c>
      <c r="M9" s="3">
        <f>K9*2%</f>
      </c>
      <c r="N9" s="3">
        <f>M9*20%</f>
      </c>
      <c r="O9" s="3">
        <v>8</v>
      </c>
      <c r="P9" s="3">
        <f>O9*20%</f>
      </c>
      <c r="Q9" s="3">
        <v>1</v>
      </c>
      <c r="R9" s="3">
        <f>L9+N9+P9</f>
      </c>
      <c r="S9" s="3">
        <f>I9-J9-K9-L9-M9-N9-O9-P9-Q9</f>
      </c>
      <c r="T9" s="3">
        <f>(S9-AA9)/G9*100</f>
      </c>
      <c r="U9" s="3">
        <f>J9-R9</f>
      </c>
      <c r="V9" t="s">
        <v>1</v>
      </c>
      <c r="AB9" s="3">
        <f>S9-AA9</f>
      </c>
    </row>
    <row r="10" spans="1:28" x14ac:dyDescent="0.25">
      <c r="A10" s="8">
        <v>46220.5</v>
      </c>
      <c r="B10" t="s">
        <v>74</v>
      </c>
      <c r="C10" t="s">
        <v>53</v>
      </c>
      <c r="D10" s="9" t="s">
        <v>75</v>
      </c>
      <c r="E10" t="s">
        <v>59</v>
      </c>
      <c r="F10">
        <v>1</v>
      </c>
      <c r="G10" s="3">
        <v>212.15</v>
      </c>
      <c r="H10" s="3">
        <v>297.07</v>
      </c>
      <c r="I10" s="3">
        <f>H10-G10</f>
      </c>
      <c r="J10" s="3">
        <f>I10*16.67%</f>
      </c>
      <c r="K10" s="3">
        <f>H10/100*7</f>
      </c>
      <c r="L10" s="3">
        <f>K10*20%</f>
      </c>
      <c r="M10" s="3">
        <f>K10*2%</f>
      </c>
      <c r="N10" s="3">
        <f>M10*20%</f>
      </c>
      <c r="O10" s="3">
        <v>8</v>
      </c>
      <c r="P10" s="3">
        <f>O10*20%</f>
      </c>
      <c r="Q10" s="3">
        <v>1</v>
      </c>
      <c r="R10" s="3">
        <f>L10+N10+P10</f>
      </c>
      <c r="S10" s="3">
        <f>I10-J10-K10-L10-M10-N10-O10-P10-Q10</f>
      </c>
      <c r="T10" s="3">
        <f>(S10-AA10)/G10*100</f>
      </c>
      <c r="U10" s="3">
        <f>J10-R10</f>
      </c>
      <c r="V10" t="s">
        <v>1</v>
      </c>
      <c r="AB10" s="3">
        <f>S10-AA10</f>
      </c>
    </row>
    <row r="11" spans="1:28" x14ac:dyDescent="0.25">
      <c r="A11" s="8">
        <v>46216.5</v>
      </c>
      <c r="B11" t="s">
        <v>76</v>
      </c>
      <c r="C11" t="s">
        <v>77</v>
      </c>
      <c r="D11" s="9" t="s">
        <v>78</v>
      </c>
      <c r="E11" t="s">
        <v>55</v>
      </c>
      <c r="F11">
        <v>1</v>
      </c>
      <c r="G11" s="3">
        <v>246.21</v>
      </c>
      <c r="H11" s="3">
        <v>318</v>
      </c>
      <c r="I11" s="3">
        <f>H11-G11</f>
      </c>
      <c r="J11" s="3">
        <f>I11*16.67%</f>
      </c>
      <c r="K11" s="3">
        <f>H11/100*7</f>
      </c>
      <c r="L11" s="3">
        <f>K11*20%</f>
      </c>
      <c r="M11" s="3">
        <f>K11*2%</f>
      </c>
      <c r="N11" s="3">
        <f>M11*20%</f>
      </c>
      <c r="O11" s="3">
        <v>6.3</v>
      </c>
      <c r="P11" s="3">
        <f>O11*20%</f>
      </c>
      <c r="Q11" s="3">
        <v>1</v>
      </c>
      <c r="R11" s="3">
        <f>L11+N11+P11</f>
      </c>
      <c r="S11" s="3">
        <f>I11-J11-K11-L11-M11-N11-O11-P11-Q11</f>
      </c>
      <c r="T11" s="3">
        <f>(S11-AA11)/G11*100</f>
      </c>
      <c r="U11" s="3">
        <f>J11-R11</f>
      </c>
      <c r="V11" t="s">
        <v>1</v>
      </c>
      <c r="AB11" s="3">
        <f>S11-AA11</f>
      </c>
    </row>
    <row r="12" spans="1:28" x14ac:dyDescent="0.25">
      <c r="A12" s="8">
        <v>46216.5</v>
      </c>
      <c r="B12" t="s">
        <v>79</v>
      </c>
      <c r="C12" t="s">
        <v>80</v>
      </c>
      <c r="D12" s="9" t="s">
        <v>81</v>
      </c>
      <c r="E12" t="s">
        <v>59</v>
      </c>
      <c r="F12">
        <v>1</v>
      </c>
      <c r="G12" s="3">
        <v>250.16</v>
      </c>
      <c r="H12" s="3">
        <v>325.93</v>
      </c>
      <c r="I12" s="3">
        <f>H12-G12</f>
      </c>
      <c r="J12" s="3">
        <f>I12*16.67%</f>
      </c>
      <c r="K12" s="3">
        <f>H12/100*7</f>
      </c>
      <c r="L12" s="3">
        <f>K12*20%</f>
      </c>
      <c r="M12" s="3">
        <f>K12*2%</f>
      </c>
      <c r="N12" s="3">
        <f>M12*20%</f>
      </c>
      <c r="O12" s="3">
        <v>6.3</v>
      </c>
      <c r="P12" s="3">
        <f>O12*20%</f>
      </c>
      <c r="Q12" s="3">
        <v>1</v>
      </c>
      <c r="R12" s="3">
        <f>L12+N12+P12</f>
      </c>
      <c r="S12" s="3">
        <f>I12-J12-K12-L12-M12-N12-O12-P12-Q12</f>
      </c>
      <c r="T12" s="3">
        <f>(S12-AA12)/G12*100</f>
      </c>
      <c r="U12" s="3">
        <f>J12-R12</f>
      </c>
      <c r="V12" t="s">
        <v>1</v>
      </c>
      <c r="AB12" s="3">
        <f>S12-AA12</f>
      </c>
    </row>
    <row r="13" spans="1:28" x14ac:dyDescent="0.25">
      <c r="A13" s="8">
        <v>46216.5</v>
      </c>
      <c r="B13" t="s">
        <v>82</v>
      </c>
      <c r="C13" t="s">
        <v>83</v>
      </c>
      <c r="D13" s="9" t="s">
        <v>84</v>
      </c>
      <c r="E13" t="s">
        <v>59</v>
      </c>
      <c r="F13">
        <v>1</v>
      </c>
      <c r="G13" s="3">
        <v>262.94</v>
      </c>
      <c r="H13" s="3">
        <v>336.47</v>
      </c>
      <c r="I13" s="3">
        <f>H13-G13</f>
      </c>
      <c r="J13" s="3">
        <f>I13*16.67%</f>
      </c>
      <c r="K13" s="3">
        <f>H13/100*7</f>
      </c>
      <c r="L13" s="3">
        <f>K13*20%</f>
      </c>
      <c r="M13" s="3">
        <f>K13*2%</f>
      </c>
      <c r="N13" s="3">
        <f>M13*20%</f>
      </c>
      <c r="O13" s="3">
        <v>8</v>
      </c>
      <c r="P13" s="3">
        <f>O13*20%</f>
      </c>
      <c r="Q13" s="3">
        <v>1</v>
      </c>
      <c r="R13" s="3">
        <f>L13+N13+P13</f>
      </c>
      <c r="S13" s="3">
        <f>I13-J13-K13-L13-M13-N13-O13-P13-Q13</f>
      </c>
      <c r="T13" s="3">
        <f>(S13-AA13)/G13*100</f>
      </c>
      <c r="U13" s="3">
        <f>J13-R13</f>
      </c>
      <c r="V13" t="s">
        <v>1</v>
      </c>
      <c r="AB13" s="3">
        <f>S13-AA13</f>
      </c>
    </row>
    <row r="14" spans="1:28" x14ac:dyDescent="0.25">
      <c r="A14" s="8">
        <v>46216.5</v>
      </c>
      <c r="B14" t="s">
        <v>85</v>
      </c>
      <c r="C14" t="s">
        <v>86</v>
      </c>
      <c r="D14" s="9" t="s">
        <v>87</v>
      </c>
      <c r="E14" t="s">
        <v>59</v>
      </c>
      <c r="F14">
        <v>1</v>
      </c>
      <c r="G14" s="3">
        <v>230.57</v>
      </c>
      <c r="H14" s="3">
        <v>342.69</v>
      </c>
      <c r="I14" s="3">
        <f>H14-G14</f>
      </c>
      <c r="J14" s="3">
        <f>I14*16.67%</f>
      </c>
      <c r="K14" s="3">
        <f>H14/100*7</f>
      </c>
      <c r="L14" s="3">
        <f>K14*20%</f>
      </c>
      <c r="M14" s="3">
        <f>K14*2%</f>
      </c>
      <c r="N14" s="3">
        <f>M14*20%</f>
      </c>
      <c r="O14" s="3">
        <v>6.3</v>
      </c>
      <c r="P14" s="3">
        <f>O14*20%</f>
      </c>
      <c r="Q14" s="3">
        <v>1</v>
      </c>
      <c r="R14" s="3">
        <f>L14+N14+P14</f>
      </c>
      <c r="S14" s="3">
        <f>I14-J14-K14-L14-M14-N14-O14-P14-Q14</f>
      </c>
      <c r="T14" s="3">
        <f>(S14-AA14)/G14*100</f>
      </c>
      <c r="U14" s="3">
        <f>J14-R14</f>
      </c>
      <c r="V14" t="s">
        <v>1</v>
      </c>
      <c r="AB14" s="3">
        <f>S14-AA14</f>
      </c>
    </row>
    <row r="15" spans="1:28" x14ac:dyDescent="0.25">
      <c r="A15" s="8">
        <v>46212.5</v>
      </c>
      <c r="B15" t="s">
        <v>88</v>
      </c>
      <c r="C15" t="s">
        <v>53</v>
      </c>
      <c r="D15" s="9" t="s">
        <v>89</v>
      </c>
      <c r="E15" t="s">
        <v>59</v>
      </c>
      <c r="F15">
        <v>1</v>
      </c>
      <c r="G15" s="3">
        <v>190.34</v>
      </c>
      <c r="H15" s="3">
        <v>239.87</v>
      </c>
      <c r="I15" s="3">
        <f>H15-G15</f>
      </c>
      <c r="J15" s="3">
        <f>I15*16.67%</f>
      </c>
      <c r="K15" s="3">
        <f>H15/100*7</f>
      </c>
      <c r="L15" s="3">
        <f>K15*20%</f>
      </c>
      <c r="M15" s="3">
        <f>K15*2%</f>
      </c>
      <c r="N15" s="3">
        <f>M15*20%</f>
      </c>
      <c r="O15" s="3">
        <v>6.3</v>
      </c>
      <c r="P15" s="3">
        <f>O15*20%</f>
      </c>
      <c r="Q15" s="3">
        <v>1</v>
      </c>
      <c r="R15" s="3">
        <f>L15+N15+P15</f>
      </c>
      <c r="S15" s="3">
        <f>I15-J15-K15-L15-M15-N15-O15-P15-Q15</f>
      </c>
      <c r="T15" s="3">
        <f>(S15-AA15)/G15*100</f>
      </c>
      <c r="U15" s="3">
        <f>J15-R15</f>
      </c>
      <c r="V15" t="s">
        <v>1</v>
      </c>
      <c r="AB15" s="3">
        <f>S15-AA15</f>
      </c>
    </row>
    <row r="16" spans="1:28" x14ac:dyDescent="0.25">
      <c r="A16" s="8">
        <v>46212.5</v>
      </c>
      <c r="B16" t="s">
        <v>90</v>
      </c>
      <c r="C16" t="s">
        <v>53</v>
      </c>
      <c r="D16" s="9" t="s">
        <v>91</v>
      </c>
      <c r="E16" t="s">
        <v>59</v>
      </c>
      <c r="F16">
        <v>1</v>
      </c>
      <c r="G16" s="3">
        <v>194.75</v>
      </c>
      <c r="H16" s="3">
        <v>269.01</v>
      </c>
      <c r="I16" s="3">
        <f>H16-G16</f>
      </c>
      <c r="J16" s="3">
        <f>I16*16.67%</f>
      </c>
      <c r="K16" s="3">
        <f>H16/100*7</f>
      </c>
      <c r="L16" s="3">
        <f>K16*20%</f>
      </c>
      <c r="M16" s="3">
        <f>K16*2%</f>
      </c>
      <c r="N16" s="3">
        <f>M16*20%</f>
      </c>
      <c r="O16" s="3">
        <v>8</v>
      </c>
      <c r="P16" s="3">
        <f>O16*20%</f>
      </c>
      <c r="Q16" s="3">
        <v>1</v>
      </c>
      <c r="R16" s="3">
        <f>L16+N16+P16</f>
      </c>
      <c r="S16" s="3">
        <f>I16-J16-K16-L16-M16-N16-O16-P16-Q16</f>
      </c>
      <c r="T16" s="3">
        <f>(S16-AA16)/G16*100</f>
      </c>
      <c r="U16" s="3">
        <f>J16-R16</f>
      </c>
      <c r="V16" t="s">
        <v>1</v>
      </c>
      <c r="AB16" s="3">
        <f>S16-AA16</f>
      </c>
    </row>
    <row r="17" spans="1:28" x14ac:dyDescent="0.25">
      <c r="A17" s="8">
        <v>46212.5</v>
      </c>
      <c r="B17" t="s">
        <v>92</v>
      </c>
      <c r="C17" t="s">
        <v>53</v>
      </c>
      <c r="D17" s="9" t="s">
        <v>93</v>
      </c>
      <c r="E17" t="s">
        <v>67</v>
      </c>
      <c r="F17">
        <v>1</v>
      </c>
      <c r="G17" s="3">
        <v>196.32</v>
      </c>
      <c r="H17" s="3">
        <v>281.91</v>
      </c>
      <c r="I17" s="3">
        <f>H17-G17</f>
      </c>
      <c r="J17" s="3">
        <f>I17*16.67%</f>
      </c>
      <c r="K17" s="3">
        <f>H17/100*7</f>
      </c>
      <c r="L17" s="3">
        <f>K17*20%</f>
      </c>
      <c r="M17" s="3">
        <f>K17*2%</f>
      </c>
      <c r="N17" s="3">
        <f>M17*20%</f>
      </c>
      <c r="O17" s="3">
        <v>8</v>
      </c>
      <c r="P17" s="3">
        <f>O17*20%</f>
      </c>
      <c r="Q17" s="3">
        <v>1</v>
      </c>
      <c r="R17" s="3">
        <f>L17+N17+P17</f>
      </c>
      <c r="S17" s="3">
        <f>I17-J17-K17-L17-M17-N17-O17-P17-Q17</f>
      </c>
      <c r="T17" s="3">
        <f>(S17-AA17)/G17*100</f>
      </c>
      <c r="U17" s="3">
        <f>J17-R17</f>
      </c>
      <c r="V17" t="s">
        <v>1</v>
      </c>
      <c r="AB17" s="3">
        <f>S17-AA17</f>
      </c>
    </row>
    <row r="18" spans="1:28" x14ac:dyDescent="0.25">
      <c r="A18" s="8">
        <v>46212.5</v>
      </c>
      <c r="B18" t="s">
        <v>94</v>
      </c>
      <c r="C18" t="s">
        <v>53</v>
      </c>
      <c r="D18" s="9" t="s">
        <v>95</v>
      </c>
      <c r="E18" t="s">
        <v>67</v>
      </c>
      <c r="F18">
        <v>1</v>
      </c>
      <c r="G18" s="3">
        <v>196.74</v>
      </c>
      <c r="H18" s="3">
        <v>279.91</v>
      </c>
      <c r="I18" s="3">
        <f>H18-G18</f>
      </c>
      <c r="J18" s="3">
        <f>I18*16.67%</f>
      </c>
      <c r="K18" s="3">
        <f>H18/100*7</f>
      </c>
      <c r="L18" s="3">
        <f>K18*20%</f>
      </c>
      <c r="M18" s="3">
        <f>K18*2%</f>
      </c>
      <c r="N18" s="3">
        <f>M18*20%</f>
      </c>
      <c r="O18" s="3">
        <v>8</v>
      </c>
      <c r="P18" s="3">
        <f>O18*20%</f>
      </c>
      <c r="Q18" s="3">
        <v>1</v>
      </c>
      <c r="R18" s="3">
        <f>L18+N18+P18</f>
      </c>
      <c r="S18" s="3">
        <f>I18-J18-K18-L18-M18-N18-O18-P18-Q18</f>
      </c>
      <c r="T18" s="3">
        <f>(S18-AA18)/G18*100</f>
      </c>
      <c r="U18" s="3">
        <f>J18-R18</f>
      </c>
      <c r="V18" t="s">
        <v>1</v>
      </c>
      <c r="AB18" s="3">
        <f>S18-AA18</f>
      </c>
    </row>
    <row r="19" spans="1:28" x14ac:dyDescent="0.25">
      <c r="A19" s="8">
        <v>46208.5</v>
      </c>
      <c r="B19" t="s">
        <v>96</v>
      </c>
      <c r="C19" t="s">
        <v>57</v>
      </c>
      <c r="D19" s="9" t="s">
        <v>97</v>
      </c>
      <c r="E19" t="s">
        <v>59</v>
      </c>
      <c r="F19">
        <v>1</v>
      </c>
      <c r="G19" s="3">
        <v>476.5</v>
      </c>
      <c r="H19" s="3">
        <v>688.88</v>
      </c>
      <c r="I19" s="3">
        <f>H19-G19</f>
      </c>
      <c r="J19" s="3">
        <f>I19*16.67%</f>
      </c>
      <c r="K19" s="3">
        <f>H19/100*7</f>
      </c>
      <c r="L19" s="3">
        <f>K19*20%</f>
      </c>
      <c r="M19" s="3">
        <f>K19*2%</f>
      </c>
      <c r="N19" s="3">
        <f>M19*20%</f>
      </c>
      <c r="O19" s="3">
        <v>8</v>
      </c>
      <c r="P19" s="3">
        <f>O19*20%</f>
      </c>
      <c r="Q19" s="3">
        <v>1</v>
      </c>
      <c r="R19" s="3">
        <f>L19+N19+P19</f>
      </c>
      <c r="S19" s="3">
        <f>I19-J19-K19-L19-M19-N19-O19-P19-Q19</f>
      </c>
      <c r="T19" s="3">
        <f>(S19-AA19)/G19*100</f>
      </c>
      <c r="U19" s="3">
        <f>J19-R19</f>
      </c>
      <c r="V19" t="s">
        <v>1</v>
      </c>
      <c r="AB19" s="3">
        <f>S19-AA19</f>
      </c>
    </row>
    <row r="20" spans="1:28" x14ac:dyDescent="0.25">
      <c r="A20" s="8">
        <v>46208.5</v>
      </c>
      <c r="B20" t="s">
        <v>98</v>
      </c>
      <c r="C20" t="s">
        <v>57</v>
      </c>
      <c r="D20" s="9" t="s">
        <v>99</v>
      </c>
      <c r="E20" t="s">
        <v>59</v>
      </c>
      <c r="F20">
        <v>1</v>
      </c>
      <c r="G20" s="3">
        <v>497.17</v>
      </c>
      <c r="H20" s="3">
        <v>681.49</v>
      </c>
      <c r="I20" s="3">
        <f>H20-G20</f>
      </c>
      <c r="J20" s="3">
        <f>I20*16.67%</f>
      </c>
      <c r="K20" s="3">
        <f>H20/100*7</f>
      </c>
      <c r="L20" s="3">
        <f>K20*20%</f>
      </c>
      <c r="M20" s="3">
        <f>K20*2%</f>
      </c>
      <c r="N20" s="3">
        <f>M20*20%</f>
      </c>
      <c r="O20" s="3">
        <v>8</v>
      </c>
      <c r="P20" s="3">
        <f>O20*20%</f>
      </c>
      <c r="Q20" s="3">
        <v>1</v>
      </c>
      <c r="R20" s="3">
        <f>L20+N20+P20</f>
      </c>
      <c r="S20" s="3">
        <f>I20-J20-K20-L20-M20-N20-O20-P20-Q20</f>
      </c>
      <c r="T20" s="3">
        <f>(S20-AA20)/G20*100</f>
      </c>
      <c r="U20" s="3">
        <f>J20-R20</f>
      </c>
      <c r="V20" t="s">
        <v>1</v>
      </c>
      <c r="AB20" s="3">
        <f>S20-AA20</f>
      </c>
    </row>
    <row r="21" spans="1:28" x14ac:dyDescent="0.25">
      <c r="A21" s="8">
        <v>46208.5</v>
      </c>
      <c r="B21" t="s">
        <v>100</v>
      </c>
      <c r="C21" t="s">
        <v>57</v>
      </c>
      <c r="D21" s="9" t="s">
        <v>101</v>
      </c>
      <c r="E21" t="s">
        <v>67</v>
      </c>
      <c r="F21">
        <v>1</v>
      </c>
      <c r="G21" s="3">
        <v>499.6</v>
      </c>
      <c r="H21" s="3">
        <v>721.92</v>
      </c>
      <c r="I21" s="3">
        <f>H21-G21</f>
      </c>
      <c r="J21" s="3">
        <f>I21*16.67%</f>
      </c>
      <c r="K21" s="3">
        <f>H21/100*7</f>
      </c>
      <c r="L21" s="3">
        <f>K21*20%</f>
      </c>
      <c r="M21" s="3">
        <f>K21*2%</f>
      </c>
      <c r="N21" s="3">
        <f>M21*20%</f>
      </c>
      <c r="O21" s="3">
        <v>2</v>
      </c>
      <c r="P21" s="3">
        <f>O21*20%</f>
      </c>
      <c r="Q21" s="3">
        <v>1</v>
      </c>
      <c r="R21" s="3">
        <f>L21+N21+P21</f>
      </c>
      <c r="S21" s="3">
        <f>I21-J21-K21-L21-M21-N21-O21-P21-Q21</f>
      </c>
      <c r="T21" s="3">
        <f>(S21-AA21)/G21*100</f>
      </c>
      <c r="U21" s="3">
        <f>J21-R21</f>
      </c>
      <c r="V21" t="s">
        <v>1</v>
      </c>
      <c r="AB21" s="3">
        <f>S21-AA21</f>
      </c>
    </row>
    <row r="22" spans="1:28" x14ac:dyDescent="0.25">
      <c r="A22" s="8">
        <v>46208.5</v>
      </c>
      <c r="B22" t="s">
        <v>102</v>
      </c>
      <c r="C22" t="s">
        <v>57</v>
      </c>
      <c r="D22" s="9" t="s">
        <v>103</v>
      </c>
      <c r="E22" t="s">
        <v>55</v>
      </c>
      <c r="F22">
        <v>1</v>
      </c>
      <c r="G22" s="3">
        <v>459.49</v>
      </c>
      <c r="H22" s="3">
        <v>653.1</v>
      </c>
      <c r="I22" s="3">
        <f>H22-G22</f>
      </c>
      <c r="J22" s="3">
        <f>I22*16.67%</f>
      </c>
      <c r="K22" s="3">
        <f>H22/100*7</f>
      </c>
      <c r="L22" s="3">
        <f>K22*20%</f>
      </c>
      <c r="M22" s="3">
        <f>K22*2%</f>
      </c>
      <c r="N22" s="3">
        <f>M22*20%</f>
      </c>
      <c r="O22" s="3">
        <v>2</v>
      </c>
      <c r="P22" s="3">
        <f>O22*20%</f>
      </c>
      <c r="Q22" s="3">
        <v>1</v>
      </c>
      <c r="R22" s="3">
        <f>L22+N22+P22</f>
      </c>
      <c r="S22" s="3">
        <f>I22-J22-K22-L22-M22-N22-O22-P22-Q22</f>
      </c>
      <c r="T22" s="3">
        <f>(S22-AA22)/G22*100</f>
      </c>
      <c r="U22" s="3">
        <f>J22-R22</f>
      </c>
      <c r="V22" t="s">
        <v>1</v>
      </c>
      <c r="AB22" s="3">
        <f>S22-AA22</f>
      </c>
    </row>
    <row r="23" spans="1:28" x14ac:dyDescent="0.25">
      <c r="A23" s="8">
        <v>46204.5</v>
      </c>
      <c r="B23" t="s">
        <v>104</v>
      </c>
      <c r="C23" t="s">
        <v>105</v>
      </c>
      <c r="D23" s="9" t="s">
        <v>106</v>
      </c>
      <c r="E23" t="s">
        <v>55</v>
      </c>
      <c r="F23">
        <v>1</v>
      </c>
      <c r="G23" s="3">
        <v>222.91</v>
      </c>
      <c r="H23" s="3">
        <v>285.35</v>
      </c>
      <c r="I23" s="3">
        <f>H23-G23</f>
      </c>
      <c r="J23" s="3">
        <f>I23*16.67%</f>
      </c>
      <c r="K23" s="3">
        <f>H23/100*7</f>
      </c>
      <c r="L23" s="3">
        <f>K23*20%</f>
      </c>
      <c r="M23" s="3">
        <f>K23*2%</f>
      </c>
      <c r="N23" s="3">
        <f>M23*20%</f>
      </c>
      <c r="O23" s="3">
        <v>8</v>
      </c>
      <c r="P23" s="3">
        <f>O23*20%</f>
      </c>
      <c r="Q23" s="3">
        <v>1</v>
      </c>
      <c r="R23" s="3">
        <f>L23+N23+P23</f>
      </c>
      <c r="S23" s="3">
        <f>I23-J23-K23-L23-M23-N23-O23-P23-Q23</f>
      </c>
      <c r="T23" s="3">
        <f>(S23-AA23)/G23*100</f>
      </c>
      <c r="U23" s="3">
        <f>J23-R23</f>
      </c>
      <c r="V23" t="s">
        <v>1</v>
      </c>
      <c r="AB23" s="3">
        <f>S23-AA23</f>
      </c>
    </row>
    <row r="24" spans="1:28" x14ac:dyDescent="0.25">
      <c r="A24" s="8">
        <v>46204.5</v>
      </c>
      <c r="B24" t="s">
        <v>107</v>
      </c>
      <c r="C24" t="s">
        <v>105</v>
      </c>
      <c r="D24" s="9" t="s">
        <v>108</v>
      </c>
      <c r="E24" t="s">
        <v>55</v>
      </c>
      <c r="F24">
        <v>1</v>
      </c>
      <c r="G24" s="3">
        <v>232.81</v>
      </c>
      <c r="H24" s="3">
        <v>326.65</v>
      </c>
      <c r="I24" s="3">
        <f>H24-G24</f>
      </c>
      <c r="J24" s="3">
        <f>I24*16.67%</f>
      </c>
      <c r="K24" s="3">
        <f>H24/100*7</f>
      </c>
      <c r="L24" s="3">
        <f>K24*20%</f>
      </c>
      <c r="M24" s="3">
        <f>K24*2%</f>
      </c>
      <c r="N24" s="3">
        <f>M24*20%</f>
      </c>
      <c r="O24" s="3">
        <v>8</v>
      </c>
      <c r="P24" s="3">
        <f>O24*20%</f>
      </c>
      <c r="Q24" s="3">
        <v>1</v>
      </c>
      <c r="R24" s="3">
        <f>L24+N24+P24</f>
      </c>
      <c r="S24" s="3">
        <f>I24-J24-K24-L24-M24-N24-O24-P24-Q24</f>
      </c>
      <c r="T24" s="3">
        <f>(S24-AA24)/G24*100</f>
      </c>
      <c r="U24" s="3">
        <f>J24-R24</f>
      </c>
      <c r="V24" t="s">
        <v>1</v>
      </c>
      <c r="AB24" s="3">
        <f>S24-AA24</f>
      </c>
    </row>
    <row r="25" spans="1:28" x14ac:dyDescent="0.25">
      <c r="A25" s="8">
        <v>46204.5</v>
      </c>
      <c r="B25" t="s">
        <v>109</v>
      </c>
      <c r="C25" t="s">
        <v>105</v>
      </c>
      <c r="D25" s="9" t="s">
        <v>110</v>
      </c>
      <c r="E25" t="s">
        <v>67</v>
      </c>
      <c r="F25">
        <v>1</v>
      </c>
      <c r="G25" s="3">
        <v>233.36</v>
      </c>
      <c r="H25" s="3">
        <v>325.62</v>
      </c>
      <c r="I25" s="3">
        <f>H25-G25</f>
      </c>
      <c r="J25" s="3">
        <f>I25*16.67%</f>
      </c>
      <c r="K25" s="3">
        <f>H25/100*7</f>
      </c>
      <c r="L25" s="3">
        <f>K25*20%</f>
      </c>
      <c r="M25" s="3">
        <f>K25*2%</f>
      </c>
      <c r="N25" s="3">
        <f>M25*20%</f>
      </c>
      <c r="O25" s="3">
        <v>8</v>
      </c>
      <c r="P25" s="3">
        <f>O25*20%</f>
      </c>
      <c r="Q25" s="3">
        <v>1</v>
      </c>
      <c r="R25" s="3">
        <f>L25+N25+P25</f>
      </c>
      <c r="S25" s="3">
        <f>I25-J25-K25-L25-M25-N25-O25-P25-Q25</f>
      </c>
      <c r="T25" s="3">
        <f>(S25-AA25)/G25*100</f>
      </c>
      <c r="U25" s="3">
        <f>J25-R25</f>
      </c>
      <c r="V25" t="s">
        <v>1</v>
      </c>
      <c r="AB25" s="3">
        <f>S25-AA25</f>
      </c>
    </row>
    <row r="26" spans="1:28" x14ac:dyDescent="0.25">
      <c r="A26" s="8">
        <v>46204.5</v>
      </c>
      <c r="B26" t="s">
        <v>111</v>
      </c>
      <c r="C26" t="s">
        <v>105</v>
      </c>
      <c r="D26" s="9" t="s">
        <v>112</v>
      </c>
      <c r="E26" t="s">
        <v>67</v>
      </c>
      <c r="F26">
        <v>1</v>
      </c>
      <c r="G26" s="3">
        <v>234.13</v>
      </c>
      <c r="H26" s="3">
        <v>319.21</v>
      </c>
      <c r="I26" s="3">
        <f>H26-G26</f>
      </c>
      <c r="J26" s="3">
        <f>I26*16.67%</f>
      </c>
      <c r="K26" s="3">
        <f>H26/100*7</f>
      </c>
      <c r="L26" s="3">
        <f>K26*20%</f>
      </c>
      <c r="M26" s="3">
        <f>K26*2%</f>
      </c>
      <c r="N26" s="3">
        <f>M26*20%</f>
      </c>
      <c r="O26" s="3">
        <v>8</v>
      </c>
      <c r="P26" s="3">
        <f>O26*20%</f>
      </c>
      <c r="Q26" s="3">
        <v>1</v>
      </c>
      <c r="R26" s="3">
        <f>L26+N26+P26</f>
      </c>
      <c r="S26" s="3">
        <f>I26-J26-K26-L26-M26-N26-O26-P26-Q26</f>
      </c>
      <c r="T26" s="3">
        <f>(S26-AA26)/G26*100</f>
      </c>
      <c r="U26" s="3">
        <f>J26-R26</f>
      </c>
      <c r="V26" t="s">
        <v>1</v>
      </c>
      <c r="AB26" s="3">
        <f>S26-AA26</f>
      </c>
    </row>
    <row r="27" spans="1:28" x14ac:dyDescent="0.25">
      <c r="A27" s="8">
        <v>46204.5</v>
      </c>
      <c r="B27" t="s">
        <v>113</v>
      </c>
      <c r="C27" t="s">
        <v>105</v>
      </c>
      <c r="D27" s="9" t="s">
        <v>114</v>
      </c>
      <c r="E27" t="s">
        <v>67</v>
      </c>
      <c r="F27">
        <v>1</v>
      </c>
      <c r="G27" s="3">
        <v>223.04</v>
      </c>
      <c r="H27" s="3">
        <v>329.29</v>
      </c>
      <c r="I27" s="3">
        <f>H27-G27</f>
      </c>
      <c r="J27" s="3">
        <f>I27*16.67%</f>
      </c>
      <c r="K27" s="3">
        <f>H27/100*7</f>
      </c>
      <c r="L27" s="3">
        <f>K27*20%</f>
      </c>
      <c r="M27" s="3">
        <f>K27*2%</f>
      </c>
      <c r="N27" s="3">
        <f>M27*20%</f>
      </c>
      <c r="O27" s="3">
        <v>6.3</v>
      </c>
      <c r="P27" s="3">
        <f>O27*20%</f>
      </c>
      <c r="Q27" s="3">
        <v>1</v>
      </c>
      <c r="R27" s="3">
        <f>L27+N27+P27</f>
      </c>
      <c r="S27" s="3">
        <f>I27-J27-K27-L27-M27-N27-O27-P27-Q27</f>
      </c>
      <c r="T27" s="3">
        <f>(S27-AA27)/G27*100</f>
      </c>
      <c r="U27" s="3">
        <f>J27-R27</f>
      </c>
      <c r="V27" t="s">
        <v>1</v>
      </c>
      <c r="AB27" s="3">
        <f>S27-AA27</f>
      </c>
    </row>
    <row r="28" spans="1:28" s="6" customFormat="1" x14ac:dyDescent="0.25">
      <c r="A28" s="2" t="s">
        <v>16</v>
      </c>
      <c r="B28" s="6"/>
      <c r="C28" s="6"/>
      <c r="D28" s="6"/>
      <c r="E28" s="6"/>
      <c r="F28" s="10">
        <f>SUM(F2:F27)</f>
      </c>
      <c r="G28" s="10">
        <f>SUM(G2:G27)</f>
      </c>
      <c r="H28" s="10">
        <f>SUM(H2:H27)</f>
      </c>
      <c r="I28" s="10">
        <f>SUM(I2:I27)</f>
      </c>
      <c r="J28" s="10">
        <f>SUM(J2:J27)</f>
      </c>
      <c r="K28" s="10">
        <f>SUM(K2:K27)</f>
      </c>
      <c r="L28" s="10">
        <f>SUM(L2:L27)</f>
      </c>
      <c r="M28" s="10">
        <f>SUM(M2:M27)</f>
      </c>
      <c r="N28" s="10">
        <f>SUM(N2:N27)</f>
      </c>
      <c r="O28" s="10">
        <f>SUM(O2:O27)</f>
      </c>
      <c r="P28" s="10">
        <f>SUM(P2:P27)</f>
      </c>
      <c r="Q28" s="10">
        <f>SUM(Q2:Q27)</f>
      </c>
      <c r="R28" s="10">
        <f>SUM(R2:R27)</f>
      </c>
      <c r="S28" s="10">
        <f>SUM(S2:S27)</f>
      </c>
      <c r="T28" s="10">
        <f>IFERROR((S28-AA28)/G28*100,0)</f>
      </c>
      <c r="U28" s="10">
        <f>SUM(U2:U27)</f>
      </c>
      <c r="V28" s="6"/>
      <c r="W28" s="6"/>
      <c r="X28" s="6"/>
      <c r="Y28" s="6"/>
      <c r="Z28" s="6"/>
      <c r="AA28" s="10">
        <f>SUM(AA2:AA27)</f>
      </c>
      <c r="AB28" s="10">
        <f>SUM(AB2:AB27)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39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115</v>
      </c>
      <c r="M1" t="s">
        <v>35</v>
      </c>
      <c r="N1" t="s">
        <v>45</v>
      </c>
      <c r="O1" t="s">
        <v>46</v>
      </c>
      <c r="P1" t="s">
        <v>48</v>
      </c>
      <c r="Q1" t="s">
        <v>49</v>
      </c>
      <c r="R1" t="s">
        <v>50</v>
      </c>
      <c r="S1" t="s">
        <v>36</v>
      </c>
      <c r="T1" t="s">
        <v>24</v>
      </c>
      <c r="U1" t="s">
        <v>29</v>
      </c>
      <c r="V1" t="s">
        <v>30</v>
      </c>
      <c r="W1" t="s">
        <v>31</v>
      </c>
      <c r="X1" t="s">
        <v>51</v>
      </c>
      <c r="Y1" t="s">
        <v>10</v>
      </c>
    </row>
    <row r="2" spans="1:25" x14ac:dyDescent="0.25">
      <c r="A2" s="8">
        <v>46225.5</v>
      </c>
      <c r="B2" t="s">
        <v>116</v>
      </c>
      <c r="C2" t="s">
        <v>86</v>
      </c>
      <c r="D2" s="9" t="s">
        <v>117</v>
      </c>
      <c r="E2" t="s">
        <v>59</v>
      </c>
      <c r="F2">
        <v>1</v>
      </c>
      <c r="G2" s="3">
        <v>263.11</v>
      </c>
      <c r="H2" s="3">
        <v>367.36</v>
      </c>
      <c r="I2" s="3">
        <f>H2-G2</f>
      </c>
      <c r="J2" s="3">
        <f>I2*16.67%</f>
      </c>
      <c r="K2" s="3">
        <f>H2/100*11</f>
      </c>
      <c r="L2" s="3">
        <v>9.99</v>
      </c>
      <c r="M2" s="3">
        <v>8</v>
      </c>
      <c r="N2" s="3">
        <f>M2*20%</f>
      </c>
      <c r="O2" s="3">
        <v>1</v>
      </c>
      <c r="P2" s="3">
        <f>I2-J2-K2-L2-M2-N2-O2</f>
      </c>
      <c r="Q2" s="3">
        <f>(P2-X2)/G2*100</f>
      </c>
      <c r="R2" s="3">
        <f>J2-N2</f>
      </c>
      <c r="S2" t="s">
        <v>1</v>
      </c>
      <c r="Y2" s="3">
        <f>P2-X2</f>
      </c>
    </row>
    <row r="3" spans="1:25" x14ac:dyDescent="0.25">
      <c r="A3" s="8">
        <v>46225.5</v>
      </c>
      <c r="B3" t="s">
        <v>118</v>
      </c>
      <c r="C3" t="s">
        <v>119</v>
      </c>
      <c r="D3" s="9" t="s">
        <v>120</v>
      </c>
      <c r="E3" t="s">
        <v>64</v>
      </c>
      <c r="F3">
        <v>1</v>
      </c>
      <c r="G3" s="3">
        <v>237.5</v>
      </c>
      <c r="H3" s="3">
        <v>306.63</v>
      </c>
      <c r="I3" s="3">
        <f>H3-G3</f>
      </c>
      <c r="J3" s="3">
        <f>I3*16.67%</f>
      </c>
      <c r="K3" s="3">
        <f>H3/100*11</f>
      </c>
      <c r="L3" s="3">
        <v>9.99</v>
      </c>
      <c r="M3" s="3">
        <v>2</v>
      </c>
      <c r="N3" s="3">
        <f>M3*20%</f>
      </c>
      <c r="O3" s="3">
        <v>1</v>
      </c>
      <c r="P3" s="3">
        <f>I3-J3-K3-L3-M3-N3-O3</f>
      </c>
      <c r="Q3" s="3">
        <f>(P3-X3)/G3*100</f>
      </c>
      <c r="R3" s="3">
        <f>J3-N3</f>
      </c>
      <c r="S3" t="s">
        <v>1</v>
      </c>
      <c r="Y3" s="3">
        <f>P3-X3</f>
      </c>
    </row>
    <row r="4" spans="1:25" x14ac:dyDescent="0.25">
      <c r="A4" s="8">
        <v>46225.5</v>
      </c>
      <c r="B4" t="s">
        <v>121</v>
      </c>
      <c r="C4" t="s">
        <v>86</v>
      </c>
      <c r="D4" s="9" t="s">
        <v>122</v>
      </c>
      <c r="E4" t="s">
        <v>55</v>
      </c>
      <c r="F4">
        <v>1</v>
      </c>
      <c r="G4" s="3">
        <v>246.31</v>
      </c>
      <c r="H4" s="3">
        <v>322.89</v>
      </c>
      <c r="I4" s="3">
        <f>H4-G4</f>
      </c>
      <c r="J4" s="3">
        <f>I4*16.67%</f>
      </c>
      <c r="K4" s="3">
        <f>H4/100*11</f>
      </c>
      <c r="L4" s="3">
        <v>9.99</v>
      </c>
      <c r="M4" s="3">
        <v>6.3</v>
      </c>
      <c r="N4" s="3">
        <f>M4*20%</f>
      </c>
      <c r="O4" s="3">
        <v>1</v>
      </c>
      <c r="P4" s="3">
        <f>I4-J4-K4-L4-M4-N4-O4</f>
      </c>
      <c r="Q4" s="3">
        <f>(P4-X4)/G4*100</f>
      </c>
      <c r="R4" s="3">
        <f>J4-N4</f>
      </c>
      <c r="S4" t="s">
        <v>1</v>
      </c>
      <c r="Y4" s="3">
        <f>P4-X4</f>
      </c>
    </row>
    <row r="5" spans="1:25" x14ac:dyDescent="0.25">
      <c r="A5" s="8">
        <v>46225.5</v>
      </c>
      <c r="B5" t="s">
        <v>123</v>
      </c>
      <c r="C5" t="s">
        <v>119</v>
      </c>
      <c r="D5" s="9" t="s">
        <v>124</v>
      </c>
      <c r="E5" t="s">
        <v>55</v>
      </c>
      <c r="F5">
        <v>1</v>
      </c>
      <c r="G5" s="3">
        <v>242</v>
      </c>
      <c r="H5" s="3">
        <v>356.32</v>
      </c>
      <c r="I5" s="3">
        <f>H5-G5</f>
      </c>
      <c r="J5" s="3">
        <f>I5*16.67%</f>
      </c>
      <c r="K5" s="3">
        <f>H5/100*11</f>
      </c>
      <c r="L5" s="3">
        <v>9.99</v>
      </c>
      <c r="M5" s="3">
        <v>8</v>
      </c>
      <c r="N5" s="3">
        <f>M5*20%</f>
      </c>
      <c r="O5" s="3">
        <v>1</v>
      </c>
      <c r="P5" s="3">
        <f>I5-J5-K5-L5-M5-N5-O5</f>
      </c>
      <c r="Q5" s="3">
        <f>(P5-X5)/G5*100</f>
      </c>
      <c r="R5" s="3">
        <f>J5-N5</f>
      </c>
      <c r="S5" t="s">
        <v>1</v>
      </c>
      <c r="Y5" s="3">
        <f>P5-X5</f>
      </c>
    </row>
    <row r="6" spans="1:25" x14ac:dyDescent="0.25">
      <c r="A6" s="8">
        <v>46221.5</v>
      </c>
      <c r="B6" t="s">
        <v>125</v>
      </c>
      <c r="C6" t="s">
        <v>105</v>
      </c>
      <c r="D6" s="9" t="s">
        <v>126</v>
      </c>
      <c r="E6" t="s">
        <v>59</v>
      </c>
      <c r="F6">
        <v>1</v>
      </c>
      <c r="G6" s="3">
        <v>227.85</v>
      </c>
      <c r="H6" s="3">
        <v>336.95</v>
      </c>
      <c r="I6" s="3">
        <f>H6-G6</f>
      </c>
      <c r="J6" s="3">
        <f>I6*16.67%</f>
      </c>
      <c r="K6" s="3">
        <f>H6/100*11</f>
      </c>
      <c r="L6" s="3">
        <v>9.99</v>
      </c>
      <c r="M6" s="3">
        <v>6.3</v>
      </c>
      <c r="N6" s="3">
        <f>M6*20%</f>
      </c>
      <c r="O6" s="3">
        <v>1</v>
      </c>
      <c r="P6" s="3">
        <f>I6-J6-K6-L6-M6-N6-O6</f>
      </c>
      <c r="Q6" s="3">
        <f>(P6-X6)/G6*100</f>
      </c>
      <c r="R6" s="3">
        <f>J6-N6</f>
      </c>
      <c r="S6" t="s">
        <v>1</v>
      </c>
      <c r="Y6" s="3">
        <f>P6-X6</f>
      </c>
    </row>
    <row r="7" spans="1:25" x14ac:dyDescent="0.25">
      <c r="A7" s="8">
        <v>46221.5</v>
      </c>
      <c r="B7" t="s">
        <v>127</v>
      </c>
      <c r="C7" t="s">
        <v>105</v>
      </c>
      <c r="D7" s="9" t="s">
        <v>128</v>
      </c>
      <c r="E7" t="s">
        <v>67</v>
      </c>
      <c r="F7">
        <v>1</v>
      </c>
      <c r="G7" s="3">
        <v>222.24</v>
      </c>
      <c r="H7" s="3">
        <v>312.92</v>
      </c>
      <c r="I7" s="3">
        <f>H7-G7</f>
      </c>
      <c r="J7" s="3">
        <f>I7*16.67%</f>
      </c>
      <c r="K7" s="3">
        <f>H7/100*11</f>
      </c>
      <c r="L7" s="3">
        <v>9.99</v>
      </c>
      <c r="M7" s="3">
        <v>8</v>
      </c>
      <c r="N7" s="3">
        <f>M7*20%</f>
      </c>
      <c r="O7" s="3">
        <v>1</v>
      </c>
      <c r="P7" s="3">
        <f>I7-J7-K7-L7-M7-N7-O7</f>
      </c>
      <c r="Q7" s="3">
        <f>(P7-X7)/G7*100</f>
      </c>
      <c r="R7" s="3">
        <f>J7-N7</f>
      </c>
      <c r="S7" t="s">
        <v>1</v>
      </c>
      <c r="Y7" s="3">
        <f>P7-X7</f>
      </c>
    </row>
    <row r="8" spans="1:25" x14ac:dyDescent="0.25">
      <c r="A8" s="8">
        <v>46221.5</v>
      </c>
      <c r="B8" t="s">
        <v>129</v>
      </c>
      <c r="C8" t="s">
        <v>105</v>
      </c>
      <c r="D8" s="9" t="s">
        <v>130</v>
      </c>
      <c r="E8" t="s">
        <v>67</v>
      </c>
      <c r="F8">
        <v>1</v>
      </c>
      <c r="G8" s="3">
        <v>232.24</v>
      </c>
      <c r="H8" s="3">
        <v>312.85</v>
      </c>
      <c r="I8" s="3">
        <f>H8-G8</f>
      </c>
      <c r="J8" s="3">
        <f>I8*16.67%</f>
      </c>
      <c r="K8" s="3">
        <f>H8/100*11</f>
      </c>
      <c r="L8" s="3">
        <v>9.99</v>
      </c>
      <c r="M8" s="3">
        <v>8</v>
      </c>
      <c r="N8" s="3">
        <f>M8*20%</f>
      </c>
      <c r="O8" s="3">
        <v>1</v>
      </c>
      <c r="P8" s="3">
        <f>I8-J8-K8-L8-M8-N8-O8</f>
      </c>
      <c r="Q8" s="3">
        <f>(P8-X8)/G8*100</f>
      </c>
      <c r="R8" s="3">
        <f>J8-N8</f>
      </c>
      <c r="S8" t="s">
        <v>1</v>
      </c>
      <c r="Y8" s="3">
        <f>P8-X8</f>
      </c>
    </row>
    <row r="9" spans="1:25" x14ac:dyDescent="0.25">
      <c r="A9" s="8">
        <v>46221.5</v>
      </c>
      <c r="B9" t="s">
        <v>131</v>
      </c>
      <c r="C9" t="s">
        <v>105</v>
      </c>
      <c r="D9" s="9" t="s">
        <v>132</v>
      </c>
      <c r="E9" t="s">
        <v>64</v>
      </c>
      <c r="F9">
        <v>1</v>
      </c>
      <c r="G9" s="3">
        <v>219.35</v>
      </c>
      <c r="H9" s="3">
        <v>312.58</v>
      </c>
      <c r="I9" s="3">
        <f>H9-G9</f>
      </c>
      <c r="J9" s="3">
        <f>I9*16.67%</f>
      </c>
      <c r="K9" s="3">
        <f>H9/100*11</f>
      </c>
      <c r="L9" s="3">
        <v>9.99</v>
      </c>
      <c r="M9" s="3">
        <v>8</v>
      </c>
      <c r="N9" s="3">
        <f>M9*20%</f>
      </c>
      <c r="O9" s="3">
        <v>1</v>
      </c>
      <c r="P9" s="3">
        <f>I9-J9-K9-L9-M9-N9-O9</f>
      </c>
      <c r="Q9" s="3">
        <f>(P9-X9)/G9*100</f>
      </c>
      <c r="R9" s="3">
        <f>J9-N9</f>
      </c>
      <c r="S9" t="s">
        <v>1</v>
      </c>
      <c r="Y9" s="3">
        <f>P9-X9</f>
      </c>
    </row>
    <row r="10" spans="1:25" x14ac:dyDescent="0.25">
      <c r="A10" s="8">
        <v>46217.5</v>
      </c>
      <c r="B10" t="s">
        <v>133</v>
      </c>
      <c r="C10" t="s">
        <v>77</v>
      </c>
      <c r="D10" s="9" t="s">
        <v>78</v>
      </c>
      <c r="E10" t="s">
        <v>55</v>
      </c>
      <c r="F10">
        <v>1</v>
      </c>
      <c r="G10" s="3">
        <v>246.21</v>
      </c>
      <c r="H10" s="3">
        <v>352.53</v>
      </c>
      <c r="I10" s="3">
        <f>H10-G10</f>
      </c>
      <c r="J10" s="3">
        <f>I10*16.67%</f>
      </c>
      <c r="K10" s="3">
        <f>H10/100*11</f>
      </c>
      <c r="L10" s="3">
        <v>9.99</v>
      </c>
      <c r="M10" s="3">
        <v>6.3</v>
      </c>
      <c r="N10" s="3">
        <f>M10*20%</f>
      </c>
      <c r="O10" s="3">
        <v>1</v>
      </c>
      <c r="P10" s="3">
        <f>I10-J10-K10-L10-M10-N10-O10</f>
      </c>
      <c r="Q10" s="3">
        <f>(P10-X10)/G10*100</f>
      </c>
      <c r="R10" s="3">
        <f>J10-N10</f>
      </c>
      <c r="S10" t="s">
        <v>1</v>
      </c>
      <c r="Y10" s="3">
        <f>P10-X10</f>
      </c>
    </row>
    <row r="11" spans="1:25" x14ac:dyDescent="0.25">
      <c r="A11" s="8">
        <v>46217.5</v>
      </c>
      <c r="B11" t="s">
        <v>134</v>
      </c>
      <c r="C11" t="s">
        <v>80</v>
      </c>
      <c r="D11" s="9" t="s">
        <v>81</v>
      </c>
      <c r="E11" t="s">
        <v>59</v>
      </c>
      <c r="F11">
        <v>1</v>
      </c>
      <c r="G11" s="3">
        <v>250.16</v>
      </c>
      <c r="H11" s="3">
        <v>347.92</v>
      </c>
      <c r="I11" s="3">
        <f>H11-G11</f>
      </c>
      <c r="J11" s="3">
        <f>I11*16.67%</f>
      </c>
      <c r="K11" s="3">
        <f>H11/100*11</f>
      </c>
      <c r="L11" s="3">
        <v>9.99</v>
      </c>
      <c r="M11" s="3">
        <v>8</v>
      </c>
      <c r="N11" s="3">
        <f>M11*20%</f>
      </c>
      <c r="O11" s="3">
        <v>1</v>
      </c>
      <c r="P11" s="3">
        <f>I11-J11-K11-L11-M11-N11-O11</f>
      </c>
      <c r="Q11" s="3">
        <f>(P11-X11)/G11*100</f>
      </c>
      <c r="R11" s="3">
        <f>J11-N11</f>
      </c>
      <c r="S11" t="s">
        <v>1</v>
      </c>
      <c r="Y11" s="3">
        <f>P11-X11</f>
      </c>
    </row>
    <row r="12" spans="1:25" x14ac:dyDescent="0.25">
      <c r="A12" s="8">
        <v>46217.5</v>
      </c>
      <c r="B12" t="s">
        <v>135</v>
      </c>
      <c r="C12" t="s">
        <v>83</v>
      </c>
      <c r="D12" s="9" t="s">
        <v>84</v>
      </c>
      <c r="E12" t="s">
        <v>59</v>
      </c>
      <c r="F12">
        <v>1</v>
      </c>
      <c r="G12" s="3">
        <v>262.94</v>
      </c>
      <c r="H12" s="3">
        <v>359.97</v>
      </c>
      <c r="I12" s="3">
        <f>H12-G12</f>
      </c>
      <c r="J12" s="3">
        <f>I12*16.67%</f>
      </c>
      <c r="K12" s="3">
        <f>H12/100*11</f>
      </c>
      <c r="L12" s="3">
        <v>9.99</v>
      </c>
      <c r="M12" s="3">
        <v>2</v>
      </c>
      <c r="N12" s="3">
        <f>M12*20%</f>
      </c>
      <c r="O12" s="3">
        <v>1</v>
      </c>
      <c r="P12" s="3">
        <f>I12-J12-K12-L12-M12-N12-O12</f>
      </c>
      <c r="Q12" s="3">
        <f>(P12-X12)/G12*100</f>
      </c>
      <c r="R12" s="3">
        <f>J12-N12</f>
      </c>
      <c r="S12" t="s">
        <v>1</v>
      </c>
      <c r="Y12" s="3">
        <f>P12-X12</f>
      </c>
    </row>
    <row r="13" spans="1:25" x14ac:dyDescent="0.25">
      <c r="A13" s="8">
        <v>46217.5</v>
      </c>
      <c r="B13" t="s">
        <v>136</v>
      </c>
      <c r="C13" t="s">
        <v>86</v>
      </c>
      <c r="D13" s="9" t="s">
        <v>87</v>
      </c>
      <c r="E13" t="s">
        <v>59</v>
      </c>
      <c r="F13">
        <v>1</v>
      </c>
      <c r="G13" s="3">
        <v>230.57</v>
      </c>
      <c r="H13" s="3">
        <v>319.34</v>
      </c>
      <c r="I13" s="3">
        <f>H13-G13</f>
      </c>
      <c r="J13" s="3">
        <f>I13*16.67%</f>
      </c>
      <c r="K13" s="3">
        <f>H13/100*11</f>
      </c>
      <c r="L13" s="3">
        <v>9.99</v>
      </c>
      <c r="M13" s="3">
        <v>8</v>
      </c>
      <c r="N13" s="3">
        <f>M13*20%</f>
      </c>
      <c r="O13" s="3">
        <v>1</v>
      </c>
      <c r="P13" s="3">
        <f>I13-J13-K13-L13-M13-N13-O13</f>
      </c>
      <c r="Q13" s="3">
        <f>(P13-X13)/G13*100</f>
      </c>
      <c r="R13" s="3">
        <f>J13-N13</f>
      </c>
      <c r="S13" t="s">
        <v>1</v>
      </c>
      <c r="Y13" s="3">
        <f>P13-X13</f>
      </c>
    </row>
    <row r="14" spans="1:25" x14ac:dyDescent="0.25">
      <c r="A14" s="8">
        <v>46213.5</v>
      </c>
      <c r="B14" t="s">
        <v>137</v>
      </c>
      <c r="C14" t="s">
        <v>105</v>
      </c>
      <c r="D14" s="9" t="s">
        <v>138</v>
      </c>
      <c r="E14" t="s">
        <v>67</v>
      </c>
      <c r="F14">
        <v>1</v>
      </c>
      <c r="G14" s="3">
        <v>231.07</v>
      </c>
      <c r="H14" s="3">
        <v>293.53</v>
      </c>
      <c r="I14" s="3">
        <f>H14-G14</f>
      </c>
      <c r="J14" s="3">
        <f>I14*16.67%</f>
      </c>
      <c r="K14" s="3">
        <f>H14/100*11</f>
      </c>
      <c r="L14" s="3">
        <v>9.99</v>
      </c>
      <c r="M14" s="3">
        <v>8</v>
      </c>
      <c r="N14" s="3">
        <f>M14*20%</f>
      </c>
      <c r="O14" s="3">
        <v>1</v>
      </c>
      <c r="P14" s="3">
        <f>I14-J14-K14-L14-M14-N14-O14</f>
      </c>
      <c r="Q14" s="3">
        <f>(P14-X14)/G14*100</f>
      </c>
      <c r="R14" s="3">
        <f>J14-N14</f>
      </c>
      <c r="S14" t="s">
        <v>1</v>
      </c>
      <c r="Y14" s="3">
        <f>P14-X14</f>
      </c>
    </row>
    <row r="15" spans="1:25" x14ac:dyDescent="0.25">
      <c r="A15" s="8">
        <v>46213.5</v>
      </c>
      <c r="B15" t="s">
        <v>139</v>
      </c>
      <c r="C15" t="s">
        <v>105</v>
      </c>
      <c r="D15" s="9" t="s">
        <v>140</v>
      </c>
      <c r="E15" t="s">
        <v>67</v>
      </c>
      <c r="F15">
        <v>1</v>
      </c>
      <c r="G15" s="3">
        <v>218.51</v>
      </c>
      <c r="H15" s="3">
        <v>289.95</v>
      </c>
      <c r="I15" s="3">
        <f>H15-G15</f>
      </c>
      <c r="J15" s="3">
        <f>I15*16.67%</f>
      </c>
      <c r="K15" s="3">
        <f>H15/100*11</f>
      </c>
      <c r="L15" s="3">
        <v>9.99</v>
      </c>
      <c r="M15" s="3">
        <v>6.3</v>
      </c>
      <c r="N15" s="3">
        <f>M15*20%</f>
      </c>
      <c r="O15" s="3">
        <v>1</v>
      </c>
      <c r="P15" s="3">
        <f>I15-J15-K15-L15-M15-N15-O15</f>
      </c>
      <c r="Q15" s="3">
        <f>(P15-X15)/G15*100</f>
      </c>
      <c r="R15" s="3">
        <f>J15-N15</f>
      </c>
      <c r="S15" t="s">
        <v>1</v>
      </c>
      <c r="Y15" s="3">
        <f>P15-X15</f>
      </c>
    </row>
    <row r="16" spans="1:25" x14ac:dyDescent="0.25">
      <c r="A16" s="8">
        <v>46213.5</v>
      </c>
      <c r="B16" t="s">
        <v>141</v>
      </c>
      <c r="C16" t="s">
        <v>105</v>
      </c>
      <c r="D16" s="9" t="s">
        <v>142</v>
      </c>
      <c r="E16" t="s">
        <v>64</v>
      </c>
      <c r="F16">
        <v>1</v>
      </c>
      <c r="G16" s="3">
        <v>209.59</v>
      </c>
      <c r="H16" s="3">
        <v>300.01</v>
      </c>
      <c r="I16" s="3">
        <f>H16-G16</f>
      </c>
      <c r="J16" s="3">
        <f>I16*16.67%</f>
      </c>
      <c r="K16" s="3">
        <f>H16/100*11</f>
      </c>
      <c r="L16" s="3">
        <v>9.99</v>
      </c>
      <c r="M16" s="3">
        <v>8</v>
      </c>
      <c r="N16" s="3">
        <f>M16*20%</f>
      </c>
      <c r="O16" s="3">
        <v>1</v>
      </c>
      <c r="P16" s="3">
        <f>I16-J16-K16-L16-M16-N16-O16</f>
      </c>
      <c r="Q16" s="3">
        <f>(P16-X16)/G16*100</f>
      </c>
      <c r="R16" s="3">
        <f>J16-N16</f>
      </c>
      <c r="S16" t="s">
        <v>1</v>
      </c>
      <c r="Y16" s="3">
        <f>P16-X16</f>
      </c>
    </row>
    <row r="17" spans="1:25" x14ac:dyDescent="0.25">
      <c r="A17" s="8">
        <v>46213.5</v>
      </c>
      <c r="B17" t="s">
        <v>143</v>
      </c>
      <c r="C17" t="s">
        <v>105</v>
      </c>
      <c r="D17" s="9" t="s">
        <v>144</v>
      </c>
      <c r="E17" t="s">
        <v>64</v>
      </c>
      <c r="F17">
        <v>1</v>
      </c>
      <c r="G17" s="3">
        <v>229.85</v>
      </c>
      <c r="H17" s="3">
        <v>339.76</v>
      </c>
      <c r="I17" s="3">
        <f>H17-G17</f>
      </c>
      <c r="J17" s="3">
        <f>I17*16.67%</f>
      </c>
      <c r="K17" s="3">
        <f>H17/100*11</f>
      </c>
      <c r="L17" s="3">
        <v>9.99</v>
      </c>
      <c r="M17" s="3">
        <v>6.3</v>
      </c>
      <c r="N17" s="3">
        <f>M17*20%</f>
      </c>
      <c r="O17" s="3">
        <v>1</v>
      </c>
      <c r="P17" s="3">
        <f>I17-J17-K17-L17-M17-N17-O17</f>
      </c>
      <c r="Q17" s="3">
        <f>(P17-X17)/G17*100</f>
      </c>
      <c r="R17" s="3">
        <f>J17-N17</f>
      </c>
      <c r="S17" t="s">
        <v>1</v>
      </c>
      <c r="Y17" s="3">
        <f>P17-X17</f>
      </c>
    </row>
    <row r="18" spans="1:25" x14ac:dyDescent="0.25">
      <c r="A18" s="8">
        <v>46209.5</v>
      </c>
      <c r="B18" t="s">
        <v>145</v>
      </c>
      <c r="C18" t="s">
        <v>80</v>
      </c>
      <c r="D18" s="9" t="s">
        <v>146</v>
      </c>
      <c r="E18" t="s">
        <v>67</v>
      </c>
      <c r="F18">
        <v>1</v>
      </c>
      <c r="G18" s="3">
        <v>257.31</v>
      </c>
      <c r="H18" s="3">
        <v>363.2</v>
      </c>
      <c r="I18" s="3">
        <f>H18-G18</f>
      </c>
      <c r="J18" s="3">
        <f>I18*16.67%</f>
      </c>
      <c r="K18" s="3">
        <f>H18/100*11</f>
      </c>
      <c r="L18" s="3">
        <v>9.99</v>
      </c>
      <c r="M18" s="3">
        <v>6.3</v>
      </c>
      <c r="N18" s="3">
        <f>M18*20%</f>
      </c>
      <c r="O18" s="3">
        <v>1</v>
      </c>
      <c r="P18" s="3">
        <f>I18-J18-K18-L18-M18-N18-O18</f>
      </c>
      <c r="Q18" s="3">
        <f>(P18-X18)/G18*100</f>
      </c>
      <c r="R18" s="3">
        <f>J18-N18</f>
      </c>
      <c r="S18" t="s">
        <v>1</v>
      </c>
      <c r="Y18" s="3">
        <f>P18-X18</f>
      </c>
    </row>
    <row r="19" spans="1:25" x14ac:dyDescent="0.25">
      <c r="A19" s="8">
        <v>46209.5</v>
      </c>
      <c r="B19" t="s">
        <v>147</v>
      </c>
      <c r="C19" t="s">
        <v>148</v>
      </c>
      <c r="D19" s="9" t="s">
        <v>149</v>
      </c>
      <c r="E19" t="s">
        <v>59</v>
      </c>
      <c r="F19">
        <v>1</v>
      </c>
      <c r="G19" s="3">
        <v>243.53</v>
      </c>
      <c r="H19" s="3">
        <v>355.54</v>
      </c>
      <c r="I19" s="3">
        <f>H19-G19</f>
      </c>
      <c r="J19" s="3">
        <f>I19*16.67%</f>
      </c>
      <c r="K19" s="3">
        <f>H19/100*11</f>
      </c>
      <c r="L19" s="3">
        <v>9.99</v>
      </c>
      <c r="M19" s="3">
        <v>8</v>
      </c>
      <c r="N19" s="3">
        <f>M19*20%</f>
      </c>
      <c r="O19" s="3">
        <v>1</v>
      </c>
      <c r="P19" s="3">
        <f>I19-J19-K19-L19-M19-N19-O19</f>
      </c>
      <c r="Q19" s="3">
        <f>(P19-X19)/G19*100</f>
      </c>
      <c r="R19" s="3">
        <f>J19-N19</f>
      </c>
      <c r="S19" t="s">
        <v>1</v>
      </c>
      <c r="Y19" s="3">
        <f>P19-X19</f>
      </c>
    </row>
    <row r="20" spans="1:25" x14ac:dyDescent="0.25">
      <c r="A20" s="8">
        <v>46209.5</v>
      </c>
      <c r="B20" t="s">
        <v>150</v>
      </c>
      <c r="C20" t="s">
        <v>80</v>
      </c>
      <c r="D20" s="9" t="s">
        <v>151</v>
      </c>
      <c r="E20" t="s">
        <v>55</v>
      </c>
      <c r="F20">
        <v>1</v>
      </c>
      <c r="G20" s="3">
        <v>253.86</v>
      </c>
      <c r="H20" s="3">
        <v>368.99</v>
      </c>
      <c r="I20" s="3">
        <f>H20-G20</f>
      </c>
      <c r="J20" s="3">
        <f>I20*16.67%</f>
      </c>
      <c r="K20" s="3">
        <f>H20/100*11</f>
      </c>
      <c r="L20" s="3">
        <v>9.99</v>
      </c>
      <c r="M20" s="3">
        <v>8</v>
      </c>
      <c r="N20" s="3">
        <f>M20*20%</f>
      </c>
      <c r="O20" s="3">
        <v>1</v>
      </c>
      <c r="P20" s="3">
        <f>I20-J20-K20-L20-M20-N20-O20</f>
      </c>
      <c r="Q20" s="3">
        <f>(P20-X20)/G20*100</f>
      </c>
      <c r="R20" s="3">
        <f>J20-N20</f>
      </c>
      <c r="S20" t="s">
        <v>1</v>
      </c>
      <c r="Y20" s="3">
        <f>P20-X20</f>
      </c>
    </row>
    <row r="21" spans="1:25" x14ac:dyDescent="0.25">
      <c r="A21" s="8">
        <v>46209.5</v>
      </c>
      <c r="B21" t="s">
        <v>152</v>
      </c>
      <c r="C21" t="s">
        <v>119</v>
      </c>
      <c r="D21" s="9" t="s">
        <v>153</v>
      </c>
      <c r="E21" t="s">
        <v>55</v>
      </c>
      <c r="F21">
        <v>1</v>
      </c>
      <c r="G21" s="3">
        <v>261.54</v>
      </c>
      <c r="H21" s="3">
        <v>391.67</v>
      </c>
      <c r="I21" s="3">
        <f>H21-G21</f>
      </c>
      <c r="J21" s="3">
        <f>I21*16.67%</f>
      </c>
      <c r="K21" s="3">
        <f>H21/100*11</f>
      </c>
      <c r="L21" s="3">
        <v>9.99</v>
      </c>
      <c r="M21" s="3">
        <v>8</v>
      </c>
      <c r="N21" s="3">
        <f>M21*20%</f>
      </c>
      <c r="O21" s="3">
        <v>1</v>
      </c>
      <c r="P21" s="3">
        <f>I21-J21-K21-L21-M21-N21-O21</f>
      </c>
      <c r="Q21" s="3">
        <f>(P21-X21)/G21*100</f>
      </c>
      <c r="R21" s="3">
        <f>J21-N21</f>
      </c>
      <c r="S21" t="s">
        <v>1</v>
      </c>
      <c r="Y21" s="3">
        <f>P21-X21</f>
      </c>
    </row>
    <row r="22" spans="1:25" x14ac:dyDescent="0.25">
      <c r="A22" s="8">
        <v>46205.5</v>
      </c>
      <c r="B22" t="s">
        <v>154</v>
      </c>
      <c r="C22" t="s">
        <v>105</v>
      </c>
      <c r="D22" s="9" t="s">
        <v>106</v>
      </c>
      <c r="E22" t="s">
        <v>55</v>
      </c>
      <c r="F22">
        <v>1</v>
      </c>
      <c r="G22" s="3">
        <v>222.91</v>
      </c>
      <c r="H22" s="3">
        <v>318.37</v>
      </c>
      <c r="I22" s="3">
        <f>H22-G22</f>
      </c>
      <c r="J22" s="3">
        <f>I22*16.67%</f>
      </c>
      <c r="K22" s="3">
        <f>H22/100*11</f>
      </c>
      <c r="L22" s="3">
        <v>9.99</v>
      </c>
      <c r="M22" s="3">
        <v>8</v>
      </c>
      <c r="N22" s="3">
        <f>M22*20%</f>
      </c>
      <c r="O22" s="3">
        <v>1</v>
      </c>
      <c r="P22" s="3">
        <f>I22-J22-K22-L22-M22-N22-O22</f>
      </c>
      <c r="Q22" s="3">
        <f>(P22-X22)/G22*100</f>
      </c>
      <c r="R22" s="3">
        <f>J22-N22</f>
      </c>
      <c r="S22" t="s">
        <v>1</v>
      </c>
      <c r="Y22" s="3">
        <f>P22-X22</f>
      </c>
    </row>
    <row r="23" spans="1:25" x14ac:dyDescent="0.25">
      <c r="A23" s="8">
        <v>46205.5</v>
      </c>
      <c r="B23" t="s">
        <v>155</v>
      </c>
      <c r="C23" t="s">
        <v>105</v>
      </c>
      <c r="D23" s="9" t="s">
        <v>108</v>
      </c>
      <c r="E23" t="s">
        <v>55</v>
      </c>
      <c r="F23">
        <v>1</v>
      </c>
      <c r="G23" s="3">
        <v>232.81</v>
      </c>
      <c r="H23" s="3">
        <v>312.96</v>
      </c>
      <c r="I23" s="3">
        <f>H23-G23</f>
      </c>
      <c r="J23" s="3">
        <f>I23*16.67%</f>
      </c>
      <c r="K23" s="3">
        <f>H23/100*11</f>
      </c>
      <c r="L23" s="3">
        <v>9.99</v>
      </c>
      <c r="M23" s="3">
        <v>2</v>
      </c>
      <c r="N23" s="3">
        <f>M23*20%</f>
      </c>
      <c r="O23" s="3">
        <v>1</v>
      </c>
      <c r="P23" s="3">
        <f>I23-J23-K23-L23-M23-N23-O23</f>
      </c>
      <c r="Q23" s="3">
        <f>(P23-X23)/G23*100</f>
      </c>
      <c r="R23" s="3">
        <f>J23-N23</f>
      </c>
      <c r="S23" t="s">
        <v>1</v>
      </c>
      <c r="Y23" s="3">
        <f>P23-X23</f>
      </c>
    </row>
    <row r="24" spans="1:25" x14ac:dyDescent="0.25">
      <c r="A24" s="8">
        <v>46205.5</v>
      </c>
      <c r="B24" t="s">
        <v>156</v>
      </c>
      <c r="C24" t="s">
        <v>105</v>
      </c>
      <c r="D24" s="9" t="s">
        <v>110</v>
      </c>
      <c r="E24" t="s">
        <v>67</v>
      </c>
      <c r="F24">
        <v>1</v>
      </c>
      <c r="G24" s="3">
        <v>233.36</v>
      </c>
      <c r="H24" s="3">
        <v>340.98</v>
      </c>
      <c r="I24" s="3">
        <f>H24-G24</f>
      </c>
      <c r="J24" s="3">
        <f>I24*16.67%</f>
      </c>
      <c r="K24" s="3">
        <f>H24/100*11</f>
      </c>
      <c r="L24" s="3">
        <v>9.99</v>
      </c>
      <c r="M24" s="3">
        <v>8</v>
      </c>
      <c r="N24" s="3">
        <f>M24*20%</f>
      </c>
      <c r="O24" s="3">
        <v>1</v>
      </c>
      <c r="P24" s="3">
        <f>I24-J24-K24-L24-M24-N24-O24</f>
      </c>
      <c r="Q24" s="3">
        <f>(P24-X24)/G24*100</f>
      </c>
      <c r="R24" s="3">
        <f>J24-N24</f>
      </c>
      <c r="S24" t="s">
        <v>1</v>
      </c>
      <c r="Y24" s="3">
        <f>P24-X24</f>
      </c>
    </row>
    <row r="25" spans="1:25" x14ac:dyDescent="0.25">
      <c r="A25" s="8">
        <v>46205.5</v>
      </c>
      <c r="B25" t="s">
        <v>157</v>
      </c>
      <c r="C25" t="s">
        <v>105</v>
      </c>
      <c r="D25" s="9" t="s">
        <v>112</v>
      </c>
      <c r="E25" t="s">
        <v>67</v>
      </c>
      <c r="F25">
        <v>1</v>
      </c>
      <c r="G25" s="3">
        <v>234.13</v>
      </c>
      <c r="H25" s="3">
        <v>346.91</v>
      </c>
      <c r="I25" s="3">
        <f>H25-G25</f>
      </c>
      <c r="J25" s="3">
        <f>I25*16.67%</f>
      </c>
      <c r="K25" s="3">
        <f>H25/100*11</f>
      </c>
      <c r="L25" s="3">
        <v>9.99</v>
      </c>
      <c r="M25" s="3">
        <v>8</v>
      </c>
      <c r="N25" s="3">
        <f>M25*20%</f>
      </c>
      <c r="O25" s="3">
        <v>1</v>
      </c>
      <c r="P25" s="3">
        <f>I25-J25-K25-L25-M25-N25-O25</f>
      </c>
      <c r="Q25" s="3">
        <f>(P25-X25)/G25*100</f>
      </c>
      <c r="R25" s="3">
        <f>J25-N25</f>
      </c>
      <c r="S25" t="s">
        <v>1</v>
      </c>
      <c r="Y25" s="3">
        <f>P25-X25</f>
      </c>
    </row>
    <row r="26" spans="1:25" x14ac:dyDescent="0.25">
      <c r="A26" s="8">
        <v>46205.5</v>
      </c>
      <c r="B26" t="s">
        <v>158</v>
      </c>
      <c r="C26" t="s">
        <v>105</v>
      </c>
      <c r="D26" s="9" t="s">
        <v>159</v>
      </c>
      <c r="E26" t="s">
        <v>67</v>
      </c>
      <c r="F26">
        <v>1</v>
      </c>
      <c r="G26" s="3">
        <v>223.04</v>
      </c>
      <c r="H26" s="3">
        <v>314.16</v>
      </c>
      <c r="I26" s="3">
        <f>H26-G26</f>
      </c>
      <c r="J26" s="3">
        <f>I26*16.67%</f>
      </c>
      <c r="K26" s="3">
        <f>H26/100*11</f>
      </c>
      <c r="L26" s="3">
        <v>9.99</v>
      </c>
      <c r="M26" s="3">
        <v>8</v>
      </c>
      <c r="N26" s="3">
        <f>M26*20%</f>
      </c>
      <c r="O26" s="3">
        <v>1</v>
      </c>
      <c r="P26" s="3">
        <f>I26-J26-K26-L26-M26-N26-O26</f>
      </c>
      <c r="Q26" s="3">
        <f>(P26-X26)/G26*100</f>
      </c>
      <c r="R26" s="3">
        <f>J26-N26</f>
      </c>
      <c r="S26" t="s">
        <v>1</v>
      </c>
      <c r="Y26" s="3">
        <f>P26-X26</f>
      </c>
    </row>
    <row r="27" spans="1:25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IFERROR((P27-X27)/G27*100,0)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7"/>
  <sheetFormatPr defaultRowHeight="15" outlineLevelRow="0" outlineLevelCol="0" x14ac:dyDescent="55"/>
  <sheetData>
    <row r="1" spans="1:31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160</v>
      </c>
      <c r="G1" t="s">
        <v>32</v>
      </c>
      <c r="H1" t="s">
        <v>33</v>
      </c>
      <c r="I1" t="s">
        <v>34</v>
      </c>
      <c r="J1" t="s">
        <v>40</v>
      </c>
      <c r="K1" t="s">
        <v>41</v>
      </c>
      <c r="L1" t="s">
        <v>161</v>
      </c>
      <c r="M1" t="s">
        <v>162</v>
      </c>
      <c r="N1" t="s">
        <v>163</v>
      </c>
      <c r="O1" t="s">
        <v>164</v>
      </c>
      <c r="P1" t="s">
        <v>35</v>
      </c>
      <c r="Q1" t="s">
        <v>45</v>
      </c>
      <c r="R1" t="s">
        <v>165</v>
      </c>
      <c r="S1" t="s">
        <v>166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36</v>
      </c>
      <c r="Z1" t="s">
        <v>24</v>
      </c>
      <c r="AA1" t="s">
        <v>29</v>
      </c>
      <c r="AB1" t="s">
        <v>30</v>
      </c>
      <c r="AC1" t="s">
        <v>31</v>
      </c>
      <c r="AD1" t="s">
        <v>51</v>
      </c>
      <c r="AE1" t="s">
        <v>10</v>
      </c>
    </row>
    <row r="2" spans="1:31" x14ac:dyDescent="0.25">
      <c r="A2" s="8">
        <v>46226.5</v>
      </c>
      <c r="B2" t="s">
        <v>167</v>
      </c>
      <c r="C2" t="s">
        <v>168</v>
      </c>
      <c r="D2" s="9" t="s">
        <v>169</v>
      </c>
      <c r="E2" t="s">
        <v>64</v>
      </c>
      <c r="F2">
        <v>1</v>
      </c>
      <c r="G2" s="3">
        <v>451.39</v>
      </c>
      <c r="H2" s="3">
        <v>605.91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2</v>
      </c>
      <c r="Q2" s="3">
        <f>P2*20%</f>
      </c>
      <c r="R2" s="3">
        <v>30.3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(V2-AD2)/H2*100</f>
      </c>
      <c r="X2" s="3">
        <f>J2-U2</f>
      </c>
      <c r="Y2" t="s">
        <v>1</v>
      </c>
      <c r="AE2" s="3">
        <f>V2-AD2</f>
      </c>
    </row>
    <row r="3" spans="1:31" x14ac:dyDescent="0.25">
      <c r="A3" s="8">
        <v>46226.5</v>
      </c>
      <c r="B3" t="s">
        <v>170</v>
      </c>
      <c r="C3" t="s">
        <v>171</v>
      </c>
      <c r="D3" s="9" t="s">
        <v>172</v>
      </c>
      <c r="E3" t="s">
        <v>59</v>
      </c>
      <c r="F3">
        <v>1</v>
      </c>
      <c r="G3" s="3">
        <v>453.75</v>
      </c>
      <c r="H3" s="3">
        <v>660.67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2</v>
      </c>
      <c r="Q3" s="3">
        <f>P3*20%</f>
      </c>
      <c r="R3" s="3">
        <v>33.03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(V3-AD3)/H3*100</f>
      </c>
      <c r="X3" s="3">
        <f>J3-U3</f>
      </c>
      <c r="Y3" t="s">
        <v>1</v>
      </c>
      <c r="AE3" s="3">
        <f>V3-AD3</f>
      </c>
    </row>
    <row r="4" spans="1:31" x14ac:dyDescent="0.25">
      <c r="A4" s="8">
        <v>46226.5</v>
      </c>
      <c r="B4" t="s">
        <v>173</v>
      </c>
      <c r="C4" t="s">
        <v>174</v>
      </c>
      <c r="D4" s="9" t="s">
        <v>175</v>
      </c>
      <c r="E4" t="s">
        <v>64</v>
      </c>
      <c r="F4">
        <v>1</v>
      </c>
      <c r="G4" s="3">
        <v>449.53</v>
      </c>
      <c r="H4" s="3">
        <v>590.13</v>
      </c>
      <c r="I4" s="3">
        <f>H4-G4</f>
      </c>
      <c r="J4" s="3">
        <f>I4*16.67%</f>
      </c>
      <c r="K4" s="3">
        <f>(H4*6.9%)-(H4*6.9%)*10%</f>
      </c>
      <c r="L4" s="3">
        <f>H4*0.35%</f>
      </c>
      <c r="M4" s="3">
        <v>0.4</v>
      </c>
      <c r="N4" s="3">
        <f>(K4+L4+M4)*20%</f>
      </c>
      <c r="O4" s="3">
        <f>K4+L4+M4+N4</f>
      </c>
      <c r="P4" s="3">
        <v>8</v>
      </c>
      <c r="Q4" s="3">
        <f>P4*20%</f>
      </c>
      <c r="R4" s="3">
        <v>29.51</v>
      </c>
      <c r="S4" s="3">
        <f>R4*20%</f>
      </c>
      <c r="T4" s="3">
        <v>1</v>
      </c>
      <c r="U4" s="3">
        <f>N4+Q4+S4</f>
      </c>
      <c r="V4" s="3">
        <f>I4-J4-O4-P4-Q4-R4-S4-T4</f>
      </c>
      <c r="W4" s="3">
        <f>(V4-AD4)/H4*100</f>
      </c>
      <c r="X4" s="3">
        <f>J4-U4</f>
      </c>
      <c r="Y4" t="s">
        <v>1</v>
      </c>
      <c r="AE4" s="3">
        <f>V4-AD4</f>
      </c>
    </row>
    <row r="5" spans="1:31" x14ac:dyDescent="0.25">
      <c r="A5" s="8">
        <v>46226.5</v>
      </c>
      <c r="B5" t="s">
        <v>176</v>
      </c>
      <c r="C5" t="s">
        <v>171</v>
      </c>
      <c r="D5" s="9" t="s">
        <v>177</v>
      </c>
      <c r="E5" t="s">
        <v>59</v>
      </c>
      <c r="F5">
        <v>1</v>
      </c>
      <c r="G5" s="3">
        <v>417.16</v>
      </c>
      <c r="H5" s="3">
        <v>583.93</v>
      </c>
      <c r="I5" s="3">
        <f>H5-G5</f>
      </c>
      <c r="J5" s="3">
        <f>I5*16.67%</f>
      </c>
      <c r="K5" s="3">
        <f>(H5*6.9%)-(H5*6.9%)*10%</f>
      </c>
      <c r="L5" s="3">
        <f>H5*0.35%</f>
      </c>
      <c r="M5" s="3">
        <v>0.4</v>
      </c>
      <c r="N5" s="3">
        <f>(K5+L5+M5)*20%</f>
      </c>
      <c r="O5" s="3">
        <f>K5+L5+M5+N5</f>
      </c>
      <c r="P5" s="3">
        <v>8</v>
      </c>
      <c r="Q5" s="3">
        <f>P5*20%</f>
      </c>
      <c r="R5" s="3">
        <v>29.2</v>
      </c>
      <c r="S5" s="3">
        <f>R5*20%</f>
      </c>
      <c r="T5" s="3">
        <v>1</v>
      </c>
      <c r="U5" s="3">
        <f>N5+Q5+S5</f>
      </c>
      <c r="V5" s="3">
        <f>I5-J5-O5-P5-Q5-R5-S5-T5</f>
      </c>
      <c r="W5" s="3">
        <f>(V5-AD5)/H5*100</f>
      </c>
      <c r="X5" s="3">
        <f>J5-U5</f>
      </c>
      <c r="Y5" t="s">
        <v>1</v>
      </c>
      <c r="AE5" s="3">
        <f>V5-AD5</f>
      </c>
    </row>
    <row r="6" spans="1:31" x14ac:dyDescent="0.25">
      <c r="A6" s="8">
        <v>46222.5</v>
      </c>
      <c r="B6" t="s">
        <v>178</v>
      </c>
      <c r="C6" t="s">
        <v>105</v>
      </c>
      <c r="D6" s="9" t="s">
        <v>179</v>
      </c>
      <c r="E6" t="s">
        <v>64</v>
      </c>
      <c r="F6">
        <v>1</v>
      </c>
      <c r="G6" s="3">
        <v>337.53</v>
      </c>
      <c r="H6" s="3">
        <v>434.22</v>
      </c>
      <c r="I6" s="3">
        <f>H6-G6</f>
      </c>
      <c r="J6" s="3">
        <f>I6*16.67%</f>
      </c>
      <c r="K6" s="3">
        <f>(H6*6.9%)-(H6*6.9%)*10%</f>
      </c>
      <c r="L6" s="3">
        <f>H6*0.35%</f>
      </c>
      <c r="M6" s="3">
        <v>0.4</v>
      </c>
      <c r="N6" s="3">
        <f>(K6+L6+M6)*20%</f>
      </c>
      <c r="O6" s="3">
        <f>K6+L6+M6+N6</f>
      </c>
      <c r="P6" s="3">
        <v>8</v>
      </c>
      <c r="Q6" s="3">
        <f>P6*20%</f>
      </c>
      <c r="R6" s="3">
        <v>21.71</v>
      </c>
      <c r="S6" s="3">
        <f>R6*20%</f>
      </c>
      <c r="T6" s="3">
        <v>1</v>
      </c>
      <c r="U6" s="3">
        <f>N6+Q6+S6</f>
      </c>
      <c r="V6" s="3">
        <f>I6-J6-O6-P6-Q6-R6-S6-T6</f>
      </c>
      <c r="W6" s="3">
        <f>(V6-AD6)/H6*100</f>
      </c>
      <c r="X6" s="3">
        <f>J6-U6</f>
      </c>
      <c r="Y6" t="s">
        <v>1</v>
      </c>
      <c r="AE6" s="3">
        <f>V6-AD6</f>
      </c>
    </row>
    <row r="7" spans="1:31" x14ac:dyDescent="0.25">
      <c r="A7" s="8">
        <v>46222.5</v>
      </c>
      <c r="B7" t="s">
        <v>180</v>
      </c>
      <c r="C7" t="s">
        <v>105</v>
      </c>
      <c r="D7" s="9" t="s">
        <v>181</v>
      </c>
      <c r="E7" t="s">
        <v>55</v>
      </c>
      <c r="F7">
        <v>1</v>
      </c>
      <c r="G7" s="3">
        <v>334.64</v>
      </c>
      <c r="H7" s="3">
        <v>424.77</v>
      </c>
      <c r="I7" s="3">
        <f>H7-G7</f>
      </c>
      <c r="J7" s="3">
        <f>I7*16.67%</f>
      </c>
      <c r="K7" s="3">
        <f>(H7*6.9%)-(H7*6.9%)*10%</f>
      </c>
      <c r="L7" s="3">
        <f>H7*0.35%</f>
      </c>
      <c r="M7" s="3">
        <v>0.4</v>
      </c>
      <c r="N7" s="3">
        <f>(K7+L7+M7)*20%</f>
      </c>
      <c r="O7" s="3">
        <f>K7+L7+M7+N7</f>
      </c>
      <c r="P7" s="3">
        <v>2</v>
      </c>
      <c r="Q7" s="3">
        <f>P7*20%</f>
      </c>
      <c r="R7" s="3">
        <v>21.24</v>
      </c>
      <c r="S7" s="3">
        <f>R7*20%</f>
      </c>
      <c r="T7" s="3">
        <v>1</v>
      </c>
      <c r="U7" s="3">
        <f>N7+Q7+S7</f>
      </c>
      <c r="V7" s="3">
        <f>I7-J7-O7-P7-Q7-R7-S7-T7</f>
      </c>
      <c r="W7" s="3">
        <f>(V7-AD7)/H7*100</f>
      </c>
      <c r="X7" s="3">
        <f>J7-U7</f>
      </c>
      <c r="Y7" t="s">
        <v>1</v>
      </c>
      <c r="AE7" s="3">
        <f>V7-AD7</f>
      </c>
    </row>
    <row r="8" spans="1:31" x14ac:dyDescent="0.25">
      <c r="A8" s="8">
        <v>46222.5</v>
      </c>
      <c r="B8" t="s">
        <v>182</v>
      </c>
      <c r="C8" t="s">
        <v>105</v>
      </c>
      <c r="D8" s="9" t="s">
        <v>183</v>
      </c>
      <c r="E8" t="s">
        <v>64</v>
      </c>
      <c r="F8">
        <v>1</v>
      </c>
      <c r="G8" s="3">
        <v>316.37</v>
      </c>
      <c r="H8" s="3">
        <v>464.68</v>
      </c>
      <c r="I8" s="3">
        <f>H8-G8</f>
      </c>
      <c r="J8" s="3">
        <f>I8*16.67%</f>
      </c>
      <c r="K8" s="3">
        <f>(H8*6.9%)-(H8*6.9%)*10%</f>
      </c>
      <c r="L8" s="3">
        <f>H8*0.35%</f>
      </c>
      <c r="M8" s="3">
        <v>0.4</v>
      </c>
      <c r="N8" s="3">
        <f>(K8+L8+M8)*20%</f>
      </c>
      <c r="O8" s="3">
        <f>K8+L8+M8+N8</f>
      </c>
      <c r="P8" s="3">
        <v>2</v>
      </c>
      <c r="Q8" s="3">
        <f>P8*20%</f>
      </c>
      <c r="R8" s="3">
        <v>23.23</v>
      </c>
      <c r="S8" s="3">
        <f>R8*20%</f>
      </c>
      <c r="T8" s="3">
        <v>1</v>
      </c>
      <c r="U8" s="3">
        <f>N8+Q8+S8</f>
      </c>
      <c r="V8" s="3">
        <f>I8-J8-O8-P8-Q8-R8-S8-T8</f>
      </c>
      <c r="W8" s="3">
        <f>(V8-AD8)/H8*100</f>
      </c>
      <c r="X8" s="3">
        <f>J8-U8</f>
      </c>
      <c r="Y8" t="s">
        <v>1</v>
      </c>
      <c r="AE8" s="3">
        <f>V8-AD8</f>
      </c>
    </row>
    <row r="9" spans="1:31" x14ac:dyDescent="0.25">
      <c r="A9" s="8">
        <v>46222.5</v>
      </c>
      <c r="B9" t="s">
        <v>184</v>
      </c>
      <c r="C9" t="s">
        <v>105</v>
      </c>
      <c r="D9" s="9" t="s">
        <v>185</v>
      </c>
      <c r="E9" t="s">
        <v>67</v>
      </c>
      <c r="F9">
        <v>1</v>
      </c>
      <c r="G9" s="3">
        <v>335.04</v>
      </c>
      <c r="H9" s="3">
        <v>490.45</v>
      </c>
      <c r="I9" s="3">
        <f>H9-G9</f>
      </c>
      <c r="J9" s="3">
        <f>I9*16.67%</f>
      </c>
      <c r="K9" s="3">
        <f>(H9*6.9%)-(H9*6.9%)*10%</f>
      </c>
      <c r="L9" s="3">
        <f>H9*0.35%</f>
      </c>
      <c r="M9" s="3">
        <v>0.4</v>
      </c>
      <c r="N9" s="3">
        <f>(K9+L9+M9)*20%</f>
      </c>
      <c r="O9" s="3">
        <f>K9+L9+M9+N9</f>
      </c>
      <c r="P9" s="3">
        <v>8</v>
      </c>
      <c r="Q9" s="3">
        <f>P9*20%</f>
      </c>
      <c r="R9" s="3">
        <v>24.52</v>
      </c>
      <c r="S9" s="3">
        <f>R9*20%</f>
      </c>
      <c r="T9" s="3">
        <v>1</v>
      </c>
      <c r="U9" s="3">
        <f>N9+Q9+S9</f>
      </c>
      <c r="V9" s="3">
        <f>I9-J9-O9-P9-Q9-R9-S9-T9</f>
      </c>
      <c r="W9" s="3">
        <f>(V9-AD9)/H9*100</f>
      </c>
      <c r="X9" s="3">
        <f>J9-U9</f>
      </c>
      <c r="Y9" t="s">
        <v>1</v>
      </c>
      <c r="AE9" s="3">
        <f>V9-AD9</f>
      </c>
    </row>
    <row r="10" spans="1:31" x14ac:dyDescent="0.25">
      <c r="A10" s="8">
        <v>46218.5</v>
      </c>
      <c r="B10" t="s">
        <v>186</v>
      </c>
      <c r="C10" t="s">
        <v>168</v>
      </c>
      <c r="D10" s="9" t="s">
        <v>187</v>
      </c>
      <c r="E10" t="s">
        <v>59</v>
      </c>
      <c r="F10">
        <v>1</v>
      </c>
      <c r="G10" s="3">
        <v>413.46</v>
      </c>
      <c r="H10" s="3">
        <v>568.64</v>
      </c>
      <c r="I10" s="3">
        <f>H10-G10</f>
      </c>
      <c r="J10" s="3">
        <f>I10*16.67%</f>
      </c>
      <c r="K10" s="3">
        <f>(H10*6.9%)-(H10*6.9%)*10%</f>
      </c>
      <c r="L10" s="3">
        <f>H10*0.35%</f>
      </c>
      <c r="M10" s="3">
        <v>0.4</v>
      </c>
      <c r="N10" s="3">
        <f>(K10+L10+M10)*20%</f>
      </c>
      <c r="O10" s="3">
        <f>K10+L10+M10+N10</f>
      </c>
      <c r="P10" s="3">
        <v>8</v>
      </c>
      <c r="Q10" s="3">
        <f>P10*20%</f>
      </c>
      <c r="R10" s="3">
        <v>28.43</v>
      </c>
      <c r="S10" s="3">
        <f>R10*20%</f>
      </c>
      <c r="T10" s="3">
        <v>1</v>
      </c>
      <c r="U10" s="3">
        <f>N10+Q10+S10</f>
      </c>
      <c r="V10" s="3">
        <f>I10-J10-O10-P10-Q10-R10-S10-T10</f>
      </c>
      <c r="W10" s="3">
        <f>(V10-AD10)/H10*100</f>
      </c>
      <c r="X10" s="3">
        <f>J10-U10</f>
      </c>
      <c r="Y10" t="s">
        <v>1</v>
      </c>
      <c r="AE10" s="3">
        <f>V10-AD10</f>
      </c>
    </row>
    <row r="11" spans="1:31" x14ac:dyDescent="0.25">
      <c r="A11" s="8">
        <v>46218.5</v>
      </c>
      <c r="B11" t="s">
        <v>188</v>
      </c>
      <c r="C11" t="s">
        <v>189</v>
      </c>
      <c r="D11" s="9" t="s">
        <v>190</v>
      </c>
      <c r="E11" t="s">
        <v>64</v>
      </c>
      <c r="F11">
        <v>1</v>
      </c>
      <c r="G11" s="3">
        <v>431.55</v>
      </c>
      <c r="H11" s="3">
        <v>553.53</v>
      </c>
      <c r="I11" s="3">
        <f>H11-G11</f>
      </c>
      <c r="J11" s="3">
        <f>I11*16.67%</f>
      </c>
      <c r="K11" s="3">
        <f>(H11*6.9%)-(H11*6.9%)*10%</f>
      </c>
      <c r="L11" s="3">
        <f>H11*0.35%</f>
      </c>
      <c r="M11" s="3">
        <v>0.4</v>
      </c>
      <c r="N11" s="3">
        <f>(K11+L11+M11)*20%</f>
      </c>
      <c r="O11" s="3">
        <f>K11+L11+M11+N11</f>
      </c>
      <c r="P11" s="3">
        <v>8</v>
      </c>
      <c r="Q11" s="3">
        <f>P11*20%</f>
      </c>
      <c r="R11" s="3">
        <v>27.68</v>
      </c>
      <c r="S11" s="3">
        <f>R11*20%</f>
      </c>
      <c r="T11" s="3">
        <v>1</v>
      </c>
      <c r="U11" s="3">
        <f>N11+Q11+S11</f>
      </c>
      <c r="V11" s="3">
        <f>I11-J11-O11-P11-Q11-R11-S11-T11</f>
      </c>
      <c r="W11" s="3">
        <f>(V11-AD11)/H11*100</f>
      </c>
      <c r="X11" s="3">
        <f>J11-U11</f>
      </c>
      <c r="Y11" t="s">
        <v>1</v>
      </c>
      <c r="AE11" s="3">
        <f>V11-AD11</f>
      </c>
    </row>
    <row r="12" spans="1:31" x14ac:dyDescent="0.25">
      <c r="A12" s="8">
        <v>46218.5</v>
      </c>
      <c r="B12" t="s">
        <v>191</v>
      </c>
      <c r="C12" t="s">
        <v>174</v>
      </c>
      <c r="D12" s="9" t="s">
        <v>192</v>
      </c>
      <c r="E12" t="s">
        <v>55</v>
      </c>
      <c r="F12">
        <v>1</v>
      </c>
      <c r="G12" s="3">
        <v>422.16</v>
      </c>
      <c r="H12" s="3">
        <v>623.08</v>
      </c>
      <c r="I12" s="3">
        <f>H12-G12</f>
      </c>
      <c r="J12" s="3">
        <f>I12*16.67%</f>
      </c>
      <c r="K12" s="3">
        <f>(H12*6.9%)-(H12*6.9%)*10%</f>
      </c>
      <c r="L12" s="3">
        <f>H12*0.35%</f>
      </c>
      <c r="M12" s="3">
        <v>0.4</v>
      </c>
      <c r="N12" s="3">
        <f>(K12+L12+M12)*20%</f>
      </c>
      <c r="O12" s="3">
        <f>K12+L12+M12+N12</f>
      </c>
      <c r="P12" s="3">
        <v>8</v>
      </c>
      <c r="Q12" s="3">
        <f>P12*20%</f>
      </c>
      <c r="R12" s="3">
        <v>31.15</v>
      </c>
      <c r="S12" s="3">
        <f>R12*20%</f>
      </c>
      <c r="T12" s="3">
        <v>1</v>
      </c>
      <c r="U12" s="3">
        <f>N12+Q12+S12</f>
      </c>
      <c r="V12" s="3">
        <f>I12-J12-O12-P12-Q12-R12-S12-T12</f>
      </c>
      <c r="W12" s="3">
        <f>(V12-AD12)/H12*100</f>
      </c>
      <c r="X12" s="3">
        <f>J12-U12</f>
      </c>
      <c r="Y12" t="s">
        <v>1</v>
      </c>
      <c r="AE12" s="3">
        <f>V12-AD12</f>
      </c>
    </row>
    <row r="13" spans="1:31" x14ac:dyDescent="0.25">
      <c r="A13" s="8">
        <v>46218.5</v>
      </c>
      <c r="B13" t="s">
        <v>193</v>
      </c>
      <c r="C13" t="s">
        <v>194</v>
      </c>
      <c r="D13" s="9" t="s">
        <v>195</v>
      </c>
      <c r="E13" t="s">
        <v>67</v>
      </c>
      <c r="F13">
        <v>1</v>
      </c>
      <c r="G13" s="3">
        <v>450.57</v>
      </c>
      <c r="H13" s="3">
        <v>611.06</v>
      </c>
      <c r="I13" s="3">
        <f>H13-G13</f>
      </c>
      <c r="J13" s="3">
        <f>I13*16.67%</f>
      </c>
      <c r="K13" s="3">
        <f>(H13*6.9%)-(H13*6.9%)*10%</f>
      </c>
      <c r="L13" s="3">
        <f>H13*0.35%</f>
      </c>
      <c r="M13" s="3">
        <v>0.4</v>
      </c>
      <c r="N13" s="3">
        <f>(K13+L13+M13)*20%</f>
      </c>
      <c r="O13" s="3">
        <f>K13+L13+M13+N13</f>
      </c>
      <c r="P13" s="3">
        <v>8</v>
      </c>
      <c r="Q13" s="3">
        <f>P13*20%</f>
      </c>
      <c r="R13" s="3">
        <v>30.55</v>
      </c>
      <c r="S13" s="3">
        <f>R13*20%</f>
      </c>
      <c r="T13" s="3">
        <v>1</v>
      </c>
      <c r="U13" s="3">
        <f>N13+Q13+S13</f>
      </c>
      <c r="V13" s="3">
        <f>I13-J13-O13-P13-Q13-R13-S13-T13</f>
      </c>
      <c r="W13" s="3">
        <f>(V13-AD13)/H13*100</f>
      </c>
      <c r="X13" s="3">
        <f>J13-U13</f>
      </c>
      <c r="Y13" t="s">
        <v>1</v>
      </c>
      <c r="AE13" s="3">
        <f>V13-AD13</f>
      </c>
    </row>
    <row r="14" spans="1:31" x14ac:dyDescent="0.25">
      <c r="A14" s="8">
        <v>46214.5</v>
      </c>
      <c r="B14" t="s">
        <v>196</v>
      </c>
      <c r="C14" t="s">
        <v>105</v>
      </c>
      <c r="D14" s="9" t="s">
        <v>197</v>
      </c>
      <c r="E14" t="s">
        <v>67</v>
      </c>
      <c r="F14">
        <v>1</v>
      </c>
      <c r="G14" s="3">
        <v>315.22</v>
      </c>
      <c r="H14" s="3">
        <v>464.25</v>
      </c>
      <c r="I14" s="3">
        <f>H14-G14</f>
      </c>
      <c r="J14" s="3">
        <f>I14*16.67%</f>
      </c>
      <c r="K14" s="3">
        <f>(H14*6.9%)-(H14*6.9%)*10%</f>
      </c>
      <c r="L14" s="3">
        <f>H14*0.35%</f>
      </c>
      <c r="M14" s="3">
        <v>0.4</v>
      </c>
      <c r="N14" s="3">
        <f>(K14+L14+M14)*20%</f>
      </c>
      <c r="O14" s="3">
        <f>K14+L14+M14+N14</f>
      </c>
      <c r="P14" s="3">
        <v>8</v>
      </c>
      <c r="Q14" s="3">
        <f>P14*20%</f>
      </c>
      <c r="R14" s="3">
        <v>23.21</v>
      </c>
      <c r="S14" s="3">
        <f>R14*20%</f>
      </c>
      <c r="T14" s="3">
        <v>1</v>
      </c>
      <c r="U14" s="3">
        <f>N14+Q14+S14</f>
      </c>
      <c r="V14" s="3">
        <f>I14-J14-O14-P14-Q14-R14-S14-T14</f>
      </c>
      <c r="W14" s="3">
        <f>(V14-AD14)/H14*100</f>
      </c>
      <c r="X14" s="3">
        <f>J14-U14</f>
      </c>
      <c r="Y14" t="s">
        <v>1</v>
      </c>
      <c r="AE14" s="3">
        <f>V14-AD14</f>
      </c>
    </row>
    <row r="15" spans="1:31" x14ac:dyDescent="0.25">
      <c r="A15" s="8">
        <v>46214.5</v>
      </c>
      <c r="B15" t="s">
        <v>198</v>
      </c>
      <c r="C15" t="s">
        <v>105</v>
      </c>
      <c r="D15" s="9" t="s">
        <v>199</v>
      </c>
      <c r="E15" t="s">
        <v>67</v>
      </c>
      <c r="F15">
        <v>1</v>
      </c>
      <c r="G15" s="3">
        <v>336.42</v>
      </c>
      <c r="H15" s="3">
        <v>447.02</v>
      </c>
      <c r="I15" s="3">
        <f>H15-G15</f>
      </c>
      <c r="J15" s="3">
        <f>I15*16.67%</f>
      </c>
      <c r="K15" s="3">
        <f>(H15*6.9%)-(H15*6.9%)*10%</f>
      </c>
      <c r="L15" s="3">
        <f>H15*0.35%</f>
      </c>
      <c r="M15" s="3">
        <v>0.4</v>
      </c>
      <c r="N15" s="3">
        <f>(K15+L15+M15)*20%</f>
      </c>
      <c r="O15" s="3">
        <f>K15+L15+M15+N15</f>
      </c>
      <c r="P15" s="3">
        <v>6.3</v>
      </c>
      <c r="Q15" s="3">
        <f>P15*20%</f>
      </c>
      <c r="R15" s="3">
        <v>22.35</v>
      </c>
      <c r="S15" s="3">
        <f>R15*20%</f>
      </c>
      <c r="T15" s="3">
        <v>1</v>
      </c>
      <c r="U15" s="3">
        <f>N15+Q15+S15</f>
      </c>
      <c r="V15" s="3">
        <f>I15-J15-O15-P15-Q15-R15-S15-T15</f>
      </c>
      <c r="W15" s="3">
        <f>(V15-AD15)/H15*100</f>
      </c>
      <c r="X15" s="3">
        <f>J15-U15</f>
      </c>
      <c r="Y15" t="s">
        <v>1</v>
      </c>
      <c r="AE15" s="3">
        <f>V15-AD15</f>
      </c>
    </row>
    <row r="16" spans="1:31" x14ac:dyDescent="0.25">
      <c r="A16" s="8">
        <v>46214.5</v>
      </c>
      <c r="B16" t="s">
        <v>200</v>
      </c>
      <c r="C16" t="s">
        <v>105</v>
      </c>
      <c r="D16" s="9" t="s">
        <v>201</v>
      </c>
      <c r="E16" t="s">
        <v>64</v>
      </c>
      <c r="F16">
        <v>1</v>
      </c>
      <c r="G16" s="3">
        <v>305.4</v>
      </c>
      <c r="H16" s="3">
        <v>438.18</v>
      </c>
      <c r="I16" s="3">
        <f>H16-G16</f>
      </c>
      <c r="J16" s="3">
        <f>I16*16.67%</f>
      </c>
      <c r="K16" s="3">
        <f>(H16*6.9%)-(H16*6.9%)*10%</f>
      </c>
      <c r="L16" s="3">
        <f>H16*0.35%</f>
      </c>
      <c r="M16" s="3">
        <v>0.4</v>
      </c>
      <c r="N16" s="3">
        <f>(K16+L16+M16)*20%</f>
      </c>
      <c r="O16" s="3">
        <f>K16+L16+M16+N16</f>
      </c>
      <c r="P16" s="3">
        <v>8</v>
      </c>
      <c r="Q16" s="3">
        <f>P16*20%</f>
      </c>
      <c r="R16" s="3">
        <v>21.91</v>
      </c>
      <c r="S16" s="3">
        <f>R16*20%</f>
      </c>
      <c r="T16" s="3">
        <v>1</v>
      </c>
      <c r="U16" s="3">
        <f>N16+Q16+S16</f>
      </c>
      <c r="V16" s="3">
        <f>I16-J16-O16-P16-Q16-R16-S16-T16</f>
      </c>
      <c r="W16" s="3">
        <f>(V16-AD16)/H16*100</f>
      </c>
      <c r="X16" s="3">
        <f>J16-U16</f>
      </c>
      <c r="Y16" t="s">
        <v>1</v>
      </c>
      <c r="AE16" s="3">
        <f>V16-AD16</f>
      </c>
    </row>
    <row r="17" spans="1:31" x14ac:dyDescent="0.25">
      <c r="A17" s="8">
        <v>46214.5</v>
      </c>
      <c r="B17" t="s">
        <v>202</v>
      </c>
      <c r="C17" t="s">
        <v>105</v>
      </c>
      <c r="D17" s="9" t="s">
        <v>203</v>
      </c>
      <c r="E17" t="s">
        <v>67</v>
      </c>
      <c r="F17">
        <v>1</v>
      </c>
      <c r="G17" s="3">
        <v>311.8</v>
      </c>
      <c r="H17" s="3">
        <v>466.51</v>
      </c>
      <c r="I17" s="3">
        <f>H17-G17</f>
      </c>
      <c r="J17" s="3">
        <f>I17*16.67%</f>
      </c>
      <c r="K17" s="3">
        <f>(H17*6.9%)-(H17*6.9%)*10%</f>
      </c>
      <c r="L17" s="3">
        <f>H17*0.35%</f>
      </c>
      <c r="M17" s="3">
        <v>0.4</v>
      </c>
      <c r="N17" s="3">
        <f>(K17+L17+M17)*20%</f>
      </c>
      <c r="O17" s="3">
        <f>K17+L17+M17+N17</f>
      </c>
      <c r="P17" s="3">
        <v>2</v>
      </c>
      <c r="Q17" s="3">
        <f>P17*20%</f>
      </c>
      <c r="R17" s="3">
        <v>23.33</v>
      </c>
      <c r="S17" s="3">
        <f>R17*20%</f>
      </c>
      <c r="T17" s="3">
        <v>1</v>
      </c>
      <c r="U17" s="3">
        <f>N17+Q17+S17</f>
      </c>
      <c r="V17" s="3">
        <f>I17-J17-O17-P17-Q17-R17-S17-T17</f>
      </c>
      <c r="W17" s="3">
        <f>(V17-AD17)/H17*100</f>
      </c>
      <c r="X17" s="3">
        <f>J17-U17</f>
      </c>
      <c r="Y17" t="s">
        <v>1</v>
      </c>
      <c r="AE17" s="3">
        <f>V17-AD17</f>
      </c>
    </row>
    <row r="18" spans="1:31" x14ac:dyDescent="0.25">
      <c r="A18" s="8">
        <v>46210.5</v>
      </c>
      <c r="B18" t="s">
        <v>204</v>
      </c>
      <c r="C18" t="s">
        <v>205</v>
      </c>
      <c r="D18" s="9" t="s">
        <v>206</v>
      </c>
      <c r="E18" t="s">
        <v>67</v>
      </c>
      <c r="F18">
        <v>1</v>
      </c>
      <c r="G18" s="3">
        <v>422.7</v>
      </c>
      <c r="H18" s="3">
        <v>579.8</v>
      </c>
      <c r="I18" s="3">
        <f>H18-G18</f>
      </c>
      <c r="J18" s="3">
        <f>I18*16.67%</f>
      </c>
      <c r="K18" s="3">
        <f>(H18*6.9%)-(H18*6.9%)*10%</f>
      </c>
      <c r="L18" s="3">
        <f>H18*0.35%</f>
      </c>
      <c r="M18" s="3">
        <v>0.4</v>
      </c>
      <c r="N18" s="3">
        <f>(K18+L18+M18)*20%</f>
      </c>
      <c r="O18" s="3">
        <f>K18+L18+M18+N18</f>
      </c>
      <c r="P18" s="3">
        <v>8</v>
      </c>
      <c r="Q18" s="3">
        <f>P18*20%</f>
      </c>
      <c r="R18" s="3">
        <v>28.99</v>
      </c>
      <c r="S18" s="3">
        <f>R18*20%</f>
      </c>
      <c r="T18" s="3">
        <v>1</v>
      </c>
      <c r="U18" s="3">
        <f>N18+Q18+S18</f>
      </c>
      <c r="V18" s="3">
        <f>I18-J18-O18-P18-Q18-R18-S18-T18</f>
      </c>
      <c r="W18" s="3">
        <f>(V18-AD18)/H18*100</f>
      </c>
      <c r="X18" s="3">
        <f>J18-U18</f>
      </c>
      <c r="Y18" t="s">
        <v>1</v>
      </c>
      <c r="AE18" s="3">
        <f>V18-AD18</f>
      </c>
    </row>
    <row r="19" spans="1:31" x14ac:dyDescent="0.25">
      <c r="A19" s="8">
        <v>46210.5</v>
      </c>
      <c r="B19" t="s">
        <v>207</v>
      </c>
      <c r="C19" t="s">
        <v>168</v>
      </c>
      <c r="D19" s="9" t="s">
        <v>208</v>
      </c>
      <c r="E19" t="s">
        <v>55</v>
      </c>
      <c r="F19">
        <v>1</v>
      </c>
      <c r="G19" s="3">
        <v>405.86</v>
      </c>
      <c r="H19" s="3">
        <v>602.26</v>
      </c>
      <c r="I19" s="3">
        <f>H19-G19</f>
      </c>
      <c r="J19" s="3">
        <f>I19*16.67%</f>
      </c>
      <c r="K19" s="3">
        <f>(H19*6.9%)-(H19*6.9%)*10%</f>
      </c>
      <c r="L19" s="3">
        <f>H19*0.35%</f>
      </c>
      <c r="M19" s="3">
        <v>0.4</v>
      </c>
      <c r="N19" s="3">
        <f>(K19+L19+M19)*20%</f>
      </c>
      <c r="O19" s="3">
        <f>K19+L19+M19+N19</f>
      </c>
      <c r="P19" s="3">
        <v>8</v>
      </c>
      <c r="Q19" s="3">
        <f>P19*20%</f>
      </c>
      <c r="R19" s="3">
        <v>30.11</v>
      </c>
      <c r="S19" s="3">
        <f>R19*20%</f>
      </c>
      <c r="T19" s="3">
        <v>1</v>
      </c>
      <c r="U19" s="3">
        <f>N19+Q19+S19</f>
      </c>
      <c r="V19" s="3">
        <f>I19-J19-O19-P19-Q19-R19-S19-T19</f>
      </c>
      <c r="W19" s="3">
        <f>(V19-AD19)/H19*100</f>
      </c>
      <c r="X19" s="3">
        <f>J19-U19</f>
      </c>
      <c r="Y19" t="s">
        <v>1</v>
      </c>
      <c r="AE19" s="3">
        <f>V19-AD19</f>
      </c>
    </row>
    <row r="20" spans="1:31" x14ac:dyDescent="0.25">
      <c r="A20" s="8">
        <v>46210.5</v>
      </c>
      <c r="B20" t="s">
        <v>209</v>
      </c>
      <c r="C20" t="s">
        <v>168</v>
      </c>
      <c r="D20" s="9" t="s">
        <v>210</v>
      </c>
      <c r="E20" t="s">
        <v>59</v>
      </c>
      <c r="F20">
        <v>1</v>
      </c>
      <c r="G20" s="3">
        <v>418.34</v>
      </c>
      <c r="H20" s="3">
        <v>567.87</v>
      </c>
      <c r="I20" s="3">
        <f>H20-G20</f>
      </c>
      <c r="J20" s="3">
        <f>I20*16.67%</f>
      </c>
      <c r="K20" s="3">
        <f>(H20*6.9%)-(H20*6.9%)*10%</f>
      </c>
      <c r="L20" s="3">
        <f>H20*0.35%</f>
      </c>
      <c r="M20" s="3">
        <v>0.4</v>
      </c>
      <c r="N20" s="3">
        <f>(K20+L20+M20)*20%</f>
      </c>
      <c r="O20" s="3">
        <f>K20+L20+M20+N20</f>
      </c>
      <c r="P20" s="3">
        <v>2</v>
      </c>
      <c r="Q20" s="3">
        <f>P20*20%</f>
      </c>
      <c r="R20" s="3">
        <v>28.39</v>
      </c>
      <c r="S20" s="3">
        <f>R20*20%</f>
      </c>
      <c r="T20" s="3">
        <v>1</v>
      </c>
      <c r="U20" s="3">
        <f>N20+Q20+S20</f>
      </c>
      <c r="V20" s="3">
        <f>I20-J20-O20-P20-Q20-R20-S20-T20</f>
      </c>
      <c r="W20" s="3">
        <f>(V20-AD20)/H20*100</f>
      </c>
      <c r="X20" s="3">
        <f>J20-U20</f>
      </c>
      <c r="Y20" t="s">
        <v>1</v>
      </c>
      <c r="AE20" s="3">
        <f>V20-AD20</f>
      </c>
    </row>
    <row r="21" spans="1:31" x14ac:dyDescent="0.25">
      <c r="A21" s="8">
        <v>46210.5</v>
      </c>
      <c r="B21" t="s">
        <v>211</v>
      </c>
      <c r="C21" t="s">
        <v>194</v>
      </c>
      <c r="D21" s="9" t="s">
        <v>212</v>
      </c>
      <c r="E21" t="s">
        <v>67</v>
      </c>
      <c r="F21">
        <v>1</v>
      </c>
      <c r="G21" s="3">
        <v>446.53</v>
      </c>
      <c r="H21" s="3">
        <v>643.55</v>
      </c>
      <c r="I21" s="3">
        <f>H21-G21</f>
      </c>
      <c r="J21" s="3">
        <f>I21*16.67%</f>
      </c>
      <c r="K21" s="3">
        <f>(H21*6.9%)-(H21*6.9%)*10%</f>
      </c>
      <c r="L21" s="3">
        <f>H21*0.35%</f>
      </c>
      <c r="M21" s="3">
        <v>0.4</v>
      </c>
      <c r="N21" s="3">
        <f>(K21+L21+M21)*20%</f>
      </c>
      <c r="O21" s="3">
        <f>K21+L21+M21+N21</f>
      </c>
      <c r="P21" s="3">
        <v>6.3</v>
      </c>
      <c r="Q21" s="3">
        <f>P21*20%</f>
      </c>
      <c r="R21" s="3">
        <v>32.18</v>
      </c>
      <c r="S21" s="3">
        <f>R21*20%</f>
      </c>
      <c r="T21" s="3">
        <v>1</v>
      </c>
      <c r="U21" s="3">
        <f>N21+Q21+S21</f>
      </c>
      <c r="V21" s="3">
        <f>I21-J21-O21-P21-Q21-R21-S21-T21</f>
      </c>
      <c r="W21" s="3">
        <f>(V21-AD21)/H21*100</f>
      </c>
      <c r="X21" s="3">
        <f>J21-U21</f>
      </c>
      <c r="Y21" t="s">
        <v>1</v>
      </c>
      <c r="AE21" s="3">
        <f>V21-AD21</f>
      </c>
    </row>
    <row r="22" spans="1:31" x14ac:dyDescent="0.25">
      <c r="A22" s="8">
        <v>46206.5</v>
      </c>
      <c r="B22" t="s">
        <v>213</v>
      </c>
      <c r="C22" t="s">
        <v>105</v>
      </c>
      <c r="D22" s="9" t="s">
        <v>214</v>
      </c>
      <c r="E22" t="s">
        <v>55</v>
      </c>
      <c r="F22">
        <v>1</v>
      </c>
      <c r="G22" s="3">
        <v>334.66</v>
      </c>
      <c r="H22" s="3">
        <v>451.26</v>
      </c>
      <c r="I22" s="3">
        <f>H22-G22</f>
      </c>
      <c r="J22" s="3">
        <f>I22*16.67%</f>
      </c>
      <c r="K22" s="3">
        <f>(H22*6.9%)-(H22*6.9%)*10%</f>
      </c>
      <c r="L22" s="3">
        <f>H22*0.35%</f>
      </c>
      <c r="M22" s="3">
        <v>0.4</v>
      </c>
      <c r="N22" s="3">
        <f>(K22+L22+M22)*20%</f>
      </c>
      <c r="O22" s="3">
        <f>K22+L22+M22+N22</f>
      </c>
      <c r="P22" s="3">
        <v>8</v>
      </c>
      <c r="Q22" s="3">
        <f>P22*20%</f>
      </c>
      <c r="R22" s="3">
        <v>22.56</v>
      </c>
      <c r="S22" s="3">
        <f>R22*20%</f>
      </c>
      <c r="T22" s="3">
        <v>1</v>
      </c>
      <c r="U22" s="3">
        <f>N22+Q22+S22</f>
      </c>
      <c r="V22" s="3">
        <f>I22-J22-O22-P22-Q22-R22-S22-T22</f>
      </c>
      <c r="W22" s="3">
        <f>(V22-AD22)/H22*100</f>
      </c>
      <c r="X22" s="3">
        <f>J22-U22</f>
      </c>
      <c r="Y22" t="s">
        <v>1</v>
      </c>
      <c r="AE22" s="3">
        <f>V22-AD22</f>
      </c>
    </row>
    <row r="23" spans="1:31" x14ac:dyDescent="0.25">
      <c r="A23" s="8">
        <v>46206.5</v>
      </c>
      <c r="B23" t="s">
        <v>215</v>
      </c>
      <c r="C23" t="s">
        <v>105</v>
      </c>
      <c r="D23" s="9" t="s">
        <v>216</v>
      </c>
      <c r="E23" t="s">
        <v>67</v>
      </c>
      <c r="F23">
        <v>1</v>
      </c>
      <c r="G23" s="3">
        <v>316.67</v>
      </c>
      <c r="H23" s="3">
        <v>424.14</v>
      </c>
      <c r="I23" s="3">
        <f>H23-G23</f>
      </c>
      <c r="J23" s="3">
        <f>I23*16.67%</f>
      </c>
      <c r="K23" s="3">
        <f>(H23*6.9%)-(H23*6.9%)*10%</f>
      </c>
      <c r="L23" s="3">
        <f>H23*0.35%</f>
      </c>
      <c r="M23" s="3">
        <v>0.4</v>
      </c>
      <c r="N23" s="3">
        <f>(K23+L23+M23)*20%</f>
      </c>
      <c r="O23" s="3">
        <f>K23+L23+M23+N23</f>
      </c>
      <c r="P23" s="3">
        <v>8</v>
      </c>
      <c r="Q23" s="3">
        <f>P23*20%</f>
      </c>
      <c r="R23" s="3">
        <v>21.21</v>
      </c>
      <c r="S23" s="3">
        <f>R23*20%</f>
      </c>
      <c r="T23" s="3">
        <v>1</v>
      </c>
      <c r="U23" s="3">
        <f>N23+Q23+S23</f>
      </c>
      <c r="V23" s="3">
        <f>I23-J23-O23-P23-Q23-R23-S23-T23</f>
      </c>
      <c r="W23" s="3">
        <f>(V23-AD23)/H23*100</f>
      </c>
      <c r="X23" s="3">
        <f>J23-U23</f>
      </c>
      <c r="Y23" t="s">
        <v>1</v>
      </c>
      <c r="AE23" s="3">
        <f>V23-AD23</f>
      </c>
    </row>
    <row r="24" spans="1:31" x14ac:dyDescent="0.25">
      <c r="A24" s="8">
        <v>46206.5</v>
      </c>
      <c r="B24" t="s">
        <v>217</v>
      </c>
      <c r="C24" t="s">
        <v>105</v>
      </c>
      <c r="D24" s="9" t="s">
        <v>218</v>
      </c>
      <c r="E24" t="s">
        <v>67</v>
      </c>
      <c r="F24">
        <v>1</v>
      </c>
      <c r="G24" s="3">
        <v>325.88</v>
      </c>
      <c r="H24" s="3">
        <v>461.56</v>
      </c>
      <c r="I24" s="3">
        <f>H24-G24</f>
      </c>
      <c r="J24" s="3">
        <f>I24*16.67%</f>
      </c>
      <c r="K24" s="3">
        <f>(H24*6.9%)-(H24*6.9%)*10%</f>
      </c>
      <c r="L24" s="3">
        <f>H24*0.35%</f>
      </c>
      <c r="M24" s="3">
        <v>0.4</v>
      </c>
      <c r="N24" s="3">
        <f>(K24+L24+M24)*20%</f>
      </c>
      <c r="O24" s="3">
        <f>K24+L24+M24+N24</f>
      </c>
      <c r="P24" s="3">
        <v>8</v>
      </c>
      <c r="Q24" s="3">
        <f>P24*20%</f>
      </c>
      <c r="R24" s="3">
        <v>23.08</v>
      </c>
      <c r="S24" s="3">
        <f>R24*20%</f>
      </c>
      <c r="T24" s="3">
        <v>1</v>
      </c>
      <c r="U24" s="3">
        <f>N24+Q24+S24</f>
      </c>
      <c r="V24" s="3">
        <f>I24-J24-O24-P24-Q24-R24-S24-T24</f>
      </c>
      <c r="W24" s="3">
        <f>(V24-AD24)/H24*100</f>
      </c>
      <c r="X24" s="3">
        <f>J24-U24</f>
      </c>
      <c r="Y24" t="s">
        <v>1</v>
      </c>
      <c r="AE24" s="3">
        <f>V24-AD24</f>
      </c>
    </row>
    <row r="25" spans="1:31" x14ac:dyDescent="0.25">
      <c r="A25" s="8">
        <v>46206.5</v>
      </c>
      <c r="B25" t="s">
        <v>219</v>
      </c>
      <c r="C25" t="s">
        <v>105</v>
      </c>
      <c r="D25" s="9" t="s">
        <v>220</v>
      </c>
      <c r="E25" t="s">
        <v>59</v>
      </c>
      <c r="F25">
        <v>1</v>
      </c>
      <c r="G25" s="3">
        <v>322.25</v>
      </c>
      <c r="H25" s="3">
        <v>446.88</v>
      </c>
      <c r="I25" s="3">
        <f>H25-G25</f>
      </c>
      <c r="J25" s="3">
        <f>I25*16.67%</f>
      </c>
      <c r="K25" s="3">
        <f>(H25*6.9%)-(H25*6.9%)*10%</f>
      </c>
      <c r="L25" s="3">
        <f>H25*0.35%</f>
      </c>
      <c r="M25" s="3">
        <v>0.4</v>
      </c>
      <c r="N25" s="3">
        <f>(K25+L25+M25)*20%</f>
      </c>
      <c r="O25" s="3">
        <f>K25+L25+M25+N25</f>
      </c>
      <c r="P25" s="3">
        <v>8</v>
      </c>
      <c r="Q25" s="3">
        <f>P25*20%</f>
      </c>
      <c r="R25" s="3">
        <v>22.34</v>
      </c>
      <c r="S25" s="3">
        <f>R25*20%</f>
      </c>
      <c r="T25" s="3">
        <v>1</v>
      </c>
      <c r="U25" s="3">
        <f>N25+Q25+S25</f>
      </c>
      <c r="V25" s="3">
        <f>I25-J25-O25-P25-Q25-R25-S25-T25</f>
      </c>
      <c r="W25" s="3">
        <f>(V25-AD25)/H25*100</f>
      </c>
      <c r="X25" s="3">
        <f>J25-U25</f>
      </c>
      <c r="Y25" t="s">
        <v>1</v>
      </c>
      <c r="AE25" s="3">
        <f>V25-AD25</f>
      </c>
    </row>
    <row r="26" spans="1:31" x14ac:dyDescent="0.25">
      <c r="A26" s="8">
        <v>46206.5</v>
      </c>
      <c r="B26" t="s">
        <v>221</v>
      </c>
      <c r="C26" t="s">
        <v>105</v>
      </c>
      <c r="D26" s="9" t="s">
        <v>222</v>
      </c>
      <c r="E26" t="s">
        <v>64</v>
      </c>
      <c r="F26">
        <v>1</v>
      </c>
      <c r="G26" s="3">
        <v>327.58</v>
      </c>
      <c r="H26" s="3">
        <v>486.07</v>
      </c>
      <c r="I26" s="3">
        <f>H26-G26</f>
      </c>
      <c r="J26" s="3">
        <f>I26*16.67%</f>
      </c>
      <c r="K26" s="3">
        <f>(H26*6.9%)-(H26*6.9%)*10%</f>
      </c>
      <c r="L26" s="3">
        <f>H26*0.35%</f>
      </c>
      <c r="M26" s="3">
        <v>0.4</v>
      </c>
      <c r="N26" s="3">
        <f>(K26+L26+M26)*20%</f>
      </c>
      <c r="O26" s="3">
        <f>K26+L26+M26+N26</f>
      </c>
      <c r="P26" s="3">
        <v>8</v>
      </c>
      <c r="Q26" s="3">
        <f>P26*20%</f>
      </c>
      <c r="R26" s="3">
        <v>24.3</v>
      </c>
      <c r="S26" s="3">
        <f>R26*20%</f>
      </c>
      <c r="T26" s="3">
        <v>1</v>
      </c>
      <c r="U26" s="3">
        <f>N26+Q26+S26</f>
      </c>
      <c r="V26" s="3">
        <f>I26-J26-O26-P26-Q26-R26-S26-T26</f>
      </c>
      <c r="W26" s="3">
        <f>(V26-AD26)/H26*100</f>
      </c>
      <c r="X26" s="3">
        <f>J26-U26</f>
      </c>
      <c r="Y26" t="s">
        <v>1</v>
      </c>
      <c r="AE26" s="3">
        <f>V26-AD26</f>
      </c>
    </row>
    <row r="27" spans="1:31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SUM(Q2:Q26)</f>
      </c>
      <c r="R27" s="10">
        <f>SUM(R2:R26)</f>
      </c>
      <c r="S27" s="10">
        <f>SUM(S2:S26)</f>
      </c>
      <c r="T27" s="10">
        <f>SUM(T2:T26)</f>
      </c>
      <c r="U27" s="10">
        <f>SUM(U2:U26)</f>
      </c>
      <c r="V27" s="10">
        <f>SUM(V2:V26)</f>
      </c>
      <c r="W27" s="10">
        <f>IFERROR((V27-AD27)/H27*100,0)</f>
      </c>
      <c r="X27" s="10">
        <f>SUM(X2:X26)</f>
      </c>
      <c r="Y27" s="6"/>
      <c r="Z27" s="6"/>
      <c r="AA27" s="6"/>
      <c r="AB27" s="6"/>
      <c r="AC27" s="6"/>
      <c r="AD27" s="10">
        <f>SUM(AD2:AD26)</f>
      </c>
      <c r="AE27" s="10">
        <f>SUM(AE2:AE26)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38</v>
      </c>
      <c r="B1" t="s">
        <v>25</v>
      </c>
      <c r="C1" t="s">
        <v>26</v>
      </c>
      <c r="D1" t="s">
        <v>27</v>
      </c>
      <c r="E1" t="s">
        <v>28</v>
      </c>
      <c r="F1" t="s">
        <v>32</v>
      </c>
      <c r="G1" t="s">
        <v>33</v>
      </c>
      <c r="H1" t="s">
        <v>34</v>
      </c>
      <c r="I1" t="s">
        <v>40</v>
      </c>
      <c r="J1" t="s">
        <v>41</v>
      </c>
      <c r="K1" t="s">
        <v>223</v>
      </c>
      <c r="L1" t="s">
        <v>35</v>
      </c>
      <c r="M1" t="s">
        <v>45</v>
      </c>
      <c r="N1" t="s">
        <v>46</v>
      </c>
      <c r="O1" t="s">
        <v>47</v>
      </c>
      <c r="P1" t="s">
        <v>48</v>
      </c>
      <c r="Q1" t="s">
        <v>49</v>
      </c>
      <c r="R1" t="s">
        <v>50</v>
      </c>
      <c r="S1" t="s">
        <v>36</v>
      </c>
      <c r="T1" t="s">
        <v>24</v>
      </c>
      <c r="U1" t="s">
        <v>29</v>
      </c>
      <c r="V1" t="s">
        <v>30</v>
      </c>
      <c r="W1" t="s">
        <v>31</v>
      </c>
      <c r="X1" t="s">
        <v>51</v>
      </c>
      <c r="Y1" t="s">
        <v>10</v>
      </c>
    </row>
    <row r="2" spans="1:25" x14ac:dyDescent="0.25">
      <c r="A2" s="8">
        <v>46227.5</v>
      </c>
      <c r="B2" t="s">
        <v>224</v>
      </c>
      <c r="C2" t="s">
        <v>225</v>
      </c>
      <c r="D2" s="9" t="s">
        <v>226</v>
      </c>
      <c r="E2" t="s">
        <v>67</v>
      </c>
      <c r="F2" s="3">
        <v>264.82</v>
      </c>
      <c r="G2" s="3">
        <v>348.17</v>
      </c>
      <c r="H2" s="3">
        <f>G2-F2</f>
      </c>
      <c r="I2" s="3">
        <f>H2*16.67%</f>
      </c>
      <c r="J2" s="3">
        <f>G2*7%</f>
      </c>
      <c r="K2" s="3">
        <f>J2*20%</f>
      </c>
      <c r="L2" s="3">
        <v>0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(P2-X2)/F2*100</f>
      </c>
      <c r="R2" s="3">
        <f>I2-O2</f>
      </c>
      <c r="S2" t="s">
        <v>1</v>
      </c>
      <c r="Y2" s="3">
        <f>P2-X2</f>
      </c>
    </row>
    <row r="3" spans="1:25" x14ac:dyDescent="0.25">
      <c r="A3" s="8">
        <v>46227.5</v>
      </c>
      <c r="B3" t="s">
        <v>227</v>
      </c>
      <c r="C3" t="s">
        <v>228</v>
      </c>
      <c r="D3" s="9" t="s">
        <v>229</v>
      </c>
      <c r="E3" t="s">
        <v>64</v>
      </c>
      <c r="F3" s="3">
        <v>256.93</v>
      </c>
      <c r="G3" s="3">
        <v>380.8</v>
      </c>
      <c r="H3" s="3">
        <f>G3-F3</f>
      </c>
      <c r="I3" s="3">
        <f>H3*16.67%</f>
      </c>
      <c r="J3" s="3">
        <f>G3*7%</f>
      </c>
      <c r="K3" s="3">
        <f>J3*20%</f>
      </c>
      <c r="L3" s="3">
        <v>0</v>
      </c>
      <c r="M3" s="3">
        <f>L3*20%</f>
      </c>
      <c r="N3" s="3">
        <v>1</v>
      </c>
      <c r="O3" s="3">
        <f>K3+M3</f>
      </c>
      <c r="P3" s="3">
        <f>H3-I3-J3-K3-L3-M3-N3</f>
      </c>
      <c r="Q3" s="3">
        <f>(P3-X3)/F3*100</f>
      </c>
      <c r="R3" s="3">
        <f>I3-O3</f>
      </c>
      <c r="S3" t="s">
        <v>1</v>
      </c>
      <c r="Y3" s="3">
        <f>P3-X3</f>
      </c>
    </row>
    <row r="4" spans="1:25" x14ac:dyDescent="0.25">
      <c r="A4" s="8">
        <v>46227.5</v>
      </c>
      <c r="B4" t="s">
        <v>230</v>
      </c>
      <c r="C4" t="s">
        <v>231</v>
      </c>
      <c r="D4" s="9" t="s">
        <v>232</v>
      </c>
      <c r="E4" t="s">
        <v>64</v>
      </c>
      <c r="F4" s="3">
        <v>276.86</v>
      </c>
      <c r="G4" s="3">
        <v>386.46</v>
      </c>
      <c r="H4" s="3">
        <f>G4-F4</f>
      </c>
      <c r="I4" s="3">
        <f>H4*16.67%</f>
      </c>
      <c r="J4" s="3">
        <f>G4*7%</f>
      </c>
      <c r="K4" s="3">
        <f>J4*20%</f>
      </c>
      <c r="L4" s="3">
        <v>0</v>
      </c>
      <c r="M4" s="3">
        <f>L4*20%</f>
      </c>
      <c r="N4" s="3">
        <v>1</v>
      </c>
      <c r="O4" s="3">
        <f>K4+M4</f>
      </c>
      <c r="P4" s="3">
        <f>H4-I4-J4-K4-L4-M4-N4</f>
      </c>
      <c r="Q4" s="3">
        <f>(P4-X4)/F4*100</f>
      </c>
      <c r="R4" s="3">
        <f>I4-O4</f>
      </c>
      <c r="S4" t="s">
        <v>1</v>
      </c>
      <c r="Y4" s="3">
        <f>P4-X4</f>
      </c>
    </row>
    <row r="5" spans="1:25" x14ac:dyDescent="0.25">
      <c r="A5" s="8">
        <v>46227.5</v>
      </c>
      <c r="B5" t="s">
        <v>233</v>
      </c>
      <c r="C5" t="s">
        <v>225</v>
      </c>
      <c r="D5" s="9" t="s">
        <v>234</v>
      </c>
      <c r="E5" t="s">
        <v>59</v>
      </c>
      <c r="F5" s="3">
        <v>293.74</v>
      </c>
      <c r="G5" s="3">
        <v>396.34</v>
      </c>
      <c r="H5" s="3">
        <f>G5-F5</f>
      </c>
      <c r="I5" s="3">
        <f>H5*16.67%</f>
      </c>
      <c r="J5" s="3">
        <f>G5*7%</f>
      </c>
      <c r="K5" s="3">
        <f>J5*20%</f>
      </c>
      <c r="L5" s="3">
        <v>0</v>
      </c>
      <c r="M5" s="3">
        <f>L5*20%</f>
      </c>
      <c r="N5" s="3">
        <v>1</v>
      </c>
      <c r="O5" s="3">
        <f>K5+M5</f>
      </c>
      <c r="P5" s="3">
        <f>H5-I5-J5-K5-L5-M5-N5</f>
      </c>
      <c r="Q5" s="3">
        <f>(P5-X5)/F5*100</f>
      </c>
      <c r="R5" s="3">
        <f>I5-O5</f>
      </c>
      <c r="S5" t="s">
        <v>1</v>
      </c>
      <c r="Y5" s="3">
        <f>P5-X5</f>
      </c>
    </row>
    <row r="6" spans="1:25" x14ac:dyDescent="0.25">
      <c r="A6" s="8">
        <v>46223.5</v>
      </c>
      <c r="B6" t="s">
        <v>235</v>
      </c>
      <c r="C6" t="s">
        <v>57</v>
      </c>
      <c r="D6" s="9" t="s">
        <v>236</v>
      </c>
      <c r="E6" t="s">
        <v>64</v>
      </c>
      <c r="F6" s="3">
        <v>500.16</v>
      </c>
      <c r="G6" s="3">
        <v>661.28</v>
      </c>
      <c r="H6" s="3">
        <f>G6-F6</f>
      </c>
      <c r="I6" s="3">
        <f>H6*16.67%</f>
      </c>
      <c r="J6" s="3">
        <f>G6*7%</f>
      </c>
      <c r="K6" s="3">
        <f>J6*20%</f>
      </c>
      <c r="L6" s="3">
        <v>0</v>
      </c>
      <c r="M6" s="3">
        <f>L6*20%</f>
      </c>
      <c r="N6" s="3">
        <v>1</v>
      </c>
      <c r="O6" s="3">
        <f>K6+M6</f>
      </c>
      <c r="P6" s="3">
        <f>H6-I6-J6-K6-L6-M6-N6</f>
      </c>
      <c r="Q6" s="3">
        <f>(P6-X6)/F6*100</f>
      </c>
      <c r="R6" s="3">
        <f>I6-O6</f>
      </c>
      <c r="S6" t="s">
        <v>1</v>
      </c>
      <c r="Y6" s="3">
        <f>P6-X6</f>
      </c>
    </row>
    <row r="7" spans="1:25" x14ac:dyDescent="0.25">
      <c r="A7" s="8">
        <v>46223.5</v>
      </c>
      <c r="B7" t="s">
        <v>237</v>
      </c>
      <c r="C7" t="s">
        <v>57</v>
      </c>
      <c r="D7" s="9" t="s">
        <v>238</v>
      </c>
      <c r="E7" t="s">
        <v>55</v>
      </c>
      <c r="F7" s="3">
        <v>500.85</v>
      </c>
      <c r="G7" s="3">
        <v>661.97</v>
      </c>
      <c r="H7" s="3">
        <f>G7-F7</f>
      </c>
      <c r="I7" s="3">
        <f>H7*16.67%</f>
      </c>
      <c r="J7" s="3">
        <f>G7*7%</f>
      </c>
      <c r="K7" s="3">
        <f>J7*20%</f>
      </c>
      <c r="L7" s="3">
        <v>0</v>
      </c>
      <c r="M7" s="3">
        <f>L7*20%</f>
      </c>
      <c r="N7" s="3">
        <v>1</v>
      </c>
      <c r="O7" s="3">
        <f>K7+M7</f>
      </c>
      <c r="P7" s="3">
        <f>H7-I7-J7-K7-L7-M7-N7</f>
      </c>
      <c r="Q7" s="3">
        <f>(P7-X7)/F7*100</f>
      </c>
      <c r="R7" s="3">
        <f>I7-O7</f>
      </c>
      <c r="S7" t="s">
        <v>1</v>
      </c>
      <c r="Y7" s="3">
        <f>P7-X7</f>
      </c>
    </row>
    <row r="8" spans="1:25" x14ac:dyDescent="0.25">
      <c r="A8" s="8">
        <v>46223.5</v>
      </c>
      <c r="B8" t="s">
        <v>239</v>
      </c>
      <c r="C8" t="s">
        <v>57</v>
      </c>
      <c r="D8" s="9" t="s">
        <v>240</v>
      </c>
      <c r="E8" t="s">
        <v>64</v>
      </c>
      <c r="F8" s="3">
        <v>529.23</v>
      </c>
      <c r="G8" s="3">
        <v>685.84</v>
      </c>
      <c r="H8" s="3">
        <f>G8-F8</f>
      </c>
      <c r="I8" s="3">
        <f>H8*16.67%</f>
      </c>
      <c r="J8" s="3">
        <f>G8*7%</f>
      </c>
      <c r="K8" s="3">
        <f>J8*20%</f>
      </c>
      <c r="L8" s="3">
        <v>0</v>
      </c>
      <c r="M8" s="3">
        <f>L8*20%</f>
      </c>
      <c r="N8" s="3">
        <v>1</v>
      </c>
      <c r="O8" s="3">
        <f>K8+M8</f>
      </c>
      <c r="P8" s="3">
        <f>H8-I8-J8-K8-L8-M8-N8</f>
      </c>
      <c r="Q8" s="3">
        <f>(P8-X8)/F8*100</f>
      </c>
      <c r="R8" s="3">
        <f>I8-O8</f>
      </c>
      <c r="S8" t="s">
        <v>1</v>
      </c>
      <c r="Y8" s="3">
        <f>P8-X8</f>
      </c>
    </row>
    <row r="9" spans="1:25" x14ac:dyDescent="0.25">
      <c r="A9" s="8">
        <v>46223.5</v>
      </c>
      <c r="B9" t="s">
        <v>241</v>
      </c>
      <c r="C9" t="s">
        <v>57</v>
      </c>
      <c r="D9" s="9" t="s">
        <v>242</v>
      </c>
      <c r="E9" t="s">
        <v>55</v>
      </c>
      <c r="F9" s="3">
        <v>530.25</v>
      </c>
      <c r="G9" s="3">
        <v>719.58</v>
      </c>
      <c r="H9" s="3">
        <f>G9-F9</f>
      </c>
      <c r="I9" s="3">
        <f>H9*16.67%</f>
      </c>
      <c r="J9" s="3">
        <f>G9*7%</f>
      </c>
      <c r="K9" s="3">
        <f>J9*20%</f>
      </c>
      <c r="L9" s="3">
        <v>0</v>
      </c>
      <c r="M9" s="3">
        <f>L9*20%</f>
      </c>
      <c r="N9" s="3">
        <v>1</v>
      </c>
      <c r="O9" s="3">
        <f>K9+M9</f>
      </c>
      <c r="P9" s="3">
        <f>H9-I9-J9-K9-L9-M9-N9</f>
      </c>
      <c r="Q9" s="3">
        <f>(P9-X9)/F9*100</f>
      </c>
      <c r="R9" s="3">
        <f>I9-O9</f>
      </c>
      <c r="S9" t="s">
        <v>1</v>
      </c>
      <c r="Y9" s="3">
        <f>P9-X9</f>
      </c>
    </row>
    <row r="10" spans="1:25" x14ac:dyDescent="0.25">
      <c r="A10" s="8">
        <v>46219.5</v>
      </c>
      <c r="B10" t="s">
        <v>243</v>
      </c>
      <c r="C10" t="s">
        <v>244</v>
      </c>
      <c r="D10" s="9" t="s">
        <v>245</v>
      </c>
      <c r="E10" t="s">
        <v>67</v>
      </c>
      <c r="F10" s="3">
        <v>275.49</v>
      </c>
      <c r="G10" s="3">
        <v>389.63</v>
      </c>
      <c r="H10" s="3">
        <f>G10-F10</f>
      </c>
      <c r="I10" s="3">
        <f>H10*16.67%</f>
      </c>
      <c r="J10" s="3">
        <f>G10*7%</f>
      </c>
      <c r="K10" s="3">
        <f>J10*20%</f>
      </c>
      <c r="L10" s="3">
        <v>0</v>
      </c>
      <c r="M10" s="3">
        <f>L10*20%</f>
      </c>
      <c r="N10" s="3">
        <v>1</v>
      </c>
      <c r="O10" s="3">
        <f>K10+M10</f>
      </c>
      <c r="P10" s="3">
        <f>H10-I10-J10-K10-L10-M10-N10</f>
      </c>
      <c r="Q10" s="3">
        <f>(P10-X10)/F10*100</f>
      </c>
      <c r="R10" s="3">
        <f>I10-O10</f>
      </c>
      <c r="S10" t="s">
        <v>1</v>
      </c>
      <c r="Y10" s="3">
        <f>P10-X10</f>
      </c>
    </row>
    <row r="11" spans="1:25" x14ac:dyDescent="0.25">
      <c r="A11" s="8">
        <v>46219.5</v>
      </c>
      <c r="B11" t="s">
        <v>246</v>
      </c>
      <c r="C11" t="s">
        <v>225</v>
      </c>
      <c r="D11" s="9" t="s">
        <v>247</v>
      </c>
      <c r="E11" t="s">
        <v>64</v>
      </c>
      <c r="F11" s="3">
        <v>287.02</v>
      </c>
      <c r="G11" s="3">
        <v>373.16</v>
      </c>
      <c r="H11" s="3">
        <f>G11-F11</f>
      </c>
      <c r="I11" s="3">
        <f>H11*16.67%</f>
      </c>
      <c r="J11" s="3">
        <f>G11*7%</f>
      </c>
      <c r="K11" s="3">
        <f>J11*20%</f>
      </c>
      <c r="L11" s="3">
        <v>0</v>
      </c>
      <c r="M11" s="3">
        <f>L11*20%</f>
      </c>
      <c r="N11" s="3">
        <v>1</v>
      </c>
      <c r="O11" s="3">
        <f>K11+M11</f>
      </c>
      <c r="P11" s="3">
        <f>H11-I11-J11-K11-L11-M11-N11</f>
      </c>
      <c r="Q11" s="3">
        <f>(P11-X11)/F11*100</f>
      </c>
      <c r="R11" s="3">
        <f>I11-O11</f>
      </c>
      <c r="S11" t="s">
        <v>1</v>
      </c>
      <c r="Y11" s="3">
        <f>P11-X11</f>
      </c>
    </row>
    <row r="12" spans="1:25" x14ac:dyDescent="0.25">
      <c r="A12" s="8">
        <v>46219.5</v>
      </c>
      <c r="B12" t="s">
        <v>248</v>
      </c>
      <c r="C12" t="s">
        <v>228</v>
      </c>
      <c r="D12" s="9" t="s">
        <v>249</v>
      </c>
      <c r="E12" t="s">
        <v>59</v>
      </c>
      <c r="F12" s="3">
        <v>268.59</v>
      </c>
      <c r="G12" s="3">
        <v>369.04</v>
      </c>
      <c r="H12" s="3">
        <f>G12-F12</f>
      </c>
      <c r="I12" s="3">
        <f>H12*16.67%</f>
      </c>
      <c r="J12" s="3">
        <f>G12*7%</f>
      </c>
      <c r="K12" s="3">
        <f>J12*20%</f>
      </c>
      <c r="L12" s="3">
        <v>0</v>
      </c>
      <c r="M12" s="3">
        <f>L12*20%</f>
      </c>
      <c r="N12" s="3">
        <v>1</v>
      </c>
      <c r="O12" s="3">
        <f>K12+M12</f>
      </c>
      <c r="P12" s="3">
        <f>H12-I12-J12-K12-L12-M12-N12</f>
      </c>
      <c r="Q12" s="3">
        <f>(P12-X12)/F12*100</f>
      </c>
      <c r="R12" s="3">
        <f>I12-O12</f>
      </c>
      <c r="S12" t="s">
        <v>1</v>
      </c>
      <c r="Y12" s="3">
        <f>P12-X12</f>
      </c>
    </row>
    <row r="13" spans="1:25" x14ac:dyDescent="0.25">
      <c r="A13" s="8">
        <v>46219.5</v>
      </c>
      <c r="B13" t="s">
        <v>250</v>
      </c>
      <c r="C13" t="s">
        <v>231</v>
      </c>
      <c r="D13" s="9" t="s">
        <v>251</v>
      </c>
      <c r="E13" t="s">
        <v>67</v>
      </c>
      <c r="F13" s="3">
        <v>280.37</v>
      </c>
      <c r="G13" s="3">
        <v>418.03</v>
      </c>
      <c r="H13" s="3">
        <f>G13-F13</f>
      </c>
      <c r="I13" s="3">
        <f>H13*16.67%</f>
      </c>
      <c r="J13" s="3">
        <f>G13*7%</f>
      </c>
      <c r="K13" s="3">
        <f>J13*20%</f>
      </c>
      <c r="L13" s="3">
        <v>0</v>
      </c>
      <c r="M13" s="3">
        <f>L13*20%</f>
      </c>
      <c r="N13" s="3">
        <v>1</v>
      </c>
      <c r="O13" s="3">
        <f>K13+M13</f>
      </c>
      <c r="P13" s="3">
        <f>H13-I13-J13-K13-L13-M13-N13</f>
      </c>
      <c r="Q13" s="3">
        <f>(P13-X13)/F13*100</f>
      </c>
      <c r="R13" s="3">
        <f>I13-O13</f>
      </c>
      <c r="S13" t="s">
        <v>1</v>
      </c>
      <c r="Y13" s="3">
        <f>P13-X13</f>
      </c>
    </row>
    <row r="14" spans="1:25" x14ac:dyDescent="0.25">
      <c r="A14" s="8">
        <v>46215.5</v>
      </c>
      <c r="B14" t="s">
        <v>252</v>
      </c>
      <c r="C14" t="s">
        <v>57</v>
      </c>
      <c r="D14" s="9" t="s">
        <v>253</v>
      </c>
      <c r="E14" t="s">
        <v>59</v>
      </c>
      <c r="F14" s="3">
        <v>511.35</v>
      </c>
      <c r="G14" s="3">
        <v>727.31</v>
      </c>
      <c r="H14" s="3">
        <f>G14-F14</f>
      </c>
      <c r="I14" s="3">
        <f>H14*16.67%</f>
      </c>
      <c r="J14" s="3">
        <f>G14*7%</f>
      </c>
      <c r="K14" s="3">
        <f>J14*20%</f>
      </c>
      <c r="L14" s="3">
        <v>0</v>
      </c>
      <c r="M14" s="3">
        <f>L14*20%</f>
      </c>
      <c r="N14" s="3">
        <v>1</v>
      </c>
      <c r="O14" s="3">
        <f>K14+M14</f>
      </c>
      <c r="P14" s="3">
        <f>H14-I14-J14-K14-L14-M14-N14</f>
      </c>
      <c r="Q14" s="3">
        <f>(P14-X14)/F14*100</f>
      </c>
      <c r="R14" s="3">
        <f>I14-O14</f>
      </c>
      <c r="S14" t="s">
        <v>1</v>
      </c>
      <c r="Y14" s="3">
        <f>P14-X14</f>
      </c>
    </row>
    <row r="15" spans="1:25" x14ac:dyDescent="0.25">
      <c r="A15" s="8">
        <v>46215.5</v>
      </c>
      <c r="B15" t="s">
        <v>254</v>
      </c>
      <c r="C15" t="s">
        <v>57</v>
      </c>
      <c r="D15" s="9" t="s">
        <v>255</v>
      </c>
      <c r="E15" t="s">
        <v>67</v>
      </c>
      <c r="F15" s="3">
        <v>507.95</v>
      </c>
      <c r="G15" s="3">
        <v>658.85</v>
      </c>
      <c r="H15" s="3">
        <f>G15-F15</f>
      </c>
      <c r="I15" s="3">
        <f>H15*16.67%</f>
      </c>
      <c r="J15" s="3">
        <f>G15*7%</f>
      </c>
      <c r="K15" s="3">
        <f>J15*20%</f>
      </c>
      <c r="L15" s="3">
        <v>0</v>
      </c>
      <c r="M15" s="3">
        <f>L15*20%</f>
      </c>
      <c r="N15" s="3">
        <v>1</v>
      </c>
      <c r="O15" s="3">
        <f>K15+M15</f>
      </c>
      <c r="P15" s="3">
        <f>H15-I15-J15-K15-L15-M15-N15</f>
      </c>
      <c r="Q15" s="3">
        <f>(P15-X15)/F15*100</f>
      </c>
      <c r="R15" s="3">
        <f>I15-O15</f>
      </c>
      <c r="S15" t="s">
        <v>1</v>
      </c>
      <c r="Y15" s="3">
        <f>P15-X15</f>
      </c>
    </row>
    <row r="16" spans="1:25" x14ac:dyDescent="0.25">
      <c r="A16" s="8">
        <v>46215.5</v>
      </c>
      <c r="B16" t="s">
        <v>256</v>
      </c>
      <c r="C16" t="s">
        <v>57</v>
      </c>
      <c r="D16" s="9" t="s">
        <v>257</v>
      </c>
      <c r="E16" t="s">
        <v>64</v>
      </c>
      <c r="F16" s="3">
        <v>495.98</v>
      </c>
      <c r="G16" s="3">
        <v>706.88</v>
      </c>
      <c r="H16" s="3">
        <f>G16-F16</f>
      </c>
      <c r="I16" s="3">
        <f>H16*16.67%</f>
      </c>
      <c r="J16" s="3">
        <f>G16*7%</f>
      </c>
      <c r="K16" s="3">
        <f>J16*20%</f>
      </c>
      <c r="L16" s="3">
        <v>0</v>
      </c>
      <c r="M16" s="3">
        <f>L16*20%</f>
      </c>
      <c r="N16" s="3">
        <v>1</v>
      </c>
      <c r="O16" s="3">
        <f>K16+M16</f>
      </c>
      <c r="P16" s="3">
        <f>H16-I16-J16-K16-L16-M16-N16</f>
      </c>
      <c r="Q16" s="3">
        <f>(P16-X16)/F16*100</f>
      </c>
      <c r="R16" s="3">
        <f>I16-O16</f>
      </c>
      <c r="S16" t="s">
        <v>1</v>
      </c>
      <c r="Y16" s="3">
        <f>P16-X16</f>
      </c>
    </row>
    <row r="17" spans="1:25" x14ac:dyDescent="0.25">
      <c r="A17" s="8">
        <v>46215.5</v>
      </c>
      <c r="B17" t="s">
        <v>258</v>
      </c>
      <c r="C17" t="s">
        <v>57</v>
      </c>
      <c r="D17" s="9" t="s">
        <v>259</v>
      </c>
      <c r="E17" t="s">
        <v>59</v>
      </c>
      <c r="F17" s="3">
        <v>514.23</v>
      </c>
      <c r="G17" s="3">
        <v>660.92</v>
      </c>
      <c r="H17" s="3">
        <f>G17-F17</f>
      </c>
      <c r="I17" s="3">
        <f>H17*16.67%</f>
      </c>
      <c r="J17" s="3">
        <f>G17*7%</f>
      </c>
      <c r="K17" s="3">
        <f>J17*20%</f>
      </c>
      <c r="L17" s="3">
        <v>0</v>
      </c>
      <c r="M17" s="3">
        <f>L17*20%</f>
      </c>
      <c r="N17" s="3">
        <v>1</v>
      </c>
      <c r="O17" s="3">
        <f>K17+M17</f>
      </c>
      <c r="P17" s="3">
        <f>H17-I17-J17-K17-L17-M17-N17</f>
      </c>
      <c r="Q17" s="3">
        <f>(P17-X17)/F17*100</f>
      </c>
      <c r="R17" s="3">
        <f>I17-O17</f>
      </c>
      <c r="S17" t="s">
        <v>1</v>
      </c>
      <c r="Y17" s="3">
        <f>P17-X17</f>
      </c>
    </row>
    <row r="18" spans="1:25" x14ac:dyDescent="0.25">
      <c r="A18" s="8">
        <v>46211.5</v>
      </c>
      <c r="B18" t="s">
        <v>260</v>
      </c>
      <c r="C18" t="s">
        <v>261</v>
      </c>
      <c r="D18" s="9" t="s">
        <v>262</v>
      </c>
      <c r="E18" t="s">
        <v>59</v>
      </c>
      <c r="F18" s="3">
        <v>262.14</v>
      </c>
      <c r="G18" s="3">
        <v>340.26</v>
      </c>
      <c r="H18" s="3">
        <f>G18-F18</f>
      </c>
      <c r="I18" s="3">
        <f>H18*16.67%</f>
      </c>
      <c r="J18" s="3">
        <f>G18*7%</f>
      </c>
      <c r="K18" s="3">
        <f>J18*20%</f>
      </c>
      <c r="L18" s="3">
        <v>0</v>
      </c>
      <c r="M18" s="3">
        <f>L18*20%</f>
      </c>
      <c r="N18" s="3">
        <v>1</v>
      </c>
      <c r="O18" s="3">
        <f>K18+M18</f>
      </c>
      <c r="P18" s="3">
        <f>H18-I18-J18-K18-L18-M18-N18</f>
      </c>
      <c r="Q18" s="3">
        <f>(P18-X18)/F18*100</f>
      </c>
      <c r="R18" s="3">
        <f>I18-O18</f>
      </c>
      <c r="S18" t="s">
        <v>1</v>
      </c>
      <c r="Y18" s="3">
        <f>P18-X18</f>
      </c>
    </row>
    <row r="19" spans="1:25" x14ac:dyDescent="0.25">
      <c r="A19" s="8">
        <v>46211.5</v>
      </c>
      <c r="B19" t="s">
        <v>263</v>
      </c>
      <c r="C19" t="s">
        <v>264</v>
      </c>
      <c r="D19" s="9" t="s">
        <v>265</v>
      </c>
      <c r="E19" t="s">
        <v>59</v>
      </c>
      <c r="F19" s="3">
        <v>267</v>
      </c>
      <c r="G19" s="3">
        <v>358.72</v>
      </c>
      <c r="H19" s="3">
        <f>G19-F19</f>
      </c>
      <c r="I19" s="3">
        <f>H19*16.67%</f>
      </c>
      <c r="J19" s="3">
        <f>G19*7%</f>
      </c>
      <c r="K19" s="3">
        <f>J19*20%</f>
      </c>
      <c r="L19" s="3">
        <v>0</v>
      </c>
      <c r="M19" s="3">
        <f>L19*20%</f>
      </c>
      <c r="N19" s="3">
        <v>1</v>
      </c>
      <c r="O19" s="3">
        <f>K19+M19</f>
      </c>
      <c r="P19" s="3">
        <f>H19-I19-J19-K19-L19-M19-N19</f>
      </c>
      <c r="Q19" s="3">
        <f>(P19-X19)/F19*100</f>
      </c>
      <c r="R19" s="3">
        <f>I19-O19</f>
      </c>
      <c r="S19" t="s">
        <v>1</v>
      </c>
      <c r="Y19" s="3">
        <f>P19-X19</f>
      </c>
    </row>
    <row r="20" spans="1:25" x14ac:dyDescent="0.25">
      <c r="A20" s="8">
        <v>46211.5</v>
      </c>
      <c r="B20" t="s">
        <v>266</v>
      </c>
      <c r="C20" t="s">
        <v>267</v>
      </c>
      <c r="D20" s="9" t="s">
        <v>268</v>
      </c>
      <c r="E20" t="s">
        <v>59</v>
      </c>
      <c r="F20" s="3">
        <v>290.37</v>
      </c>
      <c r="G20" s="3">
        <v>388.18</v>
      </c>
      <c r="H20" s="3">
        <f>G20-F20</f>
      </c>
      <c r="I20" s="3">
        <f>H20*16.67%</f>
      </c>
      <c r="J20" s="3">
        <f>G20*7%</f>
      </c>
      <c r="K20" s="3">
        <f>J20*20%</f>
      </c>
      <c r="L20" s="3">
        <v>0</v>
      </c>
      <c r="M20" s="3">
        <f>L20*20%</f>
      </c>
      <c r="N20" s="3">
        <v>1</v>
      </c>
      <c r="O20" s="3">
        <f>K20+M20</f>
      </c>
      <c r="P20" s="3">
        <f>H20-I20-J20-K20-L20-M20-N20</f>
      </c>
      <c r="Q20" s="3">
        <f>(P20-X20)/F20*100</f>
      </c>
      <c r="R20" s="3">
        <f>I20-O20</f>
      </c>
      <c r="S20" t="s">
        <v>1</v>
      </c>
      <c r="Y20" s="3">
        <f>P20-X20</f>
      </c>
    </row>
    <row r="21" spans="1:25" x14ac:dyDescent="0.25">
      <c r="A21" s="8">
        <v>46211.5</v>
      </c>
      <c r="B21" t="s">
        <v>269</v>
      </c>
      <c r="C21" t="s">
        <v>261</v>
      </c>
      <c r="D21" s="9" t="s">
        <v>270</v>
      </c>
      <c r="E21" t="s">
        <v>64</v>
      </c>
      <c r="F21" s="3">
        <v>260.29</v>
      </c>
      <c r="G21" s="3">
        <v>329.11</v>
      </c>
      <c r="H21" s="3">
        <f>G21-F21</f>
      </c>
      <c r="I21" s="3">
        <f>H21*16.67%</f>
      </c>
      <c r="J21" s="3">
        <f>G21*7%</f>
      </c>
      <c r="K21" s="3">
        <f>J21*20%</f>
      </c>
      <c r="L21" s="3">
        <v>0</v>
      </c>
      <c r="M21" s="3">
        <f>L21*20%</f>
      </c>
      <c r="N21" s="3">
        <v>1</v>
      </c>
      <c r="O21" s="3">
        <f>K21+M21</f>
      </c>
      <c r="P21" s="3">
        <f>H21-I21-J21-K21-L21-M21-N21</f>
      </c>
      <c r="Q21" s="3">
        <f>(P21-X21)/F21*100</f>
      </c>
      <c r="R21" s="3">
        <f>I21-O21</f>
      </c>
      <c r="S21" t="s">
        <v>1</v>
      </c>
      <c r="Y21" s="3">
        <f>P21-X21</f>
      </c>
    </row>
    <row r="22" spans="1:25" x14ac:dyDescent="0.25">
      <c r="A22" s="8">
        <v>46207.5</v>
      </c>
      <c r="B22" t="s">
        <v>271</v>
      </c>
      <c r="C22" t="s">
        <v>57</v>
      </c>
      <c r="D22" s="9" t="s">
        <v>272</v>
      </c>
      <c r="E22" t="s">
        <v>55</v>
      </c>
      <c r="F22" s="3">
        <v>501.14</v>
      </c>
      <c r="G22" s="3">
        <v>742.15</v>
      </c>
      <c r="H22" s="3">
        <f>G22-F22</f>
      </c>
      <c r="I22" s="3">
        <f>H22*16.67%</f>
      </c>
      <c r="J22" s="3">
        <f>G22*7%</f>
      </c>
      <c r="K22" s="3">
        <f>J22*20%</f>
      </c>
      <c r="L22" s="3">
        <v>0</v>
      </c>
      <c r="M22" s="3">
        <f>L22*20%</f>
      </c>
      <c r="N22" s="3">
        <v>1</v>
      </c>
      <c r="O22" s="3">
        <f>K22+M22</f>
      </c>
      <c r="P22" s="3">
        <f>H22-I22-J22-K22-L22-M22-N22</f>
      </c>
      <c r="Q22" s="3">
        <f>(P22-X22)/F22*100</f>
      </c>
      <c r="R22" s="3">
        <f>I22-O22</f>
      </c>
      <c r="S22" t="s">
        <v>1</v>
      </c>
      <c r="Y22" s="3">
        <f>P22-X22</f>
      </c>
    </row>
    <row r="23" spans="1:25" x14ac:dyDescent="0.25">
      <c r="A23" s="8">
        <v>46207.5</v>
      </c>
      <c r="B23" t="s">
        <v>273</v>
      </c>
      <c r="C23" t="s">
        <v>57</v>
      </c>
      <c r="D23" s="9" t="s">
        <v>274</v>
      </c>
      <c r="E23" t="s">
        <v>67</v>
      </c>
      <c r="F23" s="3">
        <v>533.2</v>
      </c>
      <c r="G23" s="3">
        <v>683.86</v>
      </c>
      <c r="H23" s="3">
        <f>G23-F23</f>
      </c>
      <c r="I23" s="3">
        <f>H23*16.67%</f>
      </c>
      <c r="J23" s="3">
        <f>G23*7%</f>
      </c>
      <c r="K23" s="3">
        <f>J23*20%</f>
      </c>
      <c r="L23" s="3">
        <v>0</v>
      </c>
      <c r="M23" s="3">
        <f>L23*20%</f>
      </c>
      <c r="N23" s="3">
        <v>1</v>
      </c>
      <c r="O23" s="3">
        <f>K23+M23</f>
      </c>
      <c r="P23" s="3">
        <f>H23-I23-J23-K23-L23-M23-N23</f>
      </c>
      <c r="Q23" s="3">
        <f>(P23-X23)/F23*100</f>
      </c>
      <c r="R23" s="3">
        <f>I23-O23</f>
      </c>
      <c r="S23" t="s">
        <v>1</v>
      </c>
      <c r="Y23" s="3">
        <f>P23-X23</f>
      </c>
    </row>
    <row r="24" spans="1:25" x14ac:dyDescent="0.25">
      <c r="A24" s="8">
        <v>46207.5</v>
      </c>
      <c r="B24" t="s">
        <v>275</v>
      </c>
      <c r="C24" t="s">
        <v>57</v>
      </c>
      <c r="D24" s="9" t="s">
        <v>276</v>
      </c>
      <c r="E24" t="s">
        <v>67</v>
      </c>
      <c r="F24" s="3">
        <v>499.91</v>
      </c>
      <c r="G24" s="3">
        <v>712.92</v>
      </c>
      <c r="H24" s="3">
        <f>G24-F24</f>
      </c>
      <c r="I24" s="3">
        <f>H24*16.67%</f>
      </c>
      <c r="J24" s="3">
        <f>G24*7%</f>
      </c>
      <c r="K24" s="3">
        <f>J24*20%</f>
      </c>
      <c r="L24" s="3">
        <v>0</v>
      </c>
      <c r="M24" s="3">
        <f>L24*20%</f>
      </c>
      <c r="N24" s="3">
        <v>1</v>
      </c>
      <c r="O24" s="3">
        <f>K24+M24</f>
      </c>
      <c r="P24" s="3">
        <f>H24-I24-J24-K24-L24-M24-N24</f>
      </c>
      <c r="Q24" s="3">
        <f>(P24-X24)/F24*100</f>
      </c>
      <c r="R24" s="3">
        <f>I24-O24</f>
      </c>
      <c r="S24" t="s">
        <v>1</v>
      </c>
      <c r="Y24" s="3">
        <f>P24-X24</f>
      </c>
    </row>
    <row r="25" spans="1:25" x14ac:dyDescent="0.25">
      <c r="A25" s="8">
        <v>46207.5</v>
      </c>
      <c r="B25" t="s">
        <v>277</v>
      </c>
      <c r="C25" t="s">
        <v>57</v>
      </c>
      <c r="D25" s="9" t="s">
        <v>278</v>
      </c>
      <c r="E25" t="s">
        <v>67</v>
      </c>
      <c r="F25" s="3">
        <v>535.83</v>
      </c>
      <c r="G25" s="3">
        <v>723.07</v>
      </c>
      <c r="H25" s="3">
        <f>G25-F25</f>
      </c>
      <c r="I25" s="3">
        <f>H25*16.67%</f>
      </c>
      <c r="J25" s="3">
        <f>G25*7%</f>
      </c>
      <c r="K25" s="3">
        <f>J25*20%</f>
      </c>
      <c r="L25" s="3">
        <v>0</v>
      </c>
      <c r="M25" s="3">
        <f>L25*20%</f>
      </c>
      <c r="N25" s="3">
        <v>1</v>
      </c>
      <c r="O25" s="3">
        <f>K25+M25</f>
      </c>
      <c r="P25" s="3">
        <f>H25-I25-J25-K25-L25-M25-N25</f>
      </c>
      <c r="Q25" s="3">
        <f>(P25-X25)/F25*100</f>
      </c>
      <c r="R25" s="3">
        <f>I25-O25</f>
      </c>
      <c r="S25" t="s">
        <v>1</v>
      </c>
      <c r="Y25" s="3">
        <f>P25-X25</f>
      </c>
    </row>
    <row r="26" spans="1:25" x14ac:dyDescent="0.25">
      <c r="A26" s="8">
        <v>46207.5</v>
      </c>
      <c r="B26" t="s">
        <v>279</v>
      </c>
      <c r="C26" t="s">
        <v>57</v>
      </c>
      <c r="D26" s="9" t="s">
        <v>280</v>
      </c>
      <c r="E26" t="s">
        <v>67</v>
      </c>
      <c r="F26" s="3">
        <v>517.1</v>
      </c>
      <c r="G26" s="3">
        <v>754.52</v>
      </c>
      <c r="H26" s="3">
        <f>G26-F26</f>
      </c>
      <c r="I26" s="3">
        <f>H26*16.67%</f>
      </c>
      <c r="J26" s="3">
        <f>G26*7%</f>
      </c>
      <c r="K26" s="3">
        <f>J26*20%</f>
      </c>
      <c r="L26" s="3">
        <v>0</v>
      </c>
      <c r="M26" s="3">
        <f>L26*20%</f>
      </c>
      <c r="N26" s="3">
        <v>1</v>
      </c>
      <c r="O26" s="3">
        <f>K26+M26</f>
      </c>
      <c r="P26" s="3">
        <f>H26-I26-J26-K26-L26-M26-N26</f>
      </c>
      <c r="Q26" s="3">
        <f>(P26-X26)/F26*100</f>
      </c>
      <c r="R26" s="3">
        <f>I26-O26</f>
      </c>
      <c r="S26" t="s">
        <v>1</v>
      </c>
      <c r="Y26" s="3">
        <f>P26-X26</f>
      </c>
    </row>
    <row r="27" spans="1:25" s="6" customFormat="1" x14ac:dyDescent="0.25">
      <c r="A27" s="2" t="s">
        <v>16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IFERROR((P27-X27)/F27*100,0)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Returns</vt:lpstr>
      <vt:lpstr>AMAZON</vt:lpstr>
      <vt:lpstr>BM</vt:lpstr>
      <vt:lpstr>EBAY</vt:lpstr>
      <vt:lpstr>ONBUY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2026-07-26T05:45:46Z</dcterms:created>
  <dcterms:modified xsi:type="dcterms:W3CDTF">2026-07-26T05:45:46Z</dcterms:modified>
</cp:coreProperties>
</file>