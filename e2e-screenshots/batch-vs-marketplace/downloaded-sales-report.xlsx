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Returns &amp; Profit" state="visible" r:id="rId10"/>
    <sheet sheetId="8" name="Accessories" state="visible" r:id="rId11"/>
    <sheet sheetId="9" name="Returns Summary" state="visible" r:id="rId12"/>
    <sheet sheetId="10" name="Returns Detail" state="visible" r:id="rId13"/>
    <sheet sheetId="11" name="Unit Histories" state="visible" r:id="rId14"/>
  </sheets>
  <calcPr calcId="171027"/>
</workbook>
</file>

<file path=xl/sharedStrings.xml><?xml version="1.0" encoding="utf-8"?>
<sst xmlns="http://schemas.openxmlformats.org/spreadsheetml/2006/main" count="1131" uniqueCount="371">
  <si>
    <t>Sales Report — Audit Summary</t>
  </si>
  <si>
    <t/>
  </si>
  <si>
    <t>Period: All Time</t>
  </si>
  <si>
    <t>This is a working sheet. Each marketplace tab has 200 blank rows under the data: type a Buy Price and a Sale Price and the whole row calculates in Excel, and the figures here follow. Leave the calculated columns alone — typing over one replaces live maths with a frozen number. Nothing reads this file back into the application; sales are recorded under Sell.</t>
  </si>
  <si>
    <t>Marketplace</t>
  </si>
  <si>
    <t>Sales</t>
  </si>
  <si>
    <t>Refunds</t>
  </si>
  <si>
    <t>Replacements</t>
  </si>
  <si>
    <t>Repairs</t>
  </si>
  <si>
    <t>Gross GP £</t>
  </si>
  <si>
    <t>Return Cost £</t>
  </si>
  <si>
    <t>Net GP £</t>
  </si>
  <si>
    <t>Net GP %</t>
  </si>
  <si>
    <t>AMAZON</t>
  </si>
  <si>
    <t>BM</t>
  </si>
  <si>
    <t>EBAY</t>
  </si>
  <si>
    <t>ONBUY</t>
  </si>
  <si>
    <t>TEMU</t>
  </si>
  <si>
    <t>TOTAL</t>
  </si>
  <si>
    <t>Notes</t>
  </si>
  <si>
    <t>• Refunds + Repairs + Return-to-Supplier each eat 2 shipping legs (outbound + inbound). Replacements eat 3 (plus the replacement outbound).</t>
  </si>
  <si>
    <t>• Repair: the unit comes back to stock, but both carriage legs were still paid — so it carries the same 2-leg loss as a refund.</t>
  </si>
  <si>
    <t>• Postage Loss = (postage + P.VAT) × legs, snapshotted at Process Return time. eBay legs carry no VAT — its shipping is zero-rated.</t>
  </si>
  <si>
    <t>• Fees Kept = what the marketplace did not give back on a refund: Amazon min(20% × commission, £5) + VAT; eBay the fixed £0.40 + VAT; Back Market / OnBuy / Temu keep every fee they charged. Blank on replacements — no refund reached the marketplace.</t>
  </si>
  <si>
    <t>• Return Cost = Postage Loss + Fees Kept + Repair Cost − Supplier Credit (a live formula on each returned row). A blank Repair Cost means the invoice has not been entered yet — the Returns page flags these.</t>
  </si>
  <si>
    <t>• Net GP = Gross GP − Return Cost. Net GP % = Net GP ÷ BP (× 100). eBay rows divide by SP per platform convention.</t>
  </si>
  <si>
    <t>• Sales / Gross GP / BP above count ACTIVE sales only — matching the app's ALL-TIME SOLD figure. Refunds, Replacements and Repairs are tracked separately in the columns to the left; add them to Sales for this sheet's row count on each marketplace tab.</t>
  </si>
  <si>
    <t>• Per-marketplace sheets carry a TOTAL row at the bottom summing every row shown there (active + returned) via SUM formulas — the Returns tab breaks the returned rows out on their own.</t>
  </si>
  <si>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</si>
  <si>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</si>
  <si>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</si>
  <si>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</si>
  <si>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</si>
  <si>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</si>
  <si>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</si>
  <si>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</si>
  <si>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</si>
  <si>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</si>
  <si>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</si>
  <si>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</si>
  <si>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</si>
  <si>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</si>
  <si>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</si>
  <si>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</si>
  <si>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</si>
  <si>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</si>
  <si>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</si>
  <si>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</si>
  <si>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</si>
  <si>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</si>
  <si>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</si>
  <si>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</si>
  <si>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</si>
  <si>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</si>
  <si>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</si>
  <si>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</si>
  <si>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</si>
  <si>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Return Date</t>
  </si>
  <si>
    <t>Outcome</t>
  </si>
  <si>
    <t>Shipping Legs</t>
  </si>
  <si>
    <t>Return Reason</t>
  </si>
  <si>
    <t>Comments</t>
  </si>
  <si>
    <t>AMA-SHS-1</t>
  </si>
  <si>
    <t>IPH-64GB-GRA</t>
  </si>
  <si>
    <t>350190000007777</t>
  </si>
  <si>
    <t>iPhone</t>
  </si>
  <si>
    <t>Unspecified</t>
  </si>
  <si>
    <t>64GB</t>
  </si>
  <si>
    <t>NORTHSIDE STOCK</t>
  </si>
  <si>
    <t>AMA-5095</t>
  </si>
  <si>
    <t>GOO-128GB-BLU</t>
  </si>
  <si>
    <t>350100007879405</t>
  </si>
  <si>
    <t>128GB</t>
  </si>
  <si>
    <t>MOBILE WHOLESALE LTD</t>
  </si>
  <si>
    <t>AMA-5070</t>
  </si>
  <si>
    <t>SAM-256GB-GRA</t>
  </si>
  <si>
    <t>350100000554330</t>
  </si>
  <si>
    <t>GRAPHITE</t>
  </si>
  <si>
    <t>256GB</t>
  </si>
  <si>
    <t>CELLHUB TRADING</t>
  </si>
  <si>
    <t>AMA-5045</t>
  </si>
  <si>
    <t>SAM-128GB-MID</t>
  </si>
  <si>
    <t>350100000356355</t>
  </si>
  <si>
    <t>MIDNIGHT</t>
  </si>
  <si>
    <t>AMA-5020</t>
  </si>
  <si>
    <t>IPH-256GB-GRE</t>
  </si>
  <si>
    <t>350100000158380</t>
  </si>
  <si>
    <t>GREEN</t>
  </si>
  <si>
    <t>AMA-5090</t>
  </si>
  <si>
    <t>IPH-128GB-GRA</t>
  </si>
  <si>
    <t>350100007839810</t>
  </si>
  <si>
    <t>PHONEBOX DIRECT</t>
  </si>
  <si>
    <t>AMA-5065</t>
  </si>
  <si>
    <t>IPH-128GB-WHI</t>
  </si>
  <si>
    <t>350100000514735</t>
  </si>
  <si>
    <t>WHITE</t>
  </si>
  <si>
    <t>AMA-5040</t>
  </si>
  <si>
    <t>IPH-64GB-WHI</t>
  </si>
  <si>
    <t>350100000316760</t>
  </si>
  <si>
    <t>AMA-5015</t>
  </si>
  <si>
    <t>GOO-128GB-BLA</t>
  </si>
  <si>
    <t>350100000118785</t>
  </si>
  <si>
    <t>BLACK</t>
  </si>
  <si>
    <t>AMA-5085</t>
  </si>
  <si>
    <t>SAM-128GB-GRA</t>
  </si>
  <si>
    <t>350100000673115</t>
  </si>
  <si>
    <t>AMA-5060</t>
  </si>
  <si>
    <t>SAM-128GB-WHI</t>
  </si>
  <si>
    <t>350100000483059</t>
  </si>
  <si>
    <t>AMA-5035</t>
  </si>
  <si>
    <t>350100000277165</t>
  </si>
  <si>
    <t>AMA-5010</t>
  </si>
  <si>
    <t>IPH-128GB-GRE</t>
  </si>
  <si>
    <t>350100000079190</t>
  </si>
  <si>
    <t>AMA-5080</t>
  </si>
  <si>
    <t>350100000633520</t>
  </si>
  <si>
    <t>AMA-5055</t>
  </si>
  <si>
    <t>GOO-128GB-MID</t>
  </si>
  <si>
    <t>350100000435545</t>
  </si>
  <si>
    <t>AMA-5030</t>
  </si>
  <si>
    <t>350100000237570</t>
  </si>
  <si>
    <t>AMA-5005</t>
  </si>
  <si>
    <t>350100000039595</t>
  </si>
  <si>
    <t>AMA-5075</t>
  </si>
  <si>
    <t>IPH-256GB-BLA</t>
  </si>
  <si>
    <t>350100000593925</t>
  </si>
  <si>
    <t>AMA-5050</t>
  </si>
  <si>
    <t>IPH-128GB-BLU</t>
  </si>
  <si>
    <t>350100000395950</t>
  </si>
  <si>
    <t>BLUE</t>
  </si>
  <si>
    <t>AMA-5025</t>
  </si>
  <si>
    <t>IPH-128GB-STA</t>
  </si>
  <si>
    <t>350100000197975</t>
  </si>
  <si>
    <t>STARLIGHT</t>
  </si>
  <si>
    <t>AMA-5000</t>
  </si>
  <si>
    <t>350100000007919</t>
  </si>
  <si>
    <t>Payment Mode</t>
  </si>
  <si>
    <t>Customer Care Fees</t>
  </si>
  <si>
    <t>PSF</t>
  </si>
  <si>
    <t>BM-5071</t>
  </si>
  <si>
    <t>350100000562249</t>
  </si>
  <si>
    <t>Klarna</t>
  </si>
  <si>
    <t>BM-5046</t>
  </si>
  <si>
    <t>SAM-256GB-PUR</t>
  </si>
  <si>
    <t>350100000364274</t>
  </si>
  <si>
    <t>PURPLE</t>
  </si>
  <si>
    <t>BM-5021</t>
  </si>
  <si>
    <t>SAM-128GB-BLU</t>
  </si>
  <si>
    <t>350100000166299</t>
  </si>
  <si>
    <t>BM-5091</t>
  </si>
  <si>
    <t>IPH-256GB-GRA</t>
  </si>
  <si>
    <t>350100007847729</t>
  </si>
  <si>
    <t>BM-5066</t>
  </si>
  <si>
    <t>IPH-128GB-BLA</t>
  </si>
  <si>
    <t>350100000522654</t>
  </si>
  <si>
    <t>Paypal</t>
  </si>
  <si>
    <t>BM-5041</t>
  </si>
  <si>
    <t>IPH-128GB-MID</t>
  </si>
  <si>
    <t>350100000324679</t>
  </si>
  <si>
    <t>BM-5016</t>
  </si>
  <si>
    <t>IPH-64GB-MID</t>
  </si>
  <si>
    <t>350100000126704</t>
  </si>
  <si>
    <t>Card</t>
  </si>
  <si>
    <t>BM-5086</t>
  </si>
  <si>
    <t>350100000681034</t>
  </si>
  <si>
    <t>BM-5061</t>
  </si>
  <si>
    <t>BM-5036</t>
  </si>
  <si>
    <t>SAM-128GB-GRE</t>
  </si>
  <si>
    <t>350100000293003</t>
  </si>
  <si>
    <t>BM-5011</t>
  </si>
  <si>
    <t>350100000087109</t>
  </si>
  <si>
    <t>BM-5081</t>
  </si>
  <si>
    <t>IPH-128GB-PUR</t>
  </si>
  <si>
    <t>350100000641439</t>
  </si>
  <si>
    <t>BM-5056</t>
  </si>
  <si>
    <t>350100000443464</t>
  </si>
  <si>
    <t>BM-5031</t>
  </si>
  <si>
    <t>GOO-128GB-GRE</t>
  </si>
  <si>
    <t>350100000245489</t>
  </si>
  <si>
    <t>BM-5006</t>
  </si>
  <si>
    <t>SAM-256GB-WHI</t>
  </si>
  <si>
    <t>350100000047514</t>
  </si>
  <si>
    <t>BM-5076</t>
  </si>
  <si>
    <t>IPH-256GB-STA</t>
  </si>
  <si>
    <t>350100000601844</t>
  </si>
  <si>
    <t>BM-5051</t>
  </si>
  <si>
    <t>350100000403869</t>
  </si>
  <si>
    <t>BM-5026</t>
  </si>
  <si>
    <t>350100000205894</t>
  </si>
  <si>
    <t>BM-5001</t>
  </si>
  <si>
    <t>BM-5096</t>
  </si>
  <si>
    <t>350100007887324</t>
  </si>
  <si>
    <t>Units</t>
  </si>
  <si>
    <t>ROF</t>
  </si>
  <si>
    <t>FVF</t>
  </si>
  <si>
    <t>VAT</t>
  </si>
  <si>
    <t>T.COM</t>
  </si>
  <si>
    <t>Marketing</t>
  </si>
  <si>
    <t>M. VAT</t>
  </si>
  <si>
    <t>EBA-5047</t>
  </si>
  <si>
    <t>GOO-128GB-GRA</t>
  </si>
  <si>
    <t>350100000372193</t>
  </si>
  <si>
    <t>EBA-5022</t>
  </si>
  <si>
    <t>SAM-256GB-MID</t>
  </si>
  <si>
    <t>350100000174218</t>
  </si>
  <si>
    <t>EBA-5092</t>
  </si>
  <si>
    <t>350100007855648</t>
  </si>
  <si>
    <t>EBA-5067</t>
  </si>
  <si>
    <t>350100000530573</t>
  </si>
  <si>
    <t>EBA-5042</t>
  </si>
  <si>
    <t>350100000332598</t>
  </si>
  <si>
    <t>EBA-5017</t>
  </si>
  <si>
    <t>350100000134623</t>
  </si>
  <si>
    <t>EBA-5087</t>
  </si>
  <si>
    <t>GOO-128GB-STA</t>
  </si>
  <si>
    <t>350100000688953</t>
  </si>
  <si>
    <t>EBA-5062</t>
  </si>
  <si>
    <t>SAM-256GB-BLU</t>
  </si>
  <si>
    <t>350100000490978</t>
  </si>
  <si>
    <t>EBA-5037</t>
  </si>
  <si>
    <t>EBA-5012</t>
  </si>
  <si>
    <t>350100000102947</t>
  </si>
  <si>
    <t>EBA-5082</t>
  </si>
  <si>
    <t>350100000649358</t>
  </si>
  <si>
    <t>EBA-5057</t>
  </si>
  <si>
    <t>350100000451383</t>
  </si>
  <si>
    <t>EBA-5032</t>
  </si>
  <si>
    <t>IPH-64GB-GRE</t>
  </si>
  <si>
    <t>350100000253408</t>
  </si>
  <si>
    <t>EBA-5007</t>
  </si>
  <si>
    <t>GOO-128GB-WHI</t>
  </si>
  <si>
    <t>350100000055433</t>
  </si>
  <si>
    <t>EBA-5077</t>
  </si>
  <si>
    <t>350100000609763</t>
  </si>
  <si>
    <t>EBA-5052</t>
  </si>
  <si>
    <t>IPH-256GB-PUR</t>
  </si>
  <si>
    <t>350100000411788</t>
  </si>
  <si>
    <t>EBA-5027</t>
  </si>
  <si>
    <t>IPH-256GB-MID</t>
  </si>
  <si>
    <t>350100000213813</t>
  </si>
  <si>
    <t>EBA-5002</t>
  </si>
  <si>
    <t>350100000015838</t>
  </si>
  <si>
    <t>EBA-5097</t>
  </si>
  <si>
    <t>350100007895243</t>
  </si>
  <si>
    <t>EBA-5072</t>
  </si>
  <si>
    <t>350100000578087</t>
  </si>
  <si>
    <t>VAT 20%</t>
  </si>
  <si>
    <t>ONB-5023</t>
  </si>
  <si>
    <t>350100000182137</t>
  </si>
  <si>
    <t>ONB-5093</t>
  </si>
  <si>
    <t>350100007863567</t>
  </si>
  <si>
    <t>ONB-5068</t>
  </si>
  <si>
    <t>350100000538492</t>
  </si>
  <si>
    <t>ONB-5043</t>
  </si>
  <si>
    <t>350100000340517</t>
  </si>
  <si>
    <t>ONB-5018</t>
  </si>
  <si>
    <t>350100000142542</t>
  </si>
  <si>
    <t>ONB-5088</t>
  </si>
  <si>
    <t>IPH-64GB-STA</t>
  </si>
  <si>
    <t>350100000696872</t>
  </si>
  <si>
    <t>ONB-5063</t>
  </si>
  <si>
    <t>350100000498897</t>
  </si>
  <si>
    <t>ONB-5038</t>
  </si>
  <si>
    <t>350100000300922</t>
  </si>
  <si>
    <t>ONB-5013</t>
  </si>
  <si>
    <t>ONB-5083</t>
  </si>
  <si>
    <t>350100000657277</t>
  </si>
  <si>
    <t>ONB-5058</t>
  </si>
  <si>
    <t>350100000459302</t>
  </si>
  <si>
    <t>ONB-5033</t>
  </si>
  <si>
    <t>350100000261327</t>
  </si>
  <si>
    <t>ONB-5008</t>
  </si>
  <si>
    <t>IPH-64GB-PUR</t>
  </si>
  <si>
    <t>350100000063352</t>
  </si>
  <si>
    <t>ONB-5078</t>
  </si>
  <si>
    <t>SAM-256GB-GRE</t>
  </si>
  <si>
    <t>350100000617682</t>
  </si>
  <si>
    <t>ONB-5053</t>
  </si>
  <si>
    <t>SAM-128GB-STA</t>
  </si>
  <si>
    <t>350100000419707</t>
  </si>
  <si>
    <t>ONB-5028</t>
  </si>
  <si>
    <t>350100000221732</t>
  </si>
  <si>
    <t>ONB-5003</t>
  </si>
  <si>
    <t>IPH-256GB-BLU</t>
  </si>
  <si>
    <t>350100000023757</t>
  </si>
  <si>
    <t>ONB-5098</t>
  </si>
  <si>
    <t>350100007903162</t>
  </si>
  <si>
    <t>ONB-5073</t>
  </si>
  <si>
    <t>ONB-5048</t>
  </si>
  <si>
    <t>350100000388031</t>
  </si>
  <si>
    <t>Commission VAT</t>
  </si>
  <si>
    <t>Commission+VAT</t>
  </si>
  <si>
    <t>TEM-5094</t>
  </si>
  <si>
    <t>350100007871486</t>
  </si>
  <si>
    <t>TEM-5069</t>
  </si>
  <si>
    <t>350100000546411</t>
  </si>
  <si>
    <t>TEM-5044</t>
  </si>
  <si>
    <t>350100000348436</t>
  </si>
  <si>
    <t>TEM-5019</t>
  </si>
  <si>
    <t>350100000150461</t>
  </si>
  <si>
    <t>TEM-5089</t>
  </si>
  <si>
    <t>350100000704791</t>
  </si>
  <si>
    <t>TEM-5064</t>
  </si>
  <si>
    <t>350100000506816</t>
  </si>
  <si>
    <t>TEM-5039</t>
  </si>
  <si>
    <t>350100000308841</t>
  </si>
  <si>
    <t>TEM-5014</t>
  </si>
  <si>
    <t>350100000110866</t>
  </si>
  <si>
    <t>TEM-5084</t>
  </si>
  <si>
    <t>TEM-5059</t>
  </si>
  <si>
    <t>350100000467221</t>
  </si>
  <si>
    <t>TEM-5034</t>
  </si>
  <si>
    <t>350100000269246</t>
  </si>
  <si>
    <t>TEM-5009</t>
  </si>
  <si>
    <t>350100000071271</t>
  </si>
  <si>
    <t>TEM-5079</t>
  </si>
  <si>
    <t>350100000625601</t>
  </si>
  <si>
    <t>TEM-5054</t>
  </si>
  <si>
    <t>350100000427626</t>
  </si>
  <si>
    <t>TEM-5029</t>
  </si>
  <si>
    <t>350100000229651</t>
  </si>
  <si>
    <t>TEM-5004</t>
  </si>
  <si>
    <t>350100000031676</t>
  </si>
  <si>
    <t>TEM-5099</t>
  </si>
  <si>
    <t>350100007911081</t>
  </si>
  <si>
    <t>TEM-5074</t>
  </si>
  <si>
    <t>350100000586006</t>
  </si>
  <si>
    <t>TEM-5049</t>
  </si>
  <si>
    <t>TEM-5024</t>
  </si>
  <si>
    <t>RETURNS &amp; PROFIT BY MARKETPLACE</t>
  </si>
  <si>
    <t>Revenue and Gross GP count only sales that kept their money — a refunded sale contributes nothing, while a replacement or an out-of-warranty repair counts in full because the customer kept paying. Return Cost = carriage + repair invoices + marketplace fees kept − supplier credits. Fees Kept is what the channel did NOT refund: Amazon keeps a capped admin fee, eBay its fixed £0.40 order fee; BM, OnBuy and Temu keep everything. A replacement costs carriage only: the faulty unit comes back as the replacement ships, so net stock is unchanged.</t>
  </si>
  <si>
    <t>Revenue £</t>
  </si>
  <si>
    <t>Returns</t>
  </si>
  <si>
    <t>To Supplier</t>
  </si>
  <si>
    <t>Carriage £</t>
  </si>
  <si>
    <t>Repair Invoices £</t>
  </si>
  <si>
    <t>Supplier Credits £</t>
  </si>
  <si>
    <t>Fees Kept £</t>
  </si>
  <si>
    <t>Costs Outstanding</t>
  </si>
  <si>
    <t>Name</t>
  </si>
  <si>
    <t>Period</t>
  </si>
  <si>
    <t>All Time</t>
  </si>
  <si>
    <t>Total Returns</t>
  </si>
  <si>
    <t>Total Postage Loss £</t>
  </si>
  <si>
    <t>Avg Loss per Return £</t>
  </si>
  <si>
    <t>Carriage cost policy</t>
  </si>
  <si>
    <t>Refund / Repair / To-Supplier</t>
  </si>
  <si>
    <t>2 legs (outbound + inbound)</t>
  </si>
  <si>
    <t>Replacement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</si>
  <si>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</si>
  <si>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</si>
  <si>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</si>
  <si>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</si>
  <si>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</si>
  <si>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no costed returns in this period</t>
  </si>
  <si>
    <t>Uncosted (pre-tracking) returns</t>
  </si>
  <si>
    <t>Unit IMEI</t>
  </si>
  <si>
    <t>Original Sale Date</t>
  </si>
  <si>
    <t>Original Sale Price</t>
  </si>
  <si>
    <t>Return Type</t>
  </si>
  <si>
    <t>Reason</t>
  </si>
  <si>
    <t>Leg Cost £</t>
  </si>
  <si>
    <t>Postage Loss £</t>
  </si>
  <si>
    <t>Fee Loss £</t>
  </si>
  <si>
    <t>Stock In Date</t>
  </si>
  <si>
    <t>No returns recorded for this period.</t>
  </si>
  <si>
    <t>Event Date</t>
  </si>
  <si>
    <t>Event</t>
  </si>
  <si>
    <t>Detail</t>
  </si>
  <si>
    <t>Amount £</t>
  </si>
  <si>
    <t>No unit return history to show for this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</si>
</sst>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i/>
      <color rgb="FF64748B"/>
      <sz val="9"/>
    </font>
    <font>
      <b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2" fontId="0" fillId="0" borderId="0" xfId="0" applyNumberFormat="1"/>
    <xf numFmtId="0" fontId="3" fillId="3" borderId="0" xfId="0" applyFont="1" applyFill="1"/>
    <xf numFmtId="2" fontId="3" fillId="3" borderId="0" xfId="0" applyNumberFormat="1" applyFont="1" applyFill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2" fontId="3" fillId="2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8" customWidth="1"/>
    <col min="2" max="2" width="10" customWidth="1"/>
    <col min="3" max="3" width="11" customWidth="1"/>
    <col min="4" max="4" width="14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" x14ac:dyDescent="0.25">
      <c r="A2" t="s">
        <v>2</v>
      </c>
    </row>
    <row r="3" ht="30" customHeight="1" spans="1:1" x14ac:dyDescent="0.25">
      <c r="A3" s="2" t="s">
        <v>3</v>
      </c>
    </row>
    <row r="5" spans="1:9" s="3" customForma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 x14ac:dyDescent="0.25">
      <c r="A6" t="s">
        <v>13</v>
      </c>
      <c r="B6">
        <f>21+COUNT('AMAZON'!$H$23:$H$222)</f>
      </c>
      <c r="C6">
        <v>0</v>
      </c>
      <c r="D6">
        <v>0</v>
      </c>
      <c r="E6">
        <v>0</v>
      </c>
      <c r="F6" s="4">
        <f>1112.38+SUM('AMAZON'!$V$23:$V$222)</f>
      </c>
      <c r="G6" s="4">
        <v>0</v>
      </c>
      <c r="H6" s="4">
        <f>F6-G6</f>
      </c>
      <c r="I6" s="4">
        <f>IFERROR((F6-G6)/(6415.50+SUM('AMAZON'!$G$23:$G$222))*100,0)</f>
      </c>
    </row>
    <row r="7" spans="1:9" x14ac:dyDescent="0.25">
      <c r="A7" t="s">
        <v>14</v>
      </c>
      <c r="B7">
        <f>20+COUNT('BM'!$H$22:$H$221)</f>
      </c>
      <c r="C7">
        <v>0</v>
      </c>
      <c r="D7">
        <v>0</v>
      </c>
      <c r="E7">
        <v>0</v>
      </c>
      <c r="F7" s="4">
        <f>664.49+SUM('BM'!$U$22:$U$221)</f>
      </c>
      <c r="G7" s="4">
        <v>0</v>
      </c>
      <c r="H7" s="4">
        <f>F7-G7</f>
      </c>
      <c r="I7" s="4">
        <f>IFERROR((F7-G7)/(6673.31+SUM('BM'!$G$22:$G$221))*100,0)</f>
      </c>
    </row>
    <row r="8" spans="1:9" x14ac:dyDescent="0.25">
      <c r="A8" t="s">
        <v>15</v>
      </c>
      <c r="B8">
        <f>20+COUNT('EBAY'!$H$22:$H$221)</f>
      </c>
      <c r="C8">
        <v>0</v>
      </c>
      <c r="D8">
        <v>0</v>
      </c>
      <c r="E8">
        <v>0</v>
      </c>
      <c r="F8" s="4">
        <f>1278.25+SUM('EBAY'!$Y$22:$Y$221)</f>
      </c>
      <c r="G8" s="4">
        <v>0</v>
      </c>
      <c r="H8" s="4">
        <f>F8-G8</f>
      </c>
      <c r="I8" s="4">
        <f>IFERROR((F8-G8)/(6437.01+SUM('EBAY'!$G$22:$G$221))*100,0)</f>
      </c>
    </row>
    <row r="9" spans="1:9" x14ac:dyDescent="0.25">
      <c r="A9" t="s">
        <v>16</v>
      </c>
      <c r="B9">
        <f>20+COUNT('ONBUY'!$G$22:$G$221)</f>
      </c>
      <c r="C9">
        <v>0</v>
      </c>
      <c r="D9">
        <v>0</v>
      </c>
      <c r="E9">
        <v>0</v>
      </c>
      <c r="F9" s="4">
        <f>1133.34+SUM('ONBUY'!$S$22:$S$221)</f>
      </c>
      <c r="G9" s="4">
        <v>0</v>
      </c>
      <c r="H9" s="4">
        <f>F9-G9</f>
      </c>
      <c r="I9" s="4">
        <f>IFERROR((F9-G9)/(6683.97+SUM('ONBUY'!$F$22:$F$221))*100,0)</f>
      </c>
    </row>
    <row r="10" spans="1:9" x14ac:dyDescent="0.25">
      <c r="A10" t="s">
        <v>17</v>
      </c>
      <c r="B10">
        <f>20+COUNT('TEMU'!$H$22:$H$221)</f>
      </c>
      <c r="C10">
        <v>0</v>
      </c>
      <c r="D10">
        <v>0</v>
      </c>
      <c r="E10">
        <v>0</v>
      </c>
      <c r="F10" s="4">
        <f>1336.79+SUM('TEMU'!$U$22:$U$221)</f>
      </c>
      <c r="G10" s="4">
        <v>0</v>
      </c>
      <c r="H10" s="4">
        <f>F10-G10</f>
      </c>
      <c r="I10" s="4">
        <f>IFERROR((F10-G10)/(6826.54+SUM('TEMU'!$G$22:$G$221))*100,0)</f>
      </c>
    </row>
    <row r="11" spans="1:9" s="5" customFormat="1" x14ac:dyDescent="0.25">
      <c r="A11" s="5" t="s">
        <v>18</v>
      </c>
      <c r="B11" s="5">
        <f>B6+B7+B8+B9+B10</f>
      </c>
      <c r="C11" s="5">
        <f>C6+C7+C8+C9+C10</f>
      </c>
      <c r="D11" s="5">
        <f>D6+D7+D8+D9+D10</f>
      </c>
      <c r="E11" s="5">
        <f>E6+E7+E8+E9+E10</f>
      </c>
      <c r="F11" s="6">
        <f>F6+F7+F8+F9+F10</f>
      </c>
      <c r="G11" s="6">
        <f>G6+G7+G8+G9+G10</f>
      </c>
      <c r="H11" s="6">
        <f>H6+H7+H8+H9+H10</f>
      </c>
      <c r="I11" s="6">
        <f>IFERROR((F11-G11)/(33036.33+SUM('AMAZON'!$G$23:$G$222)+SUM('BM'!$G$22:$G$221)+SUM('EBAY'!$G$22:$G$221)+SUM('ONBUY'!$F$22:$F$221)+SUM('TEMU'!$G$22:$G$221))*100,0)</f>
      </c>
    </row>
    <row r="13" spans="1:1" s="7" customFormat="1" x14ac:dyDescent="0.25">
      <c r="A13" s="7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23"/>
  <sheetFormatPr defaultRowHeight="15" outlineLevelRow="0" outlineLevelCol="0" x14ac:dyDescent="55"/>
  <sheetData>
    <row r="1" spans="1:3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11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25">
      <c r="A2" s="8">
        <v>46227.5</v>
      </c>
      <c r="B2" t="s">
        <v>62</v>
      </c>
      <c r="C2" t="s">
        <v>63</v>
      </c>
      <c r="D2" s="9" t="s">
        <v>64</v>
      </c>
      <c r="E2" t="s">
        <v>65</v>
      </c>
      <c r="F2" t="s">
        <v>66</v>
      </c>
      <c r="G2" t="s">
        <v>67</v>
      </c>
      <c r="H2" t="s">
        <v>68</v>
      </c>
      <c r="I2">
        <v>1</v>
      </c>
      <c r="J2" s="4">
        <v>206.45</v>
      </c>
      <c r="K2" s="4">
        <v>268.39</v>
      </c>
      <c r="L2" s="4">
        <f>K2-J2</f>
      </c>
      <c r="M2" s="4">
        <f>L2*16.67%</f>
      </c>
      <c r="N2" s="4">
        <f>K2/100*7</f>
      </c>
      <c r="O2" s="4">
        <f>N2*20%</f>
      </c>
      <c r="P2" s="4">
        <f>N2*2%</f>
      </c>
      <c r="Q2" s="4">
        <f>P2*20%</f>
      </c>
      <c r="R2" s="4">
        <v>8</v>
      </c>
      <c r="S2" s="4">
        <f>R2*20%</f>
      </c>
      <c r="T2" s="4">
        <v>1</v>
      </c>
      <c r="U2" s="4">
        <f>O2+Q2+S2</f>
      </c>
      <c r="V2" s="4">
        <f>L2-M2-N2-O2-P2-Q2-R2-S2-T2</f>
      </c>
      <c r="W2" s="4">
        <f>(V2-AC2)/J2*100</f>
      </c>
      <c r="X2" s="4">
        <f>M2-U2</f>
      </c>
      <c r="AD2" s="4">
        <f>V2-AC2</f>
      </c>
      <c r="AI2" t="s">
        <v>1</v>
      </c>
    </row>
    <row r="3" spans="1:35" x14ac:dyDescent="0.25">
      <c r="A3" s="8">
        <v>46227.5</v>
      </c>
      <c r="B3" t="s">
        <v>69</v>
      </c>
      <c r="C3" t="s">
        <v>70</v>
      </c>
      <c r="D3" s="9" t="s">
        <v>71</v>
      </c>
      <c r="E3" t="s">
        <v>70</v>
      </c>
      <c r="F3" t="s">
        <v>66</v>
      </c>
      <c r="G3" t="s">
        <v>72</v>
      </c>
      <c r="H3" t="s">
        <v>73</v>
      </c>
      <c r="I3">
        <v>1</v>
      </c>
      <c r="J3" s="4">
        <v>293.74</v>
      </c>
      <c r="K3" s="4">
        <v>406.06</v>
      </c>
      <c r="L3" s="4">
        <f>K3-J3</f>
      </c>
      <c r="M3" s="4">
        <f>L3*16.67%</f>
      </c>
      <c r="N3" s="4">
        <f>K3/100*7</f>
      </c>
      <c r="O3" s="4">
        <f>N3*20%</f>
      </c>
      <c r="P3" s="4">
        <f>N3*2%</f>
      </c>
      <c r="Q3" s="4">
        <f>P3*20%</f>
      </c>
      <c r="R3" s="4">
        <v>8</v>
      </c>
      <c r="S3" s="4">
        <f>R3*20%</f>
      </c>
      <c r="T3" s="4">
        <v>1</v>
      </c>
      <c r="U3" s="4">
        <f>O3+Q3+S3</f>
      </c>
      <c r="V3" s="4">
        <f>L3-M3-N3-O3-P3-Q3-R3-S3-T3</f>
      </c>
      <c r="W3" s="4">
        <f>(V3-AC3)/J3*100</f>
      </c>
      <c r="X3" s="4">
        <f>M3-U3</f>
      </c>
      <c r="AD3" s="4">
        <f>V3-AC3</f>
      </c>
      <c r="AI3" t="s">
        <v>1</v>
      </c>
    </row>
    <row r="4" spans="1:35" x14ac:dyDescent="0.25">
      <c r="A4" s="8">
        <v>46226.5</v>
      </c>
      <c r="B4" t="s">
        <v>74</v>
      </c>
      <c r="C4" t="s">
        <v>75</v>
      </c>
      <c r="D4" s="9" t="s">
        <v>76</v>
      </c>
      <c r="E4" t="s">
        <v>75</v>
      </c>
      <c r="F4" t="s">
        <v>77</v>
      </c>
      <c r="G4" t="s">
        <v>78</v>
      </c>
      <c r="H4" t="s">
        <v>79</v>
      </c>
      <c r="I4">
        <v>1</v>
      </c>
      <c r="J4" s="4">
        <v>451.39</v>
      </c>
      <c r="K4" s="4">
        <v>574.19</v>
      </c>
      <c r="L4" s="4">
        <f>K4-J4</f>
      </c>
      <c r="M4" s="4">
        <f>L4*16.67%</f>
      </c>
      <c r="N4" s="4">
        <f>K4/100*7</f>
      </c>
      <c r="O4" s="4">
        <f>N4*20%</f>
      </c>
      <c r="P4" s="4">
        <f>N4*2%</f>
      </c>
      <c r="Q4" s="4">
        <f>P4*20%</f>
      </c>
      <c r="R4" s="4">
        <v>2</v>
      </c>
      <c r="S4" s="4">
        <f>R4*20%</f>
      </c>
      <c r="T4" s="4">
        <v>1</v>
      </c>
      <c r="U4" s="4">
        <f>O4+Q4+S4</f>
      </c>
      <c r="V4" s="4">
        <f>L4-M4-N4-O4-P4-Q4-R4-S4-T4</f>
      </c>
      <c r="W4" s="4">
        <f>(V4-AC4)/J4*100</f>
      </c>
      <c r="X4" s="4">
        <f>M4-U4</f>
      </c>
      <c r="AD4" s="4">
        <f>V4-AC4</f>
      </c>
      <c r="AI4" t="s">
        <v>1</v>
      </c>
    </row>
    <row r="5" spans="1:35" x14ac:dyDescent="0.25">
      <c r="A5" s="8">
        <v>46225.5</v>
      </c>
      <c r="B5" t="s">
        <v>80</v>
      </c>
      <c r="C5" t="s">
        <v>81</v>
      </c>
      <c r="D5" s="9" t="s">
        <v>82</v>
      </c>
      <c r="E5" t="s">
        <v>81</v>
      </c>
      <c r="F5" t="s">
        <v>83</v>
      </c>
      <c r="G5" t="s">
        <v>72</v>
      </c>
      <c r="H5" t="s">
        <v>79</v>
      </c>
      <c r="I5">
        <v>1</v>
      </c>
      <c r="J5" s="4">
        <v>237.5</v>
      </c>
      <c r="K5" s="4">
        <v>333.23</v>
      </c>
      <c r="L5" s="4">
        <f>K5-J5</f>
      </c>
      <c r="M5" s="4">
        <f>L5*16.67%</f>
      </c>
      <c r="N5" s="4">
        <f>K5/100*7</f>
      </c>
      <c r="O5" s="4">
        <f>N5*20%</f>
      </c>
      <c r="P5" s="4">
        <f>N5*2%</f>
      </c>
      <c r="Q5" s="4">
        <f>P5*20%</f>
      </c>
      <c r="R5" s="4">
        <v>8</v>
      </c>
      <c r="S5" s="4">
        <f>R5*20%</f>
      </c>
      <c r="T5" s="4">
        <v>1</v>
      </c>
      <c r="U5" s="4">
        <f>O5+Q5+S5</f>
      </c>
      <c r="V5" s="4">
        <f>L5-M5-N5-O5-P5-Q5-R5-S5-T5</f>
      </c>
      <c r="W5" s="4">
        <f>(V5-AC5)/J5*100</f>
      </c>
      <c r="X5" s="4">
        <f>M5-U5</f>
      </c>
      <c r="AD5" s="4">
        <f>V5-AC5</f>
      </c>
      <c r="AI5" t="s">
        <v>1</v>
      </c>
    </row>
    <row r="6" spans="1:35" x14ac:dyDescent="0.25">
      <c r="A6" s="8">
        <v>46224.5</v>
      </c>
      <c r="B6" t="s">
        <v>84</v>
      </c>
      <c r="C6" t="s">
        <v>85</v>
      </c>
      <c r="D6" s="9" t="s">
        <v>86</v>
      </c>
      <c r="E6" t="s">
        <v>65</v>
      </c>
      <c r="F6" t="s">
        <v>87</v>
      </c>
      <c r="G6" t="s">
        <v>78</v>
      </c>
      <c r="H6" t="s">
        <v>79</v>
      </c>
      <c r="I6">
        <v>1</v>
      </c>
      <c r="J6" s="4">
        <v>469.17</v>
      </c>
      <c r="K6" s="4">
        <v>662.93</v>
      </c>
      <c r="L6" s="4">
        <f>K6-J6</f>
      </c>
      <c r="M6" s="4">
        <f>L6*16.67%</f>
      </c>
      <c r="N6" s="4">
        <f>K6/100*7</f>
      </c>
      <c r="O6" s="4">
        <f>N6*20%</f>
      </c>
      <c r="P6" s="4">
        <f>N6*2%</f>
      </c>
      <c r="Q6" s="4">
        <f>P6*20%</f>
      </c>
      <c r="R6" s="4">
        <v>6.3</v>
      </c>
      <c r="S6" s="4">
        <f>R6*20%</f>
      </c>
      <c r="T6" s="4">
        <v>1</v>
      </c>
      <c r="U6" s="4">
        <f>O6+Q6+S6</f>
      </c>
      <c r="V6" s="4">
        <f>L6-M6-N6-O6-P6-Q6-R6-S6-T6</f>
      </c>
      <c r="W6" s="4">
        <f>(V6-AC6)/J6*100</f>
      </c>
      <c r="X6" s="4">
        <f>M6-U6</f>
      </c>
      <c r="AD6" s="4">
        <f>V6-AC6</f>
      </c>
      <c r="AI6" t="s">
        <v>1</v>
      </c>
    </row>
    <row r="7" spans="1:35" x14ac:dyDescent="0.25">
      <c r="A7" s="8">
        <v>46222.5</v>
      </c>
      <c r="B7" t="s">
        <v>88</v>
      </c>
      <c r="C7" t="s">
        <v>89</v>
      </c>
      <c r="D7" s="9" t="s">
        <v>90</v>
      </c>
      <c r="E7" t="s">
        <v>65</v>
      </c>
      <c r="F7" t="s">
        <v>66</v>
      </c>
      <c r="G7" t="s">
        <v>72</v>
      </c>
      <c r="H7" t="s">
        <v>91</v>
      </c>
      <c r="I7">
        <v>1</v>
      </c>
      <c r="J7" s="4">
        <v>335.04</v>
      </c>
      <c r="K7" s="4">
        <v>494.65</v>
      </c>
      <c r="L7" s="4">
        <f>K7-J7</f>
      </c>
      <c r="M7" s="4">
        <f>L7*16.67%</f>
      </c>
      <c r="N7" s="4">
        <f>K7/100*7</f>
      </c>
      <c r="O7" s="4">
        <f>N7*20%</f>
      </c>
      <c r="P7" s="4">
        <f>N7*2%</f>
      </c>
      <c r="Q7" s="4">
        <f>P7*20%</f>
      </c>
      <c r="R7" s="4">
        <v>6.3</v>
      </c>
      <c r="S7" s="4">
        <f>R7*20%</f>
      </c>
      <c r="T7" s="4">
        <v>1</v>
      </c>
      <c r="U7" s="4">
        <f>O7+Q7+S7</f>
      </c>
      <c r="V7" s="4">
        <f>L7-M7-N7-O7-P7-Q7-R7-S7-T7</f>
      </c>
      <c r="W7" s="4">
        <f>(V7-AC7)/J7*100</f>
      </c>
      <c r="X7" s="4">
        <f>M7-U7</f>
      </c>
      <c r="AD7" s="4">
        <f>V7-AC7</f>
      </c>
      <c r="AI7" t="s">
        <v>1</v>
      </c>
    </row>
    <row r="8" spans="1:35" x14ac:dyDescent="0.25">
      <c r="A8" s="8">
        <v>46221.5</v>
      </c>
      <c r="B8" t="s">
        <v>92</v>
      </c>
      <c r="C8" t="s">
        <v>93</v>
      </c>
      <c r="D8" s="9" t="s">
        <v>94</v>
      </c>
      <c r="E8" t="s">
        <v>65</v>
      </c>
      <c r="F8" t="s">
        <v>95</v>
      </c>
      <c r="G8" t="s">
        <v>72</v>
      </c>
      <c r="H8" t="s">
        <v>91</v>
      </c>
      <c r="I8">
        <v>1</v>
      </c>
      <c r="J8" s="4">
        <v>222.24</v>
      </c>
      <c r="K8" s="4">
        <v>294.66</v>
      </c>
      <c r="L8" s="4">
        <f>K8-J8</f>
      </c>
      <c r="M8" s="4">
        <f>L8*16.67%</f>
      </c>
      <c r="N8" s="4">
        <f>K8/100*7</f>
      </c>
      <c r="O8" s="4">
        <f>N8*20%</f>
      </c>
      <c r="P8" s="4">
        <f>N8*2%</f>
      </c>
      <c r="Q8" s="4">
        <f>P8*20%</f>
      </c>
      <c r="R8" s="4">
        <v>6.3</v>
      </c>
      <c r="S8" s="4">
        <f>R8*20%</f>
      </c>
      <c r="T8" s="4">
        <v>1</v>
      </c>
      <c r="U8" s="4">
        <f>O8+Q8+S8</f>
      </c>
      <c r="V8" s="4">
        <f>L8-M8-N8-O8-P8-Q8-R8-S8-T8</f>
      </c>
      <c r="W8" s="4">
        <f>(V8-AC8)/J8*100</f>
      </c>
      <c r="X8" s="4">
        <f>M8-U8</f>
      </c>
      <c r="AD8" s="4">
        <f>V8-AC8</f>
      </c>
      <c r="AI8" t="s">
        <v>1</v>
      </c>
    </row>
    <row r="9" spans="1:35" x14ac:dyDescent="0.25">
      <c r="A9" s="8">
        <v>46220.5</v>
      </c>
      <c r="B9" t="s">
        <v>96</v>
      </c>
      <c r="C9" t="s">
        <v>97</v>
      </c>
      <c r="D9" s="9" t="s">
        <v>98</v>
      </c>
      <c r="E9" t="s">
        <v>65</v>
      </c>
      <c r="F9" t="s">
        <v>95</v>
      </c>
      <c r="G9" t="s">
        <v>67</v>
      </c>
      <c r="H9" t="s">
        <v>73</v>
      </c>
      <c r="I9">
        <v>1</v>
      </c>
      <c r="J9" s="4">
        <v>192.93</v>
      </c>
      <c r="K9" s="4">
        <v>288.15</v>
      </c>
      <c r="L9" s="4">
        <f>K9-J9</f>
      </c>
      <c r="M9" s="4">
        <f>L9*16.67%</f>
      </c>
      <c r="N9" s="4">
        <f>K9/100*7</f>
      </c>
      <c r="O9" s="4">
        <f>N9*20%</f>
      </c>
      <c r="P9" s="4">
        <f>N9*2%</f>
      </c>
      <c r="Q9" s="4">
        <f>P9*20%</f>
      </c>
      <c r="R9" s="4">
        <v>8</v>
      </c>
      <c r="S9" s="4">
        <f>R9*20%</f>
      </c>
      <c r="T9" s="4">
        <v>1</v>
      </c>
      <c r="U9" s="4">
        <f>O9+Q9+S9</f>
      </c>
      <c r="V9" s="4">
        <f>L9-M9-N9-O9-P9-Q9-R9-S9-T9</f>
      </c>
      <c r="W9" s="4">
        <f>(V9-AC9)/J9*100</f>
      </c>
      <c r="X9" s="4">
        <f>M9-U9</f>
      </c>
      <c r="AD9" s="4">
        <f>V9-AC9</f>
      </c>
      <c r="AI9" t="s">
        <v>1</v>
      </c>
    </row>
    <row r="10" spans="1:35" x14ac:dyDescent="0.25">
      <c r="A10" s="8">
        <v>46219.5</v>
      </c>
      <c r="B10" t="s">
        <v>99</v>
      </c>
      <c r="C10" t="s">
        <v>100</v>
      </c>
      <c r="D10" s="9" t="s">
        <v>101</v>
      </c>
      <c r="E10" t="s">
        <v>100</v>
      </c>
      <c r="F10" t="s">
        <v>102</v>
      </c>
      <c r="G10" t="s">
        <v>72</v>
      </c>
      <c r="H10" t="s">
        <v>91</v>
      </c>
      <c r="I10">
        <v>1</v>
      </c>
      <c r="J10" s="4">
        <v>280.37</v>
      </c>
      <c r="K10" s="4">
        <v>392.6</v>
      </c>
      <c r="L10" s="4">
        <f>K10-J10</f>
      </c>
      <c r="M10" s="4">
        <f>L10*16.67%</f>
      </c>
      <c r="N10" s="4">
        <f>K10/100*7</f>
      </c>
      <c r="O10" s="4">
        <f>N10*20%</f>
      </c>
      <c r="P10" s="4">
        <f>N10*2%</f>
      </c>
      <c r="Q10" s="4">
        <f>P10*20%</f>
      </c>
      <c r="R10" s="4">
        <v>8</v>
      </c>
      <c r="S10" s="4">
        <f>R10*20%</f>
      </c>
      <c r="T10" s="4">
        <v>1</v>
      </c>
      <c r="U10" s="4">
        <f>O10+Q10+S10</f>
      </c>
      <c r="V10" s="4">
        <f>L10-M10-N10-O10-P10-Q10-R10-S10-T10</f>
      </c>
      <c r="W10" s="4">
        <f>(V10-AC10)/J10*100</f>
      </c>
      <c r="X10" s="4">
        <f>M10-U10</f>
      </c>
      <c r="AD10" s="4">
        <f>V10-AC10</f>
      </c>
      <c r="AI10" t="s">
        <v>1</v>
      </c>
    </row>
    <row r="11" spans="1:35" x14ac:dyDescent="0.25">
      <c r="A11" s="8">
        <v>46217.5</v>
      </c>
      <c r="B11" t="s">
        <v>103</v>
      </c>
      <c r="C11" t="s">
        <v>104</v>
      </c>
      <c r="D11" s="9" t="s">
        <v>105</v>
      </c>
      <c r="E11" t="s">
        <v>104</v>
      </c>
      <c r="F11" t="s">
        <v>77</v>
      </c>
      <c r="G11" t="s">
        <v>72</v>
      </c>
      <c r="H11" t="s">
        <v>68</v>
      </c>
      <c r="I11">
        <v>1</v>
      </c>
      <c r="J11" s="4">
        <v>246.21</v>
      </c>
      <c r="K11" s="4">
        <v>319.55</v>
      </c>
      <c r="L11" s="4">
        <f>K11-J11</f>
      </c>
      <c r="M11" s="4">
        <f>L11*16.67%</f>
      </c>
      <c r="N11" s="4">
        <f>K11/100*7</f>
      </c>
      <c r="O11" s="4">
        <f>N11*20%</f>
      </c>
      <c r="P11" s="4">
        <f>N11*2%</f>
      </c>
      <c r="Q11" s="4">
        <f>P11*20%</f>
      </c>
      <c r="R11" s="4">
        <v>8</v>
      </c>
      <c r="S11" s="4">
        <f>R11*20%</f>
      </c>
      <c r="T11" s="4">
        <v>1</v>
      </c>
      <c r="U11" s="4">
        <f>O11+Q11+S11</f>
      </c>
      <c r="V11" s="4">
        <f>L11-M11-N11-O11-P11-Q11-R11-S11-T11</f>
      </c>
      <c r="W11" s="4">
        <f>(V11-AC11)/J11*100</f>
      </c>
      <c r="X11" s="4">
        <f>M11-U11</f>
      </c>
      <c r="AD11" s="4">
        <f>V11-AC11</f>
      </c>
      <c r="AI11" t="s">
        <v>1</v>
      </c>
    </row>
    <row r="12" spans="1:35" x14ac:dyDescent="0.25">
      <c r="A12" s="8">
        <v>46216.5</v>
      </c>
      <c r="B12" t="s">
        <v>106</v>
      </c>
      <c r="C12" t="s">
        <v>107</v>
      </c>
      <c r="D12" s="9" t="s">
        <v>108</v>
      </c>
      <c r="E12" t="s">
        <v>107</v>
      </c>
      <c r="F12" t="s">
        <v>95</v>
      </c>
      <c r="G12" t="s">
        <v>72</v>
      </c>
      <c r="H12" t="s">
        <v>73</v>
      </c>
      <c r="I12">
        <v>1</v>
      </c>
      <c r="J12" s="4">
        <v>250.16</v>
      </c>
      <c r="K12" s="4">
        <v>335.89</v>
      </c>
      <c r="L12" s="4">
        <f>K12-J12</f>
      </c>
      <c r="M12" s="4">
        <f>L12*16.67%</f>
      </c>
      <c r="N12" s="4">
        <f>K12/100*7</f>
      </c>
      <c r="O12" s="4">
        <f>N12*20%</f>
      </c>
      <c r="P12" s="4">
        <f>N12*2%</f>
      </c>
      <c r="Q12" s="4">
        <f>P12*20%</f>
      </c>
      <c r="R12" s="4">
        <v>8</v>
      </c>
      <c r="S12" s="4">
        <f>R12*20%</f>
      </c>
      <c r="T12" s="4">
        <v>1</v>
      </c>
      <c r="U12" s="4">
        <f>O12+Q12+S12</f>
      </c>
      <c r="V12" s="4">
        <f>L12-M12-N12-O12-P12-Q12-R12-S12-T12</f>
      </c>
      <c r="W12" s="4">
        <f>(V12-AC12)/J12*100</f>
      </c>
      <c r="X12" s="4">
        <f>M12-U12</f>
      </c>
      <c r="AD12" s="4">
        <f>V12-AC12</f>
      </c>
      <c r="AI12" t="s">
        <v>1</v>
      </c>
    </row>
    <row r="13" spans="1:35" x14ac:dyDescent="0.25">
      <c r="A13" s="8">
        <v>46215.5</v>
      </c>
      <c r="B13" t="s">
        <v>109</v>
      </c>
      <c r="C13" t="s">
        <v>85</v>
      </c>
      <c r="D13" s="9" t="s">
        <v>110</v>
      </c>
      <c r="E13" t="s">
        <v>65</v>
      </c>
      <c r="F13" t="s">
        <v>87</v>
      </c>
      <c r="G13" t="s">
        <v>78</v>
      </c>
      <c r="H13" t="s">
        <v>79</v>
      </c>
      <c r="I13">
        <v>1</v>
      </c>
      <c r="J13" s="4">
        <v>495.98</v>
      </c>
      <c r="K13" s="4">
        <v>737.52</v>
      </c>
      <c r="L13" s="4">
        <f>K13-J13</f>
      </c>
      <c r="M13" s="4">
        <f>L13*16.67%</f>
      </c>
      <c r="N13" s="4">
        <f>K13/100*7</f>
      </c>
      <c r="O13" s="4">
        <f>N13*20%</f>
      </c>
      <c r="P13" s="4">
        <f>N13*2%</f>
      </c>
      <c r="Q13" s="4">
        <f>P13*20%</f>
      </c>
      <c r="R13" s="4">
        <v>6.3</v>
      </c>
      <c r="S13" s="4">
        <f>R13*20%</f>
      </c>
      <c r="T13" s="4">
        <v>1</v>
      </c>
      <c r="U13" s="4">
        <f>O13+Q13+S13</f>
      </c>
      <c r="V13" s="4">
        <f>L13-M13-N13-O13-P13-Q13-R13-S13-T13</f>
      </c>
      <c r="W13" s="4">
        <f>(V13-AC13)/J13*100</f>
      </c>
      <c r="X13" s="4">
        <f>M13-U13</f>
      </c>
      <c r="AD13" s="4">
        <f>V13-AC13</f>
      </c>
      <c r="AI13" t="s">
        <v>1</v>
      </c>
    </row>
    <row r="14" spans="1:35" x14ac:dyDescent="0.25">
      <c r="A14" s="8">
        <v>46214.5</v>
      </c>
      <c r="B14" t="s">
        <v>111</v>
      </c>
      <c r="C14" t="s">
        <v>112</v>
      </c>
      <c r="D14" s="9" t="s">
        <v>113</v>
      </c>
      <c r="E14" t="s">
        <v>65</v>
      </c>
      <c r="F14" t="s">
        <v>87</v>
      </c>
      <c r="G14" t="s">
        <v>72</v>
      </c>
      <c r="H14" t="s">
        <v>91</v>
      </c>
      <c r="I14">
        <v>1</v>
      </c>
      <c r="J14" s="4">
        <v>311.8</v>
      </c>
      <c r="K14" s="4">
        <v>464.89</v>
      </c>
      <c r="L14" s="4">
        <f>K14-J14</f>
      </c>
      <c r="M14" s="4">
        <f>L14*16.67%</f>
      </c>
      <c r="N14" s="4">
        <f>K14/100*7</f>
      </c>
      <c r="O14" s="4">
        <f>N14*20%</f>
      </c>
      <c r="P14" s="4">
        <f>N14*2%</f>
      </c>
      <c r="Q14" s="4">
        <f>P14*20%</f>
      </c>
      <c r="R14" s="4">
        <v>8</v>
      </c>
      <c r="S14" s="4">
        <f>R14*20%</f>
      </c>
      <c r="T14" s="4">
        <v>1</v>
      </c>
      <c r="U14" s="4">
        <f>O14+Q14+S14</f>
      </c>
      <c r="V14" s="4">
        <f>L14-M14-N14-O14-P14-Q14-R14-S14-T14</f>
      </c>
      <c r="W14" s="4">
        <f>(V14-AC14)/J14*100</f>
      </c>
      <c r="X14" s="4">
        <f>M14-U14</f>
      </c>
      <c r="AD14" s="4">
        <f>V14-AC14</f>
      </c>
      <c r="AI14" t="s">
        <v>1</v>
      </c>
    </row>
    <row r="15" spans="1:35" x14ac:dyDescent="0.25">
      <c r="A15" s="8">
        <v>46212.5</v>
      </c>
      <c r="B15" t="s">
        <v>114</v>
      </c>
      <c r="C15" t="s">
        <v>97</v>
      </c>
      <c r="D15" s="9" t="s">
        <v>115</v>
      </c>
      <c r="E15" t="s">
        <v>65</v>
      </c>
      <c r="F15" t="s">
        <v>95</v>
      </c>
      <c r="G15" t="s">
        <v>67</v>
      </c>
      <c r="H15" t="s">
        <v>73</v>
      </c>
      <c r="I15">
        <v>1</v>
      </c>
      <c r="J15" s="4">
        <v>190.34</v>
      </c>
      <c r="K15" s="4">
        <v>275.79</v>
      </c>
      <c r="L15" s="4">
        <f>K15-J15</f>
      </c>
      <c r="M15" s="4">
        <f>L15*16.67%</f>
      </c>
      <c r="N15" s="4">
        <f>K15/100*7</f>
      </c>
      <c r="O15" s="4">
        <f>N15*20%</f>
      </c>
      <c r="P15" s="4">
        <f>N15*2%</f>
      </c>
      <c r="Q15" s="4">
        <f>P15*20%</f>
      </c>
      <c r="R15" s="4">
        <v>6.3</v>
      </c>
      <c r="S15" s="4">
        <f>R15*20%</f>
      </c>
      <c r="T15" s="4">
        <v>1</v>
      </c>
      <c r="U15" s="4">
        <f>O15+Q15+S15</f>
      </c>
      <c r="V15" s="4">
        <f>L15-M15-N15-O15-P15-Q15-R15-S15-T15</f>
      </c>
      <c r="W15" s="4">
        <f>(V15-AC15)/J15*100</f>
      </c>
      <c r="X15" s="4">
        <f>M15-U15</f>
      </c>
      <c r="AD15" s="4">
        <f>V15-AC15</f>
      </c>
      <c r="AI15" t="s">
        <v>1</v>
      </c>
    </row>
    <row r="16" spans="1:35" x14ac:dyDescent="0.25">
      <c r="A16" s="8">
        <v>46211.5</v>
      </c>
      <c r="B16" t="s">
        <v>116</v>
      </c>
      <c r="C16" t="s">
        <v>117</v>
      </c>
      <c r="D16" s="9" t="s">
        <v>118</v>
      </c>
      <c r="E16" t="s">
        <v>117</v>
      </c>
      <c r="F16" t="s">
        <v>83</v>
      </c>
      <c r="G16" t="s">
        <v>72</v>
      </c>
      <c r="H16" t="s">
        <v>73</v>
      </c>
      <c r="I16">
        <v>1</v>
      </c>
      <c r="J16" s="4">
        <v>267</v>
      </c>
      <c r="K16" s="4">
        <v>377.39</v>
      </c>
      <c r="L16" s="4">
        <f>K16-J16</f>
      </c>
      <c r="M16" s="4">
        <f>L16*16.67%</f>
      </c>
      <c r="N16" s="4">
        <f>K16/100*7</f>
      </c>
      <c r="O16" s="4">
        <f>N16*20%</f>
      </c>
      <c r="P16" s="4">
        <f>N16*2%</f>
      </c>
      <c r="Q16" s="4">
        <f>P16*20%</f>
      </c>
      <c r="R16" s="4">
        <v>8</v>
      </c>
      <c r="S16" s="4">
        <f>R16*20%</f>
      </c>
      <c r="T16" s="4">
        <v>1</v>
      </c>
      <c r="U16" s="4">
        <f>O16+Q16+S16</f>
      </c>
      <c r="V16" s="4">
        <f>L16-M16-N16-O16-P16-Q16-R16-S16-T16</f>
      </c>
      <c r="W16" s="4">
        <f>(V16-AC16)/J16*100</f>
      </c>
      <c r="X16" s="4">
        <f>M16-U16</f>
      </c>
      <c r="AD16" s="4">
        <f>V16-AC16</f>
      </c>
      <c r="AI16" t="s">
        <v>1</v>
      </c>
    </row>
    <row r="17" spans="1:35" x14ac:dyDescent="0.25">
      <c r="A17" s="8">
        <v>46210.5</v>
      </c>
      <c r="B17" t="s">
        <v>119</v>
      </c>
      <c r="C17" t="s">
        <v>75</v>
      </c>
      <c r="D17" s="9" t="s">
        <v>120</v>
      </c>
      <c r="E17" t="s">
        <v>75</v>
      </c>
      <c r="F17" t="s">
        <v>77</v>
      </c>
      <c r="G17" t="s">
        <v>78</v>
      </c>
      <c r="H17" t="s">
        <v>73</v>
      </c>
      <c r="I17">
        <v>1</v>
      </c>
      <c r="J17" s="4">
        <v>418.34</v>
      </c>
      <c r="K17" s="4">
        <v>600.73</v>
      </c>
      <c r="L17" s="4">
        <f>K17-J17</f>
      </c>
      <c r="M17" s="4">
        <f>L17*16.67%</f>
      </c>
      <c r="N17" s="4">
        <f>K17/100*7</f>
      </c>
      <c r="O17" s="4">
        <f>N17*20%</f>
      </c>
      <c r="P17" s="4">
        <f>N17*2%</f>
      </c>
      <c r="Q17" s="4">
        <f>P17*20%</f>
      </c>
      <c r="R17" s="4">
        <v>8</v>
      </c>
      <c r="S17" s="4">
        <f>R17*20%</f>
      </c>
      <c r="T17" s="4">
        <v>1</v>
      </c>
      <c r="U17" s="4">
        <f>O17+Q17+S17</f>
      </c>
      <c r="V17" s="4">
        <f>L17-M17-N17-O17-P17-Q17-R17-S17-T17</f>
      </c>
      <c r="W17" s="4">
        <f>(V17-AC17)/J17*100</f>
      </c>
      <c r="X17" s="4">
        <f>M17-U17</f>
      </c>
      <c r="AD17" s="4">
        <f>V17-AC17</f>
      </c>
      <c r="AI17" t="s">
        <v>1</v>
      </c>
    </row>
    <row r="18" spans="1:35" x14ac:dyDescent="0.25">
      <c r="A18" s="8">
        <v>46209.5</v>
      </c>
      <c r="B18" t="s">
        <v>121</v>
      </c>
      <c r="C18" t="s">
        <v>81</v>
      </c>
      <c r="D18" s="9" t="s">
        <v>122</v>
      </c>
      <c r="E18" t="s">
        <v>81</v>
      </c>
      <c r="F18" t="s">
        <v>83</v>
      </c>
      <c r="G18" t="s">
        <v>72</v>
      </c>
      <c r="H18" t="s">
        <v>68</v>
      </c>
      <c r="I18">
        <v>1</v>
      </c>
      <c r="J18" s="4">
        <v>261.54</v>
      </c>
      <c r="K18" s="4">
        <v>348.93</v>
      </c>
      <c r="L18" s="4">
        <f>K18-J18</f>
      </c>
      <c r="M18" s="4">
        <f>L18*16.67%</f>
      </c>
      <c r="N18" s="4">
        <f>K18/100*7</f>
      </c>
      <c r="O18" s="4">
        <f>N18*20%</f>
      </c>
      <c r="P18" s="4">
        <f>N18*2%</f>
      </c>
      <c r="Q18" s="4">
        <f>P18*20%</f>
      </c>
      <c r="R18" s="4">
        <v>2</v>
      </c>
      <c r="S18" s="4">
        <f>R18*20%</f>
      </c>
      <c r="T18" s="4">
        <v>1</v>
      </c>
      <c r="U18" s="4">
        <f>O18+Q18+S18</f>
      </c>
      <c r="V18" s="4">
        <f>L18-M18-N18-O18-P18-Q18-R18-S18-T18</f>
      </c>
      <c r="W18" s="4">
        <f>(V18-AC18)/J18*100</f>
      </c>
      <c r="X18" s="4">
        <f>M18-U18</f>
      </c>
      <c r="AD18" s="4">
        <f>V18-AC18</f>
      </c>
      <c r="AI18" t="s">
        <v>1</v>
      </c>
    </row>
    <row r="19" spans="1:35" x14ac:dyDescent="0.25">
      <c r="A19" s="8">
        <v>46207.5</v>
      </c>
      <c r="B19" t="s">
        <v>123</v>
      </c>
      <c r="C19" t="s">
        <v>124</v>
      </c>
      <c r="D19" s="9" t="s">
        <v>125</v>
      </c>
      <c r="E19" t="s">
        <v>65</v>
      </c>
      <c r="F19" t="s">
        <v>102</v>
      </c>
      <c r="G19" t="s">
        <v>78</v>
      </c>
      <c r="H19" t="s">
        <v>68</v>
      </c>
      <c r="I19">
        <v>1</v>
      </c>
      <c r="J19" s="4">
        <v>501.14</v>
      </c>
      <c r="K19" s="4">
        <v>631.55</v>
      </c>
      <c r="L19" s="4">
        <f>K19-J19</f>
      </c>
      <c r="M19" s="4">
        <f>L19*16.67%</f>
      </c>
      <c r="N19" s="4">
        <f>K19/100*7</f>
      </c>
      <c r="O19" s="4">
        <f>N19*20%</f>
      </c>
      <c r="P19" s="4">
        <f>N19*2%</f>
      </c>
      <c r="Q19" s="4">
        <f>P19*20%</f>
      </c>
      <c r="R19" s="4">
        <v>6.3</v>
      </c>
      <c r="S19" s="4">
        <f>R19*20%</f>
      </c>
      <c r="T19" s="4">
        <v>1</v>
      </c>
      <c r="U19" s="4">
        <f>O19+Q19+S19</f>
      </c>
      <c r="V19" s="4">
        <f>L19-M19-N19-O19-P19-Q19-R19-S19-T19</f>
      </c>
      <c r="W19" s="4">
        <f>(V19-AC19)/J19*100</f>
      </c>
      <c r="X19" s="4">
        <f>M19-U19</f>
      </c>
      <c r="AD19" s="4">
        <f>V19-AC19</f>
      </c>
      <c r="AI19" t="s">
        <v>1</v>
      </c>
    </row>
    <row r="20" spans="1:35" x14ac:dyDescent="0.25">
      <c r="A20" s="8">
        <v>46206.5</v>
      </c>
      <c r="B20" t="s">
        <v>126</v>
      </c>
      <c r="C20" t="s">
        <v>127</v>
      </c>
      <c r="D20" s="9" t="s">
        <v>128</v>
      </c>
      <c r="E20" t="s">
        <v>65</v>
      </c>
      <c r="F20" t="s">
        <v>129</v>
      </c>
      <c r="G20" t="s">
        <v>72</v>
      </c>
      <c r="H20" t="s">
        <v>91</v>
      </c>
      <c r="I20">
        <v>1</v>
      </c>
      <c r="J20" s="4">
        <v>316.67</v>
      </c>
      <c r="K20" s="4">
        <v>443.11</v>
      </c>
      <c r="L20" s="4">
        <f>K20-J20</f>
      </c>
      <c r="M20" s="4">
        <f>L20*16.67%</f>
      </c>
      <c r="N20" s="4">
        <f>K20/100*7</f>
      </c>
      <c r="O20" s="4">
        <f>N20*20%</f>
      </c>
      <c r="P20" s="4">
        <f>N20*2%</f>
      </c>
      <c r="Q20" s="4">
        <f>P20*20%</f>
      </c>
      <c r="R20" s="4">
        <v>2</v>
      </c>
      <c r="S20" s="4">
        <f>R20*20%</f>
      </c>
      <c r="T20" s="4">
        <v>1</v>
      </c>
      <c r="U20" s="4">
        <f>O20+Q20+S20</f>
      </c>
      <c r="V20" s="4">
        <f>L20-M20-N20-O20-P20-Q20-R20-S20-T20</f>
      </c>
      <c r="W20" s="4">
        <f>(V20-AC20)/J20*100</f>
      </c>
      <c r="X20" s="4">
        <f>M20-U20</f>
      </c>
      <c r="AD20" s="4">
        <f>V20-AC20</f>
      </c>
      <c r="AI20" t="s">
        <v>1</v>
      </c>
    </row>
    <row r="21" spans="1:35" x14ac:dyDescent="0.25">
      <c r="A21" s="8">
        <v>46205.5</v>
      </c>
      <c r="B21" t="s">
        <v>130</v>
      </c>
      <c r="C21" t="s">
        <v>131</v>
      </c>
      <c r="D21" s="9" t="s">
        <v>132</v>
      </c>
      <c r="E21" t="s">
        <v>65</v>
      </c>
      <c r="F21" t="s">
        <v>133</v>
      </c>
      <c r="G21" t="s">
        <v>72</v>
      </c>
      <c r="H21" t="s">
        <v>91</v>
      </c>
      <c r="I21">
        <v>1</v>
      </c>
      <c r="J21" s="4">
        <v>233.36</v>
      </c>
      <c r="K21" s="4">
        <v>318.95</v>
      </c>
      <c r="L21" s="4">
        <f>K21-J21</f>
      </c>
      <c r="M21" s="4">
        <f>L21*16.67%</f>
      </c>
      <c r="N21" s="4">
        <f>K21/100*7</f>
      </c>
      <c r="O21" s="4">
        <f>N21*20%</f>
      </c>
      <c r="P21" s="4">
        <f>N21*2%</f>
      </c>
      <c r="Q21" s="4">
        <f>P21*20%</f>
      </c>
      <c r="R21" s="4">
        <v>6.3</v>
      </c>
      <c r="S21" s="4">
        <f>R21*20%</f>
      </c>
      <c r="T21" s="4">
        <v>1</v>
      </c>
      <c r="U21" s="4">
        <f>O21+Q21+S21</f>
      </c>
      <c r="V21" s="4">
        <f>L21-M21-N21-O21-P21-Q21-R21-S21-T21</f>
      </c>
      <c r="W21" s="4">
        <f>(V21-AC21)/J21*100</f>
      </c>
      <c r="X21" s="4">
        <f>M21-U21</f>
      </c>
      <c r="AD21" s="4">
        <f>V21-AC21</f>
      </c>
      <c r="AI21" t="s">
        <v>1</v>
      </c>
    </row>
    <row r="22" spans="1:35" x14ac:dyDescent="0.25">
      <c r="A22" s="8">
        <v>46204.5</v>
      </c>
      <c r="B22" t="s">
        <v>134</v>
      </c>
      <c r="C22" t="s">
        <v>89</v>
      </c>
      <c r="D22" s="9" t="s">
        <v>135</v>
      </c>
      <c r="E22" t="s">
        <v>65</v>
      </c>
      <c r="F22" t="s">
        <v>77</v>
      </c>
      <c r="G22" t="s">
        <v>72</v>
      </c>
      <c r="H22" t="s">
        <v>91</v>
      </c>
      <c r="I22">
        <v>1</v>
      </c>
      <c r="J22" s="4">
        <v>234.13</v>
      </c>
      <c r="K22" s="4">
        <v>319.21</v>
      </c>
      <c r="L22" s="4">
        <f>K22-J22</f>
      </c>
      <c r="M22" s="4">
        <f>L22*16.67%</f>
      </c>
      <c r="N22" s="4">
        <f>K22/100*7</f>
      </c>
      <c r="O22" s="4">
        <f>N22*20%</f>
      </c>
      <c r="P22" s="4">
        <f>N22*2%</f>
      </c>
      <c r="Q22" s="4">
        <f>P22*20%</f>
      </c>
      <c r="R22" s="4">
        <v>8</v>
      </c>
      <c r="S22" s="4">
        <f>R22*20%</f>
      </c>
      <c r="T22" s="4">
        <v>1</v>
      </c>
      <c r="U22" s="4">
        <f>O22+Q22+S22</f>
      </c>
      <c r="V22" s="4">
        <f>L22-M22-N22-O22-P22-Q22-R22-S22-T22</f>
      </c>
      <c r="W22" s="4">
        <f>(V22-AC22)/J22*100</f>
      </c>
      <c r="X22" s="4">
        <f>M22-U22</f>
      </c>
      <c r="AD22" s="4">
        <f>V22-AC22</f>
      </c>
      <c r="AI22" t="s">
        <v>1</v>
      </c>
    </row>
    <row r="23" spans="1:35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IF($K23="","",K23/100*7)</f>
      </c>
      <c r="O23" s="4">
        <f>IF($K23="","",N23*20%)</f>
      </c>
      <c r="P23" s="4">
        <f>IF($K23="","",N23*2%)</f>
      </c>
      <c r="Q23" s="4">
        <f>IF($K23="","",P23*20%)</f>
      </c>
      <c r="R23" s="4"/>
      <c r="S23" s="4">
        <f>IF($K23="","",R23*20%)</f>
      </c>
      <c r="T23" s="4">
        <v>1</v>
      </c>
      <c r="U23" s="4">
        <f>IF($K23="","",O23+Q23+S23)</f>
      </c>
      <c r="V23" s="4">
        <f>IF($K23="","",L23-M23-N23-O23-P23-Q23-R23-S23-T23)</f>
      </c>
      <c r="W23" s="4">
        <f>IF($K23="","",(V23-AC23)/J23*100)</f>
      </c>
      <c r="X23" s="4">
        <f>IF($K23="","",M23-U23)</f>
      </c>
      <c r="AD23" s="4">
        <f>IF($K23="","",V23-AC23)</f>
      </c>
    </row>
    <row r="24" spans="1:35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IF($K24="","",K24/100*7)</f>
      </c>
      <c r="O24" s="4">
        <f>IF($K24="","",N24*20%)</f>
      </c>
      <c r="P24" s="4">
        <f>IF($K24="","",N24*2%)</f>
      </c>
      <c r="Q24" s="4">
        <f>IF($K24="","",P24*20%)</f>
      </c>
      <c r="R24" s="4"/>
      <c r="S24" s="4">
        <f>IF($K24="","",R24*20%)</f>
      </c>
      <c r="T24" s="4">
        <v>1</v>
      </c>
      <c r="U24" s="4">
        <f>IF($K24="","",O24+Q24+S24)</f>
      </c>
      <c r="V24" s="4">
        <f>IF($K24="","",L24-M24-N24-O24-P24-Q24-R24-S24-T24)</f>
      </c>
      <c r="W24" s="4">
        <f>IF($K24="","",(V24-AC24)/J24*100)</f>
      </c>
      <c r="X24" s="4">
        <f>IF($K24="","",M24-U24)</f>
      </c>
      <c r="AD24" s="4">
        <f>IF($K24="","",V24-AC24)</f>
      </c>
    </row>
    <row r="25" spans="1:35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IF($K25="","",K25/100*7)</f>
      </c>
      <c r="O25" s="4">
        <f>IF($K25="","",N25*20%)</f>
      </c>
      <c r="P25" s="4">
        <f>IF($K25="","",N25*2%)</f>
      </c>
      <c r="Q25" s="4">
        <f>IF($K25="","",P25*20%)</f>
      </c>
      <c r="R25" s="4"/>
      <c r="S25" s="4">
        <f>IF($K25="","",R25*20%)</f>
      </c>
      <c r="T25" s="4">
        <v>1</v>
      </c>
      <c r="U25" s="4">
        <f>IF($K25="","",O25+Q25+S25)</f>
      </c>
      <c r="V25" s="4">
        <f>IF($K25="","",L25-M25-N25-O25-P25-Q25-R25-S25-T25)</f>
      </c>
      <c r="W25" s="4">
        <f>IF($K25="","",(V25-AC25)/J25*100)</f>
      </c>
      <c r="X25" s="4">
        <f>IF($K25="","",M25-U25)</f>
      </c>
      <c r="AD25" s="4">
        <f>IF($K25="","",V25-AC25)</f>
      </c>
    </row>
    <row r="26" spans="1:35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IF($K26="","",K26/100*7)</f>
      </c>
      <c r="O26" s="4">
        <f>IF($K26="","",N26*20%)</f>
      </c>
      <c r="P26" s="4">
        <f>IF($K26="","",N26*2%)</f>
      </c>
      <c r="Q26" s="4">
        <f>IF($K26="","",P26*20%)</f>
      </c>
      <c r="R26" s="4"/>
      <c r="S26" s="4">
        <f>IF($K26="","",R26*20%)</f>
      </c>
      <c r="T26" s="4">
        <v>1</v>
      </c>
      <c r="U26" s="4">
        <f>IF($K26="","",O26+Q26+S26)</f>
      </c>
      <c r="V26" s="4">
        <f>IF($K26="","",L26-M26-N26-O26-P26-Q26-R26-S26-T26)</f>
      </c>
      <c r="W26" s="4">
        <f>IF($K26="","",(V26-AC26)/J26*100)</f>
      </c>
      <c r="X26" s="4">
        <f>IF($K26="","",M26-U26)</f>
      </c>
      <c r="AD26" s="4">
        <f>IF($K26="","",V26-AC26)</f>
      </c>
    </row>
    <row r="27" spans="1:35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IF($K27="","",K27/100*7)</f>
      </c>
      <c r="O27" s="4">
        <f>IF($K27="","",N27*20%)</f>
      </c>
      <c r="P27" s="4">
        <f>IF($K27="","",N27*2%)</f>
      </c>
      <c r="Q27" s="4">
        <f>IF($K27="","",P27*20%)</f>
      </c>
      <c r="R27" s="4"/>
      <c r="S27" s="4">
        <f>IF($K27="","",R27*20%)</f>
      </c>
      <c r="T27" s="4">
        <v>1</v>
      </c>
      <c r="U27" s="4">
        <f>IF($K27="","",O27+Q27+S27)</f>
      </c>
      <c r="V27" s="4">
        <f>IF($K27="","",L27-M27-N27-O27-P27-Q27-R27-S27-T27)</f>
      </c>
      <c r="W27" s="4">
        <f>IF($K27="","",(V27-AC27)/J27*100)</f>
      </c>
      <c r="X27" s="4">
        <f>IF($K27="","",M27-U27)</f>
      </c>
      <c r="AD27" s="4">
        <f>IF($K27="","",V27-AC27)</f>
      </c>
    </row>
    <row r="28" spans="1:35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IF($K28="","",K28/100*7)</f>
      </c>
      <c r="O28" s="4">
        <f>IF($K28="","",N28*20%)</f>
      </c>
      <c r="P28" s="4">
        <f>IF($K28="","",N28*2%)</f>
      </c>
      <c r="Q28" s="4">
        <f>IF($K28="","",P28*20%)</f>
      </c>
      <c r="R28" s="4"/>
      <c r="S28" s="4">
        <f>IF($K28="","",R28*20%)</f>
      </c>
      <c r="T28" s="4">
        <v>1</v>
      </c>
      <c r="U28" s="4">
        <f>IF($K28="","",O28+Q28+S28)</f>
      </c>
      <c r="V28" s="4">
        <f>IF($K28="","",L28-M28-N28-O28-P28-Q28-R28-S28-T28)</f>
      </c>
      <c r="W28" s="4">
        <f>IF($K28="","",(V28-AC28)/J28*100)</f>
      </c>
      <c r="X28" s="4">
        <f>IF($K28="","",M28-U28)</f>
      </c>
      <c r="AD28" s="4">
        <f>IF($K28="","",V28-AC28)</f>
      </c>
    </row>
    <row r="29" spans="1:35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IF($K29="","",K29/100*7)</f>
      </c>
      <c r="O29" s="4">
        <f>IF($K29="","",N29*20%)</f>
      </c>
      <c r="P29" s="4">
        <f>IF($K29="","",N29*2%)</f>
      </c>
      <c r="Q29" s="4">
        <f>IF($K29="","",P29*20%)</f>
      </c>
      <c r="R29" s="4"/>
      <c r="S29" s="4">
        <f>IF($K29="","",R29*20%)</f>
      </c>
      <c r="T29" s="4">
        <v>1</v>
      </c>
      <c r="U29" s="4">
        <f>IF($K29="","",O29+Q29+S29)</f>
      </c>
      <c r="V29" s="4">
        <f>IF($K29="","",L29-M29-N29-O29-P29-Q29-R29-S29-T29)</f>
      </c>
      <c r="W29" s="4">
        <f>IF($K29="","",(V29-AC29)/J29*100)</f>
      </c>
      <c r="X29" s="4">
        <f>IF($K29="","",M29-U29)</f>
      </c>
      <c r="AD29" s="4">
        <f>IF($K29="","",V29-AC29)</f>
      </c>
    </row>
    <row r="30" spans="1:35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IF($K30="","",K30/100*7)</f>
      </c>
      <c r="O30" s="4">
        <f>IF($K30="","",N30*20%)</f>
      </c>
      <c r="P30" s="4">
        <f>IF($K30="","",N30*2%)</f>
      </c>
      <c r="Q30" s="4">
        <f>IF($K30="","",P30*20%)</f>
      </c>
      <c r="R30" s="4"/>
      <c r="S30" s="4">
        <f>IF($K30="","",R30*20%)</f>
      </c>
      <c r="T30" s="4">
        <v>1</v>
      </c>
      <c r="U30" s="4">
        <f>IF($K30="","",O30+Q30+S30)</f>
      </c>
      <c r="V30" s="4">
        <f>IF($K30="","",L30-M30-N30-O30-P30-Q30-R30-S30-T30)</f>
      </c>
      <c r="W30" s="4">
        <f>IF($K30="","",(V30-AC30)/J30*100)</f>
      </c>
      <c r="X30" s="4">
        <f>IF($K30="","",M30-U30)</f>
      </c>
      <c r="AD30" s="4">
        <f>IF($K30="","",V30-AC30)</f>
      </c>
    </row>
    <row r="31" spans="1:35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IF($K31="","",K31/100*7)</f>
      </c>
      <c r="O31" s="4">
        <f>IF($K31="","",N31*20%)</f>
      </c>
      <c r="P31" s="4">
        <f>IF($K31="","",N31*2%)</f>
      </c>
      <c r="Q31" s="4">
        <f>IF($K31="","",P31*20%)</f>
      </c>
      <c r="R31" s="4"/>
      <c r="S31" s="4">
        <f>IF($K31="","",R31*20%)</f>
      </c>
      <c r="T31" s="4">
        <v>1</v>
      </c>
      <c r="U31" s="4">
        <f>IF($K31="","",O31+Q31+S31)</f>
      </c>
      <c r="V31" s="4">
        <f>IF($K31="","",L31-M31-N31-O31-P31-Q31-R31-S31-T31)</f>
      </c>
      <c r="W31" s="4">
        <f>IF($K31="","",(V31-AC31)/J31*100)</f>
      </c>
      <c r="X31" s="4">
        <f>IF($K31="","",M31-U31)</f>
      </c>
      <c r="AD31" s="4">
        <f>IF($K31="","",V31-AC31)</f>
      </c>
    </row>
    <row r="32" spans="1:35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IF($K32="","",K32/100*7)</f>
      </c>
      <c r="O32" s="4">
        <f>IF($K32="","",N32*20%)</f>
      </c>
      <c r="P32" s="4">
        <f>IF($K32="","",N32*2%)</f>
      </c>
      <c r="Q32" s="4">
        <f>IF($K32="","",P32*20%)</f>
      </c>
      <c r="R32" s="4"/>
      <c r="S32" s="4">
        <f>IF($K32="","",R32*20%)</f>
      </c>
      <c r="T32" s="4">
        <v>1</v>
      </c>
      <c r="U32" s="4">
        <f>IF($K32="","",O32+Q32+S32)</f>
      </c>
      <c r="V32" s="4">
        <f>IF($K32="","",L32-M32-N32-O32-P32-Q32-R32-S32-T32)</f>
      </c>
      <c r="W32" s="4">
        <f>IF($K32="","",(V32-AC32)/J32*100)</f>
      </c>
      <c r="X32" s="4">
        <f>IF($K32="","",M32-U32)</f>
      </c>
      <c r="AD32" s="4">
        <f>IF($K32="","",V32-AC32)</f>
      </c>
    </row>
    <row r="33" spans="1:35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IF($K33="","",K33/100*7)</f>
      </c>
      <c r="O33" s="4">
        <f>IF($K33="","",N33*20%)</f>
      </c>
      <c r="P33" s="4">
        <f>IF($K33="","",N33*2%)</f>
      </c>
      <c r="Q33" s="4">
        <f>IF($K33="","",P33*20%)</f>
      </c>
      <c r="R33" s="4"/>
      <c r="S33" s="4">
        <f>IF($K33="","",R33*20%)</f>
      </c>
      <c r="T33" s="4">
        <v>1</v>
      </c>
      <c r="U33" s="4">
        <f>IF($K33="","",O33+Q33+S33)</f>
      </c>
      <c r="V33" s="4">
        <f>IF($K33="","",L33-M33-N33-O33-P33-Q33-R33-S33-T33)</f>
      </c>
      <c r="W33" s="4">
        <f>IF($K33="","",(V33-AC33)/J33*100)</f>
      </c>
      <c r="X33" s="4">
        <f>IF($K33="","",M33-U33)</f>
      </c>
      <c r="AD33" s="4">
        <f>IF($K33="","",V33-AC33)</f>
      </c>
    </row>
    <row r="34" spans="1:35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IF($K34="","",K34/100*7)</f>
      </c>
      <c r="O34" s="4">
        <f>IF($K34="","",N34*20%)</f>
      </c>
      <c r="P34" s="4">
        <f>IF($K34="","",N34*2%)</f>
      </c>
      <c r="Q34" s="4">
        <f>IF($K34="","",P34*20%)</f>
      </c>
      <c r="R34" s="4"/>
      <c r="S34" s="4">
        <f>IF($K34="","",R34*20%)</f>
      </c>
      <c r="T34" s="4">
        <v>1</v>
      </c>
      <c r="U34" s="4">
        <f>IF($K34="","",O34+Q34+S34)</f>
      </c>
      <c r="V34" s="4">
        <f>IF($K34="","",L34-M34-N34-O34-P34-Q34-R34-S34-T34)</f>
      </c>
      <c r="W34" s="4">
        <f>IF($K34="","",(V34-AC34)/J34*100)</f>
      </c>
      <c r="X34" s="4">
        <f>IF($K34="","",M34-U34)</f>
      </c>
      <c r="AD34" s="4">
        <f>IF($K34="","",V34-AC34)</f>
      </c>
    </row>
    <row r="35" spans="1:35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IF($K35="","",K35/100*7)</f>
      </c>
      <c r="O35" s="4">
        <f>IF($K35="","",N35*20%)</f>
      </c>
      <c r="P35" s="4">
        <f>IF($K35="","",N35*2%)</f>
      </c>
      <c r="Q35" s="4">
        <f>IF($K35="","",P35*20%)</f>
      </c>
      <c r="R35" s="4"/>
      <c r="S35" s="4">
        <f>IF($K35="","",R35*20%)</f>
      </c>
      <c r="T35" s="4">
        <v>1</v>
      </c>
      <c r="U35" s="4">
        <f>IF($K35="","",O35+Q35+S35)</f>
      </c>
      <c r="V35" s="4">
        <f>IF($K35="","",L35-M35-N35-O35-P35-Q35-R35-S35-T35)</f>
      </c>
      <c r="W35" s="4">
        <f>IF($K35="","",(V35-AC35)/J35*100)</f>
      </c>
      <c r="X35" s="4">
        <f>IF($K35="","",M35-U35)</f>
      </c>
      <c r="AD35" s="4">
        <f>IF($K35="","",V35-AC35)</f>
      </c>
    </row>
    <row r="36" spans="1:35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IF($K36="","",K36/100*7)</f>
      </c>
      <c r="O36" s="4">
        <f>IF($K36="","",N36*20%)</f>
      </c>
      <c r="P36" s="4">
        <f>IF($K36="","",N36*2%)</f>
      </c>
      <c r="Q36" s="4">
        <f>IF($K36="","",P36*20%)</f>
      </c>
      <c r="R36" s="4"/>
      <c r="S36" s="4">
        <f>IF($K36="","",R36*20%)</f>
      </c>
      <c r="T36" s="4">
        <v>1</v>
      </c>
      <c r="U36" s="4">
        <f>IF($K36="","",O36+Q36+S36)</f>
      </c>
      <c r="V36" s="4">
        <f>IF($K36="","",L36-M36-N36-O36-P36-Q36-R36-S36-T36)</f>
      </c>
      <c r="W36" s="4">
        <f>IF($K36="","",(V36-AC36)/J36*100)</f>
      </c>
      <c r="X36" s="4">
        <f>IF($K36="","",M36-U36)</f>
      </c>
      <c r="AD36" s="4">
        <f>IF($K36="","",V36-AC36)</f>
      </c>
    </row>
    <row r="37" spans="1:35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IF($K37="","",K37/100*7)</f>
      </c>
      <c r="O37" s="4">
        <f>IF($K37="","",N37*20%)</f>
      </c>
      <c r="P37" s="4">
        <f>IF($K37="","",N37*2%)</f>
      </c>
      <c r="Q37" s="4">
        <f>IF($K37="","",P37*20%)</f>
      </c>
      <c r="R37" s="4"/>
      <c r="S37" s="4">
        <f>IF($K37="","",R37*20%)</f>
      </c>
      <c r="T37" s="4">
        <v>1</v>
      </c>
      <c r="U37" s="4">
        <f>IF($K37="","",O37+Q37+S37)</f>
      </c>
      <c r="V37" s="4">
        <f>IF($K37="","",L37-M37-N37-O37-P37-Q37-R37-S37-T37)</f>
      </c>
      <c r="W37" s="4">
        <f>IF($K37="","",(V37-AC37)/J37*100)</f>
      </c>
      <c r="X37" s="4">
        <f>IF($K37="","",M37-U37)</f>
      </c>
      <c r="AD37" s="4">
        <f>IF($K37="","",V37-AC37)</f>
      </c>
    </row>
    <row r="38" spans="1:35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IF($K38="","",K38/100*7)</f>
      </c>
      <c r="O38" s="4">
        <f>IF($K38="","",N38*20%)</f>
      </c>
      <c r="P38" s="4">
        <f>IF($K38="","",N38*2%)</f>
      </c>
      <c r="Q38" s="4">
        <f>IF($K38="","",P38*20%)</f>
      </c>
      <c r="R38" s="4"/>
      <c r="S38" s="4">
        <f>IF($K38="","",R38*20%)</f>
      </c>
      <c r="T38" s="4">
        <v>1</v>
      </c>
      <c r="U38" s="4">
        <f>IF($K38="","",O38+Q38+S38)</f>
      </c>
      <c r="V38" s="4">
        <f>IF($K38="","",L38-M38-N38-O38-P38-Q38-R38-S38-T38)</f>
      </c>
      <c r="W38" s="4">
        <f>IF($K38="","",(V38-AC38)/J38*100)</f>
      </c>
      <c r="X38" s="4">
        <f>IF($K38="","",M38-U38)</f>
      </c>
      <c r="AD38" s="4">
        <f>IF($K38="","",V38-AC38)</f>
      </c>
    </row>
    <row r="39" spans="1:35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IF($K39="","",K39/100*7)</f>
      </c>
      <c r="O39" s="4">
        <f>IF($K39="","",N39*20%)</f>
      </c>
      <c r="P39" s="4">
        <f>IF($K39="","",N39*2%)</f>
      </c>
      <c r="Q39" s="4">
        <f>IF($K39="","",P39*20%)</f>
      </c>
      <c r="R39" s="4"/>
      <c r="S39" s="4">
        <f>IF($K39="","",R39*20%)</f>
      </c>
      <c r="T39" s="4">
        <v>1</v>
      </c>
      <c r="U39" s="4">
        <f>IF($K39="","",O39+Q39+S39)</f>
      </c>
      <c r="V39" s="4">
        <f>IF($K39="","",L39-M39-N39-O39-P39-Q39-R39-S39-T39)</f>
      </c>
      <c r="W39" s="4">
        <f>IF($K39="","",(V39-AC39)/J39*100)</f>
      </c>
      <c r="X39" s="4">
        <f>IF($K39="","",M39-U39)</f>
      </c>
      <c r="AD39" s="4">
        <f>IF($K39="","",V39-AC39)</f>
      </c>
    </row>
    <row r="40" spans="1:35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IF($K40="","",K40/100*7)</f>
      </c>
      <c r="O40" s="4">
        <f>IF($K40="","",N40*20%)</f>
      </c>
      <c r="P40" s="4">
        <f>IF($K40="","",N40*2%)</f>
      </c>
      <c r="Q40" s="4">
        <f>IF($K40="","",P40*20%)</f>
      </c>
      <c r="R40" s="4"/>
      <c r="S40" s="4">
        <f>IF($K40="","",R40*20%)</f>
      </c>
      <c r="T40" s="4">
        <v>1</v>
      </c>
      <c r="U40" s="4">
        <f>IF($K40="","",O40+Q40+S40)</f>
      </c>
      <c r="V40" s="4">
        <f>IF($K40="","",L40-M40-N40-O40-P40-Q40-R40-S40-T40)</f>
      </c>
      <c r="W40" s="4">
        <f>IF($K40="","",(V40-AC40)/J40*100)</f>
      </c>
      <c r="X40" s="4">
        <f>IF($K40="","",M40-U40)</f>
      </c>
      <c r="AD40" s="4">
        <f>IF($K40="","",V40-AC40)</f>
      </c>
    </row>
    <row r="41" spans="1:35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IF($K41="","",K41/100*7)</f>
      </c>
      <c r="O41" s="4">
        <f>IF($K41="","",N41*20%)</f>
      </c>
      <c r="P41" s="4">
        <f>IF($K41="","",N41*2%)</f>
      </c>
      <c r="Q41" s="4">
        <f>IF($K41="","",P41*20%)</f>
      </c>
      <c r="R41" s="4"/>
      <c r="S41" s="4">
        <f>IF($K41="","",R41*20%)</f>
      </c>
      <c r="T41" s="4">
        <v>1</v>
      </c>
      <c r="U41" s="4">
        <f>IF($K41="","",O41+Q41+S41)</f>
      </c>
      <c r="V41" s="4">
        <f>IF($K41="","",L41-M41-N41-O41-P41-Q41-R41-S41-T41)</f>
      </c>
      <c r="W41" s="4">
        <f>IF($K41="","",(V41-AC41)/J41*100)</f>
      </c>
      <c r="X41" s="4">
        <f>IF($K41="","",M41-U41)</f>
      </c>
      <c r="AD41" s="4">
        <f>IF($K41="","",V41-AC41)</f>
      </c>
    </row>
    <row r="42" spans="1:35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IF($K42="","",K42/100*7)</f>
      </c>
      <c r="O42" s="4">
        <f>IF($K42="","",N42*20%)</f>
      </c>
      <c r="P42" s="4">
        <f>IF($K42="","",N42*2%)</f>
      </c>
      <c r="Q42" s="4">
        <f>IF($K42="","",P42*20%)</f>
      </c>
      <c r="R42" s="4"/>
      <c r="S42" s="4">
        <f>IF($K42="","",R42*20%)</f>
      </c>
      <c r="T42" s="4">
        <v>1</v>
      </c>
      <c r="U42" s="4">
        <f>IF($K42="","",O42+Q42+S42)</f>
      </c>
      <c r="V42" s="4">
        <f>IF($K42="","",L42-M42-N42-O42-P42-Q42-R42-S42-T42)</f>
      </c>
      <c r="W42" s="4">
        <f>IF($K42="","",(V42-AC42)/J42*100)</f>
      </c>
      <c r="X42" s="4">
        <f>IF($K42="","",M42-U42)</f>
      </c>
      <c r="AD42" s="4">
        <f>IF($K42="","",V42-AC42)</f>
      </c>
    </row>
    <row r="43" spans="1:35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IF($K43="","",K43/100*7)</f>
      </c>
      <c r="O43" s="4">
        <f>IF($K43="","",N43*20%)</f>
      </c>
      <c r="P43" s="4">
        <f>IF($K43="","",N43*2%)</f>
      </c>
      <c r="Q43" s="4">
        <f>IF($K43="","",P43*20%)</f>
      </c>
      <c r="R43" s="4"/>
      <c r="S43" s="4">
        <f>IF($K43="","",R43*20%)</f>
      </c>
      <c r="T43" s="4">
        <v>1</v>
      </c>
      <c r="U43" s="4">
        <f>IF($K43="","",O43+Q43+S43)</f>
      </c>
      <c r="V43" s="4">
        <f>IF($K43="","",L43-M43-N43-O43-P43-Q43-R43-S43-T43)</f>
      </c>
      <c r="W43" s="4">
        <f>IF($K43="","",(V43-AC43)/J43*100)</f>
      </c>
      <c r="X43" s="4">
        <f>IF($K43="","",M43-U43)</f>
      </c>
      <c r="AD43" s="4">
        <f>IF($K43="","",V43-AC43)</f>
      </c>
    </row>
    <row r="44" spans="1:35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IF($K44="","",K44/100*7)</f>
      </c>
      <c r="O44" s="4">
        <f>IF($K44="","",N44*20%)</f>
      </c>
      <c r="P44" s="4">
        <f>IF($K44="","",N44*2%)</f>
      </c>
      <c r="Q44" s="4">
        <f>IF($K44="","",P44*20%)</f>
      </c>
      <c r="R44" s="4"/>
      <c r="S44" s="4">
        <f>IF($K44="","",R44*20%)</f>
      </c>
      <c r="T44" s="4">
        <v>1</v>
      </c>
      <c r="U44" s="4">
        <f>IF($K44="","",O44+Q44+S44)</f>
      </c>
      <c r="V44" s="4">
        <f>IF($K44="","",L44-M44-N44-O44-P44-Q44-R44-S44-T44)</f>
      </c>
      <c r="W44" s="4">
        <f>IF($K44="","",(V44-AC44)/J44*100)</f>
      </c>
      <c r="X44" s="4">
        <f>IF($K44="","",M44-U44)</f>
      </c>
      <c r="AD44" s="4">
        <f>IF($K44="","",V44-AC44)</f>
      </c>
    </row>
    <row r="45" spans="1:35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IF($K45="","",K45/100*7)</f>
      </c>
      <c r="O45" s="4">
        <f>IF($K45="","",N45*20%)</f>
      </c>
      <c r="P45" s="4">
        <f>IF($K45="","",N45*2%)</f>
      </c>
      <c r="Q45" s="4">
        <f>IF($K45="","",P45*20%)</f>
      </c>
      <c r="R45" s="4"/>
      <c r="S45" s="4">
        <f>IF($K45="","",R45*20%)</f>
      </c>
      <c r="T45" s="4">
        <v>1</v>
      </c>
      <c r="U45" s="4">
        <f>IF($K45="","",O45+Q45+S45)</f>
      </c>
      <c r="V45" s="4">
        <f>IF($K45="","",L45-M45-N45-O45-P45-Q45-R45-S45-T45)</f>
      </c>
      <c r="W45" s="4">
        <f>IF($K45="","",(V45-AC45)/J45*100)</f>
      </c>
      <c r="X45" s="4">
        <f>IF($K45="","",M45-U45)</f>
      </c>
      <c r="AD45" s="4">
        <f>IF($K45="","",V45-AC45)</f>
      </c>
    </row>
    <row r="46" spans="1:35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IF($K46="","",K46/100*7)</f>
      </c>
      <c r="O46" s="4">
        <f>IF($K46="","",N46*20%)</f>
      </c>
      <c r="P46" s="4">
        <f>IF($K46="","",N46*2%)</f>
      </c>
      <c r="Q46" s="4">
        <f>IF($K46="","",P46*20%)</f>
      </c>
      <c r="R46" s="4"/>
      <c r="S46" s="4">
        <f>IF($K46="","",R46*20%)</f>
      </c>
      <c r="T46" s="4">
        <v>1</v>
      </c>
      <c r="U46" s="4">
        <f>IF($K46="","",O46+Q46+S46)</f>
      </c>
      <c r="V46" s="4">
        <f>IF($K46="","",L46-M46-N46-O46-P46-Q46-R46-S46-T46)</f>
      </c>
      <c r="W46" s="4">
        <f>IF($K46="","",(V46-AC46)/J46*100)</f>
      </c>
      <c r="X46" s="4">
        <f>IF($K46="","",M46-U46)</f>
      </c>
      <c r="AD46" s="4">
        <f>IF($K46="","",V46-AC46)</f>
      </c>
    </row>
    <row r="47" spans="1:35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IF($K47="","",K47/100*7)</f>
      </c>
      <c r="O47" s="4">
        <f>IF($K47="","",N47*20%)</f>
      </c>
      <c r="P47" s="4">
        <f>IF($K47="","",N47*2%)</f>
      </c>
      <c r="Q47" s="4">
        <f>IF($K47="","",P47*20%)</f>
      </c>
      <c r="R47" s="4"/>
      <c r="S47" s="4">
        <f>IF($K47="","",R47*20%)</f>
      </c>
      <c r="T47" s="4">
        <v>1</v>
      </c>
      <c r="U47" s="4">
        <f>IF($K47="","",O47+Q47+S47)</f>
      </c>
      <c r="V47" s="4">
        <f>IF($K47="","",L47-M47-N47-O47-P47-Q47-R47-S47-T47)</f>
      </c>
      <c r="W47" s="4">
        <f>IF($K47="","",(V47-AC47)/J47*100)</f>
      </c>
      <c r="X47" s="4">
        <f>IF($K47="","",M47-U47)</f>
      </c>
      <c r="AD47" s="4">
        <f>IF($K47="","",V47-AC47)</f>
      </c>
    </row>
    <row r="48" spans="1:35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IF($K48="","",K48/100*7)</f>
      </c>
      <c r="O48" s="4">
        <f>IF($K48="","",N48*20%)</f>
      </c>
      <c r="P48" s="4">
        <f>IF($K48="","",N48*2%)</f>
      </c>
      <c r="Q48" s="4">
        <f>IF($K48="","",P48*20%)</f>
      </c>
      <c r="R48" s="4"/>
      <c r="S48" s="4">
        <f>IF($K48="","",R48*20%)</f>
      </c>
      <c r="T48" s="4">
        <v>1</v>
      </c>
      <c r="U48" s="4">
        <f>IF($K48="","",O48+Q48+S48)</f>
      </c>
      <c r="V48" s="4">
        <f>IF($K48="","",L48-M48-N48-O48-P48-Q48-R48-S48-T48)</f>
      </c>
      <c r="W48" s="4">
        <f>IF($K48="","",(V48-AC48)/J48*100)</f>
      </c>
      <c r="X48" s="4">
        <f>IF($K48="","",M48-U48)</f>
      </c>
      <c r="AD48" s="4">
        <f>IF($K48="","",V48-AC48)</f>
      </c>
    </row>
    <row r="49" spans="1:35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IF($K49="","",K49/100*7)</f>
      </c>
      <c r="O49" s="4">
        <f>IF($K49="","",N49*20%)</f>
      </c>
      <c r="P49" s="4">
        <f>IF($K49="","",N49*2%)</f>
      </c>
      <c r="Q49" s="4">
        <f>IF($K49="","",P49*20%)</f>
      </c>
      <c r="R49" s="4"/>
      <c r="S49" s="4">
        <f>IF($K49="","",R49*20%)</f>
      </c>
      <c r="T49" s="4">
        <v>1</v>
      </c>
      <c r="U49" s="4">
        <f>IF($K49="","",O49+Q49+S49)</f>
      </c>
      <c r="V49" s="4">
        <f>IF($K49="","",L49-M49-N49-O49-P49-Q49-R49-S49-T49)</f>
      </c>
      <c r="W49" s="4">
        <f>IF($K49="","",(V49-AC49)/J49*100)</f>
      </c>
      <c r="X49" s="4">
        <f>IF($K49="","",M49-U49)</f>
      </c>
      <c r="AD49" s="4">
        <f>IF($K49="","",V49-AC49)</f>
      </c>
    </row>
    <row r="50" spans="1:35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IF($K50="","",K50/100*7)</f>
      </c>
      <c r="O50" s="4">
        <f>IF($K50="","",N50*20%)</f>
      </c>
      <c r="P50" s="4">
        <f>IF($K50="","",N50*2%)</f>
      </c>
      <c r="Q50" s="4">
        <f>IF($K50="","",P50*20%)</f>
      </c>
      <c r="R50" s="4"/>
      <c r="S50" s="4">
        <f>IF($K50="","",R50*20%)</f>
      </c>
      <c r="T50" s="4">
        <v>1</v>
      </c>
      <c r="U50" s="4">
        <f>IF($K50="","",O50+Q50+S50)</f>
      </c>
      <c r="V50" s="4">
        <f>IF($K50="","",L50-M50-N50-O50-P50-Q50-R50-S50-T50)</f>
      </c>
      <c r="W50" s="4">
        <f>IF($K50="","",(V50-AC50)/J50*100)</f>
      </c>
      <c r="X50" s="4">
        <f>IF($K50="","",M50-U50)</f>
      </c>
      <c r="AD50" s="4">
        <f>IF($K50="","",V50-AC50)</f>
      </c>
    </row>
    <row r="51" spans="1:35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IF($K51="","",K51/100*7)</f>
      </c>
      <c r="O51" s="4">
        <f>IF($K51="","",N51*20%)</f>
      </c>
      <c r="P51" s="4">
        <f>IF($K51="","",N51*2%)</f>
      </c>
      <c r="Q51" s="4">
        <f>IF($K51="","",P51*20%)</f>
      </c>
      <c r="R51" s="4"/>
      <c r="S51" s="4">
        <f>IF($K51="","",R51*20%)</f>
      </c>
      <c r="T51" s="4">
        <v>1</v>
      </c>
      <c r="U51" s="4">
        <f>IF($K51="","",O51+Q51+S51)</f>
      </c>
      <c r="V51" s="4">
        <f>IF($K51="","",L51-M51-N51-O51-P51-Q51-R51-S51-T51)</f>
      </c>
      <c r="W51" s="4">
        <f>IF($K51="","",(V51-AC51)/J51*100)</f>
      </c>
      <c r="X51" s="4">
        <f>IF($K51="","",M51-U51)</f>
      </c>
      <c r="AD51" s="4">
        <f>IF($K51="","",V51-AC51)</f>
      </c>
    </row>
    <row r="52" spans="1:35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IF($K52="","",K52/100*7)</f>
      </c>
      <c r="O52" s="4">
        <f>IF($K52="","",N52*20%)</f>
      </c>
      <c r="P52" s="4">
        <f>IF($K52="","",N52*2%)</f>
      </c>
      <c r="Q52" s="4">
        <f>IF($K52="","",P52*20%)</f>
      </c>
      <c r="R52" s="4"/>
      <c r="S52" s="4">
        <f>IF($K52="","",R52*20%)</f>
      </c>
      <c r="T52" s="4">
        <v>1</v>
      </c>
      <c r="U52" s="4">
        <f>IF($K52="","",O52+Q52+S52)</f>
      </c>
      <c r="V52" s="4">
        <f>IF($K52="","",L52-M52-N52-O52-P52-Q52-R52-S52-T52)</f>
      </c>
      <c r="W52" s="4">
        <f>IF($K52="","",(V52-AC52)/J52*100)</f>
      </c>
      <c r="X52" s="4">
        <f>IF($K52="","",M52-U52)</f>
      </c>
      <c r="AD52" s="4">
        <f>IF($K52="","",V52-AC52)</f>
      </c>
    </row>
    <row r="53" spans="1:35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IF($K53="","",K53/100*7)</f>
      </c>
      <c r="O53" s="4">
        <f>IF($K53="","",N53*20%)</f>
      </c>
      <c r="P53" s="4">
        <f>IF($K53="","",N53*2%)</f>
      </c>
      <c r="Q53" s="4">
        <f>IF($K53="","",P53*20%)</f>
      </c>
      <c r="R53" s="4"/>
      <c r="S53" s="4">
        <f>IF($K53="","",R53*20%)</f>
      </c>
      <c r="T53" s="4">
        <v>1</v>
      </c>
      <c r="U53" s="4">
        <f>IF($K53="","",O53+Q53+S53)</f>
      </c>
      <c r="V53" s="4">
        <f>IF($K53="","",L53-M53-N53-O53-P53-Q53-R53-S53-T53)</f>
      </c>
      <c r="W53" s="4">
        <f>IF($K53="","",(V53-AC53)/J53*100)</f>
      </c>
      <c r="X53" s="4">
        <f>IF($K53="","",M53-U53)</f>
      </c>
      <c r="AD53" s="4">
        <f>IF($K53="","",V53-AC53)</f>
      </c>
    </row>
    <row r="54" spans="1:35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IF($K54="","",K54/100*7)</f>
      </c>
      <c r="O54" s="4">
        <f>IF($K54="","",N54*20%)</f>
      </c>
      <c r="P54" s="4">
        <f>IF($K54="","",N54*2%)</f>
      </c>
      <c r="Q54" s="4">
        <f>IF($K54="","",P54*20%)</f>
      </c>
      <c r="R54" s="4"/>
      <c r="S54" s="4">
        <f>IF($K54="","",R54*20%)</f>
      </c>
      <c r="T54" s="4">
        <v>1</v>
      </c>
      <c r="U54" s="4">
        <f>IF($K54="","",O54+Q54+S54)</f>
      </c>
      <c r="V54" s="4">
        <f>IF($K54="","",L54-M54-N54-O54-P54-Q54-R54-S54-T54)</f>
      </c>
      <c r="W54" s="4">
        <f>IF($K54="","",(V54-AC54)/J54*100)</f>
      </c>
      <c r="X54" s="4">
        <f>IF($K54="","",M54-U54)</f>
      </c>
      <c r="AD54" s="4">
        <f>IF($K54="","",V54-AC54)</f>
      </c>
    </row>
    <row r="55" spans="1:35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IF($K55="","",K55/100*7)</f>
      </c>
      <c r="O55" s="4">
        <f>IF($K55="","",N55*20%)</f>
      </c>
      <c r="P55" s="4">
        <f>IF($K55="","",N55*2%)</f>
      </c>
      <c r="Q55" s="4">
        <f>IF($K55="","",P55*20%)</f>
      </c>
      <c r="R55" s="4"/>
      <c r="S55" s="4">
        <f>IF($K55="","",R55*20%)</f>
      </c>
      <c r="T55" s="4">
        <v>1</v>
      </c>
      <c r="U55" s="4">
        <f>IF($K55="","",O55+Q55+S55)</f>
      </c>
      <c r="V55" s="4">
        <f>IF($K55="","",L55-M55-N55-O55-P55-Q55-R55-S55-T55)</f>
      </c>
      <c r="W55" s="4">
        <f>IF($K55="","",(V55-AC55)/J55*100)</f>
      </c>
      <c r="X55" s="4">
        <f>IF($K55="","",M55-U55)</f>
      </c>
      <c r="AD55" s="4">
        <f>IF($K55="","",V55-AC55)</f>
      </c>
    </row>
    <row r="56" spans="1:35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IF($K56="","",K56/100*7)</f>
      </c>
      <c r="O56" s="4">
        <f>IF($K56="","",N56*20%)</f>
      </c>
      <c r="P56" s="4">
        <f>IF($K56="","",N56*2%)</f>
      </c>
      <c r="Q56" s="4">
        <f>IF($K56="","",P56*20%)</f>
      </c>
      <c r="R56" s="4"/>
      <c r="S56" s="4">
        <f>IF($K56="","",R56*20%)</f>
      </c>
      <c r="T56" s="4">
        <v>1</v>
      </c>
      <c r="U56" s="4">
        <f>IF($K56="","",O56+Q56+S56)</f>
      </c>
      <c r="V56" s="4">
        <f>IF($K56="","",L56-M56-N56-O56-P56-Q56-R56-S56-T56)</f>
      </c>
      <c r="W56" s="4">
        <f>IF($K56="","",(V56-AC56)/J56*100)</f>
      </c>
      <c r="X56" s="4">
        <f>IF($K56="","",M56-U56)</f>
      </c>
      <c r="AD56" s="4">
        <f>IF($K56="","",V56-AC56)</f>
      </c>
    </row>
    <row r="57" spans="1:35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IF($K57="","",K57/100*7)</f>
      </c>
      <c r="O57" s="4">
        <f>IF($K57="","",N57*20%)</f>
      </c>
      <c r="P57" s="4">
        <f>IF($K57="","",N57*2%)</f>
      </c>
      <c r="Q57" s="4">
        <f>IF($K57="","",P57*20%)</f>
      </c>
      <c r="R57" s="4"/>
      <c r="S57" s="4">
        <f>IF($K57="","",R57*20%)</f>
      </c>
      <c r="T57" s="4">
        <v>1</v>
      </c>
      <c r="U57" s="4">
        <f>IF($K57="","",O57+Q57+S57)</f>
      </c>
      <c r="V57" s="4">
        <f>IF($K57="","",L57-M57-N57-O57-P57-Q57-R57-S57-T57)</f>
      </c>
      <c r="W57" s="4">
        <f>IF($K57="","",(V57-AC57)/J57*100)</f>
      </c>
      <c r="X57" s="4">
        <f>IF($K57="","",M57-U57)</f>
      </c>
      <c r="AD57" s="4">
        <f>IF($K57="","",V57-AC57)</f>
      </c>
    </row>
    <row r="58" spans="1:35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IF($K58="","",K58/100*7)</f>
      </c>
      <c r="O58" s="4">
        <f>IF($K58="","",N58*20%)</f>
      </c>
      <c r="P58" s="4">
        <f>IF($K58="","",N58*2%)</f>
      </c>
      <c r="Q58" s="4">
        <f>IF($K58="","",P58*20%)</f>
      </c>
      <c r="R58" s="4"/>
      <c r="S58" s="4">
        <f>IF($K58="","",R58*20%)</f>
      </c>
      <c r="T58" s="4">
        <v>1</v>
      </c>
      <c r="U58" s="4">
        <f>IF($K58="","",O58+Q58+S58)</f>
      </c>
      <c r="V58" s="4">
        <f>IF($K58="","",L58-M58-N58-O58-P58-Q58-R58-S58-T58)</f>
      </c>
      <c r="W58" s="4">
        <f>IF($K58="","",(V58-AC58)/J58*100)</f>
      </c>
      <c r="X58" s="4">
        <f>IF($K58="","",M58-U58)</f>
      </c>
      <c r="AD58" s="4">
        <f>IF($K58="","",V58-AC58)</f>
      </c>
    </row>
    <row r="59" spans="1:35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IF($K59="","",K59/100*7)</f>
      </c>
      <c r="O59" s="4">
        <f>IF($K59="","",N59*20%)</f>
      </c>
      <c r="P59" s="4">
        <f>IF($K59="","",N59*2%)</f>
      </c>
      <c r="Q59" s="4">
        <f>IF($K59="","",P59*20%)</f>
      </c>
      <c r="R59" s="4"/>
      <c r="S59" s="4">
        <f>IF($K59="","",R59*20%)</f>
      </c>
      <c r="T59" s="4">
        <v>1</v>
      </c>
      <c r="U59" s="4">
        <f>IF($K59="","",O59+Q59+S59)</f>
      </c>
      <c r="V59" s="4">
        <f>IF($K59="","",L59-M59-N59-O59-P59-Q59-R59-S59-T59)</f>
      </c>
      <c r="W59" s="4">
        <f>IF($K59="","",(V59-AC59)/J59*100)</f>
      </c>
      <c r="X59" s="4">
        <f>IF($K59="","",M59-U59)</f>
      </c>
      <c r="AD59" s="4">
        <f>IF($K59="","",V59-AC59)</f>
      </c>
    </row>
    <row r="60" spans="1:35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IF($K60="","",K60/100*7)</f>
      </c>
      <c r="O60" s="4">
        <f>IF($K60="","",N60*20%)</f>
      </c>
      <c r="P60" s="4">
        <f>IF($K60="","",N60*2%)</f>
      </c>
      <c r="Q60" s="4">
        <f>IF($K60="","",P60*20%)</f>
      </c>
      <c r="R60" s="4"/>
      <c r="S60" s="4">
        <f>IF($K60="","",R60*20%)</f>
      </c>
      <c r="T60" s="4">
        <v>1</v>
      </c>
      <c r="U60" s="4">
        <f>IF($K60="","",O60+Q60+S60)</f>
      </c>
      <c r="V60" s="4">
        <f>IF($K60="","",L60-M60-N60-O60-P60-Q60-R60-S60-T60)</f>
      </c>
      <c r="W60" s="4">
        <f>IF($K60="","",(V60-AC60)/J60*100)</f>
      </c>
      <c r="X60" s="4">
        <f>IF($K60="","",M60-U60)</f>
      </c>
      <c r="AD60" s="4">
        <f>IF($K60="","",V60-AC60)</f>
      </c>
    </row>
    <row r="61" spans="1:35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IF($K61="","",K61/100*7)</f>
      </c>
      <c r="O61" s="4">
        <f>IF($K61="","",N61*20%)</f>
      </c>
      <c r="P61" s="4">
        <f>IF($K61="","",N61*2%)</f>
      </c>
      <c r="Q61" s="4">
        <f>IF($K61="","",P61*20%)</f>
      </c>
      <c r="R61" s="4"/>
      <c r="S61" s="4">
        <f>IF($K61="","",R61*20%)</f>
      </c>
      <c r="T61" s="4">
        <v>1</v>
      </c>
      <c r="U61" s="4">
        <f>IF($K61="","",O61+Q61+S61)</f>
      </c>
      <c r="V61" s="4">
        <f>IF($K61="","",L61-M61-N61-O61-P61-Q61-R61-S61-T61)</f>
      </c>
      <c r="W61" s="4">
        <f>IF($K61="","",(V61-AC61)/J61*100)</f>
      </c>
      <c r="X61" s="4">
        <f>IF($K61="","",M61-U61)</f>
      </c>
      <c r="AD61" s="4">
        <f>IF($K61="","",V61-AC61)</f>
      </c>
    </row>
    <row r="62" spans="1:35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IF($K62="","",K62/100*7)</f>
      </c>
      <c r="O62" s="4">
        <f>IF($K62="","",N62*20%)</f>
      </c>
      <c r="P62" s="4">
        <f>IF($K62="","",N62*2%)</f>
      </c>
      <c r="Q62" s="4">
        <f>IF($K62="","",P62*20%)</f>
      </c>
      <c r="R62" s="4"/>
      <c r="S62" s="4">
        <f>IF($K62="","",R62*20%)</f>
      </c>
      <c r="T62" s="4">
        <v>1</v>
      </c>
      <c r="U62" s="4">
        <f>IF($K62="","",O62+Q62+S62)</f>
      </c>
      <c r="V62" s="4">
        <f>IF($K62="","",L62-M62-N62-O62-P62-Q62-R62-S62-T62)</f>
      </c>
      <c r="W62" s="4">
        <f>IF($K62="","",(V62-AC62)/J62*100)</f>
      </c>
      <c r="X62" s="4">
        <f>IF($K62="","",M62-U62)</f>
      </c>
      <c r="AD62" s="4">
        <f>IF($K62="","",V62-AC62)</f>
      </c>
    </row>
    <row r="63" spans="1:35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IF($K63="","",K63/100*7)</f>
      </c>
      <c r="O63" s="4">
        <f>IF($K63="","",N63*20%)</f>
      </c>
      <c r="P63" s="4">
        <f>IF($K63="","",N63*2%)</f>
      </c>
      <c r="Q63" s="4">
        <f>IF($K63="","",P63*20%)</f>
      </c>
      <c r="R63" s="4"/>
      <c r="S63" s="4">
        <f>IF($K63="","",R63*20%)</f>
      </c>
      <c r="T63" s="4">
        <v>1</v>
      </c>
      <c r="U63" s="4">
        <f>IF($K63="","",O63+Q63+S63)</f>
      </c>
      <c r="V63" s="4">
        <f>IF($K63="","",L63-M63-N63-O63-P63-Q63-R63-S63-T63)</f>
      </c>
      <c r="W63" s="4">
        <f>IF($K63="","",(V63-AC63)/J63*100)</f>
      </c>
      <c r="X63" s="4">
        <f>IF($K63="","",M63-U63)</f>
      </c>
      <c r="AD63" s="4">
        <f>IF($K63="","",V63-AC63)</f>
      </c>
    </row>
    <row r="64" spans="1:35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IF($K64="","",K64/100*7)</f>
      </c>
      <c r="O64" s="4">
        <f>IF($K64="","",N64*20%)</f>
      </c>
      <c r="P64" s="4">
        <f>IF($K64="","",N64*2%)</f>
      </c>
      <c r="Q64" s="4">
        <f>IF($K64="","",P64*20%)</f>
      </c>
      <c r="R64" s="4"/>
      <c r="S64" s="4">
        <f>IF($K64="","",R64*20%)</f>
      </c>
      <c r="T64" s="4">
        <v>1</v>
      </c>
      <c r="U64" s="4">
        <f>IF($K64="","",O64+Q64+S64)</f>
      </c>
      <c r="V64" s="4">
        <f>IF($K64="","",L64-M64-N64-O64-P64-Q64-R64-S64-T64)</f>
      </c>
      <c r="W64" s="4">
        <f>IF($K64="","",(V64-AC64)/J64*100)</f>
      </c>
      <c r="X64" s="4">
        <f>IF($K64="","",M64-U64)</f>
      </c>
      <c r="AD64" s="4">
        <f>IF($K64="","",V64-AC64)</f>
      </c>
    </row>
    <row r="65" spans="1:35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IF($K65="","",K65/100*7)</f>
      </c>
      <c r="O65" s="4">
        <f>IF($K65="","",N65*20%)</f>
      </c>
      <c r="P65" s="4">
        <f>IF($K65="","",N65*2%)</f>
      </c>
      <c r="Q65" s="4">
        <f>IF($K65="","",P65*20%)</f>
      </c>
      <c r="R65" s="4"/>
      <c r="S65" s="4">
        <f>IF($K65="","",R65*20%)</f>
      </c>
      <c r="T65" s="4">
        <v>1</v>
      </c>
      <c r="U65" s="4">
        <f>IF($K65="","",O65+Q65+S65)</f>
      </c>
      <c r="V65" s="4">
        <f>IF($K65="","",L65-M65-N65-O65-P65-Q65-R65-S65-T65)</f>
      </c>
      <c r="W65" s="4">
        <f>IF($K65="","",(V65-AC65)/J65*100)</f>
      </c>
      <c r="X65" s="4">
        <f>IF($K65="","",M65-U65)</f>
      </c>
      <c r="AD65" s="4">
        <f>IF($K65="","",V65-AC65)</f>
      </c>
    </row>
    <row r="66" spans="1:35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IF($K66="","",K66/100*7)</f>
      </c>
      <c r="O66" s="4">
        <f>IF($K66="","",N66*20%)</f>
      </c>
      <c r="P66" s="4">
        <f>IF($K66="","",N66*2%)</f>
      </c>
      <c r="Q66" s="4">
        <f>IF($K66="","",P66*20%)</f>
      </c>
      <c r="R66" s="4"/>
      <c r="S66" s="4">
        <f>IF($K66="","",R66*20%)</f>
      </c>
      <c r="T66" s="4">
        <v>1</v>
      </c>
      <c r="U66" s="4">
        <f>IF($K66="","",O66+Q66+S66)</f>
      </c>
      <c r="V66" s="4">
        <f>IF($K66="","",L66-M66-N66-O66-P66-Q66-R66-S66-T66)</f>
      </c>
      <c r="W66" s="4">
        <f>IF($K66="","",(V66-AC66)/J66*100)</f>
      </c>
      <c r="X66" s="4">
        <f>IF($K66="","",M66-U66)</f>
      </c>
      <c r="AD66" s="4">
        <f>IF($K66="","",V66-AC66)</f>
      </c>
    </row>
    <row r="67" spans="1:35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IF($K67="","",K67/100*7)</f>
      </c>
      <c r="O67" s="4">
        <f>IF($K67="","",N67*20%)</f>
      </c>
      <c r="P67" s="4">
        <f>IF($K67="","",N67*2%)</f>
      </c>
      <c r="Q67" s="4">
        <f>IF($K67="","",P67*20%)</f>
      </c>
      <c r="R67" s="4"/>
      <c r="S67" s="4">
        <f>IF($K67="","",R67*20%)</f>
      </c>
      <c r="T67" s="4">
        <v>1</v>
      </c>
      <c r="U67" s="4">
        <f>IF($K67="","",O67+Q67+S67)</f>
      </c>
      <c r="V67" s="4">
        <f>IF($K67="","",L67-M67-N67-O67-P67-Q67-R67-S67-T67)</f>
      </c>
      <c r="W67" s="4">
        <f>IF($K67="","",(V67-AC67)/J67*100)</f>
      </c>
      <c r="X67" s="4">
        <f>IF($K67="","",M67-U67)</f>
      </c>
      <c r="AD67" s="4">
        <f>IF($K67="","",V67-AC67)</f>
      </c>
    </row>
    <row r="68" spans="1:35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IF($K68="","",K68/100*7)</f>
      </c>
      <c r="O68" s="4">
        <f>IF($K68="","",N68*20%)</f>
      </c>
      <c r="P68" s="4">
        <f>IF($K68="","",N68*2%)</f>
      </c>
      <c r="Q68" s="4">
        <f>IF($K68="","",P68*20%)</f>
      </c>
      <c r="R68" s="4"/>
      <c r="S68" s="4">
        <f>IF($K68="","",R68*20%)</f>
      </c>
      <c r="T68" s="4">
        <v>1</v>
      </c>
      <c r="U68" s="4">
        <f>IF($K68="","",O68+Q68+S68)</f>
      </c>
      <c r="V68" s="4">
        <f>IF($K68="","",L68-M68-N68-O68-P68-Q68-R68-S68-T68)</f>
      </c>
      <c r="W68" s="4">
        <f>IF($K68="","",(V68-AC68)/J68*100)</f>
      </c>
      <c r="X68" s="4">
        <f>IF($K68="","",M68-U68)</f>
      </c>
      <c r="AD68" s="4">
        <f>IF($K68="","",V68-AC68)</f>
      </c>
    </row>
    <row r="69" spans="1:35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IF($K69="","",K69/100*7)</f>
      </c>
      <c r="O69" s="4">
        <f>IF($K69="","",N69*20%)</f>
      </c>
      <c r="P69" s="4">
        <f>IF($K69="","",N69*2%)</f>
      </c>
      <c r="Q69" s="4">
        <f>IF($K69="","",P69*20%)</f>
      </c>
      <c r="R69" s="4"/>
      <c r="S69" s="4">
        <f>IF($K69="","",R69*20%)</f>
      </c>
      <c r="T69" s="4">
        <v>1</v>
      </c>
      <c r="U69" s="4">
        <f>IF($K69="","",O69+Q69+S69)</f>
      </c>
      <c r="V69" s="4">
        <f>IF($K69="","",L69-M69-N69-O69-P69-Q69-R69-S69-T69)</f>
      </c>
      <c r="W69" s="4">
        <f>IF($K69="","",(V69-AC69)/J69*100)</f>
      </c>
      <c r="X69" s="4">
        <f>IF($K69="","",M69-U69)</f>
      </c>
      <c r="AD69" s="4">
        <f>IF($K69="","",V69-AC69)</f>
      </c>
    </row>
    <row r="70" spans="1:35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IF($K70="","",K70/100*7)</f>
      </c>
      <c r="O70" s="4">
        <f>IF($K70="","",N70*20%)</f>
      </c>
      <c r="P70" s="4">
        <f>IF($K70="","",N70*2%)</f>
      </c>
      <c r="Q70" s="4">
        <f>IF($K70="","",P70*20%)</f>
      </c>
      <c r="R70" s="4"/>
      <c r="S70" s="4">
        <f>IF($K70="","",R70*20%)</f>
      </c>
      <c r="T70" s="4">
        <v>1</v>
      </c>
      <c r="U70" s="4">
        <f>IF($K70="","",O70+Q70+S70)</f>
      </c>
      <c r="V70" s="4">
        <f>IF($K70="","",L70-M70-N70-O70-P70-Q70-R70-S70-T70)</f>
      </c>
      <c r="W70" s="4">
        <f>IF($K70="","",(V70-AC70)/J70*100)</f>
      </c>
      <c r="X70" s="4">
        <f>IF($K70="","",M70-U70)</f>
      </c>
      <c r="AD70" s="4">
        <f>IF($K70="","",V70-AC70)</f>
      </c>
    </row>
    <row r="71" spans="1:35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IF($K71="","",K71/100*7)</f>
      </c>
      <c r="O71" s="4">
        <f>IF($K71="","",N71*20%)</f>
      </c>
      <c r="P71" s="4">
        <f>IF($K71="","",N71*2%)</f>
      </c>
      <c r="Q71" s="4">
        <f>IF($K71="","",P71*20%)</f>
      </c>
      <c r="R71" s="4"/>
      <c r="S71" s="4">
        <f>IF($K71="","",R71*20%)</f>
      </c>
      <c r="T71" s="4">
        <v>1</v>
      </c>
      <c r="U71" s="4">
        <f>IF($K71="","",O71+Q71+S71)</f>
      </c>
      <c r="V71" s="4">
        <f>IF($K71="","",L71-M71-N71-O71-P71-Q71-R71-S71-T71)</f>
      </c>
      <c r="W71" s="4">
        <f>IF($K71="","",(V71-AC71)/J71*100)</f>
      </c>
      <c r="X71" s="4">
        <f>IF($K71="","",M71-U71)</f>
      </c>
      <c r="AD71" s="4">
        <f>IF($K71="","",V71-AC71)</f>
      </c>
    </row>
    <row r="72" spans="1:35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IF($K72="","",K72/100*7)</f>
      </c>
      <c r="O72" s="4">
        <f>IF($K72="","",N72*20%)</f>
      </c>
      <c r="P72" s="4">
        <f>IF($K72="","",N72*2%)</f>
      </c>
      <c r="Q72" s="4">
        <f>IF($K72="","",P72*20%)</f>
      </c>
      <c r="R72" s="4"/>
      <c r="S72" s="4">
        <f>IF($K72="","",R72*20%)</f>
      </c>
      <c r="T72" s="4">
        <v>1</v>
      </c>
      <c r="U72" s="4">
        <f>IF($K72="","",O72+Q72+S72)</f>
      </c>
      <c r="V72" s="4">
        <f>IF($K72="","",L72-M72-N72-O72-P72-Q72-R72-S72-T72)</f>
      </c>
      <c r="W72" s="4">
        <f>IF($K72="","",(V72-AC72)/J72*100)</f>
      </c>
      <c r="X72" s="4">
        <f>IF($K72="","",M72-U72)</f>
      </c>
      <c r="AD72" s="4">
        <f>IF($K72="","",V72-AC72)</f>
      </c>
    </row>
    <row r="73" spans="1:35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IF($K73="","",K73/100*7)</f>
      </c>
      <c r="O73" s="4">
        <f>IF($K73="","",N73*20%)</f>
      </c>
      <c r="P73" s="4">
        <f>IF($K73="","",N73*2%)</f>
      </c>
      <c r="Q73" s="4">
        <f>IF($K73="","",P73*20%)</f>
      </c>
      <c r="R73" s="4"/>
      <c r="S73" s="4">
        <f>IF($K73="","",R73*20%)</f>
      </c>
      <c r="T73" s="4">
        <v>1</v>
      </c>
      <c r="U73" s="4">
        <f>IF($K73="","",O73+Q73+S73)</f>
      </c>
      <c r="V73" s="4">
        <f>IF($K73="","",L73-M73-N73-O73-P73-Q73-R73-S73-T73)</f>
      </c>
      <c r="W73" s="4">
        <f>IF($K73="","",(V73-AC73)/J73*100)</f>
      </c>
      <c r="X73" s="4">
        <f>IF($K73="","",M73-U73)</f>
      </c>
      <c r="AD73" s="4">
        <f>IF($K73="","",V73-AC73)</f>
      </c>
    </row>
    <row r="74" spans="1:35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IF($K74="","",K74/100*7)</f>
      </c>
      <c r="O74" s="4">
        <f>IF($K74="","",N74*20%)</f>
      </c>
      <c r="P74" s="4">
        <f>IF($K74="","",N74*2%)</f>
      </c>
      <c r="Q74" s="4">
        <f>IF($K74="","",P74*20%)</f>
      </c>
      <c r="R74" s="4"/>
      <c r="S74" s="4">
        <f>IF($K74="","",R74*20%)</f>
      </c>
      <c r="T74" s="4">
        <v>1</v>
      </c>
      <c r="U74" s="4">
        <f>IF($K74="","",O74+Q74+S74)</f>
      </c>
      <c r="V74" s="4">
        <f>IF($K74="","",L74-M74-N74-O74-P74-Q74-R74-S74-T74)</f>
      </c>
      <c r="W74" s="4">
        <f>IF($K74="","",(V74-AC74)/J74*100)</f>
      </c>
      <c r="X74" s="4">
        <f>IF($K74="","",M74-U74)</f>
      </c>
      <c r="AD74" s="4">
        <f>IF($K74="","",V74-AC74)</f>
      </c>
    </row>
    <row r="75" spans="1:35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IF($K75="","",K75/100*7)</f>
      </c>
      <c r="O75" s="4">
        <f>IF($K75="","",N75*20%)</f>
      </c>
      <c r="P75" s="4">
        <f>IF($K75="","",N75*2%)</f>
      </c>
      <c r="Q75" s="4">
        <f>IF($K75="","",P75*20%)</f>
      </c>
      <c r="R75" s="4"/>
      <c r="S75" s="4">
        <f>IF($K75="","",R75*20%)</f>
      </c>
      <c r="T75" s="4">
        <v>1</v>
      </c>
      <c r="U75" s="4">
        <f>IF($K75="","",O75+Q75+S75)</f>
      </c>
      <c r="V75" s="4">
        <f>IF($K75="","",L75-M75-N75-O75-P75-Q75-R75-S75-T75)</f>
      </c>
      <c r="W75" s="4">
        <f>IF($K75="","",(V75-AC75)/J75*100)</f>
      </c>
      <c r="X75" s="4">
        <f>IF($K75="","",M75-U75)</f>
      </c>
      <c r="AD75" s="4">
        <f>IF($K75="","",V75-AC75)</f>
      </c>
    </row>
    <row r="76" spans="1:35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IF($K76="","",K76/100*7)</f>
      </c>
      <c r="O76" s="4">
        <f>IF($K76="","",N76*20%)</f>
      </c>
      <c r="P76" s="4">
        <f>IF($K76="","",N76*2%)</f>
      </c>
      <c r="Q76" s="4">
        <f>IF($K76="","",P76*20%)</f>
      </c>
      <c r="R76" s="4"/>
      <c r="S76" s="4">
        <f>IF($K76="","",R76*20%)</f>
      </c>
      <c r="T76" s="4">
        <v>1</v>
      </c>
      <c r="U76" s="4">
        <f>IF($K76="","",O76+Q76+S76)</f>
      </c>
      <c r="V76" s="4">
        <f>IF($K76="","",L76-M76-N76-O76-P76-Q76-R76-S76-T76)</f>
      </c>
      <c r="W76" s="4">
        <f>IF($K76="","",(V76-AC76)/J76*100)</f>
      </c>
      <c r="X76" s="4">
        <f>IF($K76="","",M76-U76)</f>
      </c>
      <c r="AD76" s="4">
        <f>IF($K76="","",V76-AC76)</f>
      </c>
    </row>
    <row r="77" spans="1:35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IF($K77="","",K77/100*7)</f>
      </c>
      <c r="O77" s="4">
        <f>IF($K77="","",N77*20%)</f>
      </c>
      <c r="P77" s="4">
        <f>IF($K77="","",N77*2%)</f>
      </c>
      <c r="Q77" s="4">
        <f>IF($K77="","",P77*20%)</f>
      </c>
      <c r="R77" s="4"/>
      <c r="S77" s="4">
        <f>IF($K77="","",R77*20%)</f>
      </c>
      <c r="T77" s="4">
        <v>1</v>
      </c>
      <c r="U77" s="4">
        <f>IF($K77="","",O77+Q77+S77)</f>
      </c>
      <c r="V77" s="4">
        <f>IF($K77="","",L77-M77-N77-O77-P77-Q77-R77-S77-T77)</f>
      </c>
      <c r="W77" s="4">
        <f>IF($K77="","",(V77-AC77)/J77*100)</f>
      </c>
      <c r="X77" s="4">
        <f>IF($K77="","",M77-U77)</f>
      </c>
      <c r="AD77" s="4">
        <f>IF($K77="","",V77-AC77)</f>
      </c>
    </row>
    <row r="78" spans="1:35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IF($K78="","",K78/100*7)</f>
      </c>
      <c r="O78" s="4">
        <f>IF($K78="","",N78*20%)</f>
      </c>
      <c r="P78" s="4">
        <f>IF($K78="","",N78*2%)</f>
      </c>
      <c r="Q78" s="4">
        <f>IF($K78="","",P78*20%)</f>
      </c>
      <c r="R78" s="4"/>
      <c r="S78" s="4">
        <f>IF($K78="","",R78*20%)</f>
      </c>
      <c r="T78" s="4">
        <v>1</v>
      </c>
      <c r="U78" s="4">
        <f>IF($K78="","",O78+Q78+S78)</f>
      </c>
      <c r="V78" s="4">
        <f>IF($K78="","",L78-M78-N78-O78-P78-Q78-R78-S78-T78)</f>
      </c>
      <c r="W78" s="4">
        <f>IF($K78="","",(V78-AC78)/J78*100)</f>
      </c>
      <c r="X78" s="4">
        <f>IF($K78="","",M78-U78)</f>
      </c>
      <c r="AD78" s="4">
        <f>IF($K78="","",V78-AC78)</f>
      </c>
    </row>
    <row r="79" spans="1:35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IF($K79="","",K79/100*7)</f>
      </c>
      <c r="O79" s="4">
        <f>IF($K79="","",N79*20%)</f>
      </c>
      <c r="P79" s="4">
        <f>IF($K79="","",N79*2%)</f>
      </c>
      <c r="Q79" s="4">
        <f>IF($K79="","",P79*20%)</f>
      </c>
      <c r="R79" s="4"/>
      <c r="S79" s="4">
        <f>IF($K79="","",R79*20%)</f>
      </c>
      <c r="T79" s="4">
        <v>1</v>
      </c>
      <c r="U79" s="4">
        <f>IF($K79="","",O79+Q79+S79)</f>
      </c>
      <c r="V79" s="4">
        <f>IF($K79="","",L79-M79-N79-O79-P79-Q79-R79-S79-T79)</f>
      </c>
      <c r="W79" s="4">
        <f>IF($K79="","",(V79-AC79)/J79*100)</f>
      </c>
      <c r="X79" s="4">
        <f>IF($K79="","",M79-U79)</f>
      </c>
      <c r="AD79" s="4">
        <f>IF($K79="","",V79-AC79)</f>
      </c>
    </row>
    <row r="80" spans="1:35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IF($K80="","",K80/100*7)</f>
      </c>
      <c r="O80" s="4">
        <f>IF($K80="","",N80*20%)</f>
      </c>
      <c r="P80" s="4">
        <f>IF($K80="","",N80*2%)</f>
      </c>
      <c r="Q80" s="4">
        <f>IF($K80="","",P80*20%)</f>
      </c>
      <c r="R80" s="4"/>
      <c r="S80" s="4">
        <f>IF($K80="","",R80*20%)</f>
      </c>
      <c r="T80" s="4">
        <v>1</v>
      </c>
      <c r="U80" s="4">
        <f>IF($K80="","",O80+Q80+S80)</f>
      </c>
      <c r="V80" s="4">
        <f>IF($K80="","",L80-M80-N80-O80-P80-Q80-R80-S80-T80)</f>
      </c>
      <c r="W80" s="4">
        <f>IF($K80="","",(V80-AC80)/J80*100)</f>
      </c>
      <c r="X80" s="4">
        <f>IF($K80="","",M80-U80)</f>
      </c>
      <c r="AD80" s="4">
        <f>IF($K80="","",V80-AC80)</f>
      </c>
    </row>
    <row r="81" spans="1:35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IF($K81="","",K81/100*7)</f>
      </c>
      <c r="O81" s="4">
        <f>IF($K81="","",N81*20%)</f>
      </c>
      <c r="P81" s="4">
        <f>IF($K81="","",N81*2%)</f>
      </c>
      <c r="Q81" s="4">
        <f>IF($K81="","",P81*20%)</f>
      </c>
      <c r="R81" s="4"/>
      <c r="S81" s="4">
        <f>IF($K81="","",R81*20%)</f>
      </c>
      <c r="T81" s="4">
        <v>1</v>
      </c>
      <c r="U81" s="4">
        <f>IF($K81="","",O81+Q81+S81)</f>
      </c>
      <c r="V81" s="4">
        <f>IF($K81="","",L81-M81-N81-O81-P81-Q81-R81-S81-T81)</f>
      </c>
      <c r="W81" s="4">
        <f>IF($K81="","",(V81-AC81)/J81*100)</f>
      </c>
      <c r="X81" s="4">
        <f>IF($K81="","",M81-U81)</f>
      </c>
      <c r="AD81" s="4">
        <f>IF($K81="","",V81-AC81)</f>
      </c>
    </row>
    <row r="82" spans="1:35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IF($K82="","",K82/100*7)</f>
      </c>
      <c r="O82" s="4">
        <f>IF($K82="","",N82*20%)</f>
      </c>
      <c r="P82" s="4">
        <f>IF($K82="","",N82*2%)</f>
      </c>
      <c r="Q82" s="4">
        <f>IF($K82="","",P82*20%)</f>
      </c>
      <c r="R82" s="4"/>
      <c r="S82" s="4">
        <f>IF($K82="","",R82*20%)</f>
      </c>
      <c r="T82" s="4">
        <v>1</v>
      </c>
      <c r="U82" s="4">
        <f>IF($K82="","",O82+Q82+S82)</f>
      </c>
      <c r="V82" s="4">
        <f>IF($K82="","",L82-M82-N82-O82-P82-Q82-R82-S82-T82)</f>
      </c>
      <c r="W82" s="4">
        <f>IF($K82="","",(V82-AC82)/J82*100)</f>
      </c>
      <c r="X82" s="4">
        <f>IF($K82="","",M82-U82)</f>
      </c>
      <c r="AD82" s="4">
        <f>IF($K82="","",V82-AC82)</f>
      </c>
    </row>
    <row r="83" spans="1:35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IF($K83="","",K83/100*7)</f>
      </c>
      <c r="O83" s="4">
        <f>IF($K83="","",N83*20%)</f>
      </c>
      <c r="P83" s="4">
        <f>IF($K83="","",N83*2%)</f>
      </c>
      <c r="Q83" s="4">
        <f>IF($K83="","",P83*20%)</f>
      </c>
      <c r="R83" s="4"/>
      <c r="S83" s="4">
        <f>IF($K83="","",R83*20%)</f>
      </c>
      <c r="T83" s="4">
        <v>1</v>
      </c>
      <c r="U83" s="4">
        <f>IF($K83="","",O83+Q83+S83)</f>
      </c>
      <c r="V83" s="4">
        <f>IF($K83="","",L83-M83-N83-O83-P83-Q83-R83-S83-T83)</f>
      </c>
      <c r="W83" s="4">
        <f>IF($K83="","",(V83-AC83)/J83*100)</f>
      </c>
      <c r="X83" s="4">
        <f>IF($K83="","",M83-U83)</f>
      </c>
      <c r="AD83" s="4">
        <f>IF($K83="","",V83-AC83)</f>
      </c>
    </row>
    <row r="84" spans="1:35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IF($K84="","",K84/100*7)</f>
      </c>
      <c r="O84" s="4">
        <f>IF($K84="","",N84*20%)</f>
      </c>
      <c r="P84" s="4">
        <f>IF($K84="","",N84*2%)</f>
      </c>
      <c r="Q84" s="4">
        <f>IF($K84="","",P84*20%)</f>
      </c>
      <c r="R84" s="4"/>
      <c r="S84" s="4">
        <f>IF($K84="","",R84*20%)</f>
      </c>
      <c r="T84" s="4">
        <v>1</v>
      </c>
      <c r="U84" s="4">
        <f>IF($K84="","",O84+Q84+S84)</f>
      </c>
      <c r="V84" s="4">
        <f>IF($K84="","",L84-M84-N84-O84-P84-Q84-R84-S84-T84)</f>
      </c>
      <c r="W84" s="4">
        <f>IF($K84="","",(V84-AC84)/J84*100)</f>
      </c>
      <c r="X84" s="4">
        <f>IF($K84="","",M84-U84)</f>
      </c>
      <c r="AD84" s="4">
        <f>IF($K84="","",V84-AC84)</f>
      </c>
    </row>
    <row r="85" spans="1:35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IF($K85="","",K85/100*7)</f>
      </c>
      <c r="O85" s="4">
        <f>IF($K85="","",N85*20%)</f>
      </c>
      <c r="P85" s="4">
        <f>IF($K85="","",N85*2%)</f>
      </c>
      <c r="Q85" s="4">
        <f>IF($K85="","",P85*20%)</f>
      </c>
      <c r="R85" s="4"/>
      <c r="S85" s="4">
        <f>IF($K85="","",R85*20%)</f>
      </c>
      <c r="T85" s="4">
        <v>1</v>
      </c>
      <c r="U85" s="4">
        <f>IF($K85="","",O85+Q85+S85)</f>
      </c>
      <c r="V85" s="4">
        <f>IF($K85="","",L85-M85-N85-O85-P85-Q85-R85-S85-T85)</f>
      </c>
      <c r="W85" s="4">
        <f>IF($K85="","",(V85-AC85)/J85*100)</f>
      </c>
      <c r="X85" s="4">
        <f>IF($K85="","",M85-U85)</f>
      </c>
      <c r="AD85" s="4">
        <f>IF($K85="","",V85-AC85)</f>
      </c>
    </row>
    <row r="86" spans="1:35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IF($K86="","",K86/100*7)</f>
      </c>
      <c r="O86" s="4">
        <f>IF($K86="","",N86*20%)</f>
      </c>
      <c r="P86" s="4">
        <f>IF($K86="","",N86*2%)</f>
      </c>
      <c r="Q86" s="4">
        <f>IF($K86="","",P86*20%)</f>
      </c>
      <c r="R86" s="4"/>
      <c r="S86" s="4">
        <f>IF($K86="","",R86*20%)</f>
      </c>
      <c r="T86" s="4">
        <v>1</v>
      </c>
      <c r="U86" s="4">
        <f>IF($K86="","",O86+Q86+S86)</f>
      </c>
      <c r="V86" s="4">
        <f>IF($K86="","",L86-M86-N86-O86-P86-Q86-R86-S86-T86)</f>
      </c>
      <c r="W86" s="4">
        <f>IF($K86="","",(V86-AC86)/J86*100)</f>
      </c>
      <c r="X86" s="4">
        <f>IF($K86="","",M86-U86)</f>
      </c>
      <c r="AD86" s="4">
        <f>IF($K86="","",V86-AC86)</f>
      </c>
    </row>
    <row r="87" spans="1:35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IF($K87="","",K87/100*7)</f>
      </c>
      <c r="O87" s="4">
        <f>IF($K87="","",N87*20%)</f>
      </c>
      <c r="P87" s="4">
        <f>IF($K87="","",N87*2%)</f>
      </c>
      <c r="Q87" s="4">
        <f>IF($K87="","",P87*20%)</f>
      </c>
      <c r="R87" s="4"/>
      <c r="S87" s="4">
        <f>IF($K87="","",R87*20%)</f>
      </c>
      <c r="T87" s="4">
        <v>1</v>
      </c>
      <c r="U87" s="4">
        <f>IF($K87="","",O87+Q87+S87)</f>
      </c>
      <c r="V87" s="4">
        <f>IF($K87="","",L87-M87-N87-O87-P87-Q87-R87-S87-T87)</f>
      </c>
      <c r="W87" s="4">
        <f>IF($K87="","",(V87-AC87)/J87*100)</f>
      </c>
      <c r="X87" s="4">
        <f>IF($K87="","",M87-U87)</f>
      </c>
      <c r="AD87" s="4">
        <f>IF($K87="","",V87-AC87)</f>
      </c>
    </row>
    <row r="88" spans="1:35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IF($K88="","",K88/100*7)</f>
      </c>
      <c r="O88" s="4">
        <f>IF($K88="","",N88*20%)</f>
      </c>
      <c r="P88" s="4">
        <f>IF($K88="","",N88*2%)</f>
      </c>
      <c r="Q88" s="4">
        <f>IF($K88="","",P88*20%)</f>
      </c>
      <c r="R88" s="4"/>
      <c r="S88" s="4">
        <f>IF($K88="","",R88*20%)</f>
      </c>
      <c r="T88" s="4">
        <v>1</v>
      </c>
      <c r="U88" s="4">
        <f>IF($K88="","",O88+Q88+S88)</f>
      </c>
      <c r="V88" s="4">
        <f>IF($K88="","",L88-M88-N88-O88-P88-Q88-R88-S88-T88)</f>
      </c>
      <c r="W88" s="4">
        <f>IF($K88="","",(V88-AC88)/J88*100)</f>
      </c>
      <c r="X88" s="4">
        <f>IF($K88="","",M88-U88)</f>
      </c>
      <c r="AD88" s="4">
        <f>IF($K88="","",V88-AC88)</f>
      </c>
    </row>
    <row r="89" spans="1:35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IF($K89="","",K89/100*7)</f>
      </c>
      <c r="O89" s="4">
        <f>IF($K89="","",N89*20%)</f>
      </c>
      <c r="P89" s="4">
        <f>IF($K89="","",N89*2%)</f>
      </c>
      <c r="Q89" s="4">
        <f>IF($K89="","",P89*20%)</f>
      </c>
      <c r="R89" s="4"/>
      <c r="S89" s="4">
        <f>IF($K89="","",R89*20%)</f>
      </c>
      <c r="T89" s="4">
        <v>1</v>
      </c>
      <c r="U89" s="4">
        <f>IF($K89="","",O89+Q89+S89)</f>
      </c>
      <c r="V89" s="4">
        <f>IF($K89="","",L89-M89-N89-O89-P89-Q89-R89-S89-T89)</f>
      </c>
      <c r="W89" s="4">
        <f>IF($K89="","",(V89-AC89)/J89*100)</f>
      </c>
      <c r="X89" s="4">
        <f>IF($K89="","",M89-U89)</f>
      </c>
      <c r="AD89" s="4">
        <f>IF($K89="","",V89-AC89)</f>
      </c>
    </row>
    <row r="90" spans="1:35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IF($K90="","",K90/100*7)</f>
      </c>
      <c r="O90" s="4">
        <f>IF($K90="","",N90*20%)</f>
      </c>
      <c r="P90" s="4">
        <f>IF($K90="","",N90*2%)</f>
      </c>
      <c r="Q90" s="4">
        <f>IF($K90="","",P90*20%)</f>
      </c>
      <c r="R90" s="4"/>
      <c r="S90" s="4">
        <f>IF($K90="","",R90*20%)</f>
      </c>
      <c r="T90" s="4">
        <v>1</v>
      </c>
      <c r="U90" s="4">
        <f>IF($K90="","",O90+Q90+S90)</f>
      </c>
      <c r="V90" s="4">
        <f>IF($K90="","",L90-M90-N90-O90-P90-Q90-R90-S90-T90)</f>
      </c>
      <c r="W90" s="4">
        <f>IF($K90="","",(V90-AC90)/J90*100)</f>
      </c>
      <c r="X90" s="4">
        <f>IF($K90="","",M90-U90)</f>
      </c>
      <c r="AD90" s="4">
        <f>IF($K90="","",V90-AC90)</f>
      </c>
    </row>
    <row r="91" spans="1:35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IF($K91="","",K91/100*7)</f>
      </c>
      <c r="O91" s="4">
        <f>IF($K91="","",N91*20%)</f>
      </c>
      <c r="P91" s="4">
        <f>IF($K91="","",N91*2%)</f>
      </c>
      <c r="Q91" s="4">
        <f>IF($K91="","",P91*20%)</f>
      </c>
      <c r="R91" s="4"/>
      <c r="S91" s="4">
        <f>IF($K91="","",R91*20%)</f>
      </c>
      <c r="T91" s="4">
        <v>1</v>
      </c>
      <c r="U91" s="4">
        <f>IF($K91="","",O91+Q91+S91)</f>
      </c>
      <c r="V91" s="4">
        <f>IF($K91="","",L91-M91-N91-O91-P91-Q91-R91-S91-T91)</f>
      </c>
      <c r="W91" s="4">
        <f>IF($K91="","",(V91-AC91)/J91*100)</f>
      </c>
      <c r="X91" s="4">
        <f>IF($K91="","",M91-U91)</f>
      </c>
      <c r="AD91" s="4">
        <f>IF($K91="","",V91-AC91)</f>
      </c>
    </row>
    <row r="92" spans="1:35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IF($K92="","",K92/100*7)</f>
      </c>
      <c r="O92" s="4">
        <f>IF($K92="","",N92*20%)</f>
      </c>
      <c r="P92" s="4">
        <f>IF($K92="","",N92*2%)</f>
      </c>
      <c r="Q92" s="4">
        <f>IF($K92="","",P92*20%)</f>
      </c>
      <c r="R92" s="4"/>
      <c r="S92" s="4">
        <f>IF($K92="","",R92*20%)</f>
      </c>
      <c r="T92" s="4">
        <v>1</v>
      </c>
      <c r="U92" s="4">
        <f>IF($K92="","",O92+Q92+S92)</f>
      </c>
      <c r="V92" s="4">
        <f>IF($K92="","",L92-M92-N92-O92-P92-Q92-R92-S92-T92)</f>
      </c>
      <c r="W92" s="4">
        <f>IF($K92="","",(V92-AC92)/J92*100)</f>
      </c>
      <c r="X92" s="4">
        <f>IF($K92="","",M92-U92)</f>
      </c>
      <c r="AD92" s="4">
        <f>IF($K92="","",V92-AC92)</f>
      </c>
    </row>
    <row r="93" spans="1:35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IF($K93="","",K93/100*7)</f>
      </c>
      <c r="O93" s="4">
        <f>IF($K93="","",N93*20%)</f>
      </c>
      <c r="P93" s="4">
        <f>IF($K93="","",N93*2%)</f>
      </c>
      <c r="Q93" s="4">
        <f>IF($K93="","",P93*20%)</f>
      </c>
      <c r="R93" s="4"/>
      <c r="S93" s="4">
        <f>IF($K93="","",R93*20%)</f>
      </c>
      <c r="T93" s="4">
        <v>1</v>
      </c>
      <c r="U93" s="4">
        <f>IF($K93="","",O93+Q93+S93)</f>
      </c>
      <c r="V93" s="4">
        <f>IF($K93="","",L93-M93-N93-O93-P93-Q93-R93-S93-T93)</f>
      </c>
      <c r="W93" s="4">
        <f>IF($K93="","",(V93-AC93)/J93*100)</f>
      </c>
      <c r="X93" s="4">
        <f>IF($K93="","",M93-U93)</f>
      </c>
      <c r="AD93" s="4">
        <f>IF($K93="","",V93-AC93)</f>
      </c>
    </row>
    <row r="94" spans="1:35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IF($K94="","",K94/100*7)</f>
      </c>
      <c r="O94" s="4">
        <f>IF($K94="","",N94*20%)</f>
      </c>
      <c r="P94" s="4">
        <f>IF($K94="","",N94*2%)</f>
      </c>
      <c r="Q94" s="4">
        <f>IF($K94="","",P94*20%)</f>
      </c>
      <c r="R94" s="4"/>
      <c r="S94" s="4">
        <f>IF($K94="","",R94*20%)</f>
      </c>
      <c r="T94" s="4">
        <v>1</v>
      </c>
      <c r="U94" s="4">
        <f>IF($K94="","",O94+Q94+S94)</f>
      </c>
      <c r="V94" s="4">
        <f>IF($K94="","",L94-M94-N94-O94-P94-Q94-R94-S94-T94)</f>
      </c>
      <c r="W94" s="4">
        <f>IF($K94="","",(V94-AC94)/J94*100)</f>
      </c>
      <c r="X94" s="4">
        <f>IF($K94="","",M94-U94)</f>
      </c>
      <c r="AD94" s="4">
        <f>IF($K94="","",V94-AC94)</f>
      </c>
    </row>
    <row r="95" spans="1:35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IF($K95="","",K95/100*7)</f>
      </c>
      <c r="O95" s="4">
        <f>IF($K95="","",N95*20%)</f>
      </c>
      <c r="P95" s="4">
        <f>IF($K95="","",N95*2%)</f>
      </c>
      <c r="Q95" s="4">
        <f>IF($K95="","",P95*20%)</f>
      </c>
      <c r="R95" s="4"/>
      <c r="S95" s="4">
        <f>IF($K95="","",R95*20%)</f>
      </c>
      <c r="T95" s="4">
        <v>1</v>
      </c>
      <c r="U95" s="4">
        <f>IF($K95="","",O95+Q95+S95)</f>
      </c>
      <c r="V95" s="4">
        <f>IF($K95="","",L95-M95-N95-O95-P95-Q95-R95-S95-T95)</f>
      </c>
      <c r="W95" s="4">
        <f>IF($K95="","",(V95-AC95)/J95*100)</f>
      </c>
      <c r="X95" s="4">
        <f>IF($K95="","",M95-U95)</f>
      </c>
      <c r="AD95" s="4">
        <f>IF($K95="","",V95-AC95)</f>
      </c>
    </row>
    <row r="96" spans="1:35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IF($K96="","",K96/100*7)</f>
      </c>
      <c r="O96" s="4">
        <f>IF($K96="","",N96*20%)</f>
      </c>
      <c r="P96" s="4">
        <f>IF($K96="","",N96*2%)</f>
      </c>
      <c r="Q96" s="4">
        <f>IF($K96="","",P96*20%)</f>
      </c>
      <c r="R96" s="4"/>
      <c r="S96" s="4">
        <f>IF($K96="","",R96*20%)</f>
      </c>
      <c r="T96" s="4">
        <v>1</v>
      </c>
      <c r="U96" s="4">
        <f>IF($K96="","",O96+Q96+S96)</f>
      </c>
      <c r="V96" s="4">
        <f>IF($K96="","",L96-M96-N96-O96-P96-Q96-R96-S96-T96)</f>
      </c>
      <c r="W96" s="4">
        <f>IF($K96="","",(V96-AC96)/J96*100)</f>
      </c>
      <c r="X96" s="4">
        <f>IF($K96="","",M96-U96)</f>
      </c>
      <c r="AD96" s="4">
        <f>IF($K96="","",V96-AC96)</f>
      </c>
    </row>
    <row r="97" spans="1:35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IF($K97="","",K97/100*7)</f>
      </c>
      <c r="O97" s="4">
        <f>IF($K97="","",N97*20%)</f>
      </c>
      <c r="P97" s="4">
        <f>IF($K97="","",N97*2%)</f>
      </c>
      <c r="Q97" s="4">
        <f>IF($K97="","",P97*20%)</f>
      </c>
      <c r="R97" s="4"/>
      <c r="S97" s="4">
        <f>IF($K97="","",R97*20%)</f>
      </c>
      <c r="T97" s="4">
        <v>1</v>
      </c>
      <c r="U97" s="4">
        <f>IF($K97="","",O97+Q97+S97)</f>
      </c>
      <c r="V97" s="4">
        <f>IF($K97="","",L97-M97-N97-O97-P97-Q97-R97-S97-T97)</f>
      </c>
      <c r="W97" s="4">
        <f>IF($K97="","",(V97-AC97)/J97*100)</f>
      </c>
      <c r="X97" s="4">
        <f>IF($K97="","",M97-U97)</f>
      </c>
      <c r="AD97" s="4">
        <f>IF($K97="","",V97-AC97)</f>
      </c>
    </row>
    <row r="98" spans="1:35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IF($K98="","",K98/100*7)</f>
      </c>
      <c r="O98" s="4">
        <f>IF($K98="","",N98*20%)</f>
      </c>
      <c r="P98" s="4">
        <f>IF($K98="","",N98*2%)</f>
      </c>
      <c r="Q98" s="4">
        <f>IF($K98="","",P98*20%)</f>
      </c>
      <c r="R98" s="4"/>
      <c r="S98" s="4">
        <f>IF($K98="","",R98*20%)</f>
      </c>
      <c r="T98" s="4">
        <v>1</v>
      </c>
      <c r="U98" s="4">
        <f>IF($K98="","",O98+Q98+S98)</f>
      </c>
      <c r="V98" s="4">
        <f>IF($K98="","",L98-M98-N98-O98-P98-Q98-R98-S98-T98)</f>
      </c>
      <c r="W98" s="4">
        <f>IF($K98="","",(V98-AC98)/J98*100)</f>
      </c>
      <c r="X98" s="4">
        <f>IF($K98="","",M98-U98)</f>
      </c>
      <c r="AD98" s="4">
        <f>IF($K98="","",V98-AC98)</f>
      </c>
    </row>
    <row r="99" spans="1:35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IF($K99="","",K99/100*7)</f>
      </c>
      <c r="O99" s="4">
        <f>IF($K99="","",N99*20%)</f>
      </c>
      <c r="P99" s="4">
        <f>IF($K99="","",N99*2%)</f>
      </c>
      <c r="Q99" s="4">
        <f>IF($K99="","",P99*20%)</f>
      </c>
      <c r="R99" s="4"/>
      <c r="S99" s="4">
        <f>IF($K99="","",R99*20%)</f>
      </c>
      <c r="T99" s="4">
        <v>1</v>
      </c>
      <c r="U99" s="4">
        <f>IF($K99="","",O99+Q99+S99)</f>
      </c>
      <c r="V99" s="4">
        <f>IF($K99="","",L99-M99-N99-O99-P99-Q99-R99-S99-T99)</f>
      </c>
      <c r="W99" s="4">
        <f>IF($K99="","",(V99-AC99)/J99*100)</f>
      </c>
      <c r="X99" s="4">
        <f>IF($K99="","",M99-U99)</f>
      </c>
      <c r="AD99" s="4">
        <f>IF($K99="","",V99-AC99)</f>
      </c>
    </row>
    <row r="100" spans="1:35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IF($K100="","",K100/100*7)</f>
      </c>
      <c r="O100" s="4">
        <f>IF($K100="","",N100*20%)</f>
      </c>
      <c r="P100" s="4">
        <f>IF($K100="","",N100*2%)</f>
      </c>
      <c r="Q100" s="4">
        <f>IF($K100="","",P100*20%)</f>
      </c>
      <c r="R100" s="4"/>
      <c r="S100" s="4">
        <f>IF($K100="","",R100*20%)</f>
      </c>
      <c r="T100" s="4">
        <v>1</v>
      </c>
      <c r="U100" s="4">
        <f>IF($K100="","",O100+Q100+S100)</f>
      </c>
      <c r="V100" s="4">
        <f>IF($K100="","",L100-M100-N100-O100-P100-Q100-R100-S100-T100)</f>
      </c>
      <c r="W100" s="4">
        <f>IF($K100="","",(V100-AC100)/J100*100)</f>
      </c>
      <c r="X100" s="4">
        <f>IF($K100="","",M100-U100)</f>
      </c>
      <c r="AD100" s="4">
        <f>IF($K100="","",V100-AC100)</f>
      </c>
    </row>
    <row r="101" spans="1:35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IF($K101="","",K101/100*7)</f>
      </c>
      <c r="O101" s="4">
        <f>IF($K101="","",N101*20%)</f>
      </c>
      <c r="P101" s="4">
        <f>IF($K101="","",N101*2%)</f>
      </c>
      <c r="Q101" s="4">
        <f>IF($K101="","",P101*20%)</f>
      </c>
      <c r="R101" s="4"/>
      <c r="S101" s="4">
        <f>IF($K101="","",R101*20%)</f>
      </c>
      <c r="T101" s="4">
        <v>1</v>
      </c>
      <c r="U101" s="4">
        <f>IF($K101="","",O101+Q101+S101)</f>
      </c>
      <c r="V101" s="4">
        <f>IF($K101="","",L101-M101-N101-O101-P101-Q101-R101-S101-T101)</f>
      </c>
      <c r="W101" s="4">
        <f>IF($K101="","",(V101-AC101)/J101*100)</f>
      </c>
      <c r="X101" s="4">
        <f>IF($K101="","",M101-U101)</f>
      </c>
      <c r="AD101" s="4">
        <f>IF($K101="","",V101-AC101)</f>
      </c>
    </row>
    <row r="102" spans="1:35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IF($K102="","",K102/100*7)</f>
      </c>
      <c r="O102" s="4">
        <f>IF($K102="","",N102*20%)</f>
      </c>
      <c r="P102" s="4">
        <f>IF($K102="","",N102*2%)</f>
      </c>
      <c r="Q102" s="4">
        <f>IF($K102="","",P102*20%)</f>
      </c>
      <c r="R102" s="4"/>
      <c r="S102" s="4">
        <f>IF($K102="","",R102*20%)</f>
      </c>
      <c r="T102" s="4">
        <v>1</v>
      </c>
      <c r="U102" s="4">
        <f>IF($K102="","",O102+Q102+S102)</f>
      </c>
      <c r="V102" s="4">
        <f>IF($K102="","",L102-M102-N102-O102-P102-Q102-R102-S102-T102)</f>
      </c>
      <c r="W102" s="4">
        <f>IF($K102="","",(V102-AC102)/J102*100)</f>
      </c>
      <c r="X102" s="4">
        <f>IF($K102="","",M102-U102)</f>
      </c>
      <c r="AD102" s="4">
        <f>IF($K102="","",V102-AC102)</f>
      </c>
    </row>
    <row r="103" spans="1:35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IF($K103="","",K103/100*7)</f>
      </c>
      <c r="O103" s="4">
        <f>IF($K103="","",N103*20%)</f>
      </c>
      <c r="P103" s="4">
        <f>IF($K103="","",N103*2%)</f>
      </c>
      <c r="Q103" s="4">
        <f>IF($K103="","",P103*20%)</f>
      </c>
      <c r="R103" s="4"/>
      <c r="S103" s="4">
        <f>IF($K103="","",R103*20%)</f>
      </c>
      <c r="T103" s="4">
        <v>1</v>
      </c>
      <c r="U103" s="4">
        <f>IF($K103="","",O103+Q103+S103)</f>
      </c>
      <c r="V103" s="4">
        <f>IF($K103="","",L103-M103-N103-O103-P103-Q103-R103-S103-T103)</f>
      </c>
      <c r="W103" s="4">
        <f>IF($K103="","",(V103-AC103)/J103*100)</f>
      </c>
      <c r="X103" s="4">
        <f>IF($K103="","",M103-U103)</f>
      </c>
      <c r="AD103" s="4">
        <f>IF($K103="","",V103-AC103)</f>
      </c>
    </row>
    <row r="104" spans="1:35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IF($K104="","",K104/100*7)</f>
      </c>
      <c r="O104" s="4">
        <f>IF($K104="","",N104*20%)</f>
      </c>
      <c r="P104" s="4">
        <f>IF($K104="","",N104*2%)</f>
      </c>
      <c r="Q104" s="4">
        <f>IF($K104="","",P104*20%)</f>
      </c>
      <c r="R104" s="4"/>
      <c r="S104" s="4">
        <f>IF($K104="","",R104*20%)</f>
      </c>
      <c r="T104" s="4">
        <v>1</v>
      </c>
      <c r="U104" s="4">
        <f>IF($K104="","",O104+Q104+S104)</f>
      </c>
      <c r="V104" s="4">
        <f>IF($K104="","",L104-M104-N104-O104-P104-Q104-R104-S104-T104)</f>
      </c>
      <c r="W104" s="4">
        <f>IF($K104="","",(V104-AC104)/J104*100)</f>
      </c>
      <c r="X104" s="4">
        <f>IF($K104="","",M104-U104)</f>
      </c>
      <c r="AD104" s="4">
        <f>IF($K104="","",V104-AC104)</f>
      </c>
    </row>
    <row r="105" spans="1:35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IF($K105="","",K105/100*7)</f>
      </c>
      <c r="O105" s="4">
        <f>IF($K105="","",N105*20%)</f>
      </c>
      <c r="P105" s="4">
        <f>IF($K105="","",N105*2%)</f>
      </c>
      <c r="Q105" s="4">
        <f>IF($K105="","",P105*20%)</f>
      </c>
      <c r="R105" s="4"/>
      <c r="S105" s="4">
        <f>IF($K105="","",R105*20%)</f>
      </c>
      <c r="T105" s="4">
        <v>1</v>
      </c>
      <c r="U105" s="4">
        <f>IF($K105="","",O105+Q105+S105)</f>
      </c>
      <c r="V105" s="4">
        <f>IF($K105="","",L105-M105-N105-O105-P105-Q105-R105-S105-T105)</f>
      </c>
      <c r="W105" s="4">
        <f>IF($K105="","",(V105-AC105)/J105*100)</f>
      </c>
      <c r="X105" s="4">
        <f>IF($K105="","",M105-U105)</f>
      </c>
      <c r="AD105" s="4">
        <f>IF($K105="","",V105-AC105)</f>
      </c>
    </row>
    <row r="106" spans="1:35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IF($K106="","",K106/100*7)</f>
      </c>
      <c r="O106" s="4">
        <f>IF($K106="","",N106*20%)</f>
      </c>
      <c r="P106" s="4">
        <f>IF($K106="","",N106*2%)</f>
      </c>
      <c r="Q106" s="4">
        <f>IF($K106="","",P106*20%)</f>
      </c>
      <c r="R106" s="4"/>
      <c r="S106" s="4">
        <f>IF($K106="","",R106*20%)</f>
      </c>
      <c r="T106" s="4">
        <v>1</v>
      </c>
      <c r="U106" s="4">
        <f>IF($K106="","",O106+Q106+S106)</f>
      </c>
      <c r="V106" s="4">
        <f>IF($K106="","",L106-M106-N106-O106-P106-Q106-R106-S106-T106)</f>
      </c>
      <c r="W106" s="4">
        <f>IF($K106="","",(V106-AC106)/J106*100)</f>
      </c>
      <c r="X106" s="4">
        <f>IF($K106="","",M106-U106)</f>
      </c>
      <c r="AD106" s="4">
        <f>IF($K106="","",V106-AC106)</f>
      </c>
    </row>
    <row r="107" spans="1:35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IF($K107="","",K107/100*7)</f>
      </c>
      <c r="O107" s="4">
        <f>IF($K107="","",N107*20%)</f>
      </c>
      <c r="P107" s="4">
        <f>IF($K107="","",N107*2%)</f>
      </c>
      <c r="Q107" s="4">
        <f>IF($K107="","",P107*20%)</f>
      </c>
      <c r="R107" s="4"/>
      <c r="S107" s="4">
        <f>IF($K107="","",R107*20%)</f>
      </c>
      <c r="T107" s="4">
        <v>1</v>
      </c>
      <c r="U107" s="4">
        <f>IF($K107="","",O107+Q107+S107)</f>
      </c>
      <c r="V107" s="4">
        <f>IF($K107="","",L107-M107-N107-O107-P107-Q107-R107-S107-T107)</f>
      </c>
      <c r="W107" s="4">
        <f>IF($K107="","",(V107-AC107)/J107*100)</f>
      </c>
      <c r="X107" s="4">
        <f>IF($K107="","",M107-U107)</f>
      </c>
      <c r="AD107" s="4">
        <f>IF($K107="","",V107-AC107)</f>
      </c>
    </row>
    <row r="108" spans="1:35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IF($K108="","",K108/100*7)</f>
      </c>
      <c r="O108" s="4">
        <f>IF($K108="","",N108*20%)</f>
      </c>
      <c r="P108" s="4">
        <f>IF($K108="","",N108*2%)</f>
      </c>
      <c r="Q108" s="4">
        <f>IF($K108="","",P108*20%)</f>
      </c>
      <c r="R108" s="4"/>
      <c r="S108" s="4">
        <f>IF($K108="","",R108*20%)</f>
      </c>
      <c r="T108" s="4">
        <v>1</v>
      </c>
      <c r="U108" s="4">
        <f>IF($K108="","",O108+Q108+S108)</f>
      </c>
      <c r="V108" s="4">
        <f>IF($K108="","",L108-M108-N108-O108-P108-Q108-R108-S108-T108)</f>
      </c>
      <c r="W108" s="4">
        <f>IF($K108="","",(V108-AC108)/J108*100)</f>
      </c>
      <c r="X108" s="4">
        <f>IF($K108="","",M108-U108)</f>
      </c>
      <c r="AD108" s="4">
        <f>IF($K108="","",V108-AC108)</f>
      </c>
    </row>
    <row r="109" spans="1:35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IF($K109="","",K109/100*7)</f>
      </c>
      <c r="O109" s="4">
        <f>IF($K109="","",N109*20%)</f>
      </c>
      <c r="P109" s="4">
        <f>IF($K109="","",N109*2%)</f>
      </c>
      <c r="Q109" s="4">
        <f>IF($K109="","",P109*20%)</f>
      </c>
      <c r="R109" s="4"/>
      <c r="S109" s="4">
        <f>IF($K109="","",R109*20%)</f>
      </c>
      <c r="T109" s="4">
        <v>1</v>
      </c>
      <c r="U109" s="4">
        <f>IF($K109="","",O109+Q109+S109)</f>
      </c>
      <c r="V109" s="4">
        <f>IF($K109="","",L109-M109-N109-O109-P109-Q109-R109-S109-T109)</f>
      </c>
      <c r="W109" s="4">
        <f>IF($K109="","",(V109-AC109)/J109*100)</f>
      </c>
      <c r="X109" s="4">
        <f>IF($K109="","",M109-U109)</f>
      </c>
      <c r="AD109" s="4">
        <f>IF($K109="","",V109-AC109)</f>
      </c>
    </row>
    <row r="110" spans="1:35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IF($K110="","",K110/100*7)</f>
      </c>
      <c r="O110" s="4">
        <f>IF($K110="","",N110*20%)</f>
      </c>
      <c r="P110" s="4">
        <f>IF($K110="","",N110*2%)</f>
      </c>
      <c r="Q110" s="4">
        <f>IF($K110="","",P110*20%)</f>
      </c>
      <c r="R110" s="4"/>
      <c r="S110" s="4">
        <f>IF($K110="","",R110*20%)</f>
      </c>
      <c r="T110" s="4">
        <v>1</v>
      </c>
      <c r="U110" s="4">
        <f>IF($K110="","",O110+Q110+S110)</f>
      </c>
      <c r="V110" s="4">
        <f>IF($K110="","",L110-M110-N110-O110-P110-Q110-R110-S110-T110)</f>
      </c>
      <c r="W110" s="4">
        <f>IF($K110="","",(V110-AC110)/J110*100)</f>
      </c>
      <c r="X110" s="4">
        <f>IF($K110="","",M110-U110)</f>
      </c>
      <c r="AD110" s="4">
        <f>IF($K110="","",V110-AC110)</f>
      </c>
    </row>
    <row r="111" spans="1:35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IF($K111="","",K111/100*7)</f>
      </c>
      <c r="O111" s="4">
        <f>IF($K111="","",N111*20%)</f>
      </c>
      <c r="P111" s="4">
        <f>IF($K111="","",N111*2%)</f>
      </c>
      <c r="Q111" s="4">
        <f>IF($K111="","",P111*20%)</f>
      </c>
      <c r="R111" s="4"/>
      <c r="S111" s="4">
        <f>IF($K111="","",R111*20%)</f>
      </c>
      <c r="T111" s="4">
        <v>1</v>
      </c>
      <c r="U111" s="4">
        <f>IF($K111="","",O111+Q111+S111)</f>
      </c>
      <c r="V111" s="4">
        <f>IF($K111="","",L111-M111-N111-O111-P111-Q111-R111-S111-T111)</f>
      </c>
      <c r="W111" s="4">
        <f>IF($K111="","",(V111-AC111)/J111*100)</f>
      </c>
      <c r="X111" s="4">
        <f>IF($K111="","",M111-U111)</f>
      </c>
      <c r="AD111" s="4">
        <f>IF($K111="","",V111-AC111)</f>
      </c>
    </row>
    <row r="112" spans="1:35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IF($K112="","",K112/100*7)</f>
      </c>
      <c r="O112" s="4">
        <f>IF($K112="","",N112*20%)</f>
      </c>
      <c r="P112" s="4">
        <f>IF($K112="","",N112*2%)</f>
      </c>
      <c r="Q112" s="4">
        <f>IF($K112="","",P112*20%)</f>
      </c>
      <c r="R112" s="4"/>
      <c r="S112" s="4">
        <f>IF($K112="","",R112*20%)</f>
      </c>
      <c r="T112" s="4">
        <v>1</v>
      </c>
      <c r="U112" s="4">
        <f>IF($K112="","",O112+Q112+S112)</f>
      </c>
      <c r="V112" s="4">
        <f>IF($K112="","",L112-M112-N112-O112-P112-Q112-R112-S112-T112)</f>
      </c>
      <c r="W112" s="4">
        <f>IF($K112="","",(V112-AC112)/J112*100)</f>
      </c>
      <c r="X112" s="4">
        <f>IF($K112="","",M112-U112)</f>
      </c>
      <c r="AD112" s="4">
        <f>IF($K112="","",V112-AC112)</f>
      </c>
    </row>
    <row r="113" spans="1:35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IF($K113="","",K113/100*7)</f>
      </c>
      <c r="O113" s="4">
        <f>IF($K113="","",N113*20%)</f>
      </c>
      <c r="P113" s="4">
        <f>IF($K113="","",N113*2%)</f>
      </c>
      <c r="Q113" s="4">
        <f>IF($K113="","",P113*20%)</f>
      </c>
      <c r="R113" s="4"/>
      <c r="S113" s="4">
        <f>IF($K113="","",R113*20%)</f>
      </c>
      <c r="T113" s="4">
        <v>1</v>
      </c>
      <c r="U113" s="4">
        <f>IF($K113="","",O113+Q113+S113)</f>
      </c>
      <c r="V113" s="4">
        <f>IF($K113="","",L113-M113-N113-O113-P113-Q113-R113-S113-T113)</f>
      </c>
      <c r="W113" s="4">
        <f>IF($K113="","",(V113-AC113)/J113*100)</f>
      </c>
      <c r="X113" s="4">
        <f>IF($K113="","",M113-U113)</f>
      </c>
      <c r="AD113" s="4">
        <f>IF($K113="","",V113-AC113)</f>
      </c>
    </row>
    <row r="114" spans="1:35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IF($K114="","",K114/100*7)</f>
      </c>
      <c r="O114" s="4">
        <f>IF($K114="","",N114*20%)</f>
      </c>
      <c r="P114" s="4">
        <f>IF($K114="","",N114*2%)</f>
      </c>
      <c r="Q114" s="4">
        <f>IF($K114="","",P114*20%)</f>
      </c>
      <c r="R114" s="4"/>
      <c r="S114" s="4">
        <f>IF($K114="","",R114*20%)</f>
      </c>
      <c r="T114" s="4">
        <v>1</v>
      </c>
      <c r="U114" s="4">
        <f>IF($K114="","",O114+Q114+S114)</f>
      </c>
      <c r="V114" s="4">
        <f>IF($K114="","",L114-M114-N114-O114-P114-Q114-R114-S114-T114)</f>
      </c>
      <c r="W114" s="4">
        <f>IF($K114="","",(V114-AC114)/J114*100)</f>
      </c>
      <c r="X114" s="4">
        <f>IF($K114="","",M114-U114)</f>
      </c>
      <c r="AD114" s="4">
        <f>IF($K114="","",V114-AC114)</f>
      </c>
    </row>
    <row r="115" spans="1:35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IF($K115="","",K115/100*7)</f>
      </c>
      <c r="O115" s="4">
        <f>IF($K115="","",N115*20%)</f>
      </c>
      <c r="P115" s="4">
        <f>IF($K115="","",N115*2%)</f>
      </c>
      <c r="Q115" s="4">
        <f>IF($K115="","",P115*20%)</f>
      </c>
      <c r="R115" s="4"/>
      <c r="S115" s="4">
        <f>IF($K115="","",R115*20%)</f>
      </c>
      <c r="T115" s="4">
        <v>1</v>
      </c>
      <c r="U115" s="4">
        <f>IF($K115="","",O115+Q115+S115)</f>
      </c>
      <c r="V115" s="4">
        <f>IF($K115="","",L115-M115-N115-O115-P115-Q115-R115-S115-T115)</f>
      </c>
      <c r="W115" s="4">
        <f>IF($K115="","",(V115-AC115)/J115*100)</f>
      </c>
      <c r="X115" s="4">
        <f>IF($K115="","",M115-U115)</f>
      </c>
      <c r="AD115" s="4">
        <f>IF($K115="","",V115-AC115)</f>
      </c>
    </row>
    <row r="116" spans="1:35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IF($K116="","",K116/100*7)</f>
      </c>
      <c r="O116" s="4">
        <f>IF($K116="","",N116*20%)</f>
      </c>
      <c r="P116" s="4">
        <f>IF($K116="","",N116*2%)</f>
      </c>
      <c r="Q116" s="4">
        <f>IF($K116="","",P116*20%)</f>
      </c>
      <c r="R116" s="4"/>
      <c r="S116" s="4">
        <f>IF($K116="","",R116*20%)</f>
      </c>
      <c r="T116" s="4">
        <v>1</v>
      </c>
      <c r="U116" s="4">
        <f>IF($K116="","",O116+Q116+S116)</f>
      </c>
      <c r="V116" s="4">
        <f>IF($K116="","",L116-M116-N116-O116-P116-Q116-R116-S116-T116)</f>
      </c>
      <c r="W116" s="4">
        <f>IF($K116="","",(V116-AC116)/J116*100)</f>
      </c>
      <c r="X116" s="4">
        <f>IF($K116="","",M116-U116)</f>
      </c>
      <c r="AD116" s="4">
        <f>IF($K116="","",V116-AC116)</f>
      </c>
    </row>
    <row r="117" spans="1:35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IF($K117="","",K117/100*7)</f>
      </c>
      <c r="O117" s="4">
        <f>IF($K117="","",N117*20%)</f>
      </c>
      <c r="P117" s="4">
        <f>IF($K117="","",N117*2%)</f>
      </c>
      <c r="Q117" s="4">
        <f>IF($K117="","",P117*20%)</f>
      </c>
      <c r="R117" s="4"/>
      <c r="S117" s="4">
        <f>IF($K117="","",R117*20%)</f>
      </c>
      <c r="T117" s="4">
        <v>1</v>
      </c>
      <c r="U117" s="4">
        <f>IF($K117="","",O117+Q117+S117)</f>
      </c>
      <c r="V117" s="4">
        <f>IF($K117="","",L117-M117-N117-O117-P117-Q117-R117-S117-T117)</f>
      </c>
      <c r="W117" s="4">
        <f>IF($K117="","",(V117-AC117)/J117*100)</f>
      </c>
      <c r="X117" s="4">
        <f>IF($K117="","",M117-U117)</f>
      </c>
      <c r="AD117" s="4">
        <f>IF($K117="","",V117-AC117)</f>
      </c>
    </row>
    <row r="118" spans="1:35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IF($K118="","",K118/100*7)</f>
      </c>
      <c r="O118" s="4">
        <f>IF($K118="","",N118*20%)</f>
      </c>
      <c r="P118" s="4">
        <f>IF($K118="","",N118*2%)</f>
      </c>
      <c r="Q118" s="4">
        <f>IF($K118="","",P118*20%)</f>
      </c>
      <c r="R118" s="4"/>
      <c r="S118" s="4">
        <f>IF($K118="","",R118*20%)</f>
      </c>
      <c r="T118" s="4">
        <v>1</v>
      </c>
      <c r="U118" s="4">
        <f>IF($K118="","",O118+Q118+S118)</f>
      </c>
      <c r="V118" s="4">
        <f>IF($K118="","",L118-M118-N118-O118-P118-Q118-R118-S118-T118)</f>
      </c>
      <c r="W118" s="4">
        <f>IF($K118="","",(V118-AC118)/J118*100)</f>
      </c>
      <c r="X118" s="4">
        <f>IF($K118="","",M118-U118)</f>
      </c>
      <c r="AD118" s="4">
        <f>IF($K118="","",V118-AC118)</f>
      </c>
    </row>
    <row r="119" spans="1:35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IF($K119="","",K119/100*7)</f>
      </c>
      <c r="O119" s="4">
        <f>IF($K119="","",N119*20%)</f>
      </c>
      <c r="P119" s="4">
        <f>IF($K119="","",N119*2%)</f>
      </c>
      <c r="Q119" s="4">
        <f>IF($K119="","",P119*20%)</f>
      </c>
      <c r="R119" s="4"/>
      <c r="S119" s="4">
        <f>IF($K119="","",R119*20%)</f>
      </c>
      <c r="T119" s="4">
        <v>1</v>
      </c>
      <c r="U119" s="4">
        <f>IF($K119="","",O119+Q119+S119)</f>
      </c>
      <c r="V119" s="4">
        <f>IF($K119="","",L119-M119-N119-O119-P119-Q119-R119-S119-T119)</f>
      </c>
      <c r="W119" s="4">
        <f>IF($K119="","",(V119-AC119)/J119*100)</f>
      </c>
      <c r="X119" s="4">
        <f>IF($K119="","",M119-U119)</f>
      </c>
      <c r="AD119" s="4">
        <f>IF($K119="","",V119-AC119)</f>
      </c>
    </row>
    <row r="120" spans="1:35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IF($K120="","",K120/100*7)</f>
      </c>
      <c r="O120" s="4">
        <f>IF($K120="","",N120*20%)</f>
      </c>
      <c r="P120" s="4">
        <f>IF($K120="","",N120*2%)</f>
      </c>
      <c r="Q120" s="4">
        <f>IF($K120="","",P120*20%)</f>
      </c>
      <c r="R120" s="4"/>
      <c r="S120" s="4">
        <f>IF($K120="","",R120*20%)</f>
      </c>
      <c r="T120" s="4">
        <v>1</v>
      </c>
      <c r="U120" s="4">
        <f>IF($K120="","",O120+Q120+S120)</f>
      </c>
      <c r="V120" s="4">
        <f>IF($K120="","",L120-M120-N120-O120-P120-Q120-R120-S120-T120)</f>
      </c>
      <c r="W120" s="4">
        <f>IF($K120="","",(V120-AC120)/J120*100)</f>
      </c>
      <c r="X120" s="4">
        <f>IF($K120="","",M120-U120)</f>
      </c>
      <c r="AD120" s="4">
        <f>IF($K120="","",V120-AC120)</f>
      </c>
    </row>
    <row r="121" spans="1:35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IF($K121="","",K121/100*7)</f>
      </c>
      <c r="O121" s="4">
        <f>IF($K121="","",N121*20%)</f>
      </c>
      <c r="P121" s="4">
        <f>IF($K121="","",N121*2%)</f>
      </c>
      <c r="Q121" s="4">
        <f>IF($K121="","",P121*20%)</f>
      </c>
      <c r="R121" s="4"/>
      <c r="S121" s="4">
        <f>IF($K121="","",R121*20%)</f>
      </c>
      <c r="T121" s="4">
        <v>1</v>
      </c>
      <c r="U121" s="4">
        <f>IF($K121="","",O121+Q121+S121)</f>
      </c>
      <c r="V121" s="4">
        <f>IF($K121="","",L121-M121-N121-O121-P121-Q121-R121-S121-T121)</f>
      </c>
      <c r="W121" s="4">
        <f>IF($K121="","",(V121-AC121)/J121*100)</f>
      </c>
      <c r="X121" s="4">
        <f>IF($K121="","",M121-U121)</f>
      </c>
      <c r="AD121" s="4">
        <f>IF($K121="","",V121-AC121)</f>
      </c>
    </row>
    <row r="122" spans="1:35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IF($K122="","",K122/100*7)</f>
      </c>
      <c r="O122" s="4">
        <f>IF($K122="","",N122*20%)</f>
      </c>
      <c r="P122" s="4">
        <f>IF($K122="","",N122*2%)</f>
      </c>
      <c r="Q122" s="4">
        <f>IF($K122="","",P122*20%)</f>
      </c>
      <c r="R122" s="4"/>
      <c r="S122" s="4">
        <f>IF($K122="","",R122*20%)</f>
      </c>
      <c r="T122" s="4">
        <v>1</v>
      </c>
      <c r="U122" s="4">
        <f>IF($K122="","",O122+Q122+S122)</f>
      </c>
      <c r="V122" s="4">
        <f>IF($K122="","",L122-M122-N122-O122-P122-Q122-R122-S122-T122)</f>
      </c>
      <c r="W122" s="4">
        <f>IF($K122="","",(V122-AC122)/J122*100)</f>
      </c>
      <c r="X122" s="4">
        <f>IF($K122="","",M122-U122)</f>
      </c>
      <c r="AD122" s="4">
        <f>IF($K122="","",V122-AC122)</f>
      </c>
    </row>
    <row r="123" spans="1:35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IF($K123="","",K123/100*7)</f>
      </c>
      <c r="O123" s="4">
        <f>IF($K123="","",N123*20%)</f>
      </c>
      <c r="P123" s="4">
        <f>IF($K123="","",N123*2%)</f>
      </c>
      <c r="Q123" s="4">
        <f>IF($K123="","",P123*20%)</f>
      </c>
      <c r="R123" s="4"/>
      <c r="S123" s="4">
        <f>IF($K123="","",R123*20%)</f>
      </c>
      <c r="T123" s="4">
        <v>1</v>
      </c>
      <c r="U123" s="4">
        <f>IF($K123="","",O123+Q123+S123)</f>
      </c>
      <c r="V123" s="4">
        <f>IF($K123="","",L123-M123-N123-O123-P123-Q123-R123-S123-T123)</f>
      </c>
      <c r="W123" s="4">
        <f>IF($K123="","",(V123-AC123)/J123*100)</f>
      </c>
      <c r="X123" s="4">
        <f>IF($K123="","",M123-U123)</f>
      </c>
      <c r="AD123" s="4">
        <f>IF($K123="","",V123-AC123)</f>
      </c>
    </row>
    <row r="124" spans="1:35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IF($K124="","",K124/100*7)</f>
      </c>
      <c r="O124" s="4">
        <f>IF($K124="","",N124*20%)</f>
      </c>
      <c r="P124" s="4">
        <f>IF($K124="","",N124*2%)</f>
      </c>
      <c r="Q124" s="4">
        <f>IF($K124="","",P124*20%)</f>
      </c>
      <c r="R124" s="4"/>
      <c r="S124" s="4">
        <f>IF($K124="","",R124*20%)</f>
      </c>
      <c r="T124" s="4">
        <v>1</v>
      </c>
      <c r="U124" s="4">
        <f>IF($K124="","",O124+Q124+S124)</f>
      </c>
      <c r="V124" s="4">
        <f>IF($K124="","",L124-M124-N124-O124-P124-Q124-R124-S124-T124)</f>
      </c>
      <c r="W124" s="4">
        <f>IF($K124="","",(V124-AC124)/J124*100)</f>
      </c>
      <c r="X124" s="4">
        <f>IF($K124="","",M124-U124)</f>
      </c>
      <c r="AD124" s="4">
        <f>IF($K124="","",V124-AC124)</f>
      </c>
    </row>
    <row r="125" spans="1:35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IF($K125="","",K125/100*7)</f>
      </c>
      <c r="O125" s="4">
        <f>IF($K125="","",N125*20%)</f>
      </c>
      <c r="P125" s="4">
        <f>IF($K125="","",N125*2%)</f>
      </c>
      <c r="Q125" s="4">
        <f>IF($K125="","",P125*20%)</f>
      </c>
      <c r="R125" s="4"/>
      <c r="S125" s="4">
        <f>IF($K125="","",R125*20%)</f>
      </c>
      <c r="T125" s="4">
        <v>1</v>
      </c>
      <c r="U125" s="4">
        <f>IF($K125="","",O125+Q125+S125)</f>
      </c>
      <c r="V125" s="4">
        <f>IF($K125="","",L125-M125-N125-O125-P125-Q125-R125-S125-T125)</f>
      </c>
      <c r="W125" s="4">
        <f>IF($K125="","",(V125-AC125)/J125*100)</f>
      </c>
      <c r="X125" s="4">
        <f>IF($K125="","",M125-U125)</f>
      </c>
      <c r="AD125" s="4">
        <f>IF($K125="","",V125-AC125)</f>
      </c>
    </row>
    <row r="126" spans="1:35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IF($K126="","",K126/100*7)</f>
      </c>
      <c r="O126" s="4">
        <f>IF($K126="","",N126*20%)</f>
      </c>
      <c r="P126" s="4">
        <f>IF($K126="","",N126*2%)</f>
      </c>
      <c r="Q126" s="4">
        <f>IF($K126="","",P126*20%)</f>
      </c>
      <c r="R126" s="4"/>
      <c r="S126" s="4">
        <f>IF($K126="","",R126*20%)</f>
      </c>
      <c r="T126" s="4">
        <v>1</v>
      </c>
      <c r="U126" s="4">
        <f>IF($K126="","",O126+Q126+S126)</f>
      </c>
      <c r="V126" s="4">
        <f>IF($K126="","",L126-M126-N126-O126-P126-Q126-R126-S126-T126)</f>
      </c>
      <c r="W126" s="4">
        <f>IF($K126="","",(V126-AC126)/J126*100)</f>
      </c>
      <c r="X126" s="4">
        <f>IF($K126="","",M126-U126)</f>
      </c>
      <c r="AD126" s="4">
        <f>IF($K126="","",V126-AC126)</f>
      </c>
    </row>
    <row r="127" spans="1:35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IF($K127="","",K127/100*7)</f>
      </c>
      <c r="O127" s="4">
        <f>IF($K127="","",N127*20%)</f>
      </c>
      <c r="P127" s="4">
        <f>IF($K127="","",N127*2%)</f>
      </c>
      <c r="Q127" s="4">
        <f>IF($K127="","",P127*20%)</f>
      </c>
      <c r="R127" s="4"/>
      <c r="S127" s="4">
        <f>IF($K127="","",R127*20%)</f>
      </c>
      <c r="T127" s="4">
        <v>1</v>
      </c>
      <c r="U127" s="4">
        <f>IF($K127="","",O127+Q127+S127)</f>
      </c>
      <c r="V127" s="4">
        <f>IF($K127="","",L127-M127-N127-O127-P127-Q127-R127-S127-T127)</f>
      </c>
      <c r="W127" s="4">
        <f>IF($K127="","",(V127-AC127)/J127*100)</f>
      </c>
      <c r="X127" s="4">
        <f>IF($K127="","",M127-U127)</f>
      </c>
      <c r="AD127" s="4">
        <f>IF($K127="","",V127-AC127)</f>
      </c>
    </row>
    <row r="128" spans="1:35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IF($K128="","",K128/100*7)</f>
      </c>
      <c r="O128" s="4">
        <f>IF($K128="","",N128*20%)</f>
      </c>
      <c r="P128" s="4">
        <f>IF($K128="","",N128*2%)</f>
      </c>
      <c r="Q128" s="4">
        <f>IF($K128="","",P128*20%)</f>
      </c>
      <c r="R128" s="4"/>
      <c r="S128" s="4">
        <f>IF($K128="","",R128*20%)</f>
      </c>
      <c r="T128" s="4">
        <v>1</v>
      </c>
      <c r="U128" s="4">
        <f>IF($K128="","",O128+Q128+S128)</f>
      </c>
      <c r="V128" s="4">
        <f>IF($K128="","",L128-M128-N128-O128-P128-Q128-R128-S128-T128)</f>
      </c>
      <c r="W128" s="4">
        <f>IF($K128="","",(V128-AC128)/J128*100)</f>
      </c>
      <c r="X128" s="4">
        <f>IF($K128="","",M128-U128)</f>
      </c>
      <c r="AD128" s="4">
        <f>IF($K128="","",V128-AC128)</f>
      </c>
    </row>
    <row r="129" spans="1:35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IF($K129="","",K129/100*7)</f>
      </c>
      <c r="O129" s="4">
        <f>IF($K129="","",N129*20%)</f>
      </c>
      <c r="P129" s="4">
        <f>IF($K129="","",N129*2%)</f>
      </c>
      <c r="Q129" s="4">
        <f>IF($K129="","",P129*20%)</f>
      </c>
      <c r="R129" s="4"/>
      <c r="S129" s="4">
        <f>IF($K129="","",R129*20%)</f>
      </c>
      <c r="T129" s="4">
        <v>1</v>
      </c>
      <c r="U129" s="4">
        <f>IF($K129="","",O129+Q129+S129)</f>
      </c>
      <c r="V129" s="4">
        <f>IF($K129="","",L129-M129-N129-O129-P129-Q129-R129-S129-T129)</f>
      </c>
      <c r="W129" s="4">
        <f>IF($K129="","",(V129-AC129)/J129*100)</f>
      </c>
      <c r="X129" s="4">
        <f>IF($K129="","",M129-U129)</f>
      </c>
      <c r="AD129" s="4">
        <f>IF($K129="","",V129-AC129)</f>
      </c>
    </row>
    <row r="130" spans="1:35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IF($K130="","",K130/100*7)</f>
      </c>
      <c r="O130" s="4">
        <f>IF($K130="","",N130*20%)</f>
      </c>
      <c r="P130" s="4">
        <f>IF($K130="","",N130*2%)</f>
      </c>
      <c r="Q130" s="4">
        <f>IF($K130="","",P130*20%)</f>
      </c>
      <c r="R130" s="4"/>
      <c r="S130" s="4">
        <f>IF($K130="","",R130*20%)</f>
      </c>
      <c r="T130" s="4">
        <v>1</v>
      </c>
      <c r="U130" s="4">
        <f>IF($K130="","",O130+Q130+S130)</f>
      </c>
      <c r="V130" s="4">
        <f>IF($K130="","",L130-M130-N130-O130-P130-Q130-R130-S130-T130)</f>
      </c>
      <c r="W130" s="4">
        <f>IF($K130="","",(V130-AC130)/J130*100)</f>
      </c>
      <c r="X130" s="4">
        <f>IF($K130="","",M130-U130)</f>
      </c>
      <c r="AD130" s="4">
        <f>IF($K130="","",V130-AC130)</f>
      </c>
    </row>
    <row r="131" spans="1:35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IF($K131="","",K131/100*7)</f>
      </c>
      <c r="O131" s="4">
        <f>IF($K131="","",N131*20%)</f>
      </c>
      <c r="P131" s="4">
        <f>IF($K131="","",N131*2%)</f>
      </c>
      <c r="Q131" s="4">
        <f>IF($K131="","",P131*20%)</f>
      </c>
      <c r="R131" s="4"/>
      <c r="S131" s="4">
        <f>IF($K131="","",R131*20%)</f>
      </c>
      <c r="T131" s="4">
        <v>1</v>
      </c>
      <c r="U131" s="4">
        <f>IF($K131="","",O131+Q131+S131)</f>
      </c>
      <c r="V131" s="4">
        <f>IF($K131="","",L131-M131-N131-O131-P131-Q131-R131-S131-T131)</f>
      </c>
      <c r="W131" s="4">
        <f>IF($K131="","",(V131-AC131)/J131*100)</f>
      </c>
      <c r="X131" s="4">
        <f>IF($K131="","",M131-U131)</f>
      </c>
      <c r="AD131" s="4">
        <f>IF($K131="","",V131-AC131)</f>
      </c>
    </row>
    <row r="132" spans="1:35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IF($K132="","",K132/100*7)</f>
      </c>
      <c r="O132" s="4">
        <f>IF($K132="","",N132*20%)</f>
      </c>
      <c r="P132" s="4">
        <f>IF($K132="","",N132*2%)</f>
      </c>
      <c r="Q132" s="4">
        <f>IF($K132="","",P132*20%)</f>
      </c>
      <c r="R132" s="4"/>
      <c r="S132" s="4">
        <f>IF($K132="","",R132*20%)</f>
      </c>
      <c r="T132" s="4">
        <v>1</v>
      </c>
      <c r="U132" s="4">
        <f>IF($K132="","",O132+Q132+S132)</f>
      </c>
      <c r="V132" s="4">
        <f>IF($K132="","",L132-M132-N132-O132-P132-Q132-R132-S132-T132)</f>
      </c>
      <c r="W132" s="4">
        <f>IF($K132="","",(V132-AC132)/J132*100)</f>
      </c>
      <c r="X132" s="4">
        <f>IF($K132="","",M132-U132)</f>
      </c>
      <c r="AD132" s="4">
        <f>IF($K132="","",V132-AC132)</f>
      </c>
    </row>
    <row r="133" spans="1:35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IF($K133="","",K133/100*7)</f>
      </c>
      <c r="O133" s="4">
        <f>IF($K133="","",N133*20%)</f>
      </c>
      <c r="P133" s="4">
        <f>IF($K133="","",N133*2%)</f>
      </c>
      <c r="Q133" s="4">
        <f>IF($K133="","",P133*20%)</f>
      </c>
      <c r="R133" s="4"/>
      <c r="S133" s="4">
        <f>IF($K133="","",R133*20%)</f>
      </c>
      <c r="T133" s="4">
        <v>1</v>
      </c>
      <c r="U133" s="4">
        <f>IF($K133="","",O133+Q133+S133)</f>
      </c>
      <c r="V133" s="4">
        <f>IF($K133="","",L133-M133-N133-O133-P133-Q133-R133-S133-T133)</f>
      </c>
      <c r="W133" s="4">
        <f>IF($K133="","",(V133-AC133)/J133*100)</f>
      </c>
      <c r="X133" s="4">
        <f>IF($K133="","",M133-U133)</f>
      </c>
      <c r="AD133" s="4">
        <f>IF($K133="","",V133-AC133)</f>
      </c>
    </row>
    <row r="134" spans="1:35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IF($K134="","",K134/100*7)</f>
      </c>
      <c r="O134" s="4">
        <f>IF($K134="","",N134*20%)</f>
      </c>
      <c r="P134" s="4">
        <f>IF($K134="","",N134*2%)</f>
      </c>
      <c r="Q134" s="4">
        <f>IF($K134="","",P134*20%)</f>
      </c>
      <c r="R134" s="4"/>
      <c r="S134" s="4">
        <f>IF($K134="","",R134*20%)</f>
      </c>
      <c r="T134" s="4">
        <v>1</v>
      </c>
      <c r="U134" s="4">
        <f>IF($K134="","",O134+Q134+S134)</f>
      </c>
      <c r="V134" s="4">
        <f>IF($K134="","",L134-M134-N134-O134-P134-Q134-R134-S134-T134)</f>
      </c>
      <c r="W134" s="4">
        <f>IF($K134="","",(V134-AC134)/J134*100)</f>
      </c>
      <c r="X134" s="4">
        <f>IF($K134="","",M134-U134)</f>
      </c>
      <c r="AD134" s="4">
        <f>IF($K134="","",V134-AC134)</f>
      </c>
    </row>
    <row r="135" spans="1:35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IF($K135="","",K135/100*7)</f>
      </c>
      <c r="O135" s="4">
        <f>IF($K135="","",N135*20%)</f>
      </c>
      <c r="P135" s="4">
        <f>IF($K135="","",N135*2%)</f>
      </c>
      <c r="Q135" s="4">
        <f>IF($K135="","",P135*20%)</f>
      </c>
      <c r="R135" s="4"/>
      <c r="S135" s="4">
        <f>IF($K135="","",R135*20%)</f>
      </c>
      <c r="T135" s="4">
        <v>1</v>
      </c>
      <c r="U135" s="4">
        <f>IF($K135="","",O135+Q135+S135)</f>
      </c>
      <c r="V135" s="4">
        <f>IF($K135="","",L135-M135-N135-O135-P135-Q135-R135-S135-T135)</f>
      </c>
      <c r="W135" s="4">
        <f>IF($K135="","",(V135-AC135)/J135*100)</f>
      </c>
      <c r="X135" s="4">
        <f>IF($K135="","",M135-U135)</f>
      </c>
      <c r="AD135" s="4">
        <f>IF($K135="","",V135-AC135)</f>
      </c>
    </row>
    <row r="136" spans="1:35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IF($K136="","",K136/100*7)</f>
      </c>
      <c r="O136" s="4">
        <f>IF($K136="","",N136*20%)</f>
      </c>
      <c r="P136" s="4">
        <f>IF($K136="","",N136*2%)</f>
      </c>
      <c r="Q136" s="4">
        <f>IF($K136="","",P136*20%)</f>
      </c>
      <c r="R136" s="4"/>
      <c r="S136" s="4">
        <f>IF($K136="","",R136*20%)</f>
      </c>
      <c r="T136" s="4">
        <v>1</v>
      </c>
      <c r="U136" s="4">
        <f>IF($K136="","",O136+Q136+S136)</f>
      </c>
      <c r="V136" s="4">
        <f>IF($K136="","",L136-M136-N136-O136-P136-Q136-R136-S136-T136)</f>
      </c>
      <c r="W136" s="4">
        <f>IF($K136="","",(V136-AC136)/J136*100)</f>
      </c>
      <c r="X136" s="4">
        <f>IF($K136="","",M136-U136)</f>
      </c>
      <c r="AD136" s="4">
        <f>IF($K136="","",V136-AC136)</f>
      </c>
    </row>
    <row r="137" spans="1:35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IF($K137="","",K137/100*7)</f>
      </c>
      <c r="O137" s="4">
        <f>IF($K137="","",N137*20%)</f>
      </c>
      <c r="P137" s="4">
        <f>IF($K137="","",N137*2%)</f>
      </c>
      <c r="Q137" s="4">
        <f>IF($K137="","",P137*20%)</f>
      </c>
      <c r="R137" s="4"/>
      <c r="S137" s="4">
        <f>IF($K137="","",R137*20%)</f>
      </c>
      <c r="T137" s="4">
        <v>1</v>
      </c>
      <c r="U137" s="4">
        <f>IF($K137="","",O137+Q137+S137)</f>
      </c>
      <c r="V137" s="4">
        <f>IF($K137="","",L137-M137-N137-O137-P137-Q137-R137-S137-T137)</f>
      </c>
      <c r="W137" s="4">
        <f>IF($K137="","",(V137-AC137)/J137*100)</f>
      </c>
      <c r="X137" s="4">
        <f>IF($K137="","",M137-U137)</f>
      </c>
      <c r="AD137" s="4">
        <f>IF($K137="","",V137-AC137)</f>
      </c>
    </row>
    <row r="138" spans="1:35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IF($K138="","",K138/100*7)</f>
      </c>
      <c r="O138" s="4">
        <f>IF($K138="","",N138*20%)</f>
      </c>
      <c r="P138" s="4">
        <f>IF($K138="","",N138*2%)</f>
      </c>
      <c r="Q138" s="4">
        <f>IF($K138="","",P138*20%)</f>
      </c>
      <c r="R138" s="4"/>
      <c r="S138" s="4">
        <f>IF($K138="","",R138*20%)</f>
      </c>
      <c r="T138" s="4">
        <v>1</v>
      </c>
      <c r="U138" s="4">
        <f>IF($K138="","",O138+Q138+S138)</f>
      </c>
      <c r="V138" s="4">
        <f>IF($K138="","",L138-M138-N138-O138-P138-Q138-R138-S138-T138)</f>
      </c>
      <c r="W138" s="4">
        <f>IF($K138="","",(V138-AC138)/J138*100)</f>
      </c>
      <c r="X138" s="4">
        <f>IF($K138="","",M138-U138)</f>
      </c>
      <c r="AD138" s="4">
        <f>IF($K138="","",V138-AC138)</f>
      </c>
    </row>
    <row r="139" spans="1:35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IF($K139="","",K139/100*7)</f>
      </c>
      <c r="O139" s="4">
        <f>IF($K139="","",N139*20%)</f>
      </c>
      <c r="P139" s="4">
        <f>IF($K139="","",N139*2%)</f>
      </c>
      <c r="Q139" s="4">
        <f>IF($K139="","",P139*20%)</f>
      </c>
      <c r="R139" s="4"/>
      <c r="S139" s="4">
        <f>IF($K139="","",R139*20%)</f>
      </c>
      <c r="T139" s="4">
        <v>1</v>
      </c>
      <c r="U139" s="4">
        <f>IF($K139="","",O139+Q139+S139)</f>
      </c>
      <c r="V139" s="4">
        <f>IF($K139="","",L139-M139-N139-O139-P139-Q139-R139-S139-T139)</f>
      </c>
      <c r="W139" s="4">
        <f>IF($K139="","",(V139-AC139)/J139*100)</f>
      </c>
      <c r="X139" s="4">
        <f>IF($K139="","",M139-U139)</f>
      </c>
      <c r="AD139" s="4">
        <f>IF($K139="","",V139-AC139)</f>
      </c>
    </row>
    <row r="140" spans="1:35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IF($K140="","",K140/100*7)</f>
      </c>
      <c r="O140" s="4">
        <f>IF($K140="","",N140*20%)</f>
      </c>
      <c r="P140" s="4">
        <f>IF($K140="","",N140*2%)</f>
      </c>
      <c r="Q140" s="4">
        <f>IF($K140="","",P140*20%)</f>
      </c>
      <c r="R140" s="4"/>
      <c r="S140" s="4">
        <f>IF($K140="","",R140*20%)</f>
      </c>
      <c r="T140" s="4">
        <v>1</v>
      </c>
      <c r="U140" s="4">
        <f>IF($K140="","",O140+Q140+S140)</f>
      </c>
      <c r="V140" s="4">
        <f>IF($K140="","",L140-M140-N140-O140-P140-Q140-R140-S140-T140)</f>
      </c>
      <c r="W140" s="4">
        <f>IF($K140="","",(V140-AC140)/J140*100)</f>
      </c>
      <c r="X140" s="4">
        <f>IF($K140="","",M140-U140)</f>
      </c>
      <c r="AD140" s="4">
        <f>IF($K140="","",V140-AC140)</f>
      </c>
    </row>
    <row r="141" spans="1:35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IF($K141="","",K141/100*7)</f>
      </c>
      <c r="O141" s="4">
        <f>IF($K141="","",N141*20%)</f>
      </c>
      <c r="P141" s="4">
        <f>IF($K141="","",N141*2%)</f>
      </c>
      <c r="Q141" s="4">
        <f>IF($K141="","",P141*20%)</f>
      </c>
      <c r="R141" s="4"/>
      <c r="S141" s="4">
        <f>IF($K141="","",R141*20%)</f>
      </c>
      <c r="T141" s="4">
        <v>1</v>
      </c>
      <c r="U141" s="4">
        <f>IF($K141="","",O141+Q141+S141)</f>
      </c>
      <c r="V141" s="4">
        <f>IF($K141="","",L141-M141-N141-O141-P141-Q141-R141-S141-T141)</f>
      </c>
      <c r="W141" s="4">
        <f>IF($K141="","",(V141-AC141)/J141*100)</f>
      </c>
      <c r="X141" s="4">
        <f>IF($K141="","",M141-U141)</f>
      </c>
      <c r="AD141" s="4">
        <f>IF($K141="","",V141-AC141)</f>
      </c>
    </row>
    <row r="142" spans="1:35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IF($K142="","",K142/100*7)</f>
      </c>
      <c r="O142" s="4">
        <f>IF($K142="","",N142*20%)</f>
      </c>
      <c r="P142" s="4">
        <f>IF($K142="","",N142*2%)</f>
      </c>
      <c r="Q142" s="4">
        <f>IF($K142="","",P142*20%)</f>
      </c>
      <c r="R142" s="4"/>
      <c r="S142" s="4">
        <f>IF($K142="","",R142*20%)</f>
      </c>
      <c r="T142" s="4">
        <v>1</v>
      </c>
      <c r="U142" s="4">
        <f>IF($K142="","",O142+Q142+S142)</f>
      </c>
      <c r="V142" s="4">
        <f>IF($K142="","",L142-M142-N142-O142-P142-Q142-R142-S142-T142)</f>
      </c>
      <c r="W142" s="4">
        <f>IF($K142="","",(V142-AC142)/J142*100)</f>
      </c>
      <c r="X142" s="4">
        <f>IF($K142="","",M142-U142)</f>
      </c>
      <c r="AD142" s="4">
        <f>IF($K142="","",V142-AC142)</f>
      </c>
    </row>
    <row r="143" spans="1:35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IF($K143="","",K143/100*7)</f>
      </c>
      <c r="O143" s="4">
        <f>IF($K143="","",N143*20%)</f>
      </c>
      <c r="P143" s="4">
        <f>IF($K143="","",N143*2%)</f>
      </c>
      <c r="Q143" s="4">
        <f>IF($K143="","",P143*20%)</f>
      </c>
      <c r="R143" s="4"/>
      <c r="S143" s="4">
        <f>IF($K143="","",R143*20%)</f>
      </c>
      <c r="T143" s="4">
        <v>1</v>
      </c>
      <c r="U143" s="4">
        <f>IF($K143="","",O143+Q143+S143)</f>
      </c>
      <c r="V143" s="4">
        <f>IF($K143="","",L143-M143-N143-O143-P143-Q143-R143-S143-T143)</f>
      </c>
      <c r="W143" s="4">
        <f>IF($K143="","",(V143-AC143)/J143*100)</f>
      </c>
      <c r="X143" s="4">
        <f>IF($K143="","",M143-U143)</f>
      </c>
      <c r="AD143" s="4">
        <f>IF($K143="","",V143-AC143)</f>
      </c>
    </row>
    <row r="144" spans="1:35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IF($K144="","",K144/100*7)</f>
      </c>
      <c r="O144" s="4">
        <f>IF($K144="","",N144*20%)</f>
      </c>
      <c r="P144" s="4">
        <f>IF($K144="","",N144*2%)</f>
      </c>
      <c r="Q144" s="4">
        <f>IF($K144="","",P144*20%)</f>
      </c>
      <c r="R144" s="4"/>
      <c r="S144" s="4">
        <f>IF($K144="","",R144*20%)</f>
      </c>
      <c r="T144" s="4">
        <v>1</v>
      </c>
      <c r="U144" s="4">
        <f>IF($K144="","",O144+Q144+S144)</f>
      </c>
      <c r="V144" s="4">
        <f>IF($K144="","",L144-M144-N144-O144-P144-Q144-R144-S144-T144)</f>
      </c>
      <c r="W144" s="4">
        <f>IF($K144="","",(V144-AC144)/J144*100)</f>
      </c>
      <c r="X144" s="4">
        <f>IF($K144="","",M144-U144)</f>
      </c>
      <c r="AD144" s="4">
        <f>IF($K144="","",V144-AC144)</f>
      </c>
    </row>
    <row r="145" spans="1:35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IF($K145="","",K145/100*7)</f>
      </c>
      <c r="O145" s="4">
        <f>IF($K145="","",N145*20%)</f>
      </c>
      <c r="P145" s="4">
        <f>IF($K145="","",N145*2%)</f>
      </c>
      <c r="Q145" s="4">
        <f>IF($K145="","",P145*20%)</f>
      </c>
      <c r="R145" s="4"/>
      <c r="S145" s="4">
        <f>IF($K145="","",R145*20%)</f>
      </c>
      <c r="T145" s="4">
        <v>1</v>
      </c>
      <c r="U145" s="4">
        <f>IF($K145="","",O145+Q145+S145)</f>
      </c>
      <c r="V145" s="4">
        <f>IF($K145="","",L145-M145-N145-O145-P145-Q145-R145-S145-T145)</f>
      </c>
      <c r="W145" s="4">
        <f>IF($K145="","",(V145-AC145)/J145*100)</f>
      </c>
      <c r="X145" s="4">
        <f>IF($K145="","",M145-U145)</f>
      </c>
      <c r="AD145" s="4">
        <f>IF($K145="","",V145-AC145)</f>
      </c>
    </row>
    <row r="146" spans="1:35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IF($K146="","",K146/100*7)</f>
      </c>
      <c r="O146" s="4">
        <f>IF($K146="","",N146*20%)</f>
      </c>
      <c r="P146" s="4">
        <f>IF($K146="","",N146*2%)</f>
      </c>
      <c r="Q146" s="4">
        <f>IF($K146="","",P146*20%)</f>
      </c>
      <c r="R146" s="4"/>
      <c r="S146" s="4">
        <f>IF($K146="","",R146*20%)</f>
      </c>
      <c r="T146" s="4">
        <v>1</v>
      </c>
      <c r="U146" s="4">
        <f>IF($K146="","",O146+Q146+S146)</f>
      </c>
      <c r="V146" s="4">
        <f>IF($K146="","",L146-M146-N146-O146-P146-Q146-R146-S146-T146)</f>
      </c>
      <c r="W146" s="4">
        <f>IF($K146="","",(V146-AC146)/J146*100)</f>
      </c>
      <c r="X146" s="4">
        <f>IF($K146="","",M146-U146)</f>
      </c>
      <c r="AD146" s="4">
        <f>IF($K146="","",V146-AC146)</f>
      </c>
    </row>
    <row r="147" spans="1:35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IF($K147="","",K147/100*7)</f>
      </c>
      <c r="O147" s="4">
        <f>IF($K147="","",N147*20%)</f>
      </c>
      <c r="P147" s="4">
        <f>IF($K147="","",N147*2%)</f>
      </c>
      <c r="Q147" s="4">
        <f>IF($K147="","",P147*20%)</f>
      </c>
      <c r="R147" s="4"/>
      <c r="S147" s="4">
        <f>IF($K147="","",R147*20%)</f>
      </c>
      <c r="T147" s="4">
        <v>1</v>
      </c>
      <c r="U147" s="4">
        <f>IF($K147="","",O147+Q147+S147)</f>
      </c>
      <c r="V147" s="4">
        <f>IF($K147="","",L147-M147-N147-O147-P147-Q147-R147-S147-T147)</f>
      </c>
      <c r="W147" s="4">
        <f>IF($K147="","",(V147-AC147)/J147*100)</f>
      </c>
      <c r="X147" s="4">
        <f>IF($K147="","",M147-U147)</f>
      </c>
      <c r="AD147" s="4">
        <f>IF($K147="","",V147-AC147)</f>
      </c>
    </row>
    <row r="148" spans="1:35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IF($K148="","",K148/100*7)</f>
      </c>
      <c r="O148" s="4">
        <f>IF($K148="","",N148*20%)</f>
      </c>
      <c r="P148" s="4">
        <f>IF($K148="","",N148*2%)</f>
      </c>
      <c r="Q148" s="4">
        <f>IF($K148="","",P148*20%)</f>
      </c>
      <c r="R148" s="4"/>
      <c r="S148" s="4">
        <f>IF($K148="","",R148*20%)</f>
      </c>
      <c r="T148" s="4">
        <v>1</v>
      </c>
      <c r="U148" s="4">
        <f>IF($K148="","",O148+Q148+S148)</f>
      </c>
      <c r="V148" s="4">
        <f>IF($K148="","",L148-M148-N148-O148-P148-Q148-R148-S148-T148)</f>
      </c>
      <c r="W148" s="4">
        <f>IF($K148="","",(V148-AC148)/J148*100)</f>
      </c>
      <c r="X148" s="4">
        <f>IF($K148="","",M148-U148)</f>
      </c>
      <c r="AD148" s="4">
        <f>IF($K148="","",V148-AC148)</f>
      </c>
    </row>
    <row r="149" spans="1:35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IF($K149="","",K149/100*7)</f>
      </c>
      <c r="O149" s="4">
        <f>IF($K149="","",N149*20%)</f>
      </c>
      <c r="P149" s="4">
        <f>IF($K149="","",N149*2%)</f>
      </c>
      <c r="Q149" s="4">
        <f>IF($K149="","",P149*20%)</f>
      </c>
      <c r="R149" s="4"/>
      <c r="S149" s="4">
        <f>IF($K149="","",R149*20%)</f>
      </c>
      <c r="T149" s="4">
        <v>1</v>
      </c>
      <c r="U149" s="4">
        <f>IF($K149="","",O149+Q149+S149)</f>
      </c>
      <c r="V149" s="4">
        <f>IF($K149="","",L149-M149-N149-O149-P149-Q149-R149-S149-T149)</f>
      </c>
      <c r="W149" s="4">
        <f>IF($K149="","",(V149-AC149)/J149*100)</f>
      </c>
      <c r="X149" s="4">
        <f>IF($K149="","",M149-U149)</f>
      </c>
      <c r="AD149" s="4">
        <f>IF($K149="","",V149-AC149)</f>
      </c>
    </row>
    <row r="150" spans="1:35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IF($K150="","",K150/100*7)</f>
      </c>
      <c r="O150" s="4">
        <f>IF($K150="","",N150*20%)</f>
      </c>
      <c r="P150" s="4">
        <f>IF($K150="","",N150*2%)</f>
      </c>
      <c r="Q150" s="4">
        <f>IF($K150="","",P150*20%)</f>
      </c>
      <c r="R150" s="4"/>
      <c r="S150" s="4">
        <f>IF($K150="","",R150*20%)</f>
      </c>
      <c r="T150" s="4">
        <v>1</v>
      </c>
      <c r="U150" s="4">
        <f>IF($K150="","",O150+Q150+S150)</f>
      </c>
      <c r="V150" s="4">
        <f>IF($K150="","",L150-M150-N150-O150-P150-Q150-R150-S150-T150)</f>
      </c>
      <c r="W150" s="4">
        <f>IF($K150="","",(V150-AC150)/J150*100)</f>
      </c>
      <c r="X150" s="4">
        <f>IF($K150="","",M150-U150)</f>
      </c>
      <c r="AD150" s="4">
        <f>IF($K150="","",V150-AC150)</f>
      </c>
    </row>
    <row r="151" spans="1:35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IF($K151="","",K151/100*7)</f>
      </c>
      <c r="O151" s="4">
        <f>IF($K151="","",N151*20%)</f>
      </c>
      <c r="P151" s="4">
        <f>IF($K151="","",N151*2%)</f>
      </c>
      <c r="Q151" s="4">
        <f>IF($K151="","",P151*20%)</f>
      </c>
      <c r="R151" s="4"/>
      <c r="S151" s="4">
        <f>IF($K151="","",R151*20%)</f>
      </c>
      <c r="T151" s="4">
        <v>1</v>
      </c>
      <c r="U151" s="4">
        <f>IF($K151="","",O151+Q151+S151)</f>
      </c>
      <c r="V151" s="4">
        <f>IF($K151="","",L151-M151-N151-O151-P151-Q151-R151-S151-T151)</f>
      </c>
      <c r="W151" s="4">
        <f>IF($K151="","",(V151-AC151)/J151*100)</f>
      </c>
      <c r="X151" s="4">
        <f>IF($K151="","",M151-U151)</f>
      </c>
      <c r="AD151" s="4">
        <f>IF($K151="","",V151-AC151)</f>
      </c>
    </row>
    <row r="152" spans="1:35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IF($K152="","",K152/100*7)</f>
      </c>
      <c r="O152" s="4">
        <f>IF($K152="","",N152*20%)</f>
      </c>
      <c r="P152" s="4">
        <f>IF($K152="","",N152*2%)</f>
      </c>
      <c r="Q152" s="4">
        <f>IF($K152="","",P152*20%)</f>
      </c>
      <c r="R152" s="4"/>
      <c r="S152" s="4">
        <f>IF($K152="","",R152*20%)</f>
      </c>
      <c r="T152" s="4">
        <v>1</v>
      </c>
      <c r="U152" s="4">
        <f>IF($K152="","",O152+Q152+S152)</f>
      </c>
      <c r="V152" s="4">
        <f>IF($K152="","",L152-M152-N152-O152-P152-Q152-R152-S152-T152)</f>
      </c>
      <c r="W152" s="4">
        <f>IF($K152="","",(V152-AC152)/J152*100)</f>
      </c>
      <c r="X152" s="4">
        <f>IF($K152="","",M152-U152)</f>
      </c>
      <c r="AD152" s="4">
        <f>IF($K152="","",V152-AC152)</f>
      </c>
    </row>
    <row r="153" spans="1:35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IF($K153="","",K153/100*7)</f>
      </c>
      <c r="O153" s="4">
        <f>IF($K153="","",N153*20%)</f>
      </c>
      <c r="P153" s="4">
        <f>IF($K153="","",N153*2%)</f>
      </c>
      <c r="Q153" s="4">
        <f>IF($K153="","",P153*20%)</f>
      </c>
      <c r="R153" s="4"/>
      <c r="S153" s="4">
        <f>IF($K153="","",R153*20%)</f>
      </c>
      <c r="T153" s="4">
        <v>1</v>
      </c>
      <c r="U153" s="4">
        <f>IF($K153="","",O153+Q153+S153)</f>
      </c>
      <c r="V153" s="4">
        <f>IF($K153="","",L153-M153-N153-O153-P153-Q153-R153-S153-T153)</f>
      </c>
      <c r="W153" s="4">
        <f>IF($K153="","",(V153-AC153)/J153*100)</f>
      </c>
      <c r="X153" s="4">
        <f>IF($K153="","",M153-U153)</f>
      </c>
      <c r="AD153" s="4">
        <f>IF($K153="","",V153-AC153)</f>
      </c>
    </row>
    <row r="154" spans="1:35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IF($K154="","",K154/100*7)</f>
      </c>
      <c r="O154" s="4">
        <f>IF($K154="","",N154*20%)</f>
      </c>
      <c r="P154" s="4">
        <f>IF($K154="","",N154*2%)</f>
      </c>
      <c r="Q154" s="4">
        <f>IF($K154="","",P154*20%)</f>
      </c>
      <c r="R154" s="4"/>
      <c r="S154" s="4">
        <f>IF($K154="","",R154*20%)</f>
      </c>
      <c r="T154" s="4">
        <v>1</v>
      </c>
      <c r="U154" s="4">
        <f>IF($K154="","",O154+Q154+S154)</f>
      </c>
      <c r="V154" s="4">
        <f>IF($K154="","",L154-M154-N154-O154-P154-Q154-R154-S154-T154)</f>
      </c>
      <c r="W154" s="4">
        <f>IF($K154="","",(V154-AC154)/J154*100)</f>
      </c>
      <c r="X154" s="4">
        <f>IF($K154="","",M154-U154)</f>
      </c>
      <c r="AD154" s="4">
        <f>IF($K154="","",V154-AC154)</f>
      </c>
    </row>
    <row r="155" spans="1:35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IF($K155="","",K155/100*7)</f>
      </c>
      <c r="O155" s="4">
        <f>IF($K155="","",N155*20%)</f>
      </c>
      <c r="P155" s="4">
        <f>IF($K155="","",N155*2%)</f>
      </c>
      <c r="Q155" s="4">
        <f>IF($K155="","",P155*20%)</f>
      </c>
      <c r="R155" s="4"/>
      <c r="S155" s="4">
        <f>IF($K155="","",R155*20%)</f>
      </c>
      <c r="T155" s="4">
        <v>1</v>
      </c>
      <c r="U155" s="4">
        <f>IF($K155="","",O155+Q155+S155)</f>
      </c>
      <c r="V155" s="4">
        <f>IF($K155="","",L155-M155-N155-O155-P155-Q155-R155-S155-T155)</f>
      </c>
      <c r="W155" s="4">
        <f>IF($K155="","",(V155-AC155)/J155*100)</f>
      </c>
      <c r="X155" s="4">
        <f>IF($K155="","",M155-U155)</f>
      </c>
      <c r="AD155" s="4">
        <f>IF($K155="","",V155-AC155)</f>
      </c>
    </row>
    <row r="156" spans="1:35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IF($K156="","",K156/100*7)</f>
      </c>
      <c r="O156" s="4">
        <f>IF($K156="","",N156*20%)</f>
      </c>
      <c r="P156" s="4">
        <f>IF($K156="","",N156*2%)</f>
      </c>
      <c r="Q156" s="4">
        <f>IF($K156="","",P156*20%)</f>
      </c>
      <c r="R156" s="4"/>
      <c r="S156" s="4">
        <f>IF($K156="","",R156*20%)</f>
      </c>
      <c r="T156" s="4">
        <v>1</v>
      </c>
      <c r="U156" s="4">
        <f>IF($K156="","",O156+Q156+S156)</f>
      </c>
      <c r="V156" s="4">
        <f>IF($K156="","",L156-M156-N156-O156-P156-Q156-R156-S156-T156)</f>
      </c>
      <c r="W156" s="4">
        <f>IF($K156="","",(V156-AC156)/J156*100)</f>
      </c>
      <c r="X156" s="4">
        <f>IF($K156="","",M156-U156)</f>
      </c>
      <c r="AD156" s="4">
        <f>IF($K156="","",V156-AC156)</f>
      </c>
    </row>
    <row r="157" spans="1:35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IF($K157="","",K157/100*7)</f>
      </c>
      <c r="O157" s="4">
        <f>IF($K157="","",N157*20%)</f>
      </c>
      <c r="P157" s="4">
        <f>IF($K157="","",N157*2%)</f>
      </c>
      <c r="Q157" s="4">
        <f>IF($K157="","",P157*20%)</f>
      </c>
      <c r="R157" s="4"/>
      <c r="S157" s="4">
        <f>IF($K157="","",R157*20%)</f>
      </c>
      <c r="T157" s="4">
        <v>1</v>
      </c>
      <c r="U157" s="4">
        <f>IF($K157="","",O157+Q157+S157)</f>
      </c>
      <c r="V157" s="4">
        <f>IF($K157="","",L157-M157-N157-O157-P157-Q157-R157-S157-T157)</f>
      </c>
      <c r="W157" s="4">
        <f>IF($K157="","",(V157-AC157)/J157*100)</f>
      </c>
      <c r="X157" s="4">
        <f>IF($K157="","",M157-U157)</f>
      </c>
      <c r="AD157" s="4">
        <f>IF($K157="","",V157-AC157)</f>
      </c>
    </row>
    <row r="158" spans="1:35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IF($K158="","",K158/100*7)</f>
      </c>
      <c r="O158" s="4">
        <f>IF($K158="","",N158*20%)</f>
      </c>
      <c r="P158" s="4">
        <f>IF($K158="","",N158*2%)</f>
      </c>
      <c r="Q158" s="4">
        <f>IF($K158="","",P158*20%)</f>
      </c>
      <c r="R158" s="4"/>
      <c r="S158" s="4">
        <f>IF($K158="","",R158*20%)</f>
      </c>
      <c r="T158" s="4">
        <v>1</v>
      </c>
      <c r="U158" s="4">
        <f>IF($K158="","",O158+Q158+S158)</f>
      </c>
      <c r="V158" s="4">
        <f>IF($K158="","",L158-M158-N158-O158-P158-Q158-R158-S158-T158)</f>
      </c>
      <c r="W158" s="4">
        <f>IF($K158="","",(V158-AC158)/J158*100)</f>
      </c>
      <c r="X158" s="4">
        <f>IF($K158="","",M158-U158)</f>
      </c>
      <c r="AD158" s="4">
        <f>IF($K158="","",V158-AC158)</f>
      </c>
    </row>
    <row r="159" spans="1:35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IF($K159="","",K159/100*7)</f>
      </c>
      <c r="O159" s="4">
        <f>IF($K159="","",N159*20%)</f>
      </c>
      <c r="P159" s="4">
        <f>IF($K159="","",N159*2%)</f>
      </c>
      <c r="Q159" s="4">
        <f>IF($K159="","",P159*20%)</f>
      </c>
      <c r="R159" s="4"/>
      <c r="S159" s="4">
        <f>IF($K159="","",R159*20%)</f>
      </c>
      <c r="T159" s="4">
        <v>1</v>
      </c>
      <c r="U159" s="4">
        <f>IF($K159="","",O159+Q159+S159)</f>
      </c>
      <c r="V159" s="4">
        <f>IF($K159="","",L159-M159-N159-O159-P159-Q159-R159-S159-T159)</f>
      </c>
      <c r="W159" s="4">
        <f>IF($K159="","",(V159-AC159)/J159*100)</f>
      </c>
      <c r="X159" s="4">
        <f>IF($K159="","",M159-U159)</f>
      </c>
      <c r="AD159" s="4">
        <f>IF($K159="","",V159-AC159)</f>
      </c>
    </row>
    <row r="160" spans="1:35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IF($K160="","",K160/100*7)</f>
      </c>
      <c r="O160" s="4">
        <f>IF($K160="","",N160*20%)</f>
      </c>
      <c r="P160" s="4">
        <f>IF($K160="","",N160*2%)</f>
      </c>
      <c r="Q160" s="4">
        <f>IF($K160="","",P160*20%)</f>
      </c>
      <c r="R160" s="4"/>
      <c r="S160" s="4">
        <f>IF($K160="","",R160*20%)</f>
      </c>
      <c r="T160" s="4">
        <v>1</v>
      </c>
      <c r="U160" s="4">
        <f>IF($K160="","",O160+Q160+S160)</f>
      </c>
      <c r="V160" s="4">
        <f>IF($K160="","",L160-M160-N160-O160-P160-Q160-R160-S160-T160)</f>
      </c>
      <c r="W160" s="4">
        <f>IF($K160="","",(V160-AC160)/J160*100)</f>
      </c>
      <c r="X160" s="4">
        <f>IF($K160="","",M160-U160)</f>
      </c>
      <c r="AD160" s="4">
        <f>IF($K160="","",V160-AC160)</f>
      </c>
    </row>
    <row r="161" spans="1:35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IF($K161="","",K161/100*7)</f>
      </c>
      <c r="O161" s="4">
        <f>IF($K161="","",N161*20%)</f>
      </c>
      <c r="P161" s="4">
        <f>IF($K161="","",N161*2%)</f>
      </c>
      <c r="Q161" s="4">
        <f>IF($K161="","",P161*20%)</f>
      </c>
      <c r="R161" s="4"/>
      <c r="S161" s="4">
        <f>IF($K161="","",R161*20%)</f>
      </c>
      <c r="T161" s="4">
        <v>1</v>
      </c>
      <c r="U161" s="4">
        <f>IF($K161="","",O161+Q161+S161)</f>
      </c>
      <c r="V161" s="4">
        <f>IF($K161="","",L161-M161-N161-O161-P161-Q161-R161-S161-T161)</f>
      </c>
      <c r="W161" s="4">
        <f>IF($K161="","",(V161-AC161)/J161*100)</f>
      </c>
      <c r="X161" s="4">
        <f>IF($K161="","",M161-U161)</f>
      </c>
      <c r="AD161" s="4">
        <f>IF($K161="","",V161-AC161)</f>
      </c>
    </row>
    <row r="162" spans="1:35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IF($K162="","",K162/100*7)</f>
      </c>
      <c r="O162" s="4">
        <f>IF($K162="","",N162*20%)</f>
      </c>
      <c r="P162" s="4">
        <f>IF($K162="","",N162*2%)</f>
      </c>
      <c r="Q162" s="4">
        <f>IF($K162="","",P162*20%)</f>
      </c>
      <c r="R162" s="4"/>
      <c r="S162" s="4">
        <f>IF($K162="","",R162*20%)</f>
      </c>
      <c r="T162" s="4">
        <v>1</v>
      </c>
      <c r="U162" s="4">
        <f>IF($K162="","",O162+Q162+S162)</f>
      </c>
      <c r="V162" s="4">
        <f>IF($K162="","",L162-M162-N162-O162-P162-Q162-R162-S162-T162)</f>
      </c>
      <c r="W162" s="4">
        <f>IF($K162="","",(V162-AC162)/J162*100)</f>
      </c>
      <c r="X162" s="4">
        <f>IF($K162="","",M162-U162)</f>
      </c>
      <c r="AD162" s="4">
        <f>IF($K162="","",V162-AC162)</f>
      </c>
    </row>
    <row r="163" spans="1:35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IF($K163="","",K163/100*7)</f>
      </c>
      <c r="O163" s="4">
        <f>IF($K163="","",N163*20%)</f>
      </c>
      <c r="P163" s="4">
        <f>IF($K163="","",N163*2%)</f>
      </c>
      <c r="Q163" s="4">
        <f>IF($K163="","",P163*20%)</f>
      </c>
      <c r="R163" s="4"/>
      <c r="S163" s="4">
        <f>IF($K163="","",R163*20%)</f>
      </c>
      <c r="T163" s="4">
        <v>1</v>
      </c>
      <c r="U163" s="4">
        <f>IF($K163="","",O163+Q163+S163)</f>
      </c>
      <c r="V163" s="4">
        <f>IF($K163="","",L163-M163-N163-O163-P163-Q163-R163-S163-T163)</f>
      </c>
      <c r="W163" s="4">
        <f>IF($K163="","",(V163-AC163)/J163*100)</f>
      </c>
      <c r="X163" s="4">
        <f>IF($K163="","",M163-U163)</f>
      </c>
      <c r="AD163" s="4">
        <f>IF($K163="","",V163-AC163)</f>
      </c>
    </row>
    <row r="164" spans="1:35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IF($K164="","",K164/100*7)</f>
      </c>
      <c r="O164" s="4">
        <f>IF($K164="","",N164*20%)</f>
      </c>
      <c r="P164" s="4">
        <f>IF($K164="","",N164*2%)</f>
      </c>
      <c r="Q164" s="4">
        <f>IF($K164="","",P164*20%)</f>
      </c>
      <c r="R164" s="4"/>
      <c r="S164" s="4">
        <f>IF($K164="","",R164*20%)</f>
      </c>
      <c r="T164" s="4">
        <v>1</v>
      </c>
      <c r="U164" s="4">
        <f>IF($K164="","",O164+Q164+S164)</f>
      </c>
      <c r="V164" s="4">
        <f>IF($K164="","",L164-M164-N164-O164-P164-Q164-R164-S164-T164)</f>
      </c>
      <c r="W164" s="4">
        <f>IF($K164="","",(V164-AC164)/J164*100)</f>
      </c>
      <c r="X164" s="4">
        <f>IF($K164="","",M164-U164)</f>
      </c>
      <c r="AD164" s="4">
        <f>IF($K164="","",V164-AC164)</f>
      </c>
    </row>
    <row r="165" spans="1:35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IF($K165="","",K165/100*7)</f>
      </c>
      <c r="O165" s="4">
        <f>IF($K165="","",N165*20%)</f>
      </c>
      <c r="P165" s="4">
        <f>IF($K165="","",N165*2%)</f>
      </c>
      <c r="Q165" s="4">
        <f>IF($K165="","",P165*20%)</f>
      </c>
      <c r="R165" s="4"/>
      <c r="S165" s="4">
        <f>IF($K165="","",R165*20%)</f>
      </c>
      <c r="T165" s="4">
        <v>1</v>
      </c>
      <c r="U165" s="4">
        <f>IF($K165="","",O165+Q165+S165)</f>
      </c>
      <c r="V165" s="4">
        <f>IF($K165="","",L165-M165-N165-O165-P165-Q165-R165-S165-T165)</f>
      </c>
      <c r="W165" s="4">
        <f>IF($K165="","",(V165-AC165)/J165*100)</f>
      </c>
      <c r="X165" s="4">
        <f>IF($K165="","",M165-U165)</f>
      </c>
      <c r="AD165" s="4">
        <f>IF($K165="","",V165-AC165)</f>
      </c>
    </row>
    <row r="166" spans="1:35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IF($K166="","",K166/100*7)</f>
      </c>
      <c r="O166" s="4">
        <f>IF($K166="","",N166*20%)</f>
      </c>
      <c r="P166" s="4">
        <f>IF($K166="","",N166*2%)</f>
      </c>
      <c r="Q166" s="4">
        <f>IF($K166="","",P166*20%)</f>
      </c>
      <c r="R166" s="4"/>
      <c r="S166" s="4">
        <f>IF($K166="","",R166*20%)</f>
      </c>
      <c r="T166" s="4">
        <v>1</v>
      </c>
      <c r="U166" s="4">
        <f>IF($K166="","",O166+Q166+S166)</f>
      </c>
      <c r="V166" s="4">
        <f>IF($K166="","",L166-M166-N166-O166-P166-Q166-R166-S166-T166)</f>
      </c>
      <c r="W166" s="4">
        <f>IF($K166="","",(V166-AC166)/J166*100)</f>
      </c>
      <c r="X166" s="4">
        <f>IF($K166="","",M166-U166)</f>
      </c>
      <c r="AD166" s="4">
        <f>IF($K166="","",V166-AC166)</f>
      </c>
    </row>
    <row r="167" spans="1:35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IF($K167="","",K167/100*7)</f>
      </c>
      <c r="O167" s="4">
        <f>IF($K167="","",N167*20%)</f>
      </c>
      <c r="P167" s="4">
        <f>IF($K167="","",N167*2%)</f>
      </c>
      <c r="Q167" s="4">
        <f>IF($K167="","",P167*20%)</f>
      </c>
      <c r="R167" s="4"/>
      <c r="S167" s="4">
        <f>IF($K167="","",R167*20%)</f>
      </c>
      <c r="T167" s="4">
        <v>1</v>
      </c>
      <c r="U167" s="4">
        <f>IF($K167="","",O167+Q167+S167)</f>
      </c>
      <c r="V167" s="4">
        <f>IF($K167="","",L167-M167-N167-O167-P167-Q167-R167-S167-T167)</f>
      </c>
      <c r="W167" s="4">
        <f>IF($K167="","",(V167-AC167)/J167*100)</f>
      </c>
      <c r="X167" s="4">
        <f>IF($K167="","",M167-U167)</f>
      </c>
      <c r="AD167" s="4">
        <f>IF($K167="","",V167-AC167)</f>
      </c>
    </row>
    <row r="168" spans="1:35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IF($K168="","",K168/100*7)</f>
      </c>
      <c r="O168" s="4">
        <f>IF($K168="","",N168*20%)</f>
      </c>
      <c r="P168" s="4">
        <f>IF($K168="","",N168*2%)</f>
      </c>
      <c r="Q168" s="4">
        <f>IF($K168="","",P168*20%)</f>
      </c>
      <c r="R168" s="4"/>
      <c r="S168" s="4">
        <f>IF($K168="","",R168*20%)</f>
      </c>
      <c r="T168" s="4">
        <v>1</v>
      </c>
      <c r="U168" s="4">
        <f>IF($K168="","",O168+Q168+S168)</f>
      </c>
      <c r="V168" s="4">
        <f>IF($K168="","",L168-M168-N168-O168-P168-Q168-R168-S168-T168)</f>
      </c>
      <c r="W168" s="4">
        <f>IF($K168="","",(V168-AC168)/J168*100)</f>
      </c>
      <c r="X168" s="4">
        <f>IF($K168="","",M168-U168)</f>
      </c>
      <c r="AD168" s="4">
        <f>IF($K168="","",V168-AC168)</f>
      </c>
    </row>
    <row r="169" spans="1:35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IF($K169="","",K169/100*7)</f>
      </c>
      <c r="O169" s="4">
        <f>IF($K169="","",N169*20%)</f>
      </c>
      <c r="P169" s="4">
        <f>IF($K169="","",N169*2%)</f>
      </c>
      <c r="Q169" s="4">
        <f>IF($K169="","",P169*20%)</f>
      </c>
      <c r="R169" s="4"/>
      <c r="S169" s="4">
        <f>IF($K169="","",R169*20%)</f>
      </c>
      <c r="T169" s="4">
        <v>1</v>
      </c>
      <c r="U169" s="4">
        <f>IF($K169="","",O169+Q169+S169)</f>
      </c>
      <c r="V169" s="4">
        <f>IF($K169="","",L169-M169-N169-O169-P169-Q169-R169-S169-T169)</f>
      </c>
      <c r="W169" s="4">
        <f>IF($K169="","",(V169-AC169)/J169*100)</f>
      </c>
      <c r="X169" s="4">
        <f>IF($K169="","",M169-U169)</f>
      </c>
      <c r="AD169" s="4">
        <f>IF($K169="","",V169-AC169)</f>
      </c>
    </row>
    <row r="170" spans="1:35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IF($K170="","",K170/100*7)</f>
      </c>
      <c r="O170" s="4">
        <f>IF($K170="","",N170*20%)</f>
      </c>
      <c r="P170" s="4">
        <f>IF($K170="","",N170*2%)</f>
      </c>
      <c r="Q170" s="4">
        <f>IF($K170="","",P170*20%)</f>
      </c>
      <c r="R170" s="4"/>
      <c r="S170" s="4">
        <f>IF($K170="","",R170*20%)</f>
      </c>
      <c r="T170" s="4">
        <v>1</v>
      </c>
      <c r="U170" s="4">
        <f>IF($K170="","",O170+Q170+S170)</f>
      </c>
      <c r="V170" s="4">
        <f>IF($K170="","",L170-M170-N170-O170-P170-Q170-R170-S170-T170)</f>
      </c>
      <c r="W170" s="4">
        <f>IF($K170="","",(V170-AC170)/J170*100)</f>
      </c>
      <c r="X170" s="4">
        <f>IF($K170="","",M170-U170)</f>
      </c>
      <c r="AD170" s="4">
        <f>IF($K170="","",V170-AC170)</f>
      </c>
    </row>
    <row r="171" spans="1:35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IF($K171="","",K171/100*7)</f>
      </c>
      <c r="O171" s="4">
        <f>IF($K171="","",N171*20%)</f>
      </c>
      <c r="P171" s="4">
        <f>IF($K171="","",N171*2%)</f>
      </c>
      <c r="Q171" s="4">
        <f>IF($K171="","",P171*20%)</f>
      </c>
      <c r="R171" s="4"/>
      <c r="S171" s="4">
        <f>IF($K171="","",R171*20%)</f>
      </c>
      <c r="T171" s="4">
        <v>1</v>
      </c>
      <c r="U171" s="4">
        <f>IF($K171="","",O171+Q171+S171)</f>
      </c>
      <c r="V171" s="4">
        <f>IF($K171="","",L171-M171-N171-O171-P171-Q171-R171-S171-T171)</f>
      </c>
      <c r="W171" s="4">
        <f>IF($K171="","",(V171-AC171)/J171*100)</f>
      </c>
      <c r="X171" s="4">
        <f>IF($K171="","",M171-U171)</f>
      </c>
      <c r="AD171" s="4">
        <f>IF($K171="","",V171-AC171)</f>
      </c>
    </row>
    <row r="172" spans="1:35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IF($K172="","",K172/100*7)</f>
      </c>
      <c r="O172" s="4">
        <f>IF($K172="","",N172*20%)</f>
      </c>
      <c r="P172" s="4">
        <f>IF($K172="","",N172*2%)</f>
      </c>
      <c r="Q172" s="4">
        <f>IF($K172="","",P172*20%)</f>
      </c>
      <c r="R172" s="4"/>
      <c r="S172" s="4">
        <f>IF($K172="","",R172*20%)</f>
      </c>
      <c r="T172" s="4">
        <v>1</v>
      </c>
      <c r="U172" s="4">
        <f>IF($K172="","",O172+Q172+S172)</f>
      </c>
      <c r="V172" s="4">
        <f>IF($K172="","",L172-M172-N172-O172-P172-Q172-R172-S172-T172)</f>
      </c>
      <c r="W172" s="4">
        <f>IF($K172="","",(V172-AC172)/J172*100)</f>
      </c>
      <c r="X172" s="4">
        <f>IF($K172="","",M172-U172)</f>
      </c>
      <c r="AD172" s="4">
        <f>IF($K172="","",V172-AC172)</f>
      </c>
    </row>
    <row r="173" spans="1:35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IF($K173="","",K173/100*7)</f>
      </c>
      <c r="O173" s="4">
        <f>IF($K173="","",N173*20%)</f>
      </c>
      <c r="P173" s="4">
        <f>IF($K173="","",N173*2%)</f>
      </c>
      <c r="Q173" s="4">
        <f>IF($K173="","",P173*20%)</f>
      </c>
      <c r="R173" s="4"/>
      <c r="S173" s="4">
        <f>IF($K173="","",R173*20%)</f>
      </c>
      <c r="T173" s="4">
        <v>1</v>
      </c>
      <c r="U173" s="4">
        <f>IF($K173="","",O173+Q173+S173)</f>
      </c>
      <c r="V173" s="4">
        <f>IF($K173="","",L173-M173-N173-O173-P173-Q173-R173-S173-T173)</f>
      </c>
      <c r="W173" s="4">
        <f>IF($K173="","",(V173-AC173)/J173*100)</f>
      </c>
      <c r="X173" s="4">
        <f>IF($K173="","",M173-U173)</f>
      </c>
      <c r="AD173" s="4">
        <f>IF($K173="","",V173-AC173)</f>
      </c>
    </row>
    <row r="174" spans="1:35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IF($K174="","",K174/100*7)</f>
      </c>
      <c r="O174" s="4">
        <f>IF($K174="","",N174*20%)</f>
      </c>
      <c r="P174" s="4">
        <f>IF($K174="","",N174*2%)</f>
      </c>
      <c r="Q174" s="4">
        <f>IF($K174="","",P174*20%)</f>
      </c>
      <c r="R174" s="4"/>
      <c r="S174" s="4">
        <f>IF($K174="","",R174*20%)</f>
      </c>
      <c r="T174" s="4">
        <v>1</v>
      </c>
      <c r="U174" s="4">
        <f>IF($K174="","",O174+Q174+S174)</f>
      </c>
      <c r="V174" s="4">
        <f>IF($K174="","",L174-M174-N174-O174-P174-Q174-R174-S174-T174)</f>
      </c>
      <c r="W174" s="4">
        <f>IF($K174="","",(V174-AC174)/J174*100)</f>
      </c>
      <c r="X174" s="4">
        <f>IF($K174="","",M174-U174)</f>
      </c>
      <c r="AD174" s="4">
        <f>IF($K174="","",V174-AC174)</f>
      </c>
    </row>
    <row r="175" spans="1:35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IF($K175="","",K175/100*7)</f>
      </c>
      <c r="O175" s="4">
        <f>IF($K175="","",N175*20%)</f>
      </c>
      <c r="P175" s="4">
        <f>IF($K175="","",N175*2%)</f>
      </c>
      <c r="Q175" s="4">
        <f>IF($K175="","",P175*20%)</f>
      </c>
      <c r="R175" s="4"/>
      <c r="S175" s="4">
        <f>IF($K175="","",R175*20%)</f>
      </c>
      <c r="T175" s="4">
        <v>1</v>
      </c>
      <c r="U175" s="4">
        <f>IF($K175="","",O175+Q175+S175)</f>
      </c>
      <c r="V175" s="4">
        <f>IF($K175="","",L175-M175-N175-O175-P175-Q175-R175-S175-T175)</f>
      </c>
      <c r="W175" s="4">
        <f>IF($K175="","",(V175-AC175)/J175*100)</f>
      </c>
      <c r="X175" s="4">
        <f>IF($K175="","",M175-U175)</f>
      </c>
      <c r="AD175" s="4">
        <f>IF($K175="","",V175-AC175)</f>
      </c>
    </row>
    <row r="176" spans="1:35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IF($K176="","",K176/100*7)</f>
      </c>
      <c r="O176" s="4">
        <f>IF($K176="","",N176*20%)</f>
      </c>
      <c r="P176" s="4">
        <f>IF($K176="","",N176*2%)</f>
      </c>
      <c r="Q176" s="4">
        <f>IF($K176="","",P176*20%)</f>
      </c>
      <c r="R176" s="4"/>
      <c r="S176" s="4">
        <f>IF($K176="","",R176*20%)</f>
      </c>
      <c r="T176" s="4">
        <v>1</v>
      </c>
      <c r="U176" s="4">
        <f>IF($K176="","",O176+Q176+S176)</f>
      </c>
      <c r="V176" s="4">
        <f>IF($K176="","",L176-M176-N176-O176-P176-Q176-R176-S176-T176)</f>
      </c>
      <c r="W176" s="4">
        <f>IF($K176="","",(V176-AC176)/J176*100)</f>
      </c>
      <c r="X176" s="4">
        <f>IF($K176="","",M176-U176)</f>
      </c>
      <c r="AD176" s="4">
        <f>IF($K176="","",V176-AC176)</f>
      </c>
    </row>
    <row r="177" spans="1:35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IF($K177="","",K177/100*7)</f>
      </c>
      <c r="O177" s="4">
        <f>IF($K177="","",N177*20%)</f>
      </c>
      <c r="P177" s="4">
        <f>IF($K177="","",N177*2%)</f>
      </c>
      <c r="Q177" s="4">
        <f>IF($K177="","",P177*20%)</f>
      </c>
      <c r="R177" s="4"/>
      <c r="S177" s="4">
        <f>IF($K177="","",R177*20%)</f>
      </c>
      <c r="T177" s="4">
        <v>1</v>
      </c>
      <c r="U177" s="4">
        <f>IF($K177="","",O177+Q177+S177)</f>
      </c>
      <c r="V177" s="4">
        <f>IF($K177="","",L177-M177-N177-O177-P177-Q177-R177-S177-T177)</f>
      </c>
      <c r="W177" s="4">
        <f>IF($K177="","",(V177-AC177)/J177*100)</f>
      </c>
      <c r="X177" s="4">
        <f>IF($K177="","",M177-U177)</f>
      </c>
      <c r="AD177" s="4">
        <f>IF($K177="","",V177-AC177)</f>
      </c>
    </row>
    <row r="178" spans="1:35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IF($K178="","",K178/100*7)</f>
      </c>
      <c r="O178" s="4">
        <f>IF($K178="","",N178*20%)</f>
      </c>
      <c r="P178" s="4">
        <f>IF($K178="","",N178*2%)</f>
      </c>
      <c r="Q178" s="4">
        <f>IF($K178="","",P178*20%)</f>
      </c>
      <c r="R178" s="4"/>
      <c r="S178" s="4">
        <f>IF($K178="","",R178*20%)</f>
      </c>
      <c r="T178" s="4">
        <v>1</v>
      </c>
      <c r="U178" s="4">
        <f>IF($K178="","",O178+Q178+S178)</f>
      </c>
      <c r="V178" s="4">
        <f>IF($K178="","",L178-M178-N178-O178-P178-Q178-R178-S178-T178)</f>
      </c>
      <c r="W178" s="4">
        <f>IF($K178="","",(V178-AC178)/J178*100)</f>
      </c>
      <c r="X178" s="4">
        <f>IF($K178="","",M178-U178)</f>
      </c>
      <c r="AD178" s="4">
        <f>IF($K178="","",V178-AC178)</f>
      </c>
    </row>
    <row r="179" spans="1:35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IF($K179="","",K179/100*7)</f>
      </c>
      <c r="O179" s="4">
        <f>IF($K179="","",N179*20%)</f>
      </c>
      <c r="P179" s="4">
        <f>IF($K179="","",N179*2%)</f>
      </c>
      <c r="Q179" s="4">
        <f>IF($K179="","",P179*20%)</f>
      </c>
      <c r="R179" s="4"/>
      <c r="S179" s="4">
        <f>IF($K179="","",R179*20%)</f>
      </c>
      <c r="T179" s="4">
        <v>1</v>
      </c>
      <c r="U179" s="4">
        <f>IF($K179="","",O179+Q179+S179)</f>
      </c>
      <c r="V179" s="4">
        <f>IF($K179="","",L179-M179-N179-O179-P179-Q179-R179-S179-T179)</f>
      </c>
      <c r="W179" s="4">
        <f>IF($K179="","",(V179-AC179)/J179*100)</f>
      </c>
      <c r="X179" s="4">
        <f>IF($K179="","",M179-U179)</f>
      </c>
      <c r="AD179" s="4">
        <f>IF($K179="","",V179-AC179)</f>
      </c>
    </row>
    <row r="180" spans="1:35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IF($K180="","",K180/100*7)</f>
      </c>
      <c r="O180" s="4">
        <f>IF($K180="","",N180*20%)</f>
      </c>
      <c r="P180" s="4">
        <f>IF($K180="","",N180*2%)</f>
      </c>
      <c r="Q180" s="4">
        <f>IF($K180="","",P180*20%)</f>
      </c>
      <c r="R180" s="4"/>
      <c r="S180" s="4">
        <f>IF($K180="","",R180*20%)</f>
      </c>
      <c r="T180" s="4">
        <v>1</v>
      </c>
      <c r="U180" s="4">
        <f>IF($K180="","",O180+Q180+S180)</f>
      </c>
      <c r="V180" s="4">
        <f>IF($K180="","",L180-M180-N180-O180-P180-Q180-R180-S180-T180)</f>
      </c>
      <c r="W180" s="4">
        <f>IF($K180="","",(V180-AC180)/J180*100)</f>
      </c>
      <c r="X180" s="4">
        <f>IF($K180="","",M180-U180)</f>
      </c>
      <c r="AD180" s="4">
        <f>IF($K180="","",V180-AC180)</f>
      </c>
    </row>
    <row r="181" spans="1:35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IF($K181="","",K181/100*7)</f>
      </c>
      <c r="O181" s="4">
        <f>IF($K181="","",N181*20%)</f>
      </c>
      <c r="P181" s="4">
        <f>IF($K181="","",N181*2%)</f>
      </c>
      <c r="Q181" s="4">
        <f>IF($K181="","",P181*20%)</f>
      </c>
      <c r="R181" s="4"/>
      <c r="S181" s="4">
        <f>IF($K181="","",R181*20%)</f>
      </c>
      <c r="T181" s="4">
        <v>1</v>
      </c>
      <c r="U181" s="4">
        <f>IF($K181="","",O181+Q181+S181)</f>
      </c>
      <c r="V181" s="4">
        <f>IF($K181="","",L181-M181-N181-O181-P181-Q181-R181-S181-T181)</f>
      </c>
      <c r="W181" s="4">
        <f>IF($K181="","",(V181-AC181)/J181*100)</f>
      </c>
      <c r="X181" s="4">
        <f>IF($K181="","",M181-U181)</f>
      </c>
      <c r="AD181" s="4">
        <f>IF($K181="","",V181-AC181)</f>
      </c>
    </row>
    <row r="182" spans="1:35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IF($K182="","",K182/100*7)</f>
      </c>
      <c r="O182" s="4">
        <f>IF($K182="","",N182*20%)</f>
      </c>
      <c r="P182" s="4">
        <f>IF($K182="","",N182*2%)</f>
      </c>
      <c r="Q182" s="4">
        <f>IF($K182="","",P182*20%)</f>
      </c>
      <c r="R182" s="4"/>
      <c r="S182" s="4">
        <f>IF($K182="","",R182*20%)</f>
      </c>
      <c r="T182" s="4">
        <v>1</v>
      </c>
      <c r="U182" s="4">
        <f>IF($K182="","",O182+Q182+S182)</f>
      </c>
      <c r="V182" s="4">
        <f>IF($K182="","",L182-M182-N182-O182-P182-Q182-R182-S182-T182)</f>
      </c>
      <c r="W182" s="4">
        <f>IF($K182="","",(V182-AC182)/J182*100)</f>
      </c>
      <c r="X182" s="4">
        <f>IF($K182="","",M182-U182)</f>
      </c>
      <c r="AD182" s="4">
        <f>IF($K182="","",V182-AC182)</f>
      </c>
    </row>
    <row r="183" spans="1:35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IF($K183="","",K183/100*7)</f>
      </c>
      <c r="O183" s="4">
        <f>IF($K183="","",N183*20%)</f>
      </c>
      <c r="P183" s="4">
        <f>IF($K183="","",N183*2%)</f>
      </c>
      <c r="Q183" s="4">
        <f>IF($K183="","",P183*20%)</f>
      </c>
      <c r="R183" s="4"/>
      <c r="S183" s="4">
        <f>IF($K183="","",R183*20%)</f>
      </c>
      <c r="T183" s="4">
        <v>1</v>
      </c>
      <c r="U183" s="4">
        <f>IF($K183="","",O183+Q183+S183)</f>
      </c>
      <c r="V183" s="4">
        <f>IF($K183="","",L183-M183-N183-O183-P183-Q183-R183-S183-T183)</f>
      </c>
      <c r="W183" s="4">
        <f>IF($K183="","",(V183-AC183)/J183*100)</f>
      </c>
      <c r="X183" s="4">
        <f>IF($K183="","",M183-U183)</f>
      </c>
      <c r="AD183" s="4">
        <f>IF($K183="","",V183-AC183)</f>
      </c>
    </row>
    <row r="184" spans="1:35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IF($K184="","",K184/100*7)</f>
      </c>
      <c r="O184" s="4">
        <f>IF($K184="","",N184*20%)</f>
      </c>
      <c r="P184" s="4">
        <f>IF($K184="","",N184*2%)</f>
      </c>
      <c r="Q184" s="4">
        <f>IF($K184="","",P184*20%)</f>
      </c>
      <c r="R184" s="4"/>
      <c r="S184" s="4">
        <f>IF($K184="","",R184*20%)</f>
      </c>
      <c r="T184" s="4">
        <v>1</v>
      </c>
      <c r="U184" s="4">
        <f>IF($K184="","",O184+Q184+S184)</f>
      </c>
      <c r="V184" s="4">
        <f>IF($K184="","",L184-M184-N184-O184-P184-Q184-R184-S184-T184)</f>
      </c>
      <c r="W184" s="4">
        <f>IF($K184="","",(V184-AC184)/J184*100)</f>
      </c>
      <c r="X184" s="4">
        <f>IF($K184="","",M184-U184)</f>
      </c>
      <c r="AD184" s="4">
        <f>IF($K184="","",V184-AC184)</f>
      </c>
    </row>
    <row r="185" spans="1:35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IF($K185="","",K185/100*7)</f>
      </c>
      <c r="O185" s="4">
        <f>IF($K185="","",N185*20%)</f>
      </c>
      <c r="P185" s="4">
        <f>IF($K185="","",N185*2%)</f>
      </c>
      <c r="Q185" s="4">
        <f>IF($K185="","",P185*20%)</f>
      </c>
      <c r="R185" s="4"/>
      <c r="S185" s="4">
        <f>IF($K185="","",R185*20%)</f>
      </c>
      <c r="T185" s="4">
        <v>1</v>
      </c>
      <c r="U185" s="4">
        <f>IF($K185="","",O185+Q185+S185)</f>
      </c>
      <c r="V185" s="4">
        <f>IF($K185="","",L185-M185-N185-O185-P185-Q185-R185-S185-T185)</f>
      </c>
      <c r="W185" s="4">
        <f>IF($K185="","",(V185-AC185)/J185*100)</f>
      </c>
      <c r="X185" s="4">
        <f>IF($K185="","",M185-U185)</f>
      </c>
      <c r="AD185" s="4">
        <f>IF($K185="","",V185-AC185)</f>
      </c>
    </row>
    <row r="186" spans="1:35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IF($K186="","",K186/100*7)</f>
      </c>
      <c r="O186" s="4">
        <f>IF($K186="","",N186*20%)</f>
      </c>
      <c r="P186" s="4">
        <f>IF($K186="","",N186*2%)</f>
      </c>
      <c r="Q186" s="4">
        <f>IF($K186="","",P186*20%)</f>
      </c>
      <c r="R186" s="4"/>
      <c r="S186" s="4">
        <f>IF($K186="","",R186*20%)</f>
      </c>
      <c r="T186" s="4">
        <v>1</v>
      </c>
      <c r="U186" s="4">
        <f>IF($K186="","",O186+Q186+S186)</f>
      </c>
      <c r="V186" s="4">
        <f>IF($K186="","",L186-M186-N186-O186-P186-Q186-R186-S186-T186)</f>
      </c>
      <c r="W186" s="4">
        <f>IF($K186="","",(V186-AC186)/J186*100)</f>
      </c>
      <c r="X186" s="4">
        <f>IF($K186="","",M186-U186)</f>
      </c>
      <c r="AD186" s="4">
        <f>IF($K186="","",V186-AC186)</f>
      </c>
    </row>
    <row r="187" spans="1:35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IF($K187="","",K187/100*7)</f>
      </c>
      <c r="O187" s="4">
        <f>IF($K187="","",N187*20%)</f>
      </c>
      <c r="P187" s="4">
        <f>IF($K187="","",N187*2%)</f>
      </c>
      <c r="Q187" s="4">
        <f>IF($K187="","",P187*20%)</f>
      </c>
      <c r="R187" s="4"/>
      <c r="S187" s="4">
        <f>IF($K187="","",R187*20%)</f>
      </c>
      <c r="T187" s="4">
        <v>1</v>
      </c>
      <c r="U187" s="4">
        <f>IF($K187="","",O187+Q187+S187)</f>
      </c>
      <c r="V187" s="4">
        <f>IF($K187="","",L187-M187-N187-O187-P187-Q187-R187-S187-T187)</f>
      </c>
      <c r="W187" s="4">
        <f>IF($K187="","",(V187-AC187)/J187*100)</f>
      </c>
      <c r="X187" s="4">
        <f>IF($K187="","",M187-U187)</f>
      </c>
      <c r="AD187" s="4">
        <f>IF($K187="","",V187-AC187)</f>
      </c>
    </row>
    <row r="188" spans="1:35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IF($K188="","",K188/100*7)</f>
      </c>
      <c r="O188" s="4">
        <f>IF($K188="","",N188*20%)</f>
      </c>
      <c r="P188" s="4">
        <f>IF($K188="","",N188*2%)</f>
      </c>
      <c r="Q188" s="4">
        <f>IF($K188="","",P188*20%)</f>
      </c>
      <c r="R188" s="4"/>
      <c r="S188" s="4">
        <f>IF($K188="","",R188*20%)</f>
      </c>
      <c r="T188" s="4">
        <v>1</v>
      </c>
      <c r="U188" s="4">
        <f>IF($K188="","",O188+Q188+S188)</f>
      </c>
      <c r="V188" s="4">
        <f>IF($K188="","",L188-M188-N188-O188-P188-Q188-R188-S188-T188)</f>
      </c>
      <c r="W188" s="4">
        <f>IF($K188="","",(V188-AC188)/J188*100)</f>
      </c>
      <c r="X188" s="4">
        <f>IF($K188="","",M188-U188)</f>
      </c>
      <c r="AD188" s="4">
        <f>IF($K188="","",V188-AC188)</f>
      </c>
    </row>
    <row r="189" spans="1:35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IF($K189="","",K189/100*7)</f>
      </c>
      <c r="O189" s="4">
        <f>IF($K189="","",N189*20%)</f>
      </c>
      <c r="P189" s="4">
        <f>IF($K189="","",N189*2%)</f>
      </c>
      <c r="Q189" s="4">
        <f>IF($K189="","",P189*20%)</f>
      </c>
      <c r="R189" s="4"/>
      <c r="S189" s="4">
        <f>IF($K189="","",R189*20%)</f>
      </c>
      <c r="T189" s="4">
        <v>1</v>
      </c>
      <c r="U189" s="4">
        <f>IF($K189="","",O189+Q189+S189)</f>
      </c>
      <c r="V189" s="4">
        <f>IF($K189="","",L189-M189-N189-O189-P189-Q189-R189-S189-T189)</f>
      </c>
      <c r="W189" s="4">
        <f>IF($K189="","",(V189-AC189)/J189*100)</f>
      </c>
      <c r="X189" s="4">
        <f>IF($K189="","",M189-U189)</f>
      </c>
      <c r="AD189" s="4">
        <f>IF($K189="","",V189-AC189)</f>
      </c>
    </row>
    <row r="190" spans="1:35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IF($K190="","",K190/100*7)</f>
      </c>
      <c r="O190" s="4">
        <f>IF($K190="","",N190*20%)</f>
      </c>
      <c r="P190" s="4">
        <f>IF($K190="","",N190*2%)</f>
      </c>
      <c r="Q190" s="4">
        <f>IF($K190="","",P190*20%)</f>
      </c>
      <c r="R190" s="4"/>
      <c r="S190" s="4">
        <f>IF($K190="","",R190*20%)</f>
      </c>
      <c r="T190" s="4">
        <v>1</v>
      </c>
      <c r="U190" s="4">
        <f>IF($K190="","",O190+Q190+S190)</f>
      </c>
      <c r="V190" s="4">
        <f>IF($K190="","",L190-M190-N190-O190-P190-Q190-R190-S190-T190)</f>
      </c>
      <c r="W190" s="4">
        <f>IF($K190="","",(V190-AC190)/J190*100)</f>
      </c>
      <c r="X190" s="4">
        <f>IF($K190="","",M190-U190)</f>
      </c>
      <c r="AD190" s="4">
        <f>IF($K190="","",V190-AC190)</f>
      </c>
    </row>
    <row r="191" spans="1:35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IF($K191="","",K191/100*7)</f>
      </c>
      <c r="O191" s="4">
        <f>IF($K191="","",N191*20%)</f>
      </c>
      <c r="P191" s="4">
        <f>IF($K191="","",N191*2%)</f>
      </c>
      <c r="Q191" s="4">
        <f>IF($K191="","",P191*20%)</f>
      </c>
      <c r="R191" s="4"/>
      <c r="S191" s="4">
        <f>IF($K191="","",R191*20%)</f>
      </c>
      <c r="T191" s="4">
        <v>1</v>
      </c>
      <c r="U191" s="4">
        <f>IF($K191="","",O191+Q191+S191)</f>
      </c>
      <c r="V191" s="4">
        <f>IF($K191="","",L191-M191-N191-O191-P191-Q191-R191-S191-T191)</f>
      </c>
      <c r="W191" s="4">
        <f>IF($K191="","",(V191-AC191)/J191*100)</f>
      </c>
      <c r="X191" s="4">
        <f>IF($K191="","",M191-U191)</f>
      </c>
      <c r="AD191" s="4">
        <f>IF($K191="","",V191-AC191)</f>
      </c>
    </row>
    <row r="192" spans="1:35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IF($K192="","",K192/100*7)</f>
      </c>
      <c r="O192" s="4">
        <f>IF($K192="","",N192*20%)</f>
      </c>
      <c r="P192" s="4">
        <f>IF($K192="","",N192*2%)</f>
      </c>
      <c r="Q192" s="4">
        <f>IF($K192="","",P192*20%)</f>
      </c>
      <c r="R192" s="4"/>
      <c r="S192" s="4">
        <f>IF($K192="","",R192*20%)</f>
      </c>
      <c r="T192" s="4">
        <v>1</v>
      </c>
      <c r="U192" s="4">
        <f>IF($K192="","",O192+Q192+S192)</f>
      </c>
      <c r="V192" s="4">
        <f>IF($K192="","",L192-M192-N192-O192-P192-Q192-R192-S192-T192)</f>
      </c>
      <c r="W192" s="4">
        <f>IF($K192="","",(V192-AC192)/J192*100)</f>
      </c>
      <c r="X192" s="4">
        <f>IF($K192="","",M192-U192)</f>
      </c>
      <c r="AD192" s="4">
        <f>IF($K192="","",V192-AC192)</f>
      </c>
    </row>
    <row r="193" spans="1:35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IF($K193="","",K193/100*7)</f>
      </c>
      <c r="O193" s="4">
        <f>IF($K193="","",N193*20%)</f>
      </c>
      <c r="P193" s="4">
        <f>IF($K193="","",N193*2%)</f>
      </c>
      <c r="Q193" s="4">
        <f>IF($K193="","",P193*20%)</f>
      </c>
      <c r="R193" s="4"/>
      <c r="S193" s="4">
        <f>IF($K193="","",R193*20%)</f>
      </c>
      <c r="T193" s="4">
        <v>1</v>
      </c>
      <c r="U193" s="4">
        <f>IF($K193="","",O193+Q193+S193)</f>
      </c>
      <c r="V193" s="4">
        <f>IF($K193="","",L193-M193-N193-O193-P193-Q193-R193-S193-T193)</f>
      </c>
      <c r="W193" s="4">
        <f>IF($K193="","",(V193-AC193)/J193*100)</f>
      </c>
      <c r="X193" s="4">
        <f>IF($K193="","",M193-U193)</f>
      </c>
      <c r="AD193" s="4">
        <f>IF($K193="","",V193-AC193)</f>
      </c>
    </row>
    <row r="194" spans="1:35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IF($K194="","",K194/100*7)</f>
      </c>
      <c r="O194" s="4">
        <f>IF($K194="","",N194*20%)</f>
      </c>
      <c r="P194" s="4">
        <f>IF($K194="","",N194*2%)</f>
      </c>
      <c r="Q194" s="4">
        <f>IF($K194="","",P194*20%)</f>
      </c>
      <c r="R194" s="4"/>
      <c r="S194" s="4">
        <f>IF($K194="","",R194*20%)</f>
      </c>
      <c r="T194" s="4">
        <v>1</v>
      </c>
      <c r="U194" s="4">
        <f>IF($K194="","",O194+Q194+S194)</f>
      </c>
      <c r="V194" s="4">
        <f>IF($K194="","",L194-M194-N194-O194-P194-Q194-R194-S194-T194)</f>
      </c>
      <c r="W194" s="4">
        <f>IF($K194="","",(V194-AC194)/J194*100)</f>
      </c>
      <c r="X194" s="4">
        <f>IF($K194="","",M194-U194)</f>
      </c>
      <c r="AD194" s="4">
        <f>IF($K194="","",V194-AC194)</f>
      </c>
    </row>
    <row r="195" spans="1:35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IF($K195="","",K195/100*7)</f>
      </c>
      <c r="O195" s="4">
        <f>IF($K195="","",N195*20%)</f>
      </c>
      <c r="P195" s="4">
        <f>IF($K195="","",N195*2%)</f>
      </c>
      <c r="Q195" s="4">
        <f>IF($K195="","",P195*20%)</f>
      </c>
      <c r="R195" s="4"/>
      <c r="S195" s="4">
        <f>IF($K195="","",R195*20%)</f>
      </c>
      <c r="T195" s="4">
        <v>1</v>
      </c>
      <c r="U195" s="4">
        <f>IF($K195="","",O195+Q195+S195)</f>
      </c>
      <c r="V195" s="4">
        <f>IF($K195="","",L195-M195-N195-O195-P195-Q195-R195-S195-T195)</f>
      </c>
      <c r="W195" s="4">
        <f>IF($K195="","",(V195-AC195)/J195*100)</f>
      </c>
      <c r="X195" s="4">
        <f>IF($K195="","",M195-U195)</f>
      </c>
      <c r="AD195" s="4">
        <f>IF($K195="","",V195-AC195)</f>
      </c>
    </row>
    <row r="196" spans="1:35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IF($K196="","",K196/100*7)</f>
      </c>
      <c r="O196" s="4">
        <f>IF($K196="","",N196*20%)</f>
      </c>
      <c r="P196" s="4">
        <f>IF($K196="","",N196*2%)</f>
      </c>
      <c r="Q196" s="4">
        <f>IF($K196="","",P196*20%)</f>
      </c>
      <c r="R196" s="4"/>
      <c r="S196" s="4">
        <f>IF($K196="","",R196*20%)</f>
      </c>
      <c r="T196" s="4">
        <v>1</v>
      </c>
      <c r="U196" s="4">
        <f>IF($K196="","",O196+Q196+S196)</f>
      </c>
      <c r="V196" s="4">
        <f>IF($K196="","",L196-M196-N196-O196-P196-Q196-R196-S196-T196)</f>
      </c>
      <c r="W196" s="4">
        <f>IF($K196="","",(V196-AC196)/J196*100)</f>
      </c>
      <c r="X196" s="4">
        <f>IF($K196="","",M196-U196)</f>
      </c>
      <c r="AD196" s="4">
        <f>IF($K196="","",V196-AC196)</f>
      </c>
    </row>
    <row r="197" spans="1:35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IF($K197="","",K197/100*7)</f>
      </c>
      <c r="O197" s="4">
        <f>IF($K197="","",N197*20%)</f>
      </c>
      <c r="P197" s="4">
        <f>IF($K197="","",N197*2%)</f>
      </c>
      <c r="Q197" s="4">
        <f>IF($K197="","",P197*20%)</f>
      </c>
      <c r="R197" s="4"/>
      <c r="S197" s="4">
        <f>IF($K197="","",R197*20%)</f>
      </c>
      <c r="T197" s="4">
        <v>1</v>
      </c>
      <c r="U197" s="4">
        <f>IF($K197="","",O197+Q197+S197)</f>
      </c>
      <c r="V197" s="4">
        <f>IF($K197="","",L197-M197-N197-O197-P197-Q197-R197-S197-T197)</f>
      </c>
      <c r="W197" s="4">
        <f>IF($K197="","",(V197-AC197)/J197*100)</f>
      </c>
      <c r="X197" s="4">
        <f>IF($K197="","",M197-U197)</f>
      </c>
      <c r="AD197" s="4">
        <f>IF($K197="","",V197-AC197)</f>
      </c>
    </row>
    <row r="198" spans="1:35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IF($K198="","",K198/100*7)</f>
      </c>
      <c r="O198" s="4">
        <f>IF($K198="","",N198*20%)</f>
      </c>
      <c r="P198" s="4">
        <f>IF($K198="","",N198*2%)</f>
      </c>
      <c r="Q198" s="4">
        <f>IF($K198="","",P198*20%)</f>
      </c>
      <c r="R198" s="4"/>
      <c r="S198" s="4">
        <f>IF($K198="","",R198*20%)</f>
      </c>
      <c r="T198" s="4">
        <v>1</v>
      </c>
      <c r="U198" s="4">
        <f>IF($K198="","",O198+Q198+S198)</f>
      </c>
      <c r="V198" s="4">
        <f>IF($K198="","",L198-M198-N198-O198-P198-Q198-R198-S198-T198)</f>
      </c>
      <c r="W198" s="4">
        <f>IF($K198="","",(V198-AC198)/J198*100)</f>
      </c>
      <c r="X198" s="4">
        <f>IF($K198="","",M198-U198)</f>
      </c>
      <c r="AD198" s="4">
        <f>IF($K198="","",V198-AC198)</f>
      </c>
    </row>
    <row r="199" spans="1:35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IF($K199="","",K199/100*7)</f>
      </c>
      <c r="O199" s="4">
        <f>IF($K199="","",N199*20%)</f>
      </c>
      <c r="P199" s="4">
        <f>IF($K199="","",N199*2%)</f>
      </c>
      <c r="Q199" s="4">
        <f>IF($K199="","",P199*20%)</f>
      </c>
      <c r="R199" s="4"/>
      <c r="S199" s="4">
        <f>IF($K199="","",R199*20%)</f>
      </c>
      <c r="T199" s="4">
        <v>1</v>
      </c>
      <c r="U199" s="4">
        <f>IF($K199="","",O199+Q199+S199)</f>
      </c>
      <c r="V199" s="4">
        <f>IF($K199="","",L199-M199-N199-O199-P199-Q199-R199-S199-T199)</f>
      </c>
      <c r="W199" s="4">
        <f>IF($K199="","",(V199-AC199)/J199*100)</f>
      </c>
      <c r="X199" s="4">
        <f>IF($K199="","",M199-U199)</f>
      </c>
      <c r="AD199" s="4">
        <f>IF($K199="","",V199-AC199)</f>
      </c>
    </row>
    <row r="200" spans="1:35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IF($K200="","",K200/100*7)</f>
      </c>
      <c r="O200" s="4">
        <f>IF($K200="","",N200*20%)</f>
      </c>
      <c r="P200" s="4">
        <f>IF($K200="","",N200*2%)</f>
      </c>
      <c r="Q200" s="4">
        <f>IF($K200="","",P200*20%)</f>
      </c>
      <c r="R200" s="4"/>
      <c r="S200" s="4">
        <f>IF($K200="","",R200*20%)</f>
      </c>
      <c r="T200" s="4">
        <v>1</v>
      </c>
      <c r="U200" s="4">
        <f>IF($K200="","",O200+Q200+S200)</f>
      </c>
      <c r="V200" s="4">
        <f>IF($K200="","",L200-M200-N200-O200-P200-Q200-R200-S200-T200)</f>
      </c>
      <c r="W200" s="4">
        <f>IF($K200="","",(V200-AC200)/J200*100)</f>
      </c>
      <c r="X200" s="4">
        <f>IF($K200="","",M200-U200)</f>
      </c>
      <c r="AD200" s="4">
        <f>IF($K200="","",V200-AC200)</f>
      </c>
    </row>
    <row r="201" spans="1:35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IF($K201="","",K201/100*7)</f>
      </c>
      <c r="O201" s="4">
        <f>IF($K201="","",N201*20%)</f>
      </c>
      <c r="P201" s="4">
        <f>IF($K201="","",N201*2%)</f>
      </c>
      <c r="Q201" s="4">
        <f>IF($K201="","",P201*20%)</f>
      </c>
      <c r="R201" s="4"/>
      <c r="S201" s="4">
        <f>IF($K201="","",R201*20%)</f>
      </c>
      <c r="T201" s="4">
        <v>1</v>
      </c>
      <c r="U201" s="4">
        <f>IF($K201="","",O201+Q201+S201)</f>
      </c>
      <c r="V201" s="4">
        <f>IF($K201="","",L201-M201-N201-O201-P201-Q201-R201-S201-T201)</f>
      </c>
      <c r="W201" s="4">
        <f>IF($K201="","",(V201-AC201)/J201*100)</f>
      </c>
      <c r="X201" s="4">
        <f>IF($K201="","",M201-U201)</f>
      </c>
      <c r="AD201" s="4">
        <f>IF($K201="","",V201-AC201)</f>
      </c>
    </row>
    <row r="202" spans="1:35" x14ac:dyDescent="0.25">
      <c r="A202" s="8"/>
      <c r="D202" s="9"/>
      <c r="J202" s="4"/>
      <c r="K202" s="4"/>
      <c r="L202" s="4">
        <f>IF($K202="","",K202-J202)</f>
      </c>
      <c r="M202" s="4">
        <f>IF($K202="","",L202*16.67%)</f>
      </c>
      <c r="N202" s="4">
        <f>IF($K202="","",K202/100*7)</f>
      </c>
      <c r="O202" s="4">
        <f>IF($K202="","",N202*20%)</f>
      </c>
      <c r="P202" s="4">
        <f>IF($K202="","",N202*2%)</f>
      </c>
      <c r="Q202" s="4">
        <f>IF($K202="","",P202*20%)</f>
      </c>
      <c r="R202" s="4"/>
      <c r="S202" s="4">
        <f>IF($K202="","",R202*20%)</f>
      </c>
      <c r="T202" s="4">
        <v>1</v>
      </c>
      <c r="U202" s="4">
        <f>IF($K202="","",O202+Q202+S202)</f>
      </c>
      <c r="V202" s="4">
        <f>IF($K202="","",L202-M202-N202-O202-P202-Q202-R202-S202-T202)</f>
      </c>
      <c r="W202" s="4">
        <f>IF($K202="","",(V202-AC202)/J202*100)</f>
      </c>
      <c r="X202" s="4">
        <f>IF($K202="","",M202-U202)</f>
      </c>
      <c r="AD202" s="4">
        <f>IF($K202="","",V202-AC202)</f>
      </c>
    </row>
    <row r="203" spans="1:35" x14ac:dyDescent="0.25">
      <c r="A203" s="8"/>
      <c r="D203" s="9"/>
      <c r="J203" s="4"/>
      <c r="K203" s="4"/>
      <c r="L203" s="4">
        <f>IF($K203="","",K203-J203)</f>
      </c>
      <c r="M203" s="4">
        <f>IF($K203="","",L203*16.67%)</f>
      </c>
      <c r="N203" s="4">
        <f>IF($K203="","",K203/100*7)</f>
      </c>
      <c r="O203" s="4">
        <f>IF($K203="","",N203*20%)</f>
      </c>
      <c r="P203" s="4">
        <f>IF($K203="","",N203*2%)</f>
      </c>
      <c r="Q203" s="4">
        <f>IF($K203="","",P203*20%)</f>
      </c>
      <c r="R203" s="4"/>
      <c r="S203" s="4">
        <f>IF($K203="","",R203*20%)</f>
      </c>
      <c r="T203" s="4">
        <v>1</v>
      </c>
      <c r="U203" s="4">
        <f>IF($K203="","",O203+Q203+S203)</f>
      </c>
      <c r="V203" s="4">
        <f>IF($K203="","",L203-M203-N203-O203-P203-Q203-R203-S203-T203)</f>
      </c>
      <c r="W203" s="4">
        <f>IF($K203="","",(V203-AC203)/J203*100)</f>
      </c>
      <c r="X203" s="4">
        <f>IF($K203="","",M203-U203)</f>
      </c>
      <c r="AD203" s="4">
        <f>IF($K203="","",V203-AC203)</f>
      </c>
    </row>
    <row r="204" spans="1:35" x14ac:dyDescent="0.25">
      <c r="A204" s="8"/>
      <c r="D204" s="9"/>
      <c r="J204" s="4"/>
      <c r="K204" s="4"/>
      <c r="L204" s="4">
        <f>IF($K204="","",K204-J204)</f>
      </c>
      <c r="M204" s="4">
        <f>IF($K204="","",L204*16.67%)</f>
      </c>
      <c r="N204" s="4">
        <f>IF($K204="","",K204/100*7)</f>
      </c>
      <c r="O204" s="4">
        <f>IF($K204="","",N204*20%)</f>
      </c>
      <c r="P204" s="4">
        <f>IF($K204="","",N204*2%)</f>
      </c>
      <c r="Q204" s="4">
        <f>IF($K204="","",P204*20%)</f>
      </c>
      <c r="R204" s="4"/>
      <c r="S204" s="4">
        <f>IF($K204="","",R204*20%)</f>
      </c>
      <c r="T204" s="4">
        <v>1</v>
      </c>
      <c r="U204" s="4">
        <f>IF($K204="","",O204+Q204+S204)</f>
      </c>
      <c r="V204" s="4">
        <f>IF($K204="","",L204-M204-N204-O204-P204-Q204-R204-S204-T204)</f>
      </c>
      <c r="W204" s="4">
        <f>IF($K204="","",(V204-AC204)/J204*100)</f>
      </c>
      <c r="X204" s="4">
        <f>IF($K204="","",M204-U204)</f>
      </c>
      <c r="AD204" s="4">
        <f>IF($K204="","",V204-AC204)</f>
      </c>
    </row>
    <row r="205" spans="1:35" x14ac:dyDescent="0.25">
      <c r="A205" s="8"/>
      <c r="D205" s="9"/>
      <c r="J205" s="4"/>
      <c r="K205" s="4"/>
      <c r="L205" s="4">
        <f>IF($K205="","",K205-J205)</f>
      </c>
      <c r="M205" s="4">
        <f>IF($K205="","",L205*16.67%)</f>
      </c>
      <c r="N205" s="4">
        <f>IF($K205="","",K205/100*7)</f>
      </c>
      <c r="O205" s="4">
        <f>IF($K205="","",N205*20%)</f>
      </c>
      <c r="P205" s="4">
        <f>IF($K205="","",N205*2%)</f>
      </c>
      <c r="Q205" s="4">
        <f>IF($K205="","",P205*20%)</f>
      </c>
      <c r="R205" s="4"/>
      <c r="S205" s="4">
        <f>IF($K205="","",R205*20%)</f>
      </c>
      <c r="T205" s="4">
        <v>1</v>
      </c>
      <c r="U205" s="4">
        <f>IF($K205="","",O205+Q205+S205)</f>
      </c>
      <c r="V205" s="4">
        <f>IF($K205="","",L205-M205-N205-O205-P205-Q205-R205-S205-T205)</f>
      </c>
      <c r="W205" s="4">
        <f>IF($K205="","",(V205-AC205)/J205*100)</f>
      </c>
      <c r="X205" s="4">
        <f>IF($K205="","",M205-U205)</f>
      </c>
      <c r="AD205" s="4">
        <f>IF($K205="","",V205-AC205)</f>
      </c>
    </row>
    <row r="206" spans="1:35" x14ac:dyDescent="0.25">
      <c r="A206" s="8"/>
      <c r="D206" s="9"/>
      <c r="J206" s="4"/>
      <c r="K206" s="4"/>
      <c r="L206" s="4">
        <f>IF($K206="","",K206-J206)</f>
      </c>
      <c r="M206" s="4">
        <f>IF($K206="","",L206*16.67%)</f>
      </c>
      <c r="N206" s="4">
        <f>IF($K206="","",K206/100*7)</f>
      </c>
      <c r="O206" s="4">
        <f>IF($K206="","",N206*20%)</f>
      </c>
      <c r="P206" s="4">
        <f>IF($K206="","",N206*2%)</f>
      </c>
      <c r="Q206" s="4">
        <f>IF($K206="","",P206*20%)</f>
      </c>
      <c r="R206" s="4"/>
      <c r="S206" s="4">
        <f>IF($K206="","",R206*20%)</f>
      </c>
      <c r="T206" s="4">
        <v>1</v>
      </c>
      <c r="U206" s="4">
        <f>IF($K206="","",O206+Q206+S206)</f>
      </c>
      <c r="V206" s="4">
        <f>IF($K206="","",L206-M206-N206-O206-P206-Q206-R206-S206-T206)</f>
      </c>
      <c r="W206" s="4">
        <f>IF($K206="","",(V206-AC206)/J206*100)</f>
      </c>
      <c r="X206" s="4">
        <f>IF($K206="","",M206-U206)</f>
      </c>
      <c r="AD206" s="4">
        <f>IF($K206="","",V206-AC206)</f>
      </c>
    </row>
    <row r="207" spans="1:35" x14ac:dyDescent="0.25">
      <c r="A207" s="8"/>
      <c r="D207" s="9"/>
      <c r="J207" s="4"/>
      <c r="K207" s="4"/>
      <c r="L207" s="4">
        <f>IF($K207="","",K207-J207)</f>
      </c>
      <c r="M207" s="4">
        <f>IF($K207="","",L207*16.67%)</f>
      </c>
      <c r="N207" s="4">
        <f>IF($K207="","",K207/100*7)</f>
      </c>
      <c r="O207" s="4">
        <f>IF($K207="","",N207*20%)</f>
      </c>
      <c r="P207" s="4">
        <f>IF($K207="","",N207*2%)</f>
      </c>
      <c r="Q207" s="4">
        <f>IF($K207="","",P207*20%)</f>
      </c>
      <c r="R207" s="4"/>
      <c r="S207" s="4">
        <f>IF($K207="","",R207*20%)</f>
      </c>
      <c r="T207" s="4">
        <v>1</v>
      </c>
      <c r="U207" s="4">
        <f>IF($K207="","",O207+Q207+S207)</f>
      </c>
      <c r="V207" s="4">
        <f>IF($K207="","",L207-M207-N207-O207-P207-Q207-R207-S207-T207)</f>
      </c>
      <c r="W207" s="4">
        <f>IF($K207="","",(V207-AC207)/J207*100)</f>
      </c>
      <c r="X207" s="4">
        <f>IF($K207="","",M207-U207)</f>
      </c>
      <c r="AD207" s="4">
        <f>IF($K207="","",V207-AC207)</f>
      </c>
    </row>
    <row r="208" spans="1:35" x14ac:dyDescent="0.25">
      <c r="A208" s="8"/>
      <c r="D208" s="9"/>
      <c r="J208" s="4"/>
      <c r="K208" s="4"/>
      <c r="L208" s="4">
        <f>IF($K208="","",K208-J208)</f>
      </c>
      <c r="M208" s="4">
        <f>IF($K208="","",L208*16.67%)</f>
      </c>
      <c r="N208" s="4">
        <f>IF($K208="","",K208/100*7)</f>
      </c>
      <c r="O208" s="4">
        <f>IF($K208="","",N208*20%)</f>
      </c>
      <c r="P208" s="4">
        <f>IF($K208="","",N208*2%)</f>
      </c>
      <c r="Q208" s="4">
        <f>IF($K208="","",P208*20%)</f>
      </c>
      <c r="R208" s="4"/>
      <c r="S208" s="4">
        <f>IF($K208="","",R208*20%)</f>
      </c>
      <c r="T208" s="4">
        <v>1</v>
      </c>
      <c r="U208" s="4">
        <f>IF($K208="","",O208+Q208+S208)</f>
      </c>
      <c r="V208" s="4">
        <f>IF($K208="","",L208-M208-N208-O208-P208-Q208-R208-S208-T208)</f>
      </c>
      <c r="W208" s="4">
        <f>IF($K208="","",(V208-AC208)/J208*100)</f>
      </c>
      <c r="X208" s="4">
        <f>IF($K208="","",M208-U208)</f>
      </c>
      <c r="AD208" s="4">
        <f>IF($K208="","",V208-AC208)</f>
      </c>
    </row>
    <row r="209" spans="1:35" x14ac:dyDescent="0.25">
      <c r="A209" s="8"/>
      <c r="D209" s="9"/>
      <c r="J209" s="4"/>
      <c r="K209" s="4"/>
      <c r="L209" s="4">
        <f>IF($K209="","",K209-J209)</f>
      </c>
      <c r="M209" s="4">
        <f>IF($K209="","",L209*16.67%)</f>
      </c>
      <c r="N209" s="4">
        <f>IF($K209="","",K209/100*7)</f>
      </c>
      <c r="O209" s="4">
        <f>IF($K209="","",N209*20%)</f>
      </c>
      <c r="P209" s="4">
        <f>IF($K209="","",N209*2%)</f>
      </c>
      <c r="Q209" s="4">
        <f>IF($K209="","",P209*20%)</f>
      </c>
      <c r="R209" s="4"/>
      <c r="S209" s="4">
        <f>IF($K209="","",R209*20%)</f>
      </c>
      <c r="T209" s="4">
        <v>1</v>
      </c>
      <c r="U209" s="4">
        <f>IF($K209="","",O209+Q209+S209)</f>
      </c>
      <c r="V209" s="4">
        <f>IF($K209="","",L209-M209-N209-O209-P209-Q209-R209-S209-T209)</f>
      </c>
      <c r="W209" s="4">
        <f>IF($K209="","",(V209-AC209)/J209*100)</f>
      </c>
      <c r="X209" s="4">
        <f>IF($K209="","",M209-U209)</f>
      </c>
      <c r="AD209" s="4">
        <f>IF($K209="","",V209-AC209)</f>
      </c>
    </row>
    <row r="210" spans="1:35" x14ac:dyDescent="0.25">
      <c r="A210" s="8"/>
      <c r="D210" s="9"/>
      <c r="J210" s="4"/>
      <c r="K210" s="4"/>
      <c r="L210" s="4">
        <f>IF($K210="","",K210-J210)</f>
      </c>
      <c r="M210" s="4">
        <f>IF($K210="","",L210*16.67%)</f>
      </c>
      <c r="N210" s="4">
        <f>IF($K210="","",K210/100*7)</f>
      </c>
      <c r="O210" s="4">
        <f>IF($K210="","",N210*20%)</f>
      </c>
      <c r="P210" s="4">
        <f>IF($K210="","",N210*2%)</f>
      </c>
      <c r="Q210" s="4">
        <f>IF($K210="","",P210*20%)</f>
      </c>
      <c r="R210" s="4"/>
      <c r="S210" s="4">
        <f>IF($K210="","",R210*20%)</f>
      </c>
      <c r="T210" s="4">
        <v>1</v>
      </c>
      <c r="U210" s="4">
        <f>IF($K210="","",O210+Q210+S210)</f>
      </c>
      <c r="V210" s="4">
        <f>IF($K210="","",L210-M210-N210-O210-P210-Q210-R210-S210-T210)</f>
      </c>
      <c r="W210" s="4">
        <f>IF($K210="","",(V210-AC210)/J210*100)</f>
      </c>
      <c r="X210" s="4">
        <f>IF($K210="","",M210-U210)</f>
      </c>
      <c r="AD210" s="4">
        <f>IF($K210="","",V210-AC210)</f>
      </c>
    </row>
    <row r="211" spans="1:35" x14ac:dyDescent="0.25">
      <c r="A211" s="8"/>
      <c r="D211" s="9"/>
      <c r="J211" s="4"/>
      <c r="K211" s="4"/>
      <c r="L211" s="4">
        <f>IF($K211="","",K211-J211)</f>
      </c>
      <c r="M211" s="4">
        <f>IF($K211="","",L211*16.67%)</f>
      </c>
      <c r="N211" s="4">
        <f>IF($K211="","",K211/100*7)</f>
      </c>
      <c r="O211" s="4">
        <f>IF($K211="","",N211*20%)</f>
      </c>
      <c r="P211" s="4">
        <f>IF($K211="","",N211*2%)</f>
      </c>
      <c r="Q211" s="4">
        <f>IF($K211="","",P211*20%)</f>
      </c>
      <c r="R211" s="4"/>
      <c r="S211" s="4">
        <f>IF($K211="","",R211*20%)</f>
      </c>
      <c r="T211" s="4">
        <v>1</v>
      </c>
      <c r="U211" s="4">
        <f>IF($K211="","",O211+Q211+S211)</f>
      </c>
      <c r="V211" s="4">
        <f>IF($K211="","",L211-M211-N211-O211-P211-Q211-R211-S211-T211)</f>
      </c>
      <c r="W211" s="4">
        <f>IF($K211="","",(V211-AC211)/J211*100)</f>
      </c>
      <c r="X211" s="4">
        <f>IF($K211="","",M211-U211)</f>
      </c>
      <c r="AD211" s="4">
        <f>IF($K211="","",V211-AC211)</f>
      </c>
    </row>
    <row r="212" spans="1:35" x14ac:dyDescent="0.25">
      <c r="A212" s="8"/>
      <c r="D212" s="9"/>
      <c r="J212" s="4"/>
      <c r="K212" s="4"/>
      <c r="L212" s="4">
        <f>IF($K212="","",K212-J212)</f>
      </c>
      <c r="M212" s="4">
        <f>IF($K212="","",L212*16.67%)</f>
      </c>
      <c r="N212" s="4">
        <f>IF($K212="","",K212/100*7)</f>
      </c>
      <c r="O212" s="4">
        <f>IF($K212="","",N212*20%)</f>
      </c>
      <c r="P212" s="4">
        <f>IF($K212="","",N212*2%)</f>
      </c>
      <c r="Q212" s="4">
        <f>IF($K212="","",P212*20%)</f>
      </c>
      <c r="R212" s="4"/>
      <c r="S212" s="4">
        <f>IF($K212="","",R212*20%)</f>
      </c>
      <c r="T212" s="4">
        <v>1</v>
      </c>
      <c r="U212" s="4">
        <f>IF($K212="","",O212+Q212+S212)</f>
      </c>
      <c r="V212" s="4">
        <f>IF($K212="","",L212-M212-N212-O212-P212-Q212-R212-S212-T212)</f>
      </c>
      <c r="W212" s="4">
        <f>IF($K212="","",(V212-AC212)/J212*100)</f>
      </c>
      <c r="X212" s="4">
        <f>IF($K212="","",M212-U212)</f>
      </c>
      <c r="AD212" s="4">
        <f>IF($K212="","",V212-AC212)</f>
      </c>
    </row>
    <row r="213" spans="1:35" x14ac:dyDescent="0.25">
      <c r="A213" s="8"/>
      <c r="D213" s="9"/>
      <c r="J213" s="4"/>
      <c r="K213" s="4"/>
      <c r="L213" s="4">
        <f>IF($K213="","",K213-J213)</f>
      </c>
      <c r="M213" s="4">
        <f>IF($K213="","",L213*16.67%)</f>
      </c>
      <c r="N213" s="4">
        <f>IF($K213="","",K213/100*7)</f>
      </c>
      <c r="O213" s="4">
        <f>IF($K213="","",N213*20%)</f>
      </c>
      <c r="P213" s="4">
        <f>IF($K213="","",N213*2%)</f>
      </c>
      <c r="Q213" s="4">
        <f>IF($K213="","",P213*20%)</f>
      </c>
      <c r="R213" s="4"/>
      <c r="S213" s="4">
        <f>IF($K213="","",R213*20%)</f>
      </c>
      <c r="T213" s="4">
        <v>1</v>
      </c>
      <c r="U213" s="4">
        <f>IF($K213="","",O213+Q213+S213)</f>
      </c>
      <c r="V213" s="4">
        <f>IF($K213="","",L213-M213-N213-O213-P213-Q213-R213-S213-T213)</f>
      </c>
      <c r="W213" s="4">
        <f>IF($K213="","",(V213-AC213)/J213*100)</f>
      </c>
      <c r="X213" s="4">
        <f>IF($K213="","",M213-U213)</f>
      </c>
      <c r="AD213" s="4">
        <f>IF($K213="","",V213-AC213)</f>
      </c>
    </row>
    <row r="214" spans="1:35" x14ac:dyDescent="0.25">
      <c r="A214" s="8"/>
      <c r="D214" s="9"/>
      <c r="J214" s="4"/>
      <c r="K214" s="4"/>
      <c r="L214" s="4">
        <f>IF($K214="","",K214-J214)</f>
      </c>
      <c r="M214" s="4">
        <f>IF($K214="","",L214*16.67%)</f>
      </c>
      <c r="N214" s="4">
        <f>IF($K214="","",K214/100*7)</f>
      </c>
      <c r="O214" s="4">
        <f>IF($K214="","",N214*20%)</f>
      </c>
      <c r="P214" s="4">
        <f>IF($K214="","",N214*2%)</f>
      </c>
      <c r="Q214" s="4">
        <f>IF($K214="","",P214*20%)</f>
      </c>
      <c r="R214" s="4"/>
      <c r="S214" s="4">
        <f>IF($K214="","",R214*20%)</f>
      </c>
      <c r="T214" s="4">
        <v>1</v>
      </c>
      <c r="U214" s="4">
        <f>IF($K214="","",O214+Q214+S214)</f>
      </c>
      <c r="V214" s="4">
        <f>IF($K214="","",L214-M214-N214-O214-P214-Q214-R214-S214-T214)</f>
      </c>
      <c r="W214" s="4">
        <f>IF($K214="","",(V214-AC214)/J214*100)</f>
      </c>
      <c r="X214" s="4">
        <f>IF($K214="","",M214-U214)</f>
      </c>
      <c r="AD214" s="4">
        <f>IF($K214="","",V214-AC214)</f>
      </c>
    </row>
    <row r="215" spans="1:35" x14ac:dyDescent="0.25">
      <c r="A215" s="8"/>
      <c r="D215" s="9"/>
      <c r="J215" s="4"/>
      <c r="K215" s="4"/>
      <c r="L215" s="4">
        <f>IF($K215="","",K215-J215)</f>
      </c>
      <c r="M215" s="4">
        <f>IF($K215="","",L215*16.67%)</f>
      </c>
      <c r="N215" s="4">
        <f>IF($K215="","",K215/100*7)</f>
      </c>
      <c r="O215" s="4">
        <f>IF($K215="","",N215*20%)</f>
      </c>
      <c r="P215" s="4">
        <f>IF($K215="","",N215*2%)</f>
      </c>
      <c r="Q215" s="4">
        <f>IF($K215="","",P215*20%)</f>
      </c>
      <c r="R215" s="4"/>
      <c r="S215" s="4">
        <f>IF($K215="","",R215*20%)</f>
      </c>
      <c r="T215" s="4">
        <v>1</v>
      </c>
      <c r="U215" s="4">
        <f>IF($K215="","",O215+Q215+S215)</f>
      </c>
      <c r="V215" s="4">
        <f>IF($K215="","",L215-M215-N215-O215-P215-Q215-R215-S215-T215)</f>
      </c>
      <c r="W215" s="4">
        <f>IF($K215="","",(V215-AC215)/J215*100)</f>
      </c>
      <c r="X215" s="4">
        <f>IF($K215="","",M215-U215)</f>
      </c>
      <c r="AD215" s="4">
        <f>IF($K215="","",V215-AC215)</f>
      </c>
    </row>
    <row r="216" spans="1:35" x14ac:dyDescent="0.25">
      <c r="A216" s="8"/>
      <c r="D216" s="9"/>
      <c r="J216" s="4"/>
      <c r="K216" s="4"/>
      <c r="L216" s="4">
        <f>IF($K216="","",K216-J216)</f>
      </c>
      <c r="M216" s="4">
        <f>IF($K216="","",L216*16.67%)</f>
      </c>
      <c r="N216" s="4">
        <f>IF($K216="","",K216/100*7)</f>
      </c>
      <c r="O216" s="4">
        <f>IF($K216="","",N216*20%)</f>
      </c>
      <c r="P216" s="4">
        <f>IF($K216="","",N216*2%)</f>
      </c>
      <c r="Q216" s="4">
        <f>IF($K216="","",P216*20%)</f>
      </c>
      <c r="R216" s="4"/>
      <c r="S216" s="4">
        <f>IF($K216="","",R216*20%)</f>
      </c>
      <c r="T216" s="4">
        <v>1</v>
      </c>
      <c r="U216" s="4">
        <f>IF($K216="","",O216+Q216+S216)</f>
      </c>
      <c r="V216" s="4">
        <f>IF($K216="","",L216-M216-N216-O216-P216-Q216-R216-S216-T216)</f>
      </c>
      <c r="W216" s="4">
        <f>IF($K216="","",(V216-AC216)/J216*100)</f>
      </c>
      <c r="X216" s="4">
        <f>IF($K216="","",M216-U216)</f>
      </c>
      <c r="AD216" s="4">
        <f>IF($K216="","",V216-AC216)</f>
      </c>
    </row>
    <row r="217" spans="1:35" x14ac:dyDescent="0.25">
      <c r="A217" s="8"/>
      <c r="D217" s="9"/>
      <c r="J217" s="4"/>
      <c r="K217" s="4"/>
      <c r="L217" s="4">
        <f>IF($K217="","",K217-J217)</f>
      </c>
      <c r="M217" s="4">
        <f>IF($K217="","",L217*16.67%)</f>
      </c>
      <c r="N217" s="4">
        <f>IF($K217="","",K217/100*7)</f>
      </c>
      <c r="O217" s="4">
        <f>IF($K217="","",N217*20%)</f>
      </c>
      <c r="P217" s="4">
        <f>IF($K217="","",N217*2%)</f>
      </c>
      <c r="Q217" s="4">
        <f>IF($K217="","",P217*20%)</f>
      </c>
      <c r="R217" s="4"/>
      <c r="S217" s="4">
        <f>IF($K217="","",R217*20%)</f>
      </c>
      <c r="T217" s="4">
        <v>1</v>
      </c>
      <c r="U217" s="4">
        <f>IF($K217="","",O217+Q217+S217)</f>
      </c>
      <c r="V217" s="4">
        <f>IF($K217="","",L217-M217-N217-O217-P217-Q217-R217-S217-T217)</f>
      </c>
      <c r="W217" s="4">
        <f>IF($K217="","",(V217-AC217)/J217*100)</f>
      </c>
      <c r="X217" s="4">
        <f>IF($K217="","",M217-U217)</f>
      </c>
      <c r="AD217" s="4">
        <f>IF($K217="","",V217-AC217)</f>
      </c>
    </row>
    <row r="218" spans="1:35" x14ac:dyDescent="0.25">
      <c r="A218" s="8"/>
      <c r="D218" s="9"/>
      <c r="J218" s="4"/>
      <c r="K218" s="4"/>
      <c r="L218" s="4">
        <f>IF($K218="","",K218-J218)</f>
      </c>
      <c r="M218" s="4">
        <f>IF($K218="","",L218*16.67%)</f>
      </c>
      <c r="N218" s="4">
        <f>IF($K218="","",K218/100*7)</f>
      </c>
      <c r="O218" s="4">
        <f>IF($K218="","",N218*20%)</f>
      </c>
      <c r="P218" s="4">
        <f>IF($K218="","",N218*2%)</f>
      </c>
      <c r="Q218" s="4">
        <f>IF($K218="","",P218*20%)</f>
      </c>
      <c r="R218" s="4"/>
      <c r="S218" s="4">
        <f>IF($K218="","",R218*20%)</f>
      </c>
      <c r="T218" s="4">
        <v>1</v>
      </c>
      <c r="U218" s="4">
        <f>IF($K218="","",O218+Q218+S218)</f>
      </c>
      <c r="V218" s="4">
        <f>IF($K218="","",L218-M218-N218-O218-P218-Q218-R218-S218-T218)</f>
      </c>
      <c r="W218" s="4">
        <f>IF($K218="","",(V218-AC218)/J218*100)</f>
      </c>
      <c r="X218" s="4">
        <f>IF($K218="","",M218-U218)</f>
      </c>
      <c r="AD218" s="4">
        <f>IF($K218="","",V218-AC218)</f>
      </c>
    </row>
    <row r="219" spans="1:35" x14ac:dyDescent="0.25">
      <c r="A219" s="8"/>
      <c r="D219" s="9"/>
      <c r="J219" s="4"/>
      <c r="K219" s="4"/>
      <c r="L219" s="4">
        <f>IF($K219="","",K219-J219)</f>
      </c>
      <c r="M219" s="4">
        <f>IF($K219="","",L219*16.67%)</f>
      </c>
      <c r="N219" s="4">
        <f>IF($K219="","",K219/100*7)</f>
      </c>
      <c r="O219" s="4">
        <f>IF($K219="","",N219*20%)</f>
      </c>
      <c r="P219" s="4">
        <f>IF($K219="","",N219*2%)</f>
      </c>
      <c r="Q219" s="4">
        <f>IF($K219="","",P219*20%)</f>
      </c>
      <c r="R219" s="4"/>
      <c r="S219" s="4">
        <f>IF($K219="","",R219*20%)</f>
      </c>
      <c r="T219" s="4">
        <v>1</v>
      </c>
      <c r="U219" s="4">
        <f>IF($K219="","",O219+Q219+S219)</f>
      </c>
      <c r="V219" s="4">
        <f>IF($K219="","",L219-M219-N219-O219-P219-Q219-R219-S219-T219)</f>
      </c>
      <c r="W219" s="4">
        <f>IF($K219="","",(V219-AC219)/J219*100)</f>
      </c>
      <c r="X219" s="4">
        <f>IF($K219="","",M219-U219)</f>
      </c>
      <c r="AD219" s="4">
        <f>IF($K219="","",V219-AC219)</f>
      </c>
    </row>
    <row r="220" spans="1:35" x14ac:dyDescent="0.25">
      <c r="A220" s="8"/>
      <c r="D220" s="9"/>
      <c r="J220" s="4"/>
      <c r="K220" s="4"/>
      <c r="L220" s="4">
        <f>IF($K220="","",K220-J220)</f>
      </c>
      <c r="M220" s="4">
        <f>IF($K220="","",L220*16.67%)</f>
      </c>
      <c r="N220" s="4">
        <f>IF($K220="","",K220/100*7)</f>
      </c>
      <c r="O220" s="4">
        <f>IF($K220="","",N220*20%)</f>
      </c>
      <c r="P220" s="4">
        <f>IF($K220="","",N220*2%)</f>
      </c>
      <c r="Q220" s="4">
        <f>IF($K220="","",P220*20%)</f>
      </c>
      <c r="R220" s="4"/>
      <c r="S220" s="4">
        <f>IF($K220="","",R220*20%)</f>
      </c>
      <c r="T220" s="4">
        <v>1</v>
      </c>
      <c r="U220" s="4">
        <f>IF($K220="","",O220+Q220+S220)</f>
      </c>
      <c r="V220" s="4">
        <f>IF($K220="","",L220-M220-N220-O220-P220-Q220-R220-S220-T220)</f>
      </c>
      <c r="W220" s="4">
        <f>IF($K220="","",(V220-AC220)/J220*100)</f>
      </c>
      <c r="X220" s="4">
        <f>IF($K220="","",M220-U220)</f>
      </c>
      <c r="AD220" s="4">
        <f>IF($K220="","",V220-AC220)</f>
      </c>
    </row>
    <row r="221" spans="1:35" x14ac:dyDescent="0.25">
      <c r="A221" s="8"/>
      <c r="D221" s="9"/>
      <c r="J221" s="4"/>
      <c r="K221" s="4"/>
      <c r="L221" s="4">
        <f>IF($K221="","",K221-J221)</f>
      </c>
      <c r="M221" s="4">
        <f>IF($K221="","",L221*16.67%)</f>
      </c>
      <c r="N221" s="4">
        <f>IF($K221="","",K221/100*7)</f>
      </c>
      <c r="O221" s="4">
        <f>IF($K221="","",N221*20%)</f>
      </c>
      <c r="P221" s="4">
        <f>IF($K221="","",N221*2%)</f>
      </c>
      <c r="Q221" s="4">
        <f>IF($K221="","",P221*20%)</f>
      </c>
      <c r="R221" s="4"/>
      <c r="S221" s="4">
        <f>IF($K221="","",R221*20%)</f>
      </c>
      <c r="T221" s="4">
        <v>1</v>
      </c>
      <c r="U221" s="4">
        <f>IF($K221="","",O221+Q221+S221)</f>
      </c>
      <c r="V221" s="4">
        <f>IF($K221="","",L221-M221-N221-O221-P221-Q221-R221-S221-T221)</f>
      </c>
      <c r="W221" s="4">
        <f>IF($K221="","",(V221-AC221)/J221*100)</f>
      </c>
      <c r="X221" s="4">
        <f>IF($K221="","",M221-U221)</f>
      </c>
      <c r="AD221" s="4">
        <f>IF($K221="","",V221-AC221)</f>
      </c>
    </row>
    <row r="222" spans="1:35" x14ac:dyDescent="0.25">
      <c r="A222" s="8"/>
      <c r="D222" s="9"/>
      <c r="J222" s="4"/>
      <c r="K222" s="4"/>
      <c r="L222" s="4">
        <f>IF($K222="","",K222-J222)</f>
      </c>
      <c r="M222" s="4">
        <f>IF($K222="","",L222*16.67%)</f>
      </c>
      <c r="N222" s="4">
        <f>IF($K222="","",K222/100*7)</f>
      </c>
      <c r="O222" s="4">
        <f>IF($K222="","",N222*20%)</f>
      </c>
      <c r="P222" s="4">
        <f>IF($K222="","",N222*2%)</f>
      </c>
      <c r="Q222" s="4">
        <f>IF($K222="","",P222*20%)</f>
      </c>
      <c r="R222" s="4"/>
      <c r="S222" s="4">
        <f>IF($K222="","",R222*20%)</f>
      </c>
      <c r="T222" s="4">
        <v>1</v>
      </c>
      <c r="U222" s="4">
        <f>IF($K222="","",O222+Q222+S222)</f>
      </c>
      <c r="V222" s="4">
        <f>IF($K222="","",L222-M222-N222-O222-P222-Q222-R222-S222-T222)</f>
      </c>
      <c r="W222" s="4">
        <f>IF($K222="","",(V222-AC222)/J222*100)</f>
      </c>
      <c r="X222" s="4">
        <f>IF($K222="","",M222-U222)</f>
      </c>
      <c r="AD222" s="4">
        <f>IF($K222="","",V222-AC222)</f>
      </c>
    </row>
    <row r="223" spans="1:35" s="7" customFormat="1" x14ac:dyDescent="0.25">
      <c r="A223" s="3" t="s">
        <v>18</v>
      </c>
      <c r="B223" s="7"/>
      <c r="C223" s="7"/>
      <c r="D223" s="7"/>
      <c r="E223" s="7"/>
      <c r="F223" s="7"/>
      <c r="G223" s="7"/>
      <c r="H223" s="7"/>
      <c r="I223" s="10">
        <f>SUM(I2:I222)</f>
      </c>
      <c r="J223" s="10">
        <f>SUM(J2:J222)</f>
      </c>
      <c r="K223" s="10">
        <f>SUM(K2:K222)</f>
      </c>
      <c r="L223" s="10">
        <f>SUM(L2:L222)</f>
      </c>
      <c r="M223" s="10">
        <f>SUM(M2:M222)</f>
      </c>
      <c r="N223" s="10">
        <f>SUM(N2:N222)</f>
      </c>
      <c r="O223" s="10">
        <f>SUM(O2:O222)</f>
      </c>
      <c r="P223" s="10">
        <f>SUM(P2:P222)</f>
      </c>
      <c r="Q223" s="10">
        <f>SUM(Q2:Q222)</f>
      </c>
      <c r="R223" s="10">
        <f>SUM(R2:R222)</f>
      </c>
      <c r="S223" s="10">
        <f>SUM(S2:S222)</f>
      </c>
      <c r="T223" s="10">
        <f>SUM(T2:T222)</f>
      </c>
      <c r="U223" s="10">
        <f>SUM(U2:U222)</f>
      </c>
      <c r="V223" s="10">
        <f>SUM(V2:V222)</f>
      </c>
      <c r="W223" s="10">
        <f>IFERROR((V223-AC223)/J223*100,0)</f>
      </c>
      <c r="X223" s="10">
        <f>SUM(X2:X222)</f>
      </c>
      <c r="Y223" s="10">
        <f>SUM(Y2:Y222)</f>
      </c>
      <c r="Z223" s="10">
        <f>SUM(Z2:Z222)</f>
      </c>
      <c r="AA223" s="10">
        <f>SUM(AA2:AA222)</f>
      </c>
      <c r="AB223" s="10">
        <f>SUM(AB2:AB222)</f>
      </c>
      <c r="AC223" s="10">
        <f>SUM(AC2:AC222)</f>
      </c>
      <c r="AD223" s="10">
        <f>SUM(AD2:AD222)</f>
      </c>
      <c r="AE223" s="7"/>
      <c r="AF223" s="7"/>
      <c r="AG223" s="7"/>
      <c r="AH223" s="7"/>
      <c r="AI223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136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137</v>
      </c>
      <c r="Q1" t="s">
        <v>138</v>
      </c>
      <c r="R1" t="s">
        <v>45</v>
      </c>
      <c r="S1" t="s">
        <v>46</v>
      </c>
      <c r="T1" t="s">
        <v>47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8">
        <v>46227.5</v>
      </c>
      <c r="B2" t="s">
        <v>139</v>
      </c>
      <c r="C2" t="s">
        <v>70</v>
      </c>
      <c r="D2" s="9" t="s">
        <v>140</v>
      </c>
      <c r="E2" t="s">
        <v>70</v>
      </c>
      <c r="F2" t="s">
        <v>129</v>
      </c>
      <c r="G2" t="s">
        <v>72</v>
      </c>
      <c r="H2" t="s">
        <v>91</v>
      </c>
      <c r="I2">
        <v>1</v>
      </c>
      <c r="J2" t="s">
        <v>141</v>
      </c>
      <c r="K2" s="4">
        <v>264.82</v>
      </c>
      <c r="L2" s="4">
        <v>382.77</v>
      </c>
      <c r="M2" s="4">
        <f>L2-K2</f>
      </c>
      <c r="N2" s="4">
        <f>M2*16.67%</f>
      </c>
      <c r="O2" s="4">
        <f>L2/100*11</f>
      </c>
      <c r="P2" s="4">
        <v>8.99</v>
      </c>
      <c r="Q2" s="4">
        <v>0</v>
      </c>
      <c r="R2" s="4">
        <v>6.3</v>
      </c>
      <c r="S2" s="4">
        <f>R2*20%</f>
      </c>
      <c r="T2" s="4">
        <v>1</v>
      </c>
      <c r="U2" s="4">
        <f>M2-N2-O2-P2-Q2-R2-S2-T2</f>
      </c>
      <c r="V2" s="4">
        <f>(U2-AB2)/K2*100</f>
      </c>
      <c r="W2" s="4">
        <f>N2-S2</f>
      </c>
      <c r="AC2" s="4">
        <f>U2-AB2</f>
      </c>
      <c r="AH2" t="s">
        <v>1</v>
      </c>
    </row>
    <row r="3" spans="1:34" x14ac:dyDescent="0.25">
      <c r="A3" s="8">
        <v>46226.5</v>
      </c>
      <c r="B3" t="s">
        <v>142</v>
      </c>
      <c r="C3" t="s">
        <v>143</v>
      </c>
      <c r="D3" s="9" t="s">
        <v>144</v>
      </c>
      <c r="E3" t="s">
        <v>143</v>
      </c>
      <c r="F3" t="s">
        <v>145</v>
      </c>
      <c r="G3" t="s">
        <v>78</v>
      </c>
      <c r="H3" t="s">
        <v>73</v>
      </c>
      <c r="I3">
        <v>1</v>
      </c>
      <c r="J3" t="s">
        <v>141</v>
      </c>
      <c r="K3" s="4">
        <v>453.75</v>
      </c>
      <c r="L3" s="4">
        <v>609.97</v>
      </c>
      <c r="M3" s="4">
        <f>L3-K3</f>
      </c>
      <c r="N3" s="4">
        <f>M3*16.67%</f>
      </c>
      <c r="O3" s="4">
        <f>L3/100*11</f>
      </c>
      <c r="P3" s="4">
        <v>8.99</v>
      </c>
      <c r="Q3" s="4">
        <v>0</v>
      </c>
      <c r="R3" s="4">
        <v>2</v>
      </c>
      <c r="S3" s="4">
        <f>R3*20%</f>
      </c>
      <c r="T3" s="4">
        <v>1</v>
      </c>
      <c r="U3" s="4">
        <f>M3-N3-O3-P3-Q3-R3-S3-T3</f>
      </c>
      <c r="V3" s="4">
        <f>(U3-AB3)/K3*100</f>
      </c>
      <c r="W3" s="4">
        <f>N3-S3</f>
      </c>
      <c r="AC3" s="4">
        <f>U3-AB3</f>
      </c>
      <c r="AH3" t="s">
        <v>1</v>
      </c>
    </row>
    <row r="4" spans="1:34" x14ac:dyDescent="0.25">
      <c r="A4" s="8">
        <v>46225.5</v>
      </c>
      <c r="B4" t="s">
        <v>146</v>
      </c>
      <c r="C4" t="s">
        <v>147</v>
      </c>
      <c r="D4" s="9" t="s">
        <v>148</v>
      </c>
      <c r="E4" t="s">
        <v>147</v>
      </c>
      <c r="F4" t="s">
        <v>129</v>
      </c>
      <c r="G4" t="s">
        <v>72</v>
      </c>
      <c r="H4" t="s">
        <v>68</v>
      </c>
      <c r="I4">
        <v>1</v>
      </c>
      <c r="J4" t="s">
        <v>141</v>
      </c>
      <c r="K4" s="4">
        <v>246.31</v>
      </c>
      <c r="L4" s="4">
        <v>323.35</v>
      </c>
      <c r="M4" s="4">
        <f>L4-K4</f>
      </c>
      <c r="N4" s="4">
        <f>M4*16.67%</f>
      </c>
      <c r="O4" s="4">
        <f>L4/100*11</f>
      </c>
      <c r="P4" s="4">
        <v>8.99</v>
      </c>
      <c r="Q4" s="4">
        <v>0</v>
      </c>
      <c r="R4" s="4">
        <v>8</v>
      </c>
      <c r="S4" s="4">
        <f>R4*20%</f>
      </c>
      <c r="T4" s="4">
        <v>1</v>
      </c>
      <c r="U4" s="4">
        <f>M4-N4-O4-P4-Q4-R4-S4-T4</f>
      </c>
      <c r="V4" s="4">
        <f>(U4-AB4)/K4*100</f>
      </c>
      <c r="W4" s="4">
        <f>N4-S4</f>
      </c>
      <c r="AC4" s="4">
        <f>U4-AB4</f>
      </c>
      <c r="AH4" t="s">
        <v>1</v>
      </c>
    </row>
    <row r="5" spans="1:34" x14ac:dyDescent="0.25">
      <c r="A5" s="8">
        <v>46223.5</v>
      </c>
      <c r="B5" t="s">
        <v>149</v>
      </c>
      <c r="C5" t="s">
        <v>150</v>
      </c>
      <c r="D5" s="9" t="s">
        <v>151</v>
      </c>
      <c r="E5" t="s">
        <v>65</v>
      </c>
      <c r="F5" t="s">
        <v>66</v>
      </c>
      <c r="G5" t="s">
        <v>78</v>
      </c>
      <c r="H5" t="s">
        <v>68</v>
      </c>
      <c r="I5">
        <v>1</v>
      </c>
      <c r="J5" t="s">
        <v>141</v>
      </c>
      <c r="K5" s="4">
        <v>530.25</v>
      </c>
      <c r="L5" s="4">
        <v>746.88</v>
      </c>
      <c r="M5" s="4">
        <f>L5-K5</f>
      </c>
      <c r="N5" s="4">
        <f>M5*16.67%</f>
      </c>
      <c r="O5" s="4">
        <f>L5/100*11</f>
      </c>
      <c r="P5" s="4">
        <v>8.99</v>
      </c>
      <c r="Q5" s="4">
        <v>0</v>
      </c>
      <c r="R5" s="4">
        <v>8</v>
      </c>
      <c r="S5" s="4">
        <f>R5*20%</f>
      </c>
      <c r="T5" s="4">
        <v>1</v>
      </c>
      <c r="U5" s="4">
        <f>M5-N5-O5-P5-Q5-R5-S5-T5</f>
      </c>
      <c r="V5" s="4">
        <f>(U5-AB5)/K5*100</f>
      </c>
      <c r="W5" s="4">
        <f>N5-S5</f>
      </c>
      <c r="AC5" s="4">
        <f>U5-AB5</f>
      </c>
      <c r="AH5" t="s">
        <v>1</v>
      </c>
    </row>
    <row r="6" spans="1:34" x14ac:dyDescent="0.25">
      <c r="A6" s="8">
        <v>46222.5</v>
      </c>
      <c r="B6" t="s">
        <v>152</v>
      </c>
      <c r="C6" t="s">
        <v>153</v>
      </c>
      <c r="D6" s="9" t="s">
        <v>154</v>
      </c>
      <c r="E6" t="s">
        <v>65</v>
      </c>
      <c r="F6" t="s">
        <v>102</v>
      </c>
      <c r="G6" t="s">
        <v>72</v>
      </c>
      <c r="H6" t="s">
        <v>79</v>
      </c>
      <c r="I6">
        <v>1</v>
      </c>
      <c r="J6" t="s">
        <v>155</v>
      </c>
      <c r="K6" s="4">
        <v>337.53</v>
      </c>
      <c r="L6" s="4">
        <v>453.07</v>
      </c>
      <c r="M6" s="4">
        <f>L6-K6</f>
      </c>
      <c r="N6" s="4">
        <f>M6*16.67%</f>
      </c>
      <c r="O6" s="4">
        <f>L6/100*11</f>
      </c>
      <c r="P6" s="4">
        <v>8.99</v>
      </c>
      <c r="Q6" s="4">
        <v>0</v>
      </c>
      <c r="R6" s="4">
        <v>2</v>
      </c>
      <c r="S6" s="4">
        <f>R6*20%</f>
      </c>
      <c r="T6" s="4">
        <v>1</v>
      </c>
      <c r="U6" s="4">
        <f>M6-N6-O6-P6-Q6-R6-S6-T6</f>
      </c>
      <c r="V6" s="4">
        <f>(U6-AB6)/K6*100</f>
      </c>
      <c r="W6" s="4">
        <f>N6-S6</f>
      </c>
      <c r="AC6" s="4">
        <f>U6-AB6</f>
      </c>
      <c r="AH6" t="s">
        <v>1</v>
      </c>
    </row>
    <row r="7" spans="1:34" x14ac:dyDescent="0.25">
      <c r="A7" s="8">
        <v>46221.5</v>
      </c>
      <c r="B7" t="s">
        <v>156</v>
      </c>
      <c r="C7" t="s">
        <v>157</v>
      </c>
      <c r="D7" s="9" t="s">
        <v>158</v>
      </c>
      <c r="E7" t="s">
        <v>65</v>
      </c>
      <c r="F7" t="s">
        <v>83</v>
      </c>
      <c r="G7" t="s">
        <v>72</v>
      </c>
      <c r="H7" t="s">
        <v>91</v>
      </c>
      <c r="I7">
        <v>1</v>
      </c>
      <c r="J7" t="s">
        <v>155</v>
      </c>
      <c r="K7" s="4">
        <v>232.24</v>
      </c>
      <c r="L7" s="4">
        <v>310.64</v>
      </c>
      <c r="M7" s="4">
        <f>L7-K7</f>
      </c>
      <c r="N7" s="4">
        <f>M7*16.67%</f>
      </c>
      <c r="O7" s="4">
        <f>L7/100*11</f>
      </c>
      <c r="P7" s="4">
        <v>8.99</v>
      </c>
      <c r="Q7" s="4">
        <v>0</v>
      </c>
      <c r="R7" s="4">
        <v>2</v>
      </c>
      <c r="S7" s="4">
        <f>R7*20%</f>
      </c>
      <c r="T7" s="4">
        <v>1</v>
      </c>
      <c r="U7" s="4">
        <f>M7-N7-O7-P7-Q7-R7-S7-T7</f>
      </c>
      <c r="V7" s="4">
        <f>(U7-AB7)/K7*100</f>
      </c>
      <c r="W7" s="4">
        <f>N7-S7</f>
      </c>
      <c r="AC7" s="4">
        <f>U7-AB7</f>
      </c>
      <c r="AH7" t="s">
        <v>1</v>
      </c>
    </row>
    <row r="8" spans="1:34" x14ac:dyDescent="0.25">
      <c r="A8" s="8">
        <v>46220.5</v>
      </c>
      <c r="B8" t="s">
        <v>159</v>
      </c>
      <c r="C8" t="s">
        <v>160</v>
      </c>
      <c r="D8" s="9" t="s">
        <v>161</v>
      </c>
      <c r="E8" t="s">
        <v>65</v>
      </c>
      <c r="F8" t="s">
        <v>83</v>
      </c>
      <c r="G8" t="s">
        <v>67</v>
      </c>
      <c r="H8" t="s">
        <v>73</v>
      </c>
      <c r="I8">
        <v>1</v>
      </c>
      <c r="J8" t="s">
        <v>162</v>
      </c>
      <c r="K8" s="4">
        <v>212.15</v>
      </c>
      <c r="L8" s="4">
        <v>302.32</v>
      </c>
      <c r="M8" s="4">
        <f>L8-K8</f>
      </c>
      <c r="N8" s="4">
        <f>M8*16.67%</f>
      </c>
      <c r="O8" s="4">
        <f>L8/100*11</f>
      </c>
      <c r="P8" s="4">
        <v>8.99</v>
      </c>
      <c r="Q8" s="4">
        <v>0</v>
      </c>
      <c r="R8" s="4">
        <v>8</v>
      </c>
      <c r="S8" s="4">
        <f>R8*20%</f>
      </c>
      <c r="T8" s="4">
        <v>1</v>
      </c>
      <c r="U8" s="4">
        <f>M8-N8-O8-P8-Q8-R8-S8-T8</f>
      </c>
      <c r="V8" s="4">
        <f>(U8-AB8)/K8*100</f>
      </c>
      <c r="W8" s="4">
        <f>N8-S8</f>
      </c>
      <c r="AC8" s="4">
        <f>U8-AB8</f>
      </c>
      <c r="AH8" t="s">
        <v>1</v>
      </c>
    </row>
    <row r="9" spans="1:34" x14ac:dyDescent="0.25">
      <c r="A9" s="8">
        <v>46218.5</v>
      </c>
      <c r="B9" t="s">
        <v>163</v>
      </c>
      <c r="C9" t="s">
        <v>75</v>
      </c>
      <c r="D9" s="9" t="s">
        <v>164</v>
      </c>
      <c r="E9" t="s">
        <v>75</v>
      </c>
      <c r="F9" t="s">
        <v>77</v>
      </c>
      <c r="G9" t="s">
        <v>78</v>
      </c>
      <c r="H9" t="s">
        <v>73</v>
      </c>
      <c r="I9">
        <v>1</v>
      </c>
      <c r="J9" t="s">
        <v>162</v>
      </c>
      <c r="K9" s="4">
        <v>413.46</v>
      </c>
      <c r="L9" s="4">
        <v>533.81</v>
      </c>
      <c r="M9" s="4">
        <f>L9-K9</f>
      </c>
      <c r="N9" s="4">
        <f>M9*16.67%</f>
      </c>
      <c r="O9" s="4">
        <f>L9/100*11</f>
      </c>
      <c r="P9" s="4">
        <v>8.99</v>
      </c>
      <c r="Q9" s="4">
        <v>0</v>
      </c>
      <c r="R9" s="4">
        <v>8</v>
      </c>
      <c r="S9" s="4">
        <f>R9*20%</f>
      </c>
      <c r="T9" s="4">
        <v>1</v>
      </c>
      <c r="U9" s="4">
        <f>M9-N9-O9-P9-Q9-R9-S9-T9</f>
      </c>
      <c r="V9" s="4">
        <f>(U9-AB9)/K9*100</f>
      </c>
      <c r="W9" s="4">
        <f>N9-S9</f>
      </c>
      <c r="AC9" s="4">
        <f>U9-AB9</f>
      </c>
      <c r="AH9" t="s">
        <v>1</v>
      </c>
    </row>
    <row r="10" spans="1:34" x14ac:dyDescent="0.25">
      <c r="A10" s="8">
        <v>46217.5</v>
      </c>
      <c r="B10" t="s">
        <v>165</v>
      </c>
      <c r="C10" t="s">
        <v>107</v>
      </c>
      <c r="D10" s="9" t="s">
        <v>108</v>
      </c>
      <c r="E10" t="s">
        <v>107</v>
      </c>
      <c r="F10" t="s">
        <v>95</v>
      </c>
      <c r="G10" t="s">
        <v>72</v>
      </c>
      <c r="H10" t="s">
        <v>73</v>
      </c>
      <c r="I10">
        <v>1</v>
      </c>
      <c r="J10" t="s">
        <v>155</v>
      </c>
      <c r="K10" s="4">
        <v>250.16</v>
      </c>
      <c r="L10" s="4">
        <v>352.23</v>
      </c>
      <c r="M10" s="4">
        <f>L10-K10</f>
      </c>
      <c r="N10" s="4">
        <f>M10*16.67%</f>
      </c>
      <c r="O10" s="4">
        <f>L10/100*11</f>
      </c>
      <c r="P10" s="4">
        <v>8.99</v>
      </c>
      <c r="Q10" s="4">
        <v>0</v>
      </c>
      <c r="R10" s="4">
        <v>8</v>
      </c>
      <c r="S10" s="4">
        <f>R10*20%</f>
      </c>
      <c r="T10" s="4">
        <v>1</v>
      </c>
      <c r="U10" s="4">
        <f>M10-N10-O10-P10-Q10-R10-S10-T10</f>
      </c>
      <c r="V10" s="4">
        <f>(U10-AB10)/K10*100</f>
      </c>
      <c r="W10" s="4">
        <f>N10-S10</f>
      </c>
      <c r="AC10" s="4">
        <f>U10-AB10</f>
      </c>
      <c r="AH10" t="s">
        <v>1</v>
      </c>
    </row>
    <row r="11" spans="1:34" x14ac:dyDescent="0.25">
      <c r="A11" s="8">
        <v>46216.5</v>
      </c>
      <c r="B11" t="s">
        <v>166</v>
      </c>
      <c r="C11" t="s">
        <v>167</v>
      </c>
      <c r="D11" s="9" t="s">
        <v>168</v>
      </c>
      <c r="E11" t="s">
        <v>167</v>
      </c>
      <c r="F11" t="s">
        <v>87</v>
      </c>
      <c r="G11" t="s">
        <v>72</v>
      </c>
      <c r="H11" t="s">
        <v>73</v>
      </c>
      <c r="I11">
        <v>1</v>
      </c>
      <c r="J11" t="s">
        <v>141</v>
      </c>
      <c r="K11" s="4">
        <v>262.94</v>
      </c>
      <c r="L11" s="4">
        <v>388.08</v>
      </c>
      <c r="M11" s="4">
        <f>L11-K11</f>
      </c>
      <c r="N11" s="4">
        <f>M11*16.67%</f>
      </c>
      <c r="O11" s="4">
        <f>L11/100*11</f>
      </c>
      <c r="P11" s="4">
        <v>8.99</v>
      </c>
      <c r="Q11" s="4">
        <v>0</v>
      </c>
      <c r="R11" s="4">
        <v>8</v>
      </c>
      <c r="S11" s="4">
        <f>R11*20%</f>
      </c>
      <c r="T11" s="4">
        <v>1</v>
      </c>
      <c r="U11" s="4">
        <f>M11-N11-O11-P11-Q11-R11-S11-T11</f>
      </c>
      <c r="V11" s="4">
        <f>(U11-AB11)/K11*100</f>
      </c>
      <c r="W11" s="4">
        <f>N11-S11</f>
      </c>
      <c r="AC11" s="4">
        <f>U11-AB11</f>
      </c>
      <c r="AH11" t="s">
        <v>1</v>
      </c>
    </row>
    <row r="12" spans="1:34" x14ac:dyDescent="0.25">
      <c r="A12" s="8">
        <v>46215.5</v>
      </c>
      <c r="B12" t="s">
        <v>169</v>
      </c>
      <c r="C12" t="s">
        <v>124</v>
      </c>
      <c r="D12" s="9" t="s">
        <v>170</v>
      </c>
      <c r="E12" t="s">
        <v>65</v>
      </c>
      <c r="F12" t="s">
        <v>102</v>
      </c>
      <c r="G12" t="s">
        <v>78</v>
      </c>
      <c r="H12" t="s">
        <v>73</v>
      </c>
      <c r="I12">
        <v>1</v>
      </c>
      <c r="J12" t="s">
        <v>162</v>
      </c>
      <c r="K12" s="4">
        <v>514.23</v>
      </c>
      <c r="L12" s="4">
        <v>704.32</v>
      </c>
      <c r="M12" s="4">
        <f>L12-K12</f>
      </c>
      <c r="N12" s="4">
        <f>M12*16.67%</f>
      </c>
      <c r="O12" s="4">
        <f>L12/100*11</f>
      </c>
      <c r="P12" s="4">
        <v>8.99</v>
      </c>
      <c r="Q12" s="4">
        <v>0</v>
      </c>
      <c r="R12" s="4">
        <v>2</v>
      </c>
      <c r="S12" s="4">
        <f>R12*20%</f>
      </c>
      <c r="T12" s="4">
        <v>1</v>
      </c>
      <c r="U12" s="4">
        <f>M12-N12-O12-P12-Q12-R12-S12-T12</f>
      </c>
      <c r="V12" s="4">
        <f>(U12-AB12)/K12*100</f>
      </c>
      <c r="W12" s="4">
        <f>N12-S12</f>
      </c>
      <c r="AC12" s="4">
        <f>U12-AB12</f>
      </c>
      <c r="AH12" t="s">
        <v>1</v>
      </c>
    </row>
    <row r="13" spans="1:34" x14ac:dyDescent="0.25">
      <c r="A13" s="8">
        <v>46213.5</v>
      </c>
      <c r="B13" t="s">
        <v>171</v>
      </c>
      <c r="C13" t="s">
        <v>172</v>
      </c>
      <c r="D13" s="9" t="s">
        <v>173</v>
      </c>
      <c r="E13" t="s">
        <v>65</v>
      </c>
      <c r="F13" t="s">
        <v>145</v>
      </c>
      <c r="G13" t="s">
        <v>72</v>
      </c>
      <c r="H13" t="s">
        <v>91</v>
      </c>
      <c r="I13">
        <v>1</v>
      </c>
      <c r="J13" t="s">
        <v>141</v>
      </c>
      <c r="K13" s="4">
        <v>231.07</v>
      </c>
      <c r="L13" s="4">
        <v>317.79</v>
      </c>
      <c r="M13" s="4">
        <f>L13-K13</f>
      </c>
      <c r="N13" s="4">
        <f>M13*16.67%</f>
      </c>
      <c r="O13" s="4">
        <f>L13/100*11</f>
      </c>
      <c r="P13" s="4">
        <v>8.99</v>
      </c>
      <c r="Q13" s="4">
        <v>0</v>
      </c>
      <c r="R13" s="4">
        <v>8</v>
      </c>
      <c r="S13" s="4">
        <f>R13*20%</f>
      </c>
      <c r="T13" s="4">
        <v>1</v>
      </c>
      <c r="U13" s="4">
        <f>M13-N13-O13-P13-Q13-R13-S13-T13</f>
      </c>
      <c r="V13" s="4">
        <f>(U13-AB13)/K13*100</f>
      </c>
      <c r="W13" s="4">
        <f>N13-S13</f>
      </c>
      <c r="AC13" s="4">
        <f>U13-AB13</f>
      </c>
      <c r="AH13" t="s">
        <v>1</v>
      </c>
    </row>
    <row r="14" spans="1:34" x14ac:dyDescent="0.25">
      <c r="A14" s="8">
        <v>46212.5</v>
      </c>
      <c r="B14" t="s">
        <v>174</v>
      </c>
      <c r="C14" t="s">
        <v>160</v>
      </c>
      <c r="D14" s="9" t="s">
        <v>175</v>
      </c>
      <c r="E14" t="s">
        <v>65</v>
      </c>
      <c r="F14" t="s">
        <v>83</v>
      </c>
      <c r="G14" t="s">
        <v>67</v>
      </c>
      <c r="H14" t="s">
        <v>73</v>
      </c>
      <c r="I14">
        <v>1</v>
      </c>
      <c r="J14" t="s">
        <v>162</v>
      </c>
      <c r="K14" s="4">
        <v>194.75</v>
      </c>
      <c r="L14" s="4">
        <v>250.75</v>
      </c>
      <c r="M14" s="4">
        <f>L14-K14</f>
      </c>
      <c r="N14" s="4">
        <f>M14*16.67%</f>
      </c>
      <c r="O14" s="4">
        <f>L14/100*11</f>
      </c>
      <c r="P14" s="4">
        <v>8.99</v>
      </c>
      <c r="Q14" s="4">
        <v>0</v>
      </c>
      <c r="R14" s="4">
        <v>8</v>
      </c>
      <c r="S14" s="4">
        <f>R14*20%</f>
      </c>
      <c r="T14" s="4">
        <v>1</v>
      </c>
      <c r="U14" s="4">
        <f>M14-N14-O14-P14-Q14-R14-S14-T14</f>
      </c>
      <c r="V14" s="4">
        <f>(U14-AB14)/K14*100</f>
      </c>
      <c r="W14" s="4">
        <f>N14-S14</f>
      </c>
      <c r="AC14" s="4">
        <f>U14-AB14</f>
      </c>
      <c r="AH14" t="s">
        <v>1</v>
      </c>
    </row>
    <row r="15" spans="1:34" x14ac:dyDescent="0.25">
      <c r="A15" s="8">
        <v>46211.5</v>
      </c>
      <c r="B15" t="s">
        <v>176</v>
      </c>
      <c r="C15" t="s">
        <v>177</v>
      </c>
      <c r="D15" s="9" t="s">
        <v>178</v>
      </c>
      <c r="E15" t="s">
        <v>177</v>
      </c>
      <c r="F15" t="s">
        <v>87</v>
      </c>
      <c r="G15" t="s">
        <v>72</v>
      </c>
      <c r="H15" t="s">
        <v>73</v>
      </c>
      <c r="I15">
        <v>1</v>
      </c>
      <c r="J15" t="s">
        <v>141</v>
      </c>
      <c r="K15" s="4">
        <v>290.37</v>
      </c>
      <c r="L15" s="4">
        <v>415.64</v>
      </c>
      <c r="M15" s="4">
        <f>L15-K15</f>
      </c>
      <c r="N15" s="4">
        <f>M15*16.67%</f>
      </c>
      <c r="O15" s="4">
        <f>L15/100*11</f>
      </c>
      <c r="P15" s="4">
        <v>8.99</v>
      </c>
      <c r="Q15" s="4">
        <v>0</v>
      </c>
      <c r="R15" s="4">
        <v>8</v>
      </c>
      <c r="S15" s="4">
        <f>R15*20%</f>
      </c>
      <c r="T15" s="4">
        <v>1</v>
      </c>
      <c r="U15" s="4">
        <f>M15-N15-O15-P15-Q15-R15-S15-T15</f>
      </c>
      <c r="V15" s="4">
        <f>(U15-AB15)/K15*100</f>
      </c>
      <c r="W15" s="4">
        <f>N15-S15</f>
      </c>
      <c r="AC15" s="4">
        <f>U15-AB15</f>
      </c>
      <c r="AH15" t="s">
        <v>1</v>
      </c>
    </row>
    <row r="16" spans="1:34" x14ac:dyDescent="0.25">
      <c r="A16" s="8">
        <v>46210.5</v>
      </c>
      <c r="B16" t="s">
        <v>179</v>
      </c>
      <c r="C16" t="s">
        <v>180</v>
      </c>
      <c r="D16" s="9" t="s">
        <v>181</v>
      </c>
      <c r="E16" t="s">
        <v>180</v>
      </c>
      <c r="F16" t="s">
        <v>95</v>
      </c>
      <c r="G16" t="s">
        <v>78</v>
      </c>
      <c r="H16" t="s">
        <v>91</v>
      </c>
      <c r="I16">
        <v>1</v>
      </c>
      <c r="J16" t="s">
        <v>155</v>
      </c>
      <c r="K16" s="4">
        <v>446.53</v>
      </c>
      <c r="L16" s="4">
        <v>643.55</v>
      </c>
      <c r="M16" s="4">
        <f>L16-K16</f>
      </c>
      <c r="N16" s="4">
        <f>M16*16.67%</f>
      </c>
      <c r="O16" s="4">
        <f>L16/100*11</f>
      </c>
      <c r="P16" s="4">
        <v>8.99</v>
      </c>
      <c r="Q16" s="4">
        <v>0</v>
      </c>
      <c r="R16" s="4">
        <v>6.3</v>
      </c>
      <c r="S16" s="4">
        <f>R16*20%</f>
      </c>
      <c r="T16" s="4">
        <v>1</v>
      </c>
      <c r="U16" s="4">
        <f>M16-N16-O16-P16-Q16-R16-S16-T16</f>
      </c>
      <c r="V16" s="4">
        <f>(U16-AB16)/K16*100</f>
      </c>
      <c r="W16" s="4">
        <f>N16-S16</f>
      </c>
      <c r="AC16" s="4">
        <f>U16-AB16</f>
      </c>
      <c r="AH16" t="s">
        <v>1</v>
      </c>
    </row>
    <row r="17" spans="1:34" x14ac:dyDescent="0.25">
      <c r="A17" s="8">
        <v>46208.5</v>
      </c>
      <c r="B17" t="s">
        <v>182</v>
      </c>
      <c r="C17" t="s">
        <v>183</v>
      </c>
      <c r="D17" s="9" t="s">
        <v>184</v>
      </c>
      <c r="E17" t="s">
        <v>65</v>
      </c>
      <c r="F17" t="s">
        <v>133</v>
      </c>
      <c r="G17" t="s">
        <v>78</v>
      </c>
      <c r="H17" t="s">
        <v>73</v>
      </c>
      <c r="I17">
        <v>1</v>
      </c>
      <c r="J17" t="s">
        <v>155</v>
      </c>
      <c r="K17" s="4">
        <v>476.5</v>
      </c>
      <c r="L17" s="4">
        <v>605.3</v>
      </c>
      <c r="M17" s="4">
        <f>L17-K17</f>
      </c>
      <c r="N17" s="4">
        <f>M17*16.67%</f>
      </c>
      <c r="O17" s="4">
        <f>L17/100*11</f>
      </c>
      <c r="P17" s="4">
        <v>8.99</v>
      </c>
      <c r="Q17" s="4">
        <v>0</v>
      </c>
      <c r="R17" s="4">
        <v>8</v>
      </c>
      <c r="S17" s="4">
        <f>R17*20%</f>
      </c>
      <c r="T17" s="4">
        <v>1</v>
      </c>
      <c r="U17" s="4">
        <f>M17-N17-O17-P17-Q17-R17-S17-T17</f>
      </c>
      <c r="V17" s="4">
        <f>(U17-AB17)/K17*100</f>
      </c>
      <c r="W17" s="4">
        <f>N17-S17</f>
      </c>
      <c r="AC17" s="4">
        <f>U17-AB17</f>
      </c>
      <c r="AH17" t="s">
        <v>1</v>
      </c>
    </row>
    <row r="18" spans="1:34" x14ac:dyDescent="0.25">
      <c r="A18" s="8">
        <v>46207.5</v>
      </c>
      <c r="B18" t="s">
        <v>185</v>
      </c>
      <c r="C18" t="s">
        <v>85</v>
      </c>
      <c r="D18" s="9" t="s">
        <v>186</v>
      </c>
      <c r="E18" t="s">
        <v>65</v>
      </c>
      <c r="F18" t="s">
        <v>87</v>
      </c>
      <c r="G18" t="s">
        <v>78</v>
      </c>
      <c r="H18" t="s">
        <v>91</v>
      </c>
      <c r="I18">
        <v>1</v>
      </c>
      <c r="J18" t="s">
        <v>141</v>
      </c>
      <c r="K18" s="4">
        <v>533.2</v>
      </c>
      <c r="L18" s="4">
        <v>791.22</v>
      </c>
      <c r="M18" s="4">
        <f>L18-K18</f>
      </c>
      <c r="N18" s="4">
        <f>M18*16.67%</f>
      </c>
      <c r="O18" s="4">
        <f>L18/100*11</f>
      </c>
      <c r="P18" s="4">
        <v>8.99</v>
      </c>
      <c r="Q18" s="4">
        <v>0</v>
      </c>
      <c r="R18" s="4">
        <v>8</v>
      </c>
      <c r="S18" s="4">
        <f>R18*20%</f>
      </c>
      <c r="T18" s="4">
        <v>1</v>
      </c>
      <c r="U18" s="4">
        <f>M18-N18-O18-P18-Q18-R18-S18-T18</f>
      </c>
      <c r="V18" s="4">
        <f>(U18-AB18)/K18*100</f>
      </c>
      <c r="W18" s="4">
        <f>N18-S18</f>
      </c>
      <c r="AC18" s="4">
        <f>U18-AB18</f>
      </c>
      <c r="AH18" t="s">
        <v>1</v>
      </c>
    </row>
    <row r="19" spans="1:34" x14ac:dyDescent="0.25">
      <c r="A19" s="8">
        <v>46206.5</v>
      </c>
      <c r="B19" t="s">
        <v>187</v>
      </c>
      <c r="C19" t="s">
        <v>172</v>
      </c>
      <c r="D19" s="9" t="s">
        <v>188</v>
      </c>
      <c r="E19" t="s">
        <v>65</v>
      </c>
      <c r="F19" t="s">
        <v>145</v>
      </c>
      <c r="G19" t="s">
        <v>72</v>
      </c>
      <c r="H19" t="s">
        <v>91</v>
      </c>
      <c r="I19">
        <v>1</v>
      </c>
      <c r="J19" t="s">
        <v>162</v>
      </c>
      <c r="K19" s="4">
        <v>325.88</v>
      </c>
      <c r="L19" s="4">
        <v>448.08</v>
      </c>
      <c r="M19" s="4">
        <f>L19-K19</f>
      </c>
      <c r="N19" s="4">
        <f>M19*16.67%</f>
      </c>
      <c r="O19" s="4">
        <f>L19/100*11</f>
      </c>
      <c r="P19" s="4">
        <v>8.99</v>
      </c>
      <c r="Q19" s="4">
        <v>0</v>
      </c>
      <c r="R19" s="4">
        <v>6.3</v>
      </c>
      <c r="S19" s="4">
        <f>R19*20%</f>
      </c>
      <c r="T19" s="4">
        <v>1</v>
      </c>
      <c r="U19" s="4">
        <f>M19-N19-O19-P19-Q19-R19-S19-T19</f>
      </c>
      <c r="V19" s="4">
        <f>(U19-AB19)/K19*100</f>
      </c>
      <c r="W19" s="4">
        <f>N19-S19</f>
      </c>
      <c r="AC19" s="4">
        <f>U19-AB19</f>
      </c>
      <c r="AH19" t="s">
        <v>1</v>
      </c>
    </row>
    <row r="20" spans="1:34" x14ac:dyDescent="0.25">
      <c r="A20" s="8">
        <v>46205.5</v>
      </c>
      <c r="B20" t="s">
        <v>189</v>
      </c>
      <c r="C20" t="s">
        <v>89</v>
      </c>
      <c r="D20" s="9" t="s">
        <v>135</v>
      </c>
      <c r="E20" t="s">
        <v>65</v>
      </c>
      <c r="F20" t="s">
        <v>77</v>
      </c>
      <c r="G20" t="s">
        <v>72</v>
      </c>
      <c r="H20" t="s">
        <v>91</v>
      </c>
      <c r="I20">
        <v>1</v>
      </c>
      <c r="J20" t="s">
        <v>141</v>
      </c>
      <c r="K20" s="4">
        <v>234.13</v>
      </c>
      <c r="L20" s="4">
        <v>346.91</v>
      </c>
      <c r="M20" s="4">
        <f>L20-K20</f>
      </c>
      <c r="N20" s="4">
        <f>M20*16.67%</f>
      </c>
      <c r="O20" s="4">
        <f>L20/100*11</f>
      </c>
      <c r="P20" s="4">
        <v>8.99</v>
      </c>
      <c r="Q20" s="4">
        <v>0</v>
      </c>
      <c r="R20" s="4">
        <v>8</v>
      </c>
      <c r="S20" s="4">
        <f>R20*20%</f>
      </c>
      <c r="T20" s="4">
        <v>1</v>
      </c>
      <c r="U20" s="4">
        <f>M20-N20-O20-P20-Q20-R20-S20-T20</f>
      </c>
      <c r="V20" s="4">
        <f>(U20-AB20)/K20*100</f>
      </c>
      <c r="W20" s="4">
        <f>N20-S20</f>
      </c>
      <c r="AC20" s="4">
        <f>U20-AB20</f>
      </c>
      <c r="AH20" t="s">
        <v>1</v>
      </c>
    </row>
    <row r="21" spans="1:34" x14ac:dyDescent="0.25">
      <c r="A21" s="8">
        <v>46204.5</v>
      </c>
      <c r="B21" t="s">
        <v>190</v>
      </c>
      <c r="C21" t="s">
        <v>89</v>
      </c>
      <c r="D21" s="9" t="s">
        <v>191</v>
      </c>
      <c r="E21" t="s">
        <v>65</v>
      </c>
      <c r="F21" t="s">
        <v>66</v>
      </c>
      <c r="G21" t="s">
        <v>72</v>
      </c>
      <c r="H21" t="s">
        <v>91</v>
      </c>
      <c r="I21">
        <v>1</v>
      </c>
      <c r="J21" t="s">
        <v>141</v>
      </c>
      <c r="K21" s="4">
        <v>223.04</v>
      </c>
      <c r="L21" s="4">
        <v>298.35</v>
      </c>
      <c r="M21" s="4">
        <f>L21-K21</f>
      </c>
      <c r="N21" s="4">
        <f>M21*16.67%</f>
      </c>
      <c r="O21" s="4">
        <f>L21/100*11</f>
      </c>
      <c r="P21" s="4">
        <v>8.99</v>
      </c>
      <c r="Q21" s="4">
        <v>0</v>
      </c>
      <c r="R21" s="4">
        <v>6.3</v>
      </c>
      <c r="S21" s="4">
        <f>R21*20%</f>
      </c>
      <c r="T21" s="4">
        <v>1</v>
      </c>
      <c r="U21" s="4">
        <f>M21-N21-O21-P21-Q21-R21-S21-T21</f>
      </c>
      <c r="V21" s="4">
        <f>(U21-AB21)/K21*100</f>
      </c>
      <c r="W21" s="4">
        <f>N21-S21</f>
      </c>
      <c r="AC21" s="4">
        <f>U21-AB21</f>
      </c>
      <c r="AH21" t="s">
        <v>1</v>
      </c>
    </row>
    <row r="22" spans="1:34" x14ac:dyDescent="0.25">
      <c r="A22" s="8"/>
      <c r="D22" s="9"/>
      <c r="K22" s="4"/>
      <c r="L22" s="4"/>
      <c r="M22" s="4">
        <f>IF($L22="","",L22-K22)</f>
      </c>
      <c r="N22" s="4">
        <f>IF($L22="","",M22*16.67%)</f>
      </c>
      <c r="O22" s="4">
        <f>IF($L22="","",L22/100*11)</f>
      </c>
      <c r="P22" s="4">
        <v>8.99</v>
      </c>
      <c r="Q22" s="4">
        <f>IF($L22="","",L22*1%)</f>
      </c>
      <c r="R22" s="4"/>
      <c r="S22" s="4">
        <f>IF($L22="","",R22*20%)</f>
      </c>
      <c r="T22" s="4">
        <v>1</v>
      </c>
      <c r="U22" s="4">
        <f>IF($L22="","",M22-N22-O22-P22-Q22-R22-S22-T22)</f>
      </c>
      <c r="V22" s="4">
        <f>IF($L22="","",(U22-AB22)/K22*100)</f>
      </c>
      <c r="W22" s="4">
        <f>IF($L22="","",N22-S22)</f>
      </c>
      <c r="AC22" s="4">
        <f>IF($L22="","",U22-AB22)</f>
      </c>
    </row>
    <row r="23" spans="1:34" x14ac:dyDescent="0.25">
      <c r="A23" s="8"/>
      <c r="D23" s="9"/>
      <c r="K23" s="4"/>
      <c r="L23" s="4"/>
      <c r="M23" s="4">
        <f>IF($L23="","",L23-K23)</f>
      </c>
      <c r="N23" s="4">
        <f>IF($L23="","",M23*16.67%)</f>
      </c>
      <c r="O23" s="4">
        <f>IF($L23="","",L23/100*11)</f>
      </c>
      <c r="P23" s="4">
        <v>8.99</v>
      </c>
      <c r="Q23" s="4">
        <f>IF($L23="","",L23*1%)</f>
      </c>
      <c r="R23" s="4"/>
      <c r="S23" s="4">
        <f>IF($L23="","",R23*20%)</f>
      </c>
      <c r="T23" s="4">
        <v>1</v>
      </c>
      <c r="U23" s="4">
        <f>IF($L23="","",M23-N23-O23-P23-Q23-R23-S23-T23)</f>
      </c>
      <c r="V23" s="4">
        <f>IF($L23="","",(U23-AB23)/K23*100)</f>
      </c>
      <c r="W23" s="4">
        <f>IF($L23="","",N23-S23)</f>
      </c>
      <c r="AC23" s="4">
        <f>IF($L23="","",U23-AB23)</f>
      </c>
    </row>
    <row r="24" spans="1:34" x14ac:dyDescent="0.25">
      <c r="A24" s="8"/>
      <c r="D24" s="9"/>
      <c r="K24" s="4"/>
      <c r="L24" s="4"/>
      <c r="M24" s="4">
        <f>IF($L24="","",L24-K24)</f>
      </c>
      <c r="N24" s="4">
        <f>IF($L24="","",M24*16.67%)</f>
      </c>
      <c r="O24" s="4">
        <f>IF($L24="","",L24/100*11)</f>
      </c>
      <c r="P24" s="4">
        <v>8.99</v>
      </c>
      <c r="Q24" s="4">
        <f>IF($L24="","",L24*1%)</f>
      </c>
      <c r="R24" s="4"/>
      <c r="S24" s="4">
        <f>IF($L24="","",R24*20%)</f>
      </c>
      <c r="T24" s="4">
        <v>1</v>
      </c>
      <c r="U24" s="4">
        <f>IF($L24="","",M24-N24-O24-P24-Q24-R24-S24-T24)</f>
      </c>
      <c r="V24" s="4">
        <f>IF($L24="","",(U24-AB24)/K24*100)</f>
      </c>
      <c r="W24" s="4">
        <f>IF($L24="","",N24-S24)</f>
      </c>
      <c r="AC24" s="4">
        <f>IF($L24="","",U24-AB24)</f>
      </c>
    </row>
    <row r="25" spans="1:34" x14ac:dyDescent="0.25">
      <c r="A25" s="8"/>
      <c r="D25" s="9"/>
      <c r="K25" s="4"/>
      <c r="L25" s="4"/>
      <c r="M25" s="4">
        <f>IF($L25="","",L25-K25)</f>
      </c>
      <c r="N25" s="4">
        <f>IF($L25="","",M25*16.67%)</f>
      </c>
      <c r="O25" s="4">
        <f>IF($L25="","",L25/100*11)</f>
      </c>
      <c r="P25" s="4">
        <v>8.99</v>
      </c>
      <c r="Q25" s="4">
        <f>IF($L25="","",L25*1%)</f>
      </c>
      <c r="R25" s="4"/>
      <c r="S25" s="4">
        <f>IF($L25="","",R25*20%)</f>
      </c>
      <c r="T25" s="4">
        <v>1</v>
      </c>
      <c r="U25" s="4">
        <f>IF($L25="","",M25-N25-O25-P25-Q25-R25-S25-T25)</f>
      </c>
      <c r="V25" s="4">
        <f>IF($L25="","",(U25-AB25)/K25*100)</f>
      </c>
      <c r="W25" s="4">
        <f>IF($L25="","",N25-S25)</f>
      </c>
      <c r="AC25" s="4">
        <f>IF($L25="","",U25-AB25)</f>
      </c>
    </row>
    <row r="26" spans="1:34" x14ac:dyDescent="0.25">
      <c r="A26" s="8"/>
      <c r="D26" s="9"/>
      <c r="K26" s="4"/>
      <c r="L26" s="4"/>
      <c r="M26" s="4">
        <f>IF($L26="","",L26-K26)</f>
      </c>
      <c r="N26" s="4">
        <f>IF($L26="","",M26*16.67%)</f>
      </c>
      <c r="O26" s="4">
        <f>IF($L26="","",L26/100*11)</f>
      </c>
      <c r="P26" s="4">
        <v>8.99</v>
      </c>
      <c r="Q26" s="4">
        <f>IF($L26="","",L26*1%)</f>
      </c>
      <c r="R26" s="4"/>
      <c r="S26" s="4">
        <f>IF($L26="","",R26*20%)</f>
      </c>
      <c r="T26" s="4">
        <v>1</v>
      </c>
      <c r="U26" s="4">
        <f>IF($L26="","",M26-N26-O26-P26-Q26-R26-S26-T26)</f>
      </c>
      <c r="V26" s="4">
        <f>IF($L26="","",(U26-AB26)/K26*100)</f>
      </c>
      <c r="W26" s="4">
        <f>IF($L26="","",N26-S26)</f>
      </c>
      <c r="AC26" s="4">
        <f>IF($L26="","",U26-AB26)</f>
      </c>
    </row>
    <row r="27" spans="1:34" x14ac:dyDescent="0.25">
      <c r="A27" s="8"/>
      <c r="D27" s="9"/>
      <c r="K27" s="4"/>
      <c r="L27" s="4"/>
      <c r="M27" s="4">
        <f>IF($L27="","",L27-K27)</f>
      </c>
      <c r="N27" s="4">
        <f>IF($L27="","",M27*16.67%)</f>
      </c>
      <c r="O27" s="4">
        <f>IF($L27="","",L27/100*11)</f>
      </c>
      <c r="P27" s="4">
        <v>8.99</v>
      </c>
      <c r="Q27" s="4">
        <f>IF($L27="","",L27*1%)</f>
      </c>
      <c r="R27" s="4"/>
      <c r="S27" s="4">
        <f>IF($L27="","",R27*20%)</f>
      </c>
      <c r="T27" s="4">
        <v>1</v>
      </c>
      <c r="U27" s="4">
        <f>IF($L27="","",M27-N27-O27-P27-Q27-R27-S27-T27)</f>
      </c>
      <c r="V27" s="4">
        <f>IF($L27="","",(U27-AB27)/K27*100)</f>
      </c>
      <c r="W27" s="4">
        <f>IF($L27="","",N27-S27)</f>
      </c>
      <c r="AC27" s="4">
        <f>IF($L27="","",U27-AB27)</f>
      </c>
    </row>
    <row r="28" spans="1:34" x14ac:dyDescent="0.25">
      <c r="A28" s="8"/>
      <c r="D28" s="9"/>
      <c r="K28" s="4"/>
      <c r="L28" s="4"/>
      <c r="M28" s="4">
        <f>IF($L28="","",L28-K28)</f>
      </c>
      <c r="N28" s="4">
        <f>IF($L28="","",M28*16.67%)</f>
      </c>
      <c r="O28" s="4">
        <f>IF($L28="","",L28/100*11)</f>
      </c>
      <c r="P28" s="4">
        <v>8.99</v>
      </c>
      <c r="Q28" s="4">
        <f>IF($L28="","",L28*1%)</f>
      </c>
      <c r="R28" s="4"/>
      <c r="S28" s="4">
        <f>IF($L28="","",R28*20%)</f>
      </c>
      <c r="T28" s="4">
        <v>1</v>
      </c>
      <c r="U28" s="4">
        <f>IF($L28="","",M28-N28-O28-P28-Q28-R28-S28-T28)</f>
      </c>
      <c r="V28" s="4">
        <f>IF($L28="","",(U28-AB28)/K28*100)</f>
      </c>
      <c r="W28" s="4">
        <f>IF($L28="","",N28-S28)</f>
      </c>
      <c r="AC28" s="4">
        <f>IF($L28="","",U28-AB28)</f>
      </c>
    </row>
    <row r="29" spans="1:34" x14ac:dyDescent="0.25">
      <c r="A29" s="8"/>
      <c r="D29" s="9"/>
      <c r="K29" s="4"/>
      <c r="L29" s="4"/>
      <c r="M29" s="4">
        <f>IF($L29="","",L29-K29)</f>
      </c>
      <c r="N29" s="4">
        <f>IF($L29="","",M29*16.67%)</f>
      </c>
      <c r="O29" s="4">
        <f>IF($L29="","",L29/100*11)</f>
      </c>
      <c r="P29" s="4">
        <v>8.99</v>
      </c>
      <c r="Q29" s="4">
        <f>IF($L29="","",L29*1%)</f>
      </c>
      <c r="R29" s="4"/>
      <c r="S29" s="4">
        <f>IF($L29="","",R29*20%)</f>
      </c>
      <c r="T29" s="4">
        <v>1</v>
      </c>
      <c r="U29" s="4">
        <f>IF($L29="","",M29-N29-O29-P29-Q29-R29-S29-T29)</f>
      </c>
      <c r="V29" s="4">
        <f>IF($L29="","",(U29-AB29)/K29*100)</f>
      </c>
      <c r="W29" s="4">
        <f>IF($L29="","",N29-S29)</f>
      </c>
      <c r="AC29" s="4">
        <f>IF($L29="","",U29-AB29)</f>
      </c>
    </row>
    <row r="30" spans="1:34" x14ac:dyDescent="0.25">
      <c r="A30" s="8"/>
      <c r="D30" s="9"/>
      <c r="K30" s="4"/>
      <c r="L30" s="4"/>
      <c r="M30" s="4">
        <f>IF($L30="","",L30-K30)</f>
      </c>
      <c r="N30" s="4">
        <f>IF($L30="","",M30*16.67%)</f>
      </c>
      <c r="O30" s="4">
        <f>IF($L30="","",L30/100*11)</f>
      </c>
      <c r="P30" s="4">
        <v>8.99</v>
      </c>
      <c r="Q30" s="4">
        <f>IF($L30="","",L30*1%)</f>
      </c>
      <c r="R30" s="4"/>
      <c r="S30" s="4">
        <f>IF($L30="","",R30*20%)</f>
      </c>
      <c r="T30" s="4">
        <v>1</v>
      </c>
      <c r="U30" s="4">
        <f>IF($L30="","",M30-N30-O30-P30-Q30-R30-S30-T30)</f>
      </c>
      <c r="V30" s="4">
        <f>IF($L30="","",(U30-AB30)/K30*100)</f>
      </c>
      <c r="W30" s="4">
        <f>IF($L30="","",N30-S30)</f>
      </c>
      <c r="AC30" s="4">
        <f>IF($L30="","",U30-AB30)</f>
      </c>
    </row>
    <row r="31" spans="1:34" x14ac:dyDescent="0.25">
      <c r="A31" s="8"/>
      <c r="D31" s="9"/>
      <c r="K31" s="4"/>
      <c r="L31" s="4"/>
      <c r="M31" s="4">
        <f>IF($L31="","",L31-K31)</f>
      </c>
      <c r="N31" s="4">
        <f>IF($L31="","",M31*16.67%)</f>
      </c>
      <c r="O31" s="4">
        <f>IF($L31="","",L31/100*11)</f>
      </c>
      <c r="P31" s="4">
        <v>8.99</v>
      </c>
      <c r="Q31" s="4">
        <f>IF($L31="","",L31*1%)</f>
      </c>
      <c r="R31" s="4"/>
      <c r="S31" s="4">
        <f>IF($L31="","",R31*20%)</f>
      </c>
      <c r="T31" s="4">
        <v>1</v>
      </c>
      <c r="U31" s="4">
        <f>IF($L31="","",M31-N31-O31-P31-Q31-R31-S31-T31)</f>
      </c>
      <c r="V31" s="4">
        <f>IF($L31="","",(U31-AB31)/K31*100)</f>
      </c>
      <c r="W31" s="4">
        <f>IF($L31="","",N31-S31)</f>
      </c>
      <c r="AC31" s="4">
        <f>IF($L31="","",U31-AB31)</f>
      </c>
    </row>
    <row r="32" spans="1:34" x14ac:dyDescent="0.25">
      <c r="A32" s="8"/>
      <c r="D32" s="9"/>
      <c r="K32" s="4"/>
      <c r="L32" s="4"/>
      <c r="M32" s="4">
        <f>IF($L32="","",L32-K32)</f>
      </c>
      <c r="N32" s="4">
        <f>IF($L32="","",M32*16.67%)</f>
      </c>
      <c r="O32" s="4">
        <f>IF($L32="","",L32/100*11)</f>
      </c>
      <c r="P32" s="4">
        <v>8.99</v>
      </c>
      <c r="Q32" s="4">
        <f>IF($L32="","",L32*1%)</f>
      </c>
      <c r="R32" s="4"/>
      <c r="S32" s="4">
        <f>IF($L32="","",R32*20%)</f>
      </c>
      <c r="T32" s="4">
        <v>1</v>
      </c>
      <c r="U32" s="4">
        <f>IF($L32="","",M32-N32-O32-P32-Q32-R32-S32-T32)</f>
      </c>
      <c r="V32" s="4">
        <f>IF($L32="","",(U32-AB32)/K32*100)</f>
      </c>
      <c r="W32" s="4">
        <f>IF($L32="","",N32-S32)</f>
      </c>
      <c r="AC32" s="4">
        <f>IF($L32="","",U32-AB32)</f>
      </c>
    </row>
    <row r="33" spans="1:34" x14ac:dyDescent="0.25">
      <c r="A33" s="8"/>
      <c r="D33" s="9"/>
      <c r="K33" s="4"/>
      <c r="L33" s="4"/>
      <c r="M33" s="4">
        <f>IF($L33="","",L33-K33)</f>
      </c>
      <c r="N33" s="4">
        <f>IF($L33="","",M33*16.67%)</f>
      </c>
      <c r="O33" s="4">
        <f>IF($L33="","",L33/100*11)</f>
      </c>
      <c r="P33" s="4">
        <v>8.99</v>
      </c>
      <c r="Q33" s="4">
        <f>IF($L33="","",L33*1%)</f>
      </c>
      <c r="R33" s="4"/>
      <c r="S33" s="4">
        <f>IF($L33="","",R33*20%)</f>
      </c>
      <c r="T33" s="4">
        <v>1</v>
      </c>
      <c r="U33" s="4">
        <f>IF($L33="","",M33-N33-O33-P33-Q33-R33-S33-T33)</f>
      </c>
      <c r="V33" s="4">
        <f>IF($L33="","",(U33-AB33)/K33*100)</f>
      </c>
      <c r="W33" s="4">
        <f>IF($L33="","",N33-S33)</f>
      </c>
      <c r="AC33" s="4">
        <f>IF($L33="","",U33-AB33)</f>
      </c>
    </row>
    <row r="34" spans="1:34" x14ac:dyDescent="0.25">
      <c r="A34" s="8"/>
      <c r="D34" s="9"/>
      <c r="K34" s="4"/>
      <c r="L34" s="4"/>
      <c r="M34" s="4">
        <f>IF($L34="","",L34-K34)</f>
      </c>
      <c r="N34" s="4">
        <f>IF($L34="","",M34*16.67%)</f>
      </c>
      <c r="O34" s="4">
        <f>IF($L34="","",L34/100*11)</f>
      </c>
      <c r="P34" s="4">
        <v>8.99</v>
      </c>
      <c r="Q34" s="4">
        <f>IF($L34="","",L34*1%)</f>
      </c>
      <c r="R34" s="4"/>
      <c r="S34" s="4">
        <f>IF($L34="","",R34*20%)</f>
      </c>
      <c r="T34" s="4">
        <v>1</v>
      </c>
      <c r="U34" s="4">
        <f>IF($L34="","",M34-N34-O34-P34-Q34-R34-S34-T34)</f>
      </c>
      <c r="V34" s="4">
        <f>IF($L34="","",(U34-AB34)/K34*100)</f>
      </c>
      <c r="W34" s="4">
        <f>IF($L34="","",N34-S34)</f>
      </c>
      <c r="AC34" s="4">
        <f>IF($L34="","",U34-AB34)</f>
      </c>
    </row>
    <row r="35" spans="1:34" x14ac:dyDescent="0.25">
      <c r="A35" s="8"/>
      <c r="D35" s="9"/>
      <c r="K35" s="4"/>
      <c r="L35" s="4"/>
      <c r="M35" s="4">
        <f>IF($L35="","",L35-K35)</f>
      </c>
      <c r="N35" s="4">
        <f>IF($L35="","",M35*16.67%)</f>
      </c>
      <c r="O35" s="4">
        <f>IF($L35="","",L35/100*11)</f>
      </c>
      <c r="P35" s="4">
        <v>8.99</v>
      </c>
      <c r="Q35" s="4">
        <f>IF($L35="","",L35*1%)</f>
      </c>
      <c r="R35" s="4"/>
      <c r="S35" s="4">
        <f>IF($L35="","",R35*20%)</f>
      </c>
      <c r="T35" s="4">
        <v>1</v>
      </c>
      <c r="U35" s="4">
        <f>IF($L35="","",M35-N35-O35-P35-Q35-R35-S35-T35)</f>
      </c>
      <c r="V35" s="4">
        <f>IF($L35="","",(U35-AB35)/K35*100)</f>
      </c>
      <c r="W35" s="4">
        <f>IF($L35="","",N35-S35)</f>
      </c>
      <c r="AC35" s="4">
        <f>IF($L35="","",U35-AB35)</f>
      </c>
    </row>
    <row r="36" spans="1:34" x14ac:dyDescent="0.25">
      <c r="A36" s="8"/>
      <c r="D36" s="9"/>
      <c r="K36" s="4"/>
      <c r="L36" s="4"/>
      <c r="M36" s="4">
        <f>IF($L36="","",L36-K36)</f>
      </c>
      <c r="N36" s="4">
        <f>IF($L36="","",M36*16.67%)</f>
      </c>
      <c r="O36" s="4">
        <f>IF($L36="","",L36/100*11)</f>
      </c>
      <c r="P36" s="4">
        <v>8.99</v>
      </c>
      <c r="Q36" s="4">
        <f>IF($L36="","",L36*1%)</f>
      </c>
      <c r="R36" s="4"/>
      <c r="S36" s="4">
        <f>IF($L36="","",R36*20%)</f>
      </c>
      <c r="T36" s="4">
        <v>1</v>
      </c>
      <c r="U36" s="4">
        <f>IF($L36="","",M36-N36-O36-P36-Q36-R36-S36-T36)</f>
      </c>
      <c r="V36" s="4">
        <f>IF($L36="","",(U36-AB36)/K36*100)</f>
      </c>
      <c r="W36" s="4">
        <f>IF($L36="","",N36-S36)</f>
      </c>
      <c r="AC36" s="4">
        <f>IF($L36="","",U36-AB36)</f>
      </c>
    </row>
    <row r="37" spans="1:34" x14ac:dyDescent="0.25">
      <c r="A37" s="8"/>
      <c r="D37" s="9"/>
      <c r="K37" s="4"/>
      <c r="L37" s="4"/>
      <c r="M37" s="4">
        <f>IF($L37="","",L37-K37)</f>
      </c>
      <c r="N37" s="4">
        <f>IF($L37="","",M37*16.67%)</f>
      </c>
      <c r="O37" s="4">
        <f>IF($L37="","",L37/100*11)</f>
      </c>
      <c r="P37" s="4">
        <v>8.99</v>
      </c>
      <c r="Q37" s="4">
        <f>IF($L37="","",L37*1%)</f>
      </c>
      <c r="R37" s="4"/>
      <c r="S37" s="4">
        <f>IF($L37="","",R37*20%)</f>
      </c>
      <c r="T37" s="4">
        <v>1</v>
      </c>
      <c r="U37" s="4">
        <f>IF($L37="","",M37-N37-O37-P37-Q37-R37-S37-T37)</f>
      </c>
      <c r="V37" s="4">
        <f>IF($L37="","",(U37-AB37)/K37*100)</f>
      </c>
      <c r="W37" s="4">
        <f>IF($L37="","",N37-S37)</f>
      </c>
      <c r="AC37" s="4">
        <f>IF($L37="","",U37-AB37)</f>
      </c>
    </row>
    <row r="38" spans="1:34" x14ac:dyDescent="0.25">
      <c r="A38" s="8"/>
      <c r="D38" s="9"/>
      <c r="K38" s="4"/>
      <c r="L38" s="4"/>
      <c r="M38" s="4">
        <f>IF($L38="","",L38-K38)</f>
      </c>
      <c r="N38" s="4">
        <f>IF($L38="","",M38*16.67%)</f>
      </c>
      <c r="O38" s="4">
        <f>IF($L38="","",L38/100*11)</f>
      </c>
      <c r="P38" s="4">
        <v>8.99</v>
      </c>
      <c r="Q38" s="4">
        <f>IF($L38="","",L38*1%)</f>
      </c>
      <c r="R38" s="4"/>
      <c r="S38" s="4">
        <f>IF($L38="","",R38*20%)</f>
      </c>
      <c r="T38" s="4">
        <v>1</v>
      </c>
      <c r="U38" s="4">
        <f>IF($L38="","",M38-N38-O38-P38-Q38-R38-S38-T38)</f>
      </c>
      <c r="V38" s="4">
        <f>IF($L38="","",(U38-AB38)/K38*100)</f>
      </c>
      <c r="W38" s="4">
        <f>IF($L38="","",N38-S38)</f>
      </c>
      <c r="AC38" s="4">
        <f>IF($L38="","",U38-AB38)</f>
      </c>
    </row>
    <row r="39" spans="1:34" x14ac:dyDescent="0.25">
      <c r="A39" s="8"/>
      <c r="D39" s="9"/>
      <c r="K39" s="4"/>
      <c r="L39" s="4"/>
      <c r="M39" s="4">
        <f>IF($L39="","",L39-K39)</f>
      </c>
      <c r="N39" s="4">
        <f>IF($L39="","",M39*16.67%)</f>
      </c>
      <c r="O39" s="4">
        <f>IF($L39="","",L39/100*11)</f>
      </c>
      <c r="P39" s="4">
        <v>8.99</v>
      </c>
      <c r="Q39" s="4">
        <f>IF($L39="","",L39*1%)</f>
      </c>
      <c r="R39" s="4"/>
      <c r="S39" s="4">
        <f>IF($L39="","",R39*20%)</f>
      </c>
      <c r="T39" s="4">
        <v>1</v>
      </c>
      <c r="U39" s="4">
        <f>IF($L39="","",M39-N39-O39-P39-Q39-R39-S39-T39)</f>
      </c>
      <c r="V39" s="4">
        <f>IF($L39="","",(U39-AB39)/K39*100)</f>
      </c>
      <c r="W39" s="4">
        <f>IF($L39="","",N39-S39)</f>
      </c>
      <c r="AC39" s="4">
        <f>IF($L39="","",U39-AB39)</f>
      </c>
    </row>
    <row r="40" spans="1:34" x14ac:dyDescent="0.25">
      <c r="A40" s="8"/>
      <c r="D40" s="9"/>
      <c r="K40" s="4"/>
      <c r="L40" s="4"/>
      <c r="M40" s="4">
        <f>IF($L40="","",L40-K40)</f>
      </c>
      <c r="N40" s="4">
        <f>IF($L40="","",M40*16.67%)</f>
      </c>
      <c r="O40" s="4">
        <f>IF($L40="","",L40/100*11)</f>
      </c>
      <c r="P40" s="4">
        <v>8.99</v>
      </c>
      <c r="Q40" s="4">
        <f>IF($L40="","",L40*1%)</f>
      </c>
      <c r="R40" s="4"/>
      <c r="S40" s="4">
        <f>IF($L40="","",R40*20%)</f>
      </c>
      <c r="T40" s="4">
        <v>1</v>
      </c>
      <c r="U40" s="4">
        <f>IF($L40="","",M40-N40-O40-P40-Q40-R40-S40-T40)</f>
      </c>
      <c r="V40" s="4">
        <f>IF($L40="","",(U40-AB40)/K40*100)</f>
      </c>
      <c r="W40" s="4">
        <f>IF($L40="","",N40-S40)</f>
      </c>
      <c r="AC40" s="4">
        <f>IF($L40="","",U40-AB40)</f>
      </c>
    </row>
    <row r="41" spans="1:34" x14ac:dyDescent="0.25">
      <c r="A41" s="8"/>
      <c r="D41" s="9"/>
      <c r="K41" s="4"/>
      <c r="L41" s="4"/>
      <c r="M41" s="4">
        <f>IF($L41="","",L41-K41)</f>
      </c>
      <c r="N41" s="4">
        <f>IF($L41="","",M41*16.67%)</f>
      </c>
      <c r="O41" s="4">
        <f>IF($L41="","",L41/100*11)</f>
      </c>
      <c r="P41" s="4">
        <v>8.99</v>
      </c>
      <c r="Q41" s="4">
        <f>IF($L41="","",L41*1%)</f>
      </c>
      <c r="R41" s="4"/>
      <c r="S41" s="4">
        <f>IF($L41="","",R41*20%)</f>
      </c>
      <c r="T41" s="4">
        <v>1</v>
      </c>
      <c r="U41" s="4">
        <f>IF($L41="","",M41-N41-O41-P41-Q41-R41-S41-T41)</f>
      </c>
      <c r="V41" s="4">
        <f>IF($L41="","",(U41-AB41)/K41*100)</f>
      </c>
      <c r="W41" s="4">
        <f>IF($L41="","",N41-S41)</f>
      </c>
      <c r="AC41" s="4">
        <f>IF($L41="","",U41-AB41)</f>
      </c>
    </row>
    <row r="42" spans="1:34" x14ac:dyDescent="0.25">
      <c r="A42" s="8"/>
      <c r="D42" s="9"/>
      <c r="K42" s="4"/>
      <c r="L42" s="4"/>
      <c r="M42" s="4">
        <f>IF($L42="","",L42-K42)</f>
      </c>
      <c r="N42" s="4">
        <f>IF($L42="","",M42*16.67%)</f>
      </c>
      <c r="O42" s="4">
        <f>IF($L42="","",L42/100*11)</f>
      </c>
      <c r="P42" s="4">
        <v>8.99</v>
      </c>
      <c r="Q42" s="4">
        <f>IF($L42="","",L42*1%)</f>
      </c>
      <c r="R42" s="4"/>
      <c r="S42" s="4">
        <f>IF($L42="","",R42*20%)</f>
      </c>
      <c r="T42" s="4">
        <v>1</v>
      </c>
      <c r="U42" s="4">
        <f>IF($L42="","",M42-N42-O42-P42-Q42-R42-S42-T42)</f>
      </c>
      <c r="V42" s="4">
        <f>IF($L42="","",(U42-AB42)/K42*100)</f>
      </c>
      <c r="W42" s="4">
        <f>IF($L42="","",N42-S42)</f>
      </c>
      <c r="AC42" s="4">
        <f>IF($L42="","",U42-AB42)</f>
      </c>
    </row>
    <row r="43" spans="1:34" x14ac:dyDescent="0.25">
      <c r="A43" s="8"/>
      <c r="D43" s="9"/>
      <c r="K43" s="4"/>
      <c r="L43" s="4"/>
      <c r="M43" s="4">
        <f>IF($L43="","",L43-K43)</f>
      </c>
      <c r="N43" s="4">
        <f>IF($L43="","",M43*16.67%)</f>
      </c>
      <c r="O43" s="4">
        <f>IF($L43="","",L43/100*11)</f>
      </c>
      <c r="P43" s="4">
        <v>8.99</v>
      </c>
      <c r="Q43" s="4">
        <f>IF($L43="","",L43*1%)</f>
      </c>
      <c r="R43" s="4"/>
      <c r="S43" s="4">
        <f>IF($L43="","",R43*20%)</f>
      </c>
      <c r="T43" s="4">
        <v>1</v>
      </c>
      <c r="U43" s="4">
        <f>IF($L43="","",M43-N43-O43-P43-Q43-R43-S43-T43)</f>
      </c>
      <c r="V43" s="4">
        <f>IF($L43="","",(U43-AB43)/K43*100)</f>
      </c>
      <c r="W43" s="4">
        <f>IF($L43="","",N43-S43)</f>
      </c>
      <c r="AC43" s="4">
        <f>IF($L43="","",U43-AB43)</f>
      </c>
    </row>
    <row r="44" spans="1:34" x14ac:dyDescent="0.25">
      <c r="A44" s="8"/>
      <c r="D44" s="9"/>
      <c r="K44" s="4"/>
      <c r="L44" s="4"/>
      <c r="M44" s="4">
        <f>IF($L44="","",L44-K44)</f>
      </c>
      <c r="N44" s="4">
        <f>IF($L44="","",M44*16.67%)</f>
      </c>
      <c r="O44" s="4">
        <f>IF($L44="","",L44/100*11)</f>
      </c>
      <c r="P44" s="4">
        <v>8.99</v>
      </c>
      <c r="Q44" s="4">
        <f>IF($L44="","",L44*1%)</f>
      </c>
      <c r="R44" s="4"/>
      <c r="S44" s="4">
        <f>IF($L44="","",R44*20%)</f>
      </c>
      <c r="T44" s="4">
        <v>1</v>
      </c>
      <c r="U44" s="4">
        <f>IF($L44="","",M44-N44-O44-P44-Q44-R44-S44-T44)</f>
      </c>
      <c r="V44" s="4">
        <f>IF($L44="","",(U44-AB44)/K44*100)</f>
      </c>
      <c r="W44" s="4">
        <f>IF($L44="","",N44-S44)</f>
      </c>
      <c r="AC44" s="4">
        <f>IF($L44="","",U44-AB44)</f>
      </c>
    </row>
    <row r="45" spans="1:34" x14ac:dyDescent="0.25">
      <c r="A45" s="8"/>
      <c r="D45" s="9"/>
      <c r="K45" s="4"/>
      <c r="L45" s="4"/>
      <c r="M45" s="4">
        <f>IF($L45="","",L45-K45)</f>
      </c>
      <c r="N45" s="4">
        <f>IF($L45="","",M45*16.67%)</f>
      </c>
      <c r="O45" s="4">
        <f>IF($L45="","",L45/100*11)</f>
      </c>
      <c r="P45" s="4">
        <v>8.99</v>
      </c>
      <c r="Q45" s="4">
        <f>IF($L45="","",L45*1%)</f>
      </c>
      <c r="R45" s="4"/>
      <c r="S45" s="4">
        <f>IF($L45="","",R45*20%)</f>
      </c>
      <c r="T45" s="4">
        <v>1</v>
      </c>
      <c r="U45" s="4">
        <f>IF($L45="","",M45-N45-O45-P45-Q45-R45-S45-T45)</f>
      </c>
      <c r="V45" s="4">
        <f>IF($L45="","",(U45-AB45)/K45*100)</f>
      </c>
      <c r="W45" s="4">
        <f>IF($L45="","",N45-S45)</f>
      </c>
      <c r="AC45" s="4">
        <f>IF($L45="","",U45-AB45)</f>
      </c>
    </row>
    <row r="46" spans="1:34" x14ac:dyDescent="0.25">
      <c r="A46" s="8"/>
      <c r="D46" s="9"/>
      <c r="K46" s="4"/>
      <c r="L46" s="4"/>
      <c r="M46" s="4">
        <f>IF($L46="","",L46-K46)</f>
      </c>
      <c r="N46" s="4">
        <f>IF($L46="","",M46*16.67%)</f>
      </c>
      <c r="O46" s="4">
        <f>IF($L46="","",L46/100*11)</f>
      </c>
      <c r="P46" s="4">
        <v>8.99</v>
      </c>
      <c r="Q46" s="4">
        <f>IF($L46="","",L46*1%)</f>
      </c>
      <c r="R46" s="4"/>
      <c r="S46" s="4">
        <f>IF($L46="","",R46*20%)</f>
      </c>
      <c r="T46" s="4">
        <v>1</v>
      </c>
      <c r="U46" s="4">
        <f>IF($L46="","",M46-N46-O46-P46-Q46-R46-S46-T46)</f>
      </c>
      <c r="V46" s="4">
        <f>IF($L46="","",(U46-AB46)/K46*100)</f>
      </c>
      <c r="W46" s="4">
        <f>IF($L46="","",N46-S46)</f>
      </c>
      <c r="AC46" s="4">
        <f>IF($L46="","",U46-AB46)</f>
      </c>
    </row>
    <row r="47" spans="1:34" x14ac:dyDescent="0.25">
      <c r="A47" s="8"/>
      <c r="D47" s="9"/>
      <c r="K47" s="4"/>
      <c r="L47" s="4"/>
      <c r="M47" s="4">
        <f>IF($L47="","",L47-K47)</f>
      </c>
      <c r="N47" s="4">
        <f>IF($L47="","",M47*16.67%)</f>
      </c>
      <c r="O47" s="4">
        <f>IF($L47="","",L47/100*11)</f>
      </c>
      <c r="P47" s="4">
        <v>8.99</v>
      </c>
      <c r="Q47" s="4">
        <f>IF($L47="","",L47*1%)</f>
      </c>
      <c r="R47" s="4"/>
      <c r="S47" s="4">
        <f>IF($L47="","",R47*20%)</f>
      </c>
      <c r="T47" s="4">
        <v>1</v>
      </c>
      <c r="U47" s="4">
        <f>IF($L47="","",M47-N47-O47-P47-Q47-R47-S47-T47)</f>
      </c>
      <c r="V47" s="4">
        <f>IF($L47="","",(U47-AB47)/K47*100)</f>
      </c>
      <c r="W47" s="4">
        <f>IF($L47="","",N47-S47)</f>
      </c>
      <c r="AC47" s="4">
        <f>IF($L47="","",U47-AB47)</f>
      </c>
    </row>
    <row r="48" spans="1:34" x14ac:dyDescent="0.25">
      <c r="A48" s="8"/>
      <c r="D48" s="9"/>
      <c r="K48" s="4"/>
      <c r="L48" s="4"/>
      <c r="M48" s="4">
        <f>IF($L48="","",L48-K48)</f>
      </c>
      <c r="N48" s="4">
        <f>IF($L48="","",M48*16.67%)</f>
      </c>
      <c r="O48" s="4">
        <f>IF($L48="","",L48/100*11)</f>
      </c>
      <c r="P48" s="4">
        <v>8.99</v>
      </c>
      <c r="Q48" s="4">
        <f>IF($L48="","",L48*1%)</f>
      </c>
      <c r="R48" s="4"/>
      <c r="S48" s="4">
        <f>IF($L48="","",R48*20%)</f>
      </c>
      <c r="T48" s="4">
        <v>1</v>
      </c>
      <c r="U48" s="4">
        <f>IF($L48="","",M48-N48-O48-P48-Q48-R48-S48-T48)</f>
      </c>
      <c r="V48" s="4">
        <f>IF($L48="","",(U48-AB48)/K48*100)</f>
      </c>
      <c r="W48" s="4">
        <f>IF($L48="","",N48-S48)</f>
      </c>
      <c r="AC48" s="4">
        <f>IF($L48="","",U48-AB48)</f>
      </c>
    </row>
    <row r="49" spans="1:34" x14ac:dyDescent="0.25">
      <c r="A49" s="8"/>
      <c r="D49" s="9"/>
      <c r="K49" s="4"/>
      <c r="L49" s="4"/>
      <c r="M49" s="4">
        <f>IF($L49="","",L49-K49)</f>
      </c>
      <c r="N49" s="4">
        <f>IF($L49="","",M49*16.67%)</f>
      </c>
      <c r="O49" s="4">
        <f>IF($L49="","",L49/100*11)</f>
      </c>
      <c r="P49" s="4">
        <v>8.99</v>
      </c>
      <c r="Q49" s="4">
        <f>IF($L49="","",L49*1%)</f>
      </c>
      <c r="R49" s="4"/>
      <c r="S49" s="4">
        <f>IF($L49="","",R49*20%)</f>
      </c>
      <c r="T49" s="4">
        <v>1</v>
      </c>
      <c r="U49" s="4">
        <f>IF($L49="","",M49-N49-O49-P49-Q49-R49-S49-T49)</f>
      </c>
      <c r="V49" s="4">
        <f>IF($L49="","",(U49-AB49)/K49*100)</f>
      </c>
      <c r="W49" s="4">
        <f>IF($L49="","",N49-S49)</f>
      </c>
      <c r="AC49" s="4">
        <f>IF($L49="","",U49-AB49)</f>
      </c>
    </row>
    <row r="50" spans="1:34" x14ac:dyDescent="0.25">
      <c r="A50" s="8"/>
      <c r="D50" s="9"/>
      <c r="K50" s="4"/>
      <c r="L50" s="4"/>
      <c r="M50" s="4">
        <f>IF($L50="","",L50-K50)</f>
      </c>
      <c r="N50" s="4">
        <f>IF($L50="","",M50*16.67%)</f>
      </c>
      <c r="O50" s="4">
        <f>IF($L50="","",L50/100*11)</f>
      </c>
      <c r="P50" s="4">
        <v>8.99</v>
      </c>
      <c r="Q50" s="4">
        <f>IF($L50="","",L50*1%)</f>
      </c>
      <c r="R50" s="4"/>
      <c r="S50" s="4">
        <f>IF($L50="","",R50*20%)</f>
      </c>
      <c r="T50" s="4">
        <v>1</v>
      </c>
      <c r="U50" s="4">
        <f>IF($L50="","",M50-N50-O50-P50-Q50-R50-S50-T50)</f>
      </c>
      <c r="V50" s="4">
        <f>IF($L50="","",(U50-AB50)/K50*100)</f>
      </c>
      <c r="W50" s="4">
        <f>IF($L50="","",N50-S50)</f>
      </c>
      <c r="AC50" s="4">
        <f>IF($L50="","",U50-AB50)</f>
      </c>
    </row>
    <row r="51" spans="1:34" x14ac:dyDescent="0.25">
      <c r="A51" s="8"/>
      <c r="D51" s="9"/>
      <c r="K51" s="4"/>
      <c r="L51" s="4"/>
      <c r="M51" s="4">
        <f>IF($L51="","",L51-K51)</f>
      </c>
      <c r="N51" s="4">
        <f>IF($L51="","",M51*16.67%)</f>
      </c>
      <c r="O51" s="4">
        <f>IF($L51="","",L51/100*11)</f>
      </c>
      <c r="P51" s="4">
        <v>8.99</v>
      </c>
      <c r="Q51" s="4">
        <f>IF($L51="","",L51*1%)</f>
      </c>
      <c r="R51" s="4"/>
      <c r="S51" s="4">
        <f>IF($L51="","",R51*20%)</f>
      </c>
      <c r="T51" s="4">
        <v>1</v>
      </c>
      <c r="U51" s="4">
        <f>IF($L51="","",M51-N51-O51-P51-Q51-R51-S51-T51)</f>
      </c>
      <c r="V51" s="4">
        <f>IF($L51="","",(U51-AB51)/K51*100)</f>
      </c>
      <c r="W51" s="4">
        <f>IF($L51="","",N51-S51)</f>
      </c>
      <c r="AC51" s="4">
        <f>IF($L51="","",U51-AB51)</f>
      </c>
    </row>
    <row r="52" spans="1:34" x14ac:dyDescent="0.25">
      <c r="A52" s="8"/>
      <c r="D52" s="9"/>
      <c r="K52" s="4"/>
      <c r="L52" s="4"/>
      <c r="M52" s="4">
        <f>IF($L52="","",L52-K52)</f>
      </c>
      <c r="N52" s="4">
        <f>IF($L52="","",M52*16.67%)</f>
      </c>
      <c r="O52" s="4">
        <f>IF($L52="","",L52/100*11)</f>
      </c>
      <c r="P52" s="4">
        <v>8.99</v>
      </c>
      <c r="Q52" s="4">
        <f>IF($L52="","",L52*1%)</f>
      </c>
      <c r="R52" s="4"/>
      <c r="S52" s="4">
        <f>IF($L52="","",R52*20%)</f>
      </c>
      <c r="T52" s="4">
        <v>1</v>
      </c>
      <c r="U52" s="4">
        <f>IF($L52="","",M52-N52-O52-P52-Q52-R52-S52-T52)</f>
      </c>
      <c r="V52" s="4">
        <f>IF($L52="","",(U52-AB52)/K52*100)</f>
      </c>
      <c r="W52" s="4">
        <f>IF($L52="","",N52-S52)</f>
      </c>
      <c r="AC52" s="4">
        <f>IF($L52="","",U52-AB52)</f>
      </c>
    </row>
    <row r="53" spans="1:34" x14ac:dyDescent="0.25">
      <c r="A53" s="8"/>
      <c r="D53" s="9"/>
      <c r="K53" s="4"/>
      <c r="L53" s="4"/>
      <c r="M53" s="4">
        <f>IF($L53="","",L53-K53)</f>
      </c>
      <c r="N53" s="4">
        <f>IF($L53="","",M53*16.67%)</f>
      </c>
      <c r="O53" s="4">
        <f>IF($L53="","",L53/100*11)</f>
      </c>
      <c r="P53" s="4">
        <v>8.99</v>
      </c>
      <c r="Q53" s="4">
        <f>IF($L53="","",L53*1%)</f>
      </c>
      <c r="R53" s="4"/>
      <c r="S53" s="4">
        <f>IF($L53="","",R53*20%)</f>
      </c>
      <c r="T53" s="4">
        <v>1</v>
      </c>
      <c r="U53" s="4">
        <f>IF($L53="","",M53-N53-O53-P53-Q53-R53-S53-T53)</f>
      </c>
      <c r="V53" s="4">
        <f>IF($L53="","",(U53-AB53)/K53*100)</f>
      </c>
      <c r="W53" s="4">
        <f>IF($L53="","",N53-S53)</f>
      </c>
      <c r="AC53" s="4">
        <f>IF($L53="","",U53-AB53)</f>
      </c>
    </row>
    <row r="54" spans="1:34" x14ac:dyDescent="0.25">
      <c r="A54" s="8"/>
      <c r="D54" s="9"/>
      <c r="K54" s="4"/>
      <c r="L54" s="4"/>
      <c r="M54" s="4">
        <f>IF($L54="","",L54-K54)</f>
      </c>
      <c r="N54" s="4">
        <f>IF($L54="","",M54*16.67%)</f>
      </c>
      <c r="O54" s="4">
        <f>IF($L54="","",L54/100*11)</f>
      </c>
      <c r="P54" s="4">
        <v>8.99</v>
      </c>
      <c r="Q54" s="4">
        <f>IF($L54="","",L54*1%)</f>
      </c>
      <c r="R54" s="4"/>
      <c r="S54" s="4">
        <f>IF($L54="","",R54*20%)</f>
      </c>
      <c r="T54" s="4">
        <v>1</v>
      </c>
      <c r="U54" s="4">
        <f>IF($L54="","",M54-N54-O54-P54-Q54-R54-S54-T54)</f>
      </c>
      <c r="V54" s="4">
        <f>IF($L54="","",(U54-AB54)/K54*100)</f>
      </c>
      <c r="W54" s="4">
        <f>IF($L54="","",N54-S54)</f>
      </c>
      <c r="AC54" s="4">
        <f>IF($L54="","",U54-AB54)</f>
      </c>
    </row>
    <row r="55" spans="1:34" x14ac:dyDescent="0.25">
      <c r="A55" s="8"/>
      <c r="D55" s="9"/>
      <c r="K55" s="4"/>
      <c r="L55" s="4"/>
      <c r="M55" s="4">
        <f>IF($L55="","",L55-K55)</f>
      </c>
      <c r="N55" s="4">
        <f>IF($L55="","",M55*16.67%)</f>
      </c>
      <c r="O55" s="4">
        <f>IF($L55="","",L55/100*11)</f>
      </c>
      <c r="P55" s="4">
        <v>8.99</v>
      </c>
      <c r="Q55" s="4">
        <f>IF($L55="","",L55*1%)</f>
      </c>
      <c r="R55" s="4"/>
      <c r="S55" s="4">
        <f>IF($L55="","",R55*20%)</f>
      </c>
      <c r="T55" s="4">
        <v>1</v>
      </c>
      <c r="U55" s="4">
        <f>IF($L55="","",M55-N55-O55-P55-Q55-R55-S55-T55)</f>
      </c>
      <c r="V55" s="4">
        <f>IF($L55="","",(U55-AB55)/K55*100)</f>
      </c>
      <c r="W55" s="4">
        <f>IF($L55="","",N55-S55)</f>
      </c>
      <c r="AC55" s="4">
        <f>IF($L55="","",U55-AB55)</f>
      </c>
    </row>
    <row r="56" spans="1:34" x14ac:dyDescent="0.25">
      <c r="A56" s="8"/>
      <c r="D56" s="9"/>
      <c r="K56" s="4"/>
      <c r="L56" s="4"/>
      <c r="M56" s="4">
        <f>IF($L56="","",L56-K56)</f>
      </c>
      <c r="N56" s="4">
        <f>IF($L56="","",M56*16.67%)</f>
      </c>
      <c r="O56" s="4">
        <f>IF($L56="","",L56/100*11)</f>
      </c>
      <c r="P56" s="4">
        <v>8.99</v>
      </c>
      <c r="Q56" s="4">
        <f>IF($L56="","",L56*1%)</f>
      </c>
      <c r="R56" s="4"/>
      <c r="S56" s="4">
        <f>IF($L56="","",R56*20%)</f>
      </c>
      <c r="T56" s="4">
        <v>1</v>
      </c>
      <c r="U56" s="4">
        <f>IF($L56="","",M56-N56-O56-P56-Q56-R56-S56-T56)</f>
      </c>
      <c r="V56" s="4">
        <f>IF($L56="","",(U56-AB56)/K56*100)</f>
      </c>
      <c r="W56" s="4">
        <f>IF($L56="","",N56-S56)</f>
      </c>
      <c r="AC56" s="4">
        <f>IF($L56="","",U56-AB56)</f>
      </c>
    </row>
    <row r="57" spans="1:34" x14ac:dyDescent="0.25">
      <c r="A57" s="8"/>
      <c r="D57" s="9"/>
      <c r="K57" s="4"/>
      <c r="L57" s="4"/>
      <c r="M57" s="4">
        <f>IF($L57="","",L57-K57)</f>
      </c>
      <c r="N57" s="4">
        <f>IF($L57="","",M57*16.67%)</f>
      </c>
      <c r="O57" s="4">
        <f>IF($L57="","",L57/100*11)</f>
      </c>
      <c r="P57" s="4">
        <v>8.99</v>
      </c>
      <c r="Q57" s="4">
        <f>IF($L57="","",L57*1%)</f>
      </c>
      <c r="R57" s="4"/>
      <c r="S57" s="4">
        <f>IF($L57="","",R57*20%)</f>
      </c>
      <c r="T57" s="4">
        <v>1</v>
      </c>
      <c r="U57" s="4">
        <f>IF($L57="","",M57-N57-O57-P57-Q57-R57-S57-T57)</f>
      </c>
      <c r="V57" s="4">
        <f>IF($L57="","",(U57-AB57)/K57*100)</f>
      </c>
      <c r="W57" s="4">
        <f>IF($L57="","",N57-S57)</f>
      </c>
      <c r="AC57" s="4">
        <f>IF($L57="","",U57-AB57)</f>
      </c>
    </row>
    <row r="58" spans="1:34" x14ac:dyDescent="0.25">
      <c r="A58" s="8"/>
      <c r="D58" s="9"/>
      <c r="K58" s="4"/>
      <c r="L58" s="4"/>
      <c r="M58" s="4">
        <f>IF($L58="","",L58-K58)</f>
      </c>
      <c r="N58" s="4">
        <f>IF($L58="","",M58*16.67%)</f>
      </c>
      <c r="O58" s="4">
        <f>IF($L58="","",L58/100*11)</f>
      </c>
      <c r="P58" s="4">
        <v>8.99</v>
      </c>
      <c r="Q58" s="4">
        <f>IF($L58="","",L58*1%)</f>
      </c>
      <c r="R58" s="4"/>
      <c r="S58" s="4">
        <f>IF($L58="","",R58*20%)</f>
      </c>
      <c r="T58" s="4">
        <v>1</v>
      </c>
      <c r="U58" s="4">
        <f>IF($L58="","",M58-N58-O58-P58-Q58-R58-S58-T58)</f>
      </c>
      <c r="V58" s="4">
        <f>IF($L58="","",(U58-AB58)/K58*100)</f>
      </c>
      <c r="W58" s="4">
        <f>IF($L58="","",N58-S58)</f>
      </c>
      <c r="AC58" s="4">
        <f>IF($L58="","",U58-AB58)</f>
      </c>
    </row>
    <row r="59" spans="1:34" x14ac:dyDescent="0.25">
      <c r="A59" s="8"/>
      <c r="D59" s="9"/>
      <c r="K59" s="4"/>
      <c r="L59" s="4"/>
      <c r="M59" s="4">
        <f>IF($L59="","",L59-K59)</f>
      </c>
      <c r="N59" s="4">
        <f>IF($L59="","",M59*16.67%)</f>
      </c>
      <c r="O59" s="4">
        <f>IF($L59="","",L59/100*11)</f>
      </c>
      <c r="P59" s="4">
        <v>8.99</v>
      </c>
      <c r="Q59" s="4">
        <f>IF($L59="","",L59*1%)</f>
      </c>
      <c r="R59" s="4"/>
      <c r="S59" s="4">
        <f>IF($L59="","",R59*20%)</f>
      </c>
      <c r="T59" s="4">
        <v>1</v>
      </c>
      <c r="U59" s="4">
        <f>IF($L59="","",M59-N59-O59-P59-Q59-R59-S59-T59)</f>
      </c>
      <c r="V59" s="4">
        <f>IF($L59="","",(U59-AB59)/K59*100)</f>
      </c>
      <c r="W59" s="4">
        <f>IF($L59="","",N59-S59)</f>
      </c>
      <c r="AC59" s="4">
        <f>IF($L59="","",U59-AB59)</f>
      </c>
    </row>
    <row r="60" spans="1:34" x14ac:dyDescent="0.25">
      <c r="A60" s="8"/>
      <c r="D60" s="9"/>
      <c r="K60" s="4"/>
      <c r="L60" s="4"/>
      <c r="M60" s="4">
        <f>IF($L60="","",L60-K60)</f>
      </c>
      <c r="N60" s="4">
        <f>IF($L60="","",M60*16.67%)</f>
      </c>
      <c r="O60" s="4">
        <f>IF($L60="","",L60/100*11)</f>
      </c>
      <c r="P60" s="4">
        <v>8.99</v>
      </c>
      <c r="Q60" s="4">
        <f>IF($L60="","",L60*1%)</f>
      </c>
      <c r="R60" s="4"/>
      <c r="S60" s="4">
        <f>IF($L60="","",R60*20%)</f>
      </c>
      <c r="T60" s="4">
        <v>1</v>
      </c>
      <c r="U60" s="4">
        <f>IF($L60="","",M60-N60-O60-P60-Q60-R60-S60-T60)</f>
      </c>
      <c r="V60" s="4">
        <f>IF($L60="","",(U60-AB60)/K60*100)</f>
      </c>
      <c r="W60" s="4">
        <f>IF($L60="","",N60-S60)</f>
      </c>
      <c r="AC60" s="4">
        <f>IF($L60="","",U60-AB60)</f>
      </c>
    </row>
    <row r="61" spans="1:34" x14ac:dyDescent="0.25">
      <c r="A61" s="8"/>
      <c r="D61" s="9"/>
      <c r="K61" s="4"/>
      <c r="L61" s="4"/>
      <c r="M61" s="4">
        <f>IF($L61="","",L61-K61)</f>
      </c>
      <c r="N61" s="4">
        <f>IF($L61="","",M61*16.67%)</f>
      </c>
      <c r="O61" s="4">
        <f>IF($L61="","",L61/100*11)</f>
      </c>
      <c r="P61" s="4">
        <v>8.99</v>
      </c>
      <c r="Q61" s="4">
        <f>IF($L61="","",L61*1%)</f>
      </c>
      <c r="R61" s="4"/>
      <c r="S61" s="4">
        <f>IF($L61="","",R61*20%)</f>
      </c>
      <c r="T61" s="4">
        <v>1</v>
      </c>
      <c r="U61" s="4">
        <f>IF($L61="","",M61-N61-O61-P61-Q61-R61-S61-T61)</f>
      </c>
      <c r="V61" s="4">
        <f>IF($L61="","",(U61-AB61)/K61*100)</f>
      </c>
      <c r="W61" s="4">
        <f>IF($L61="","",N61-S61)</f>
      </c>
      <c r="AC61" s="4">
        <f>IF($L61="","",U61-AB61)</f>
      </c>
    </row>
    <row r="62" spans="1:34" x14ac:dyDescent="0.25">
      <c r="A62" s="8"/>
      <c r="D62" s="9"/>
      <c r="K62" s="4"/>
      <c r="L62" s="4"/>
      <c r="M62" s="4">
        <f>IF($L62="","",L62-K62)</f>
      </c>
      <c r="N62" s="4">
        <f>IF($L62="","",M62*16.67%)</f>
      </c>
      <c r="O62" s="4">
        <f>IF($L62="","",L62/100*11)</f>
      </c>
      <c r="P62" s="4">
        <v>8.99</v>
      </c>
      <c r="Q62" s="4">
        <f>IF($L62="","",L62*1%)</f>
      </c>
      <c r="R62" s="4"/>
      <c r="S62" s="4">
        <f>IF($L62="","",R62*20%)</f>
      </c>
      <c r="T62" s="4">
        <v>1</v>
      </c>
      <c r="U62" s="4">
        <f>IF($L62="","",M62-N62-O62-P62-Q62-R62-S62-T62)</f>
      </c>
      <c r="V62" s="4">
        <f>IF($L62="","",(U62-AB62)/K62*100)</f>
      </c>
      <c r="W62" s="4">
        <f>IF($L62="","",N62-S62)</f>
      </c>
      <c r="AC62" s="4">
        <f>IF($L62="","",U62-AB62)</f>
      </c>
    </row>
    <row r="63" spans="1:34" x14ac:dyDescent="0.25">
      <c r="A63" s="8"/>
      <c r="D63" s="9"/>
      <c r="K63" s="4"/>
      <c r="L63" s="4"/>
      <c r="M63" s="4">
        <f>IF($L63="","",L63-K63)</f>
      </c>
      <c r="N63" s="4">
        <f>IF($L63="","",M63*16.67%)</f>
      </c>
      <c r="O63" s="4">
        <f>IF($L63="","",L63/100*11)</f>
      </c>
      <c r="P63" s="4">
        <v>8.99</v>
      </c>
      <c r="Q63" s="4">
        <f>IF($L63="","",L63*1%)</f>
      </c>
      <c r="R63" s="4"/>
      <c r="S63" s="4">
        <f>IF($L63="","",R63*20%)</f>
      </c>
      <c r="T63" s="4">
        <v>1</v>
      </c>
      <c r="U63" s="4">
        <f>IF($L63="","",M63-N63-O63-P63-Q63-R63-S63-T63)</f>
      </c>
      <c r="V63" s="4">
        <f>IF($L63="","",(U63-AB63)/K63*100)</f>
      </c>
      <c r="W63" s="4">
        <f>IF($L63="","",N63-S63)</f>
      </c>
      <c r="AC63" s="4">
        <f>IF($L63="","",U63-AB63)</f>
      </c>
    </row>
    <row r="64" spans="1:34" x14ac:dyDescent="0.25">
      <c r="A64" s="8"/>
      <c r="D64" s="9"/>
      <c r="K64" s="4"/>
      <c r="L64" s="4"/>
      <c r="M64" s="4">
        <f>IF($L64="","",L64-K64)</f>
      </c>
      <c r="N64" s="4">
        <f>IF($L64="","",M64*16.67%)</f>
      </c>
      <c r="O64" s="4">
        <f>IF($L64="","",L64/100*11)</f>
      </c>
      <c r="P64" s="4">
        <v>8.99</v>
      </c>
      <c r="Q64" s="4">
        <f>IF($L64="","",L64*1%)</f>
      </c>
      <c r="R64" s="4"/>
      <c r="S64" s="4">
        <f>IF($L64="","",R64*20%)</f>
      </c>
      <c r="T64" s="4">
        <v>1</v>
      </c>
      <c r="U64" s="4">
        <f>IF($L64="","",M64-N64-O64-P64-Q64-R64-S64-T64)</f>
      </c>
      <c r="V64" s="4">
        <f>IF($L64="","",(U64-AB64)/K64*100)</f>
      </c>
      <c r="W64" s="4">
        <f>IF($L64="","",N64-S64)</f>
      </c>
      <c r="AC64" s="4">
        <f>IF($L64="","",U64-AB64)</f>
      </c>
    </row>
    <row r="65" spans="1:34" x14ac:dyDescent="0.25">
      <c r="A65" s="8"/>
      <c r="D65" s="9"/>
      <c r="K65" s="4"/>
      <c r="L65" s="4"/>
      <c r="M65" s="4">
        <f>IF($L65="","",L65-K65)</f>
      </c>
      <c r="N65" s="4">
        <f>IF($L65="","",M65*16.67%)</f>
      </c>
      <c r="O65" s="4">
        <f>IF($L65="","",L65/100*11)</f>
      </c>
      <c r="P65" s="4">
        <v>8.99</v>
      </c>
      <c r="Q65" s="4">
        <f>IF($L65="","",L65*1%)</f>
      </c>
      <c r="R65" s="4"/>
      <c r="S65" s="4">
        <f>IF($L65="","",R65*20%)</f>
      </c>
      <c r="T65" s="4">
        <v>1</v>
      </c>
      <c r="U65" s="4">
        <f>IF($L65="","",M65-N65-O65-P65-Q65-R65-S65-T65)</f>
      </c>
      <c r="V65" s="4">
        <f>IF($L65="","",(U65-AB65)/K65*100)</f>
      </c>
      <c r="W65" s="4">
        <f>IF($L65="","",N65-S65)</f>
      </c>
      <c r="AC65" s="4">
        <f>IF($L65="","",U65-AB65)</f>
      </c>
    </row>
    <row r="66" spans="1:34" x14ac:dyDescent="0.25">
      <c r="A66" s="8"/>
      <c r="D66" s="9"/>
      <c r="K66" s="4"/>
      <c r="L66" s="4"/>
      <c r="M66" s="4">
        <f>IF($L66="","",L66-K66)</f>
      </c>
      <c r="N66" s="4">
        <f>IF($L66="","",M66*16.67%)</f>
      </c>
      <c r="O66" s="4">
        <f>IF($L66="","",L66/100*11)</f>
      </c>
      <c r="P66" s="4">
        <v>8.99</v>
      </c>
      <c r="Q66" s="4">
        <f>IF($L66="","",L66*1%)</f>
      </c>
      <c r="R66" s="4"/>
      <c r="S66" s="4">
        <f>IF($L66="","",R66*20%)</f>
      </c>
      <c r="T66" s="4">
        <v>1</v>
      </c>
      <c r="U66" s="4">
        <f>IF($L66="","",M66-N66-O66-P66-Q66-R66-S66-T66)</f>
      </c>
      <c r="V66" s="4">
        <f>IF($L66="","",(U66-AB66)/K66*100)</f>
      </c>
      <c r="W66" s="4">
        <f>IF($L66="","",N66-S66)</f>
      </c>
      <c r="AC66" s="4">
        <f>IF($L66="","",U66-AB66)</f>
      </c>
    </row>
    <row r="67" spans="1:34" x14ac:dyDescent="0.25">
      <c r="A67" s="8"/>
      <c r="D67" s="9"/>
      <c r="K67" s="4"/>
      <c r="L67" s="4"/>
      <c r="M67" s="4">
        <f>IF($L67="","",L67-K67)</f>
      </c>
      <c r="N67" s="4">
        <f>IF($L67="","",M67*16.67%)</f>
      </c>
      <c r="O67" s="4">
        <f>IF($L67="","",L67/100*11)</f>
      </c>
      <c r="P67" s="4">
        <v>8.99</v>
      </c>
      <c r="Q67" s="4">
        <f>IF($L67="","",L67*1%)</f>
      </c>
      <c r="R67" s="4"/>
      <c r="S67" s="4">
        <f>IF($L67="","",R67*20%)</f>
      </c>
      <c r="T67" s="4">
        <v>1</v>
      </c>
      <c r="U67" s="4">
        <f>IF($L67="","",M67-N67-O67-P67-Q67-R67-S67-T67)</f>
      </c>
      <c r="V67" s="4">
        <f>IF($L67="","",(U67-AB67)/K67*100)</f>
      </c>
      <c r="W67" s="4">
        <f>IF($L67="","",N67-S67)</f>
      </c>
      <c r="AC67" s="4">
        <f>IF($L67="","",U67-AB67)</f>
      </c>
    </row>
    <row r="68" spans="1:34" x14ac:dyDescent="0.25">
      <c r="A68" s="8"/>
      <c r="D68" s="9"/>
      <c r="K68" s="4"/>
      <c r="L68" s="4"/>
      <c r="M68" s="4">
        <f>IF($L68="","",L68-K68)</f>
      </c>
      <c r="N68" s="4">
        <f>IF($L68="","",M68*16.67%)</f>
      </c>
      <c r="O68" s="4">
        <f>IF($L68="","",L68/100*11)</f>
      </c>
      <c r="P68" s="4">
        <v>8.99</v>
      </c>
      <c r="Q68" s="4">
        <f>IF($L68="","",L68*1%)</f>
      </c>
      <c r="R68" s="4"/>
      <c r="S68" s="4">
        <f>IF($L68="","",R68*20%)</f>
      </c>
      <c r="T68" s="4">
        <v>1</v>
      </c>
      <c r="U68" s="4">
        <f>IF($L68="","",M68-N68-O68-P68-Q68-R68-S68-T68)</f>
      </c>
      <c r="V68" s="4">
        <f>IF($L68="","",(U68-AB68)/K68*100)</f>
      </c>
      <c r="W68" s="4">
        <f>IF($L68="","",N68-S68)</f>
      </c>
      <c r="AC68" s="4">
        <f>IF($L68="","",U68-AB68)</f>
      </c>
    </row>
    <row r="69" spans="1:34" x14ac:dyDescent="0.25">
      <c r="A69" s="8"/>
      <c r="D69" s="9"/>
      <c r="K69" s="4"/>
      <c r="L69" s="4"/>
      <c r="M69" s="4">
        <f>IF($L69="","",L69-K69)</f>
      </c>
      <c r="N69" s="4">
        <f>IF($L69="","",M69*16.67%)</f>
      </c>
      <c r="O69" s="4">
        <f>IF($L69="","",L69/100*11)</f>
      </c>
      <c r="P69" s="4">
        <v>8.99</v>
      </c>
      <c r="Q69" s="4">
        <f>IF($L69="","",L69*1%)</f>
      </c>
      <c r="R69" s="4"/>
      <c r="S69" s="4">
        <f>IF($L69="","",R69*20%)</f>
      </c>
      <c r="T69" s="4">
        <v>1</v>
      </c>
      <c r="U69" s="4">
        <f>IF($L69="","",M69-N69-O69-P69-Q69-R69-S69-T69)</f>
      </c>
      <c r="V69" s="4">
        <f>IF($L69="","",(U69-AB69)/K69*100)</f>
      </c>
      <c r="W69" s="4">
        <f>IF($L69="","",N69-S69)</f>
      </c>
      <c r="AC69" s="4">
        <f>IF($L69="","",U69-AB69)</f>
      </c>
    </row>
    <row r="70" spans="1:34" x14ac:dyDescent="0.25">
      <c r="A70" s="8"/>
      <c r="D70" s="9"/>
      <c r="K70" s="4"/>
      <c r="L70" s="4"/>
      <c r="M70" s="4">
        <f>IF($L70="","",L70-K70)</f>
      </c>
      <c r="N70" s="4">
        <f>IF($L70="","",M70*16.67%)</f>
      </c>
      <c r="O70" s="4">
        <f>IF($L70="","",L70/100*11)</f>
      </c>
      <c r="P70" s="4">
        <v>8.99</v>
      </c>
      <c r="Q70" s="4">
        <f>IF($L70="","",L70*1%)</f>
      </c>
      <c r="R70" s="4"/>
      <c r="S70" s="4">
        <f>IF($L70="","",R70*20%)</f>
      </c>
      <c r="T70" s="4">
        <v>1</v>
      </c>
      <c r="U70" s="4">
        <f>IF($L70="","",M70-N70-O70-P70-Q70-R70-S70-T70)</f>
      </c>
      <c r="V70" s="4">
        <f>IF($L70="","",(U70-AB70)/K70*100)</f>
      </c>
      <c r="W70" s="4">
        <f>IF($L70="","",N70-S70)</f>
      </c>
      <c r="AC70" s="4">
        <f>IF($L70="","",U70-AB70)</f>
      </c>
    </row>
    <row r="71" spans="1:34" x14ac:dyDescent="0.25">
      <c r="A71" s="8"/>
      <c r="D71" s="9"/>
      <c r="K71" s="4"/>
      <c r="L71" s="4"/>
      <c r="M71" s="4">
        <f>IF($L71="","",L71-K71)</f>
      </c>
      <c r="N71" s="4">
        <f>IF($L71="","",M71*16.67%)</f>
      </c>
      <c r="O71" s="4">
        <f>IF($L71="","",L71/100*11)</f>
      </c>
      <c r="P71" s="4">
        <v>8.99</v>
      </c>
      <c r="Q71" s="4">
        <f>IF($L71="","",L71*1%)</f>
      </c>
      <c r="R71" s="4"/>
      <c r="S71" s="4">
        <f>IF($L71="","",R71*20%)</f>
      </c>
      <c r="T71" s="4">
        <v>1</v>
      </c>
      <c r="U71" s="4">
        <f>IF($L71="","",M71-N71-O71-P71-Q71-R71-S71-T71)</f>
      </c>
      <c r="V71" s="4">
        <f>IF($L71="","",(U71-AB71)/K71*100)</f>
      </c>
      <c r="W71" s="4">
        <f>IF($L71="","",N71-S71)</f>
      </c>
      <c r="AC71" s="4">
        <f>IF($L71="","",U71-AB71)</f>
      </c>
    </row>
    <row r="72" spans="1:34" x14ac:dyDescent="0.25">
      <c r="A72" s="8"/>
      <c r="D72" s="9"/>
      <c r="K72" s="4"/>
      <c r="L72" s="4"/>
      <c r="M72" s="4">
        <f>IF($L72="","",L72-K72)</f>
      </c>
      <c r="N72" s="4">
        <f>IF($L72="","",M72*16.67%)</f>
      </c>
      <c r="O72" s="4">
        <f>IF($L72="","",L72/100*11)</f>
      </c>
      <c r="P72" s="4">
        <v>8.99</v>
      </c>
      <c r="Q72" s="4">
        <f>IF($L72="","",L72*1%)</f>
      </c>
      <c r="R72" s="4"/>
      <c r="S72" s="4">
        <f>IF($L72="","",R72*20%)</f>
      </c>
      <c r="T72" s="4">
        <v>1</v>
      </c>
      <c r="U72" s="4">
        <f>IF($L72="","",M72-N72-O72-P72-Q72-R72-S72-T72)</f>
      </c>
      <c r="V72" s="4">
        <f>IF($L72="","",(U72-AB72)/K72*100)</f>
      </c>
      <c r="W72" s="4">
        <f>IF($L72="","",N72-S72)</f>
      </c>
      <c r="AC72" s="4">
        <f>IF($L72="","",U72-AB72)</f>
      </c>
    </row>
    <row r="73" spans="1:34" x14ac:dyDescent="0.25">
      <c r="A73" s="8"/>
      <c r="D73" s="9"/>
      <c r="K73" s="4"/>
      <c r="L73" s="4"/>
      <c r="M73" s="4">
        <f>IF($L73="","",L73-K73)</f>
      </c>
      <c r="N73" s="4">
        <f>IF($L73="","",M73*16.67%)</f>
      </c>
      <c r="O73" s="4">
        <f>IF($L73="","",L73/100*11)</f>
      </c>
      <c r="P73" s="4">
        <v>8.99</v>
      </c>
      <c r="Q73" s="4">
        <f>IF($L73="","",L73*1%)</f>
      </c>
      <c r="R73" s="4"/>
      <c r="S73" s="4">
        <f>IF($L73="","",R73*20%)</f>
      </c>
      <c r="T73" s="4">
        <v>1</v>
      </c>
      <c r="U73" s="4">
        <f>IF($L73="","",M73-N73-O73-P73-Q73-R73-S73-T73)</f>
      </c>
      <c r="V73" s="4">
        <f>IF($L73="","",(U73-AB73)/K73*100)</f>
      </c>
      <c r="W73" s="4">
        <f>IF($L73="","",N73-S73)</f>
      </c>
      <c r="AC73" s="4">
        <f>IF($L73="","",U73-AB73)</f>
      </c>
    </row>
    <row r="74" spans="1:34" x14ac:dyDescent="0.25">
      <c r="A74" s="8"/>
      <c r="D74" s="9"/>
      <c r="K74" s="4"/>
      <c r="L74" s="4"/>
      <c r="M74" s="4">
        <f>IF($L74="","",L74-K74)</f>
      </c>
      <c r="N74" s="4">
        <f>IF($L74="","",M74*16.67%)</f>
      </c>
      <c r="O74" s="4">
        <f>IF($L74="","",L74/100*11)</f>
      </c>
      <c r="P74" s="4">
        <v>8.99</v>
      </c>
      <c r="Q74" s="4">
        <f>IF($L74="","",L74*1%)</f>
      </c>
      <c r="R74" s="4"/>
      <c r="S74" s="4">
        <f>IF($L74="","",R74*20%)</f>
      </c>
      <c r="T74" s="4">
        <v>1</v>
      </c>
      <c r="U74" s="4">
        <f>IF($L74="","",M74-N74-O74-P74-Q74-R74-S74-T74)</f>
      </c>
      <c r="V74" s="4">
        <f>IF($L74="","",(U74-AB74)/K74*100)</f>
      </c>
      <c r="W74" s="4">
        <f>IF($L74="","",N74-S74)</f>
      </c>
      <c r="AC74" s="4">
        <f>IF($L74="","",U74-AB74)</f>
      </c>
    </row>
    <row r="75" spans="1:34" x14ac:dyDescent="0.25">
      <c r="A75" s="8"/>
      <c r="D75" s="9"/>
      <c r="K75" s="4"/>
      <c r="L75" s="4"/>
      <c r="M75" s="4">
        <f>IF($L75="","",L75-K75)</f>
      </c>
      <c r="N75" s="4">
        <f>IF($L75="","",M75*16.67%)</f>
      </c>
      <c r="O75" s="4">
        <f>IF($L75="","",L75/100*11)</f>
      </c>
      <c r="P75" s="4">
        <v>8.99</v>
      </c>
      <c r="Q75" s="4">
        <f>IF($L75="","",L75*1%)</f>
      </c>
      <c r="R75" s="4"/>
      <c r="S75" s="4">
        <f>IF($L75="","",R75*20%)</f>
      </c>
      <c r="T75" s="4">
        <v>1</v>
      </c>
      <c r="U75" s="4">
        <f>IF($L75="","",M75-N75-O75-P75-Q75-R75-S75-T75)</f>
      </c>
      <c r="V75" s="4">
        <f>IF($L75="","",(U75-AB75)/K75*100)</f>
      </c>
      <c r="W75" s="4">
        <f>IF($L75="","",N75-S75)</f>
      </c>
      <c r="AC75" s="4">
        <f>IF($L75="","",U75-AB75)</f>
      </c>
    </row>
    <row r="76" spans="1:34" x14ac:dyDescent="0.25">
      <c r="A76" s="8"/>
      <c r="D76" s="9"/>
      <c r="K76" s="4"/>
      <c r="L76" s="4"/>
      <c r="M76" s="4">
        <f>IF($L76="","",L76-K76)</f>
      </c>
      <c r="N76" s="4">
        <f>IF($L76="","",M76*16.67%)</f>
      </c>
      <c r="O76" s="4">
        <f>IF($L76="","",L76/100*11)</f>
      </c>
      <c r="P76" s="4">
        <v>8.99</v>
      </c>
      <c r="Q76" s="4">
        <f>IF($L76="","",L76*1%)</f>
      </c>
      <c r="R76" s="4"/>
      <c r="S76" s="4">
        <f>IF($L76="","",R76*20%)</f>
      </c>
      <c r="T76" s="4">
        <v>1</v>
      </c>
      <c r="U76" s="4">
        <f>IF($L76="","",M76-N76-O76-P76-Q76-R76-S76-T76)</f>
      </c>
      <c r="V76" s="4">
        <f>IF($L76="","",(U76-AB76)/K76*100)</f>
      </c>
      <c r="W76" s="4">
        <f>IF($L76="","",N76-S76)</f>
      </c>
      <c r="AC76" s="4">
        <f>IF($L76="","",U76-AB76)</f>
      </c>
    </row>
    <row r="77" spans="1:34" x14ac:dyDescent="0.25">
      <c r="A77" s="8"/>
      <c r="D77" s="9"/>
      <c r="K77" s="4"/>
      <c r="L77" s="4"/>
      <c r="M77" s="4">
        <f>IF($L77="","",L77-K77)</f>
      </c>
      <c r="N77" s="4">
        <f>IF($L77="","",M77*16.67%)</f>
      </c>
      <c r="O77" s="4">
        <f>IF($L77="","",L77/100*11)</f>
      </c>
      <c r="P77" s="4">
        <v>8.99</v>
      </c>
      <c r="Q77" s="4">
        <f>IF($L77="","",L77*1%)</f>
      </c>
      <c r="R77" s="4"/>
      <c r="S77" s="4">
        <f>IF($L77="","",R77*20%)</f>
      </c>
      <c r="T77" s="4">
        <v>1</v>
      </c>
      <c r="U77" s="4">
        <f>IF($L77="","",M77-N77-O77-P77-Q77-R77-S77-T77)</f>
      </c>
      <c r="V77" s="4">
        <f>IF($L77="","",(U77-AB77)/K77*100)</f>
      </c>
      <c r="W77" s="4">
        <f>IF($L77="","",N77-S77)</f>
      </c>
      <c r="AC77" s="4">
        <f>IF($L77="","",U77-AB77)</f>
      </c>
    </row>
    <row r="78" spans="1:34" x14ac:dyDescent="0.25">
      <c r="A78" s="8"/>
      <c r="D78" s="9"/>
      <c r="K78" s="4"/>
      <c r="L78" s="4"/>
      <c r="M78" s="4">
        <f>IF($L78="","",L78-K78)</f>
      </c>
      <c r="N78" s="4">
        <f>IF($L78="","",M78*16.67%)</f>
      </c>
      <c r="O78" s="4">
        <f>IF($L78="","",L78/100*11)</f>
      </c>
      <c r="P78" s="4">
        <v>8.99</v>
      </c>
      <c r="Q78" s="4">
        <f>IF($L78="","",L78*1%)</f>
      </c>
      <c r="R78" s="4"/>
      <c r="S78" s="4">
        <f>IF($L78="","",R78*20%)</f>
      </c>
      <c r="T78" s="4">
        <v>1</v>
      </c>
      <c r="U78" s="4">
        <f>IF($L78="","",M78-N78-O78-P78-Q78-R78-S78-T78)</f>
      </c>
      <c r="V78" s="4">
        <f>IF($L78="","",(U78-AB78)/K78*100)</f>
      </c>
      <c r="W78" s="4">
        <f>IF($L78="","",N78-S78)</f>
      </c>
      <c r="AC78" s="4">
        <f>IF($L78="","",U78-AB78)</f>
      </c>
    </row>
    <row r="79" spans="1:34" x14ac:dyDescent="0.25">
      <c r="A79" s="8"/>
      <c r="D79" s="9"/>
      <c r="K79" s="4"/>
      <c r="L79" s="4"/>
      <c r="M79" s="4">
        <f>IF($L79="","",L79-K79)</f>
      </c>
      <c r="N79" s="4">
        <f>IF($L79="","",M79*16.67%)</f>
      </c>
      <c r="O79" s="4">
        <f>IF($L79="","",L79/100*11)</f>
      </c>
      <c r="P79" s="4">
        <v>8.99</v>
      </c>
      <c r="Q79" s="4">
        <f>IF($L79="","",L79*1%)</f>
      </c>
      <c r="R79" s="4"/>
      <c r="S79" s="4">
        <f>IF($L79="","",R79*20%)</f>
      </c>
      <c r="T79" s="4">
        <v>1</v>
      </c>
      <c r="U79" s="4">
        <f>IF($L79="","",M79-N79-O79-P79-Q79-R79-S79-T79)</f>
      </c>
      <c r="V79" s="4">
        <f>IF($L79="","",(U79-AB79)/K79*100)</f>
      </c>
      <c r="W79" s="4">
        <f>IF($L79="","",N79-S79)</f>
      </c>
      <c r="AC79" s="4">
        <f>IF($L79="","",U79-AB79)</f>
      </c>
    </row>
    <row r="80" spans="1:34" x14ac:dyDescent="0.25">
      <c r="A80" s="8"/>
      <c r="D80" s="9"/>
      <c r="K80" s="4"/>
      <c r="L80" s="4"/>
      <c r="M80" s="4">
        <f>IF($L80="","",L80-K80)</f>
      </c>
      <c r="N80" s="4">
        <f>IF($L80="","",M80*16.67%)</f>
      </c>
      <c r="O80" s="4">
        <f>IF($L80="","",L80/100*11)</f>
      </c>
      <c r="P80" s="4">
        <v>8.99</v>
      </c>
      <c r="Q80" s="4">
        <f>IF($L80="","",L80*1%)</f>
      </c>
      <c r="R80" s="4"/>
      <c r="S80" s="4">
        <f>IF($L80="","",R80*20%)</f>
      </c>
      <c r="T80" s="4">
        <v>1</v>
      </c>
      <c r="U80" s="4">
        <f>IF($L80="","",M80-N80-O80-P80-Q80-R80-S80-T80)</f>
      </c>
      <c r="V80" s="4">
        <f>IF($L80="","",(U80-AB80)/K80*100)</f>
      </c>
      <c r="W80" s="4">
        <f>IF($L80="","",N80-S80)</f>
      </c>
      <c r="AC80" s="4">
        <f>IF($L80="","",U80-AB80)</f>
      </c>
    </row>
    <row r="81" spans="1:34" x14ac:dyDescent="0.25">
      <c r="A81" s="8"/>
      <c r="D81" s="9"/>
      <c r="K81" s="4"/>
      <c r="L81" s="4"/>
      <c r="M81" s="4">
        <f>IF($L81="","",L81-K81)</f>
      </c>
      <c r="N81" s="4">
        <f>IF($L81="","",M81*16.67%)</f>
      </c>
      <c r="O81" s="4">
        <f>IF($L81="","",L81/100*11)</f>
      </c>
      <c r="P81" s="4">
        <v>8.99</v>
      </c>
      <c r="Q81" s="4">
        <f>IF($L81="","",L81*1%)</f>
      </c>
      <c r="R81" s="4"/>
      <c r="S81" s="4">
        <f>IF($L81="","",R81*20%)</f>
      </c>
      <c r="T81" s="4">
        <v>1</v>
      </c>
      <c r="U81" s="4">
        <f>IF($L81="","",M81-N81-O81-P81-Q81-R81-S81-T81)</f>
      </c>
      <c r="V81" s="4">
        <f>IF($L81="","",(U81-AB81)/K81*100)</f>
      </c>
      <c r="W81" s="4">
        <f>IF($L81="","",N81-S81)</f>
      </c>
      <c r="AC81" s="4">
        <f>IF($L81="","",U81-AB81)</f>
      </c>
    </row>
    <row r="82" spans="1:34" x14ac:dyDescent="0.25">
      <c r="A82" s="8"/>
      <c r="D82" s="9"/>
      <c r="K82" s="4"/>
      <c r="L82" s="4"/>
      <c r="M82" s="4">
        <f>IF($L82="","",L82-K82)</f>
      </c>
      <c r="N82" s="4">
        <f>IF($L82="","",M82*16.67%)</f>
      </c>
      <c r="O82" s="4">
        <f>IF($L82="","",L82/100*11)</f>
      </c>
      <c r="P82" s="4">
        <v>8.99</v>
      </c>
      <c r="Q82" s="4">
        <f>IF($L82="","",L82*1%)</f>
      </c>
      <c r="R82" s="4"/>
      <c r="S82" s="4">
        <f>IF($L82="","",R82*20%)</f>
      </c>
      <c r="T82" s="4">
        <v>1</v>
      </c>
      <c r="U82" s="4">
        <f>IF($L82="","",M82-N82-O82-P82-Q82-R82-S82-T82)</f>
      </c>
      <c r="V82" s="4">
        <f>IF($L82="","",(U82-AB82)/K82*100)</f>
      </c>
      <c r="W82" s="4">
        <f>IF($L82="","",N82-S82)</f>
      </c>
      <c r="AC82" s="4">
        <f>IF($L82="","",U82-AB82)</f>
      </c>
    </row>
    <row r="83" spans="1:34" x14ac:dyDescent="0.25">
      <c r="A83" s="8"/>
      <c r="D83" s="9"/>
      <c r="K83" s="4"/>
      <c r="L83" s="4"/>
      <c r="M83" s="4">
        <f>IF($L83="","",L83-K83)</f>
      </c>
      <c r="N83" s="4">
        <f>IF($L83="","",M83*16.67%)</f>
      </c>
      <c r="O83" s="4">
        <f>IF($L83="","",L83/100*11)</f>
      </c>
      <c r="P83" s="4">
        <v>8.99</v>
      </c>
      <c r="Q83" s="4">
        <f>IF($L83="","",L83*1%)</f>
      </c>
      <c r="R83" s="4"/>
      <c r="S83" s="4">
        <f>IF($L83="","",R83*20%)</f>
      </c>
      <c r="T83" s="4">
        <v>1</v>
      </c>
      <c r="U83" s="4">
        <f>IF($L83="","",M83-N83-O83-P83-Q83-R83-S83-T83)</f>
      </c>
      <c r="V83" s="4">
        <f>IF($L83="","",(U83-AB83)/K83*100)</f>
      </c>
      <c r="W83" s="4">
        <f>IF($L83="","",N83-S83)</f>
      </c>
      <c r="AC83" s="4">
        <f>IF($L83="","",U83-AB83)</f>
      </c>
    </row>
    <row r="84" spans="1:34" x14ac:dyDescent="0.25">
      <c r="A84" s="8"/>
      <c r="D84" s="9"/>
      <c r="K84" s="4"/>
      <c r="L84" s="4"/>
      <c r="M84" s="4">
        <f>IF($L84="","",L84-K84)</f>
      </c>
      <c r="N84" s="4">
        <f>IF($L84="","",M84*16.67%)</f>
      </c>
      <c r="O84" s="4">
        <f>IF($L84="","",L84/100*11)</f>
      </c>
      <c r="P84" s="4">
        <v>8.99</v>
      </c>
      <c r="Q84" s="4">
        <f>IF($L84="","",L84*1%)</f>
      </c>
      <c r="R84" s="4"/>
      <c r="S84" s="4">
        <f>IF($L84="","",R84*20%)</f>
      </c>
      <c r="T84" s="4">
        <v>1</v>
      </c>
      <c r="U84" s="4">
        <f>IF($L84="","",M84-N84-O84-P84-Q84-R84-S84-T84)</f>
      </c>
      <c r="V84" s="4">
        <f>IF($L84="","",(U84-AB84)/K84*100)</f>
      </c>
      <c r="W84" s="4">
        <f>IF($L84="","",N84-S84)</f>
      </c>
      <c r="AC84" s="4">
        <f>IF($L84="","",U84-AB84)</f>
      </c>
    </row>
    <row r="85" spans="1:34" x14ac:dyDescent="0.25">
      <c r="A85" s="8"/>
      <c r="D85" s="9"/>
      <c r="K85" s="4"/>
      <c r="L85" s="4"/>
      <c r="M85" s="4">
        <f>IF($L85="","",L85-K85)</f>
      </c>
      <c r="N85" s="4">
        <f>IF($L85="","",M85*16.67%)</f>
      </c>
      <c r="O85" s="4">
        <f>IF($L85="","",L85/100*11)</f>
      </c>
      <c r="P85" s="4">
        <v>8.99</v>
      </c>
      <c r="Q85" s="4">
        <f>IF($L85="","",L85*1%)</f>
      </c>
      <c r="R85" s="4"/>
      <c r="S85" s="4">
        <f>IF($L85="","",R85*20%)</f>
      </c>
      <c r="T85" s="4">
        <v>1</v>
      </c>
      <c r="U85" s="4">
        <f>IF($L85="","",M85-N85-O85-P85-Q85-R85-S85-T85)</f>
      </c>
      <c r="V85" s="4">
        <f>IF($L85="","",(U85-AB85)/K85*100)</f>
      </c>
      <c r="W85" s="4">
        <f>IF($L85="","",N85-S85)</f>
      </c>
      <c r="AC85" s="4">
        <f>IF($L85="","",U85-AB85)</f>
      </c>
    </row>
    <row r="86" spans="1:34" x14ac:dyDescent="0.25">
      <c r="A86" s="8"/>
      <c r="D86" s="9"/>
      <c r="K86" s="4"/>
      <c r="L86" s="4"/>
      <c r="M86" s="4">
        <f>IF($L86="","",L86-K86)</f>
      </c>
      <c r="N86" s="4">
        <f>IF($L86="","",M86*16.67%)</f>
      </c>
      <c r="O86" s="4">
        <f>IF($L86="","",L86/100*11)</f>
      </c>
      <c r="P86" s="4">
        <v>8.99</v>
      </c>
      <c r="Q86" s="4">
        <f>IF($L86="","",L86*1%)</f>
      </c>
      <c r="R86" s="4"/>
      <c r="S86" s="4">
        <f>IF($L86="","",R86*20%)</f>
      </c>
      <c r="T86" s="4">
        <v>1</v>
      </c>
      <c r="U86" s="4">
        <f>IF($L86="","",M86-N86-O86-P86-Q86-R86-S86-T86)</f>
      </c>
      <c r="V86" s="4">
        <f>IF($L86="","",(U86-AB86)/K86*100)</f>
      </c>
      <c r="W86" s="4">
        <f>IF($L86="","",N86-S86)</f>
      </c>
      <c r="AC86" s="4">
        <f>IF($L86="","",U86-AB86)</f>
      </c>
    </row>
    <row r="87" spans="1:34" x14ac:dyDescent="0.25">
      <c r="A87" s="8"/>
      <c r="D87" s="9"/>
      <c r="K87" s="4"/>
      <c r="L87" s="4"/>
      <c r="M87" s="4">
        <f>IF($L87="","",L87-K87)</f>
      </c>
      <c r="N87" s="4">
        <f>IF($L87="","",M87*16.67%)</f>
      </c>
      <c r="O87" s="4">
        <f>IF($L87="","",L87/100*11)</f>
      </c>
      <c r="P87" s="4">
        <v>8.99</v>
      </c>
      <c r="Q87" s="4">
        <f>IF($L87="","",L87*1%)</f>
      </c>
      <c r="R87" s="4"/>
      <c r="S87" s="4">
        <f>IF($L87="","",R87*20%)</f>
      </c>
      <c r="T87" s="4">
        <v>1</v>
      </c>
      <c r="U87" s="4">
        <f>IF($L87="","",M87-N87-O87-P87-Q87-R87-S87-T87)</f>
      </c>
      <c r="V87" s="4">
        <f>IF($L87="","",(U87-AB87)/K87*100)</f>
      </c>
      <c r="W87" s="4">
        <f>IF($L87="","",N87-S87)</f>
      </c>
      <c r="AC87" s="4">
        <f>IF($L87="","",U87-AB87)</f>
      </c>
    </row>
    <row r="88" spans="1:34" x14ac:dyDescent="0.25">
      <c r="A88" s="8"/>
      <c r="D88" s="9"/>
      <c r="K88" s="4"/>
      <c r="L88" s="4"/>
      <c r="M88" s="4">
        <f>IF($L88="","",L88-K88)</f>
      </c>
      <c r="N88" s="4">
        <f>IF($L88="","",M88*16.67%)</f>
      </c>
      <c r="O88" s="4">
        <f>IF($L88="","",L88/100*11)</f>
      </c>
      <c r="P88" s="4">
        <v>8.99</v>
      </c>
      <c r="Q88" s="4">
        <f>IF($L88="","",L88*1%)</f>
      </c>
      <c r="R88" s="4"/>
      <c r="S88" s="4">
        <f>IF($L88="","",R88*20%)</f>
      </c>
      <c r="T88" s="4">
        <v>1</v>
      </c>
      <c r="U88" s="4">
        <f>IF($L88="","",M88-N88-O88-P88-Q88-R88-S88-T88)</f>
      </c>
      <c r="V88" s="4">
        <f>IF($L88="","",(U88-AB88)/K88*100)</f>
      </c>
      <c r="W88" s="4">
        <f>IF($L88="","",N88-S88)</f>
      </c>
      <c r="AC88" s="4">
        <f>IF($L88="","",U88-AB88)</f>
      </c>
    </row>
    <row r="89" spans="1:34" x14ac:dyDescent="0.25">
      <c r="A89" s="8"/>
      <c r="D89" s="9"/>
      <c r="K89" s="4"/>
      <c r="L89" s="4"/>
      <c r="M89" s="4">
        <f>IF($L89="","",L89-K89)</f>
      </c>
      <c r="N89" s="4">
        <f>IF($L89="","",M89*16.67%)</f>
      </c>
      <c r="O89" s="4">
        <f>IF($L89="","",L89/100*11)</f>
      </c>
      <c r="P89" s="4">
        <v>8.99</v>
      </c>
      <c r="Q89" s="4">
        <f>IF($L89="","",L89*1%)</f>
      </c>
      <c r="R89" s="4"/>
      <c r="S89" s="4">
        <f>IF($L89="","",R89*20%)</f>
      </c>
      <c r="T89" s="4">
        <v>1</v>
      </c>
      <c r="U89" s="4">
        <f>IF($L89="","",M89-N89-O89-P89-Q89-R89-S89-T89)</f>
      </c>
      <c r="V89" s="4">
        <f>IF($L89="","",(U89-AB89)/K89*100)</f>
      </c>
      <c r="W89" s="4">
        <f>IF($L89="","",N89-S89)</f>
      </c>
      <c r="AC89" s="4">
        <f>IF($L89="","",U89-AB89)</f>
      </c>
    </row>
    <row r="90" spans="1:34" x14ac:dyDescent="0.25">
      <c r="A90" s="8"/>
      <c r="D90" s="9"/>
      <c r="K90" s="4"/>
      <c r="L90" s="4"/>
      <c r="M90" s="4">
        <f>IF($L90="","",L90-K90)</f>
      </c>
      <c r="N90" s="4">
        <f>IF($L90="","",M90*16.67%)</f>
      </c>
      <c r="O90" s="4">
        <f>IF($L90="","",L90/100*11)</f>
      </c>
      <c r="P90" s="4">
        <v>8.99</v>
      </c>
      <c r="Q90" s="4">
        <f>IF($L90="","",L90*1%)</f>
      </c>
      <c r="R90" s="4"/>
      <c r="S90" s="4">
        <f>IF($L90="","",R90*20%)</f>
      </c>
      <c r="T90" s="4">
        <v>1</v>
      </c>
      <c r="U90" s="4">
        <f>IF($L90="","",M90-N90-O90-P90-Q90-R90-S90-T90)</f>
      </c>
      <c r="V90" s="4">
        <f>IF($L90="","",(U90-AB90)/K90*100)</f>
      </c>
      <c r="W90" s="4">
        <f>IF($L90="","",N90-S90)</f>
      </c>
      <c r="AC90" s="4">
        <f>IF($L90="","",U90-AB90)</f>
      </c>
    </row>
    <row r="91" spans="1:34" x14ac:dyDescent="0.25">
      <c r="A91" s="8"/>
      <c r="D91" s="9"/>
      <c r="K91" s="4"/>
      <c r="L91" s="4"/>
      <c r="M91" s="4">
        <f>IF($L91="","",L91-K91)</f>
      </c>
      <c r="N91" s="4">
        <f>IF($L91="","",M91*16.67%)</f>
      </c>
      <c r="O91" s="4">
        <f>IF($L91="","",L91/100*11)</f>
      </c>
      <c r="P91" s="4">
        <v>8.99</v>
      </c>
      <c r="Q91" s="4">
        <f>IF($L91="","",L91*1%)</f>
      </c>
      <c r="R91" s="4"/>
      <c r="S91" s="4">
        <f>IF($L91="","",R91*20%)</f>
      </c>
      <c r="T91" s="4">
        <v>1</v>
      </c>
      <c r="U91" s="4">
        <f>IF($L91="","",M91-N91-O91-P91-Q91-R91-S91-T91)</f>
      </c>
      <c r="V91" s="4">
        <f>IF($L91="","",(U91-AB91)/K91*100)</f>
      </c>
      <c r="W91" s="4">
        <f>IF($L91="","",N91-S91)</f>
      </c>
      <c r="AC91" s="4">
        <f>IF($L91="","",U91-AB91)</f>
      </c>
    </row>
    <row r="92" spans="1:34" x14ac:dyDescent="0.25">
      <c r="A92" s="8"/>
      <c r="D92" s="9"/>
      <c r="K92" s="4"/>
      <c r="L92" s="4"/>
      <c r="M92" s="4">
        <f>IF($L92="","",L92-K92)</f>
      </c>
      <c r="N92" s="4">
        <f>IF($L92="","",M92*16.67%)</f>
      </c>
      <c r="O92" s="4">
        <f>IF($L92="","",L92/100*11)</f>
      </c>
      <c r="P92" s="4">
        <v>8.99</v>
      </c>
      <c r="Q92" s="4">
        <f>IF($L92="","",L92*1%)</f>
      </c>
      <c r="R92" s="4"/>
      <c r="S92" s="4">
        <f>IF($L92="","",R92*20%)</f>
      </c>
      <c r="T92" s="4">
        <v>1</v>
      </c>
      <c r="U92" s="4">
        <f>IF($L92="","",M92-N92-O92-P92-Q92-R92-S92-T92)</f>
      </c>
      <c r="V92" s="4">
        <f>IF($L92="","",(U92-AB92)/K92*100)</f>
      </c>
      <c r="W92" s="4">
        <f>IF($L92="","",N92-S92)</f>
      </c>
      <c r="AC92" s="4">
        <f>IF($L92="","",U92-AB92)</f>
      </c>
    </row>
    <row r="93" spans="1:34" x14ac:dyDescent="0.25">
      <c r="A93" s="8"/>
      <c r="D93" s="9"/>
      <c r="K93" s="4"/>
      <c r="L93" s="4"/>
      <c r="M93" s="4">
        <f>IF($L93="","",L93-K93)</f>
      </c>
      <c r="N93" s="4">
        <f>IF($L93="","",M93*16.67%)</f>
      </c>
      <c r="O93" s="4">
        <f>IF($L93="","",L93/100*11)</f>
      </c>
      <c r="P93" s="4">
        <v>8.99</v>
      </c>
      <c r="Q93" s="4">
        <f>IF($L93="","",L93*1%)</f>
      </c>
      <c r="R93" s="4"/>
      <c r="S93" s="4">
        <f>IF($L93="","",R93*20%)</f>
      </c>
      <c r="T93" s="4">
        <v>1</v>
      </c>
      <c r="U93" s="4">
        <f>IF($L93="","",M93-N93-O93-P93-Q93-R93-S93-T93)</f>
      </c>
      <c r="V93" s="4">
        <f>IF($L93="","",(U93-AB93)/K93*100)</f>
      </c>
      <c r="W93" s="4">
        <f>IF($L93="","",N93-S93)</f>
      </c>
      <c r="AC93" s="4">
        <f>IF($L93="","",U93-AB93)</f>
      </c>
    </row>
    <row r="94" spans="1:34" x14ac:dyDescent="0.25">
      <c r="A94" s="8"/>
      <c r="D94" s="9"/>
      <c r="K94" s="4"/>
      <c r="L94" s="4"/>
      <c r="M94" s="4">
        <f>IF($L94="","",L94-K94)</f>
      </c>
      <c r="N94" s="4">
        <f>IF($L94="","",M94*16.67%)</f>
      </c>
      <c r="O94" s="4">
        <f>IF($L94="","",L94/100*11)</f>
      </c>
      <c r="P94" s="4">
        <v>8.99</v>
      </c>
      <c r="Q94" s="4">
        <f>IF($L94="","",L94*1%)</f>
      </c>
      <c r="R94" s="4"/>
      <c r="S94" s="4">
        <f>IF($L94="","",R94*20%)</f>
      </c>
      <c r="T94" s="4">
        <v>1</v>
      </c>
      <c r="U94" s="4">
        <f>IF($L94="","",M94-N94-O94-P94-Q94-R94-S94-T94)</f>
      </c>
      <c r="V94" s="4">
        <f>IF($L94="","",(U94-AB94)/K94*100)</f>
      </c>
      <c r="W94" s="4">
        <f>IF($L94="","",N94-S94)</f>
      </c>
      <c r="AC94" s="4">
        <f>IF($L94="","",U94-AB94)</f>
      </c>
    </row>
    <row r="95" spans="1:34" x14ac:dyDescent="0.25">
      <c r="A95" s="8"/>
      <c r="D95" s="9"/>
      <c r="K95" s="4"/>
      <c r="L95" s="4"/>
      <c r="M95" s="4">
        <f>IF($L95="","",L95-K95)</f>
      </c>
      <c r="N95" s="4">
        <f>IF($L95="","",M95*16.67%)</f>
      </c>
      <c r="O95" s="4">
        <f>IF($L95="","",L95/100*11)</f>
      </c>
      <c r="P95" s="4">
        <v>8.99</v>
      </c>
      <c r="Q95" s="4">
        <f>IF($L95="","",L95*1%)</f>
      </c>
      <c r="R95" s="4"/>
      <c r="S95" s="4">
        <f>IF($L95="","",R95*20%)</f>
      </c>
      <c r="T95" s="4">
        <v>1</v>
      </c>
      <c r="U95" s="4">
        <f>IF($L95="","",M95-N95-O95-P95-Q95-R95-S95-T95)</f>
      </c>
      <c r="V95" s="4">
        <f>IF($L95="","",(U95-AB95)/K95*100)</f>
      </c>
      <c r="W95" s="4">
        <f>IF($L95="","",N95-S95)</f>
      </c>
      <c r="AC95" s="4">
        <f>IF($L95="","",U95-AB95)</f>
      </c>
    </row>
    <row r="96" spans="1:34" x14ac:dyDescent="0.25">
      <c r="A96" s="8"/>
      <c r="D96" s="9"/>
      <c r="K96" s="4"/>
      <c r="L96" s="4"/>
      <c r="M96" s="4">
        <f>IF($L96="","",L96-K96)</f>
      </c>
      <c r="N96" s="4">
        <f>IF($L96="","",M96*16.67%)</f>
      </c>
      <c r="O96" s="4">
        <f>IF($L96="","",L96/100*11)</f>
      </c>
      <c r="P96" s="4">
        <v>8.99</v>
      </c>
      <c r="Q96" s="4">
        <f>IF($L96="","",L96*1%)</f>
      </c>
      <c r="R96" s="4"/>
      <c r="S96" s="4">
        <f>IF($L96="","",R96*20%)</f>
      </c>
      <c r="T96" s="4">
        <v>1</v>
      </c>
      <c r="U96" s="4">
        <f>IF($L96="","",M96-N96-O96-P96-Q96-R96-S96-T96)</f>
      </c>
      <c r="V96" s="4">
        <f>IF($L96="","",(U96-AB96)/K96*100)</f>
      </c>
      <c r="W96" s="4">
        <f>IF($L96="","",N96-S96)</f>
      </c>
      <c r="AC96" s="4">
        <f>IF($L96="","",U96-AB96)</f>
      </c>
    </row>
    <row r="97" spans="1:34" x14ac:dyDescent="0.25">
      <c r="A97" s="8"/>
      <c r="D97" s="9"/>
      <c r="K97" s="4"/>
      <c r="L97" s="4"/>
      <c r="M97" s="4">
        <f>IF($L97="","",L97-K97)</f>
      </c>
      <c r="N97" s="4">
        <f>IF($L97="","",M97*16.67%)</f>
      </c>
      <c r="O97" s="4">
        <f>IF($L97="","",L97/100*11)</f>
      </c>
      <c r="P97" s="4">
        <v>8.99</v>
      </c>
      <c r="Q97" s="4">
        <f>IF($L97="","",L97*1%)</f>
      </c>
      <c r="R97" s="4"/>
      <c r="S97" s="4">
        <f>IF($L97="","",R97*20%)</f>
      </c>
      <c r="T97" s="4">
        <v>1</v>
      </c>
      <c r="U97" s="4">
        <f>IF($L97="","",M97-N97-O97-P97-Q97-R97-S97-T97)</f>
      </c>
      <c r="V97" s="4">
        <f>IF($L97="","",(U97-AB97)/K97*100)</f>
      </c>
      <c r="W97" s="4">
        <f>IF($L97="","",N97-S97)</f>
      </c>
      <c r="AC97" s="4">
        <f>IF($L97="","",U97-AB97)</f>
      </c>
    </row>
    <row r="98" spans="1:34" x14ac:dyDescent="0.25">
      <c r="A98" s="8"/>
      <c r="D98" s="9"/>
      <c r="K98" s="4"/>
      <c r="L98" s="4"/>
      <c r="M98" s="4">
        <f>IF($L98="","",L98-K98)</f>
      </c>
      <c r="N98" s="4">
        <f>IF($L98="","",M98*16.67%)</f>
      </c>
      <c r="O98" s="4">
        <f>IF($L98="","",L98/100*11)</f>
      </c>
      <c r="P98" s="4">
        <v>8.99</v>
      </c>
      <c r="Q98" s="4">
        <f>IF($L98="","",L98*1%)</f>
      </c>
      <c r="R98" s="4"/>
      <c r="S98" s="4">
        <f>IF($L98="","",R98*20%)</f>
      </c>
      <c r="T98" s="4">
        <v>1</v>
      </c>
      <c r="U98" s="4">
        <f>IF($L98="","",M98-N98-O98-P98-Q98-R98-S98-T98)</f>
      </c>
      <c r="V98" s="4">
        <f>IF($L98="","",(U98-AB98)/K98*100)</f>
      </c>
      <c r="W98" s="4">
        <f>IF($L98="","",N98-S98)</f>
      </c>
      <c r="AC98" s="4">
        <f>IF($L98="","",U98-AB98)</f>
      </c>
    </row>
    <row r="99" spans="1:34" x14ac:dyDescent="0.25">
      <c r="A99" s="8"/>
      <c r="D99" s="9"/>
      <c r="K99" s="4"/>
      <c r="L99" s="4"/>
      <c r="M99" s="4">
        <f>IF($L99="","",L99-K99)</f>
      </c>
      <c r="N99" s="4">
        <f>IF($L99="","",M99*16.67%)</f>
      </c>
      <c r="O99" s="4">
        <f>IF($L99="","",L99/100*11)</f>
      </c>
      <c r="P99" s="4">
        <v>8.99</v>
      </c>
      <c r="Q99" s="4">
        <f>IF($L99="","",L99*1%)</f>
      </c>
      <c r="R99" s="4"/>
      <c r="S99" s="4">
        <f>IF($L99="","",R99*20%)</f>
      </c>
      <c r="T99" s="4">
        <v>1</v>
      </c>
      <c r="U99" s="4">
        <f>IF($L99="","",M99-N99-O99-P99-Q99-R99-S99-T99)</f>
      </c>
      <c r="V99" s="4">
        <f>IF($L99="","",(U99-AB99)/K99*100)</f>
      </c>
      <c r="W99" s="4">
        <f>IF($L99="","",N99-S99)</f>
      </c>
      <c r="AC99" s="4">
        <f>IF($L99="","",U99-AB99)</f>
      </c>
    </row>
    <row r="100" spans="1:34" x14ac:dyDescent="0.25">
      <c r="A100" s="8"/>
      <c r="D100" s="9"/>
      <c r="K100" s="4"/>
      <c r="L100" s="4"/>
      <c r="M100" s="4">
        <f>IF($L100="","",L100-K100)</f>
      </c>
      <c r="N100" s="4">
        <f>IF($L100="","",M100*16.67%)</f>
      </c>
      <c r="O100" s="4">
        <f>IF($L100="","",L100/100*11)</f>
      </c>
      <c r="P100" s="4">
        <v>8.99</v>
      </c>
      <c r="Q100" s="4">
        <f>IF($L100="","",L100*1%)</f>
      </c>
      <c r="R100" s="4"/>
      <c r="S100" s="4">
        <f>IF($L100="","",R100*20%)</f>
      </c>
      <c r="T100" s="4">
        <v>1</v>
      </c>
      <c r="U100" s="4">
        <f>IF($L100="","",M100-N100-O100-P100-Q100-R100-S100-T100)</f>
      </c>
      <c r="V100" s="4">
        <f>IF($L100="","",(U100-AB100)/K100*100)</f>
      </c>
      <c r="W100" s="4">
        <f>IF($L100="","",N100-S100)</f>
      </c>
      <c r="AC100" s="4">
        <f>IF($L100="","",U100-AB100)</f>
      </c>
    </row>
    <row r="101" spans="1:34" x14ac:dyDescent="0.25">
      <c r="A101" s="8"/>
      <c r="D101" s="9"/>
      <c r="K101" s="4"/>
      <c r="L101" s="4"/>
      <c r="M101" s="4">
        <f>IF($L101="","",L101-K101)</f>
      </c>
      <c r="N101" s="4">
        <f>IF($L101="","",M101*16.67%)</f>
      </c>
      <c r="O101" s="4">
        <f>IF($L101="","",L101/100*11)</f>
      </c>
      <c r="P101" s="4">
        <v>8.99</v>
      </c>
      <c r="Q101" s="4">
        <f>IF($L101="","",L101*1%)</f>
      </c>
      <c r="R101" s="4"/>
      <c r="S101" s="4">
        <f>IF($L101="","",R101*20%)</f>
      </c>
      <c r="T101" s="4">
        <v>1</v>
      </c>
      <c r="U101" s="4">
        <f>IF($L101="","",M101-N101-O101-P101-Q101-R101-S101-T101)</f>
      </c>
      <c r="V101" s="4">
        <f>IF($L101="","",(U101-AB101)/K101*100)</f>
      </c>
      <c r="W101" s="4">
        <f>IF($L101="","",N101-S101)</f>
      </c>
      <c r="AC101" s="4">
        <f>IF($L101="","",U101-AB101)</f>
      </c>
    </row>
    <row r="102" spans="1:34" x14ac:dyDescent="0.25">
      <c r="A102" s="8"/>
      <c r="D102" s="9"/>
      <c r="K102" s="4"/>
      <c r="L102" s="4"/>
      <c r="M102" s="4">
        <f>IF($L102="","",L102-K102)</f>
      </c>
      <c r="N102" s="4">
        <f>IF($L102="","",M102*16.67%)</f>
      </c>
      <c r="O102" s="4">
        <f>IF($L102="","",L102/100*11)</f>
      </c>
      <c r="P102" s="4">
        <v>8.99</v>
      </c>
      <c r="Q102" s="4">
        <f>IF($L102="","",L102*1%)</f>
      </c>
      <c r="R102" s="4"/>
      <c r="S102" s="4">
        <f>IF($L102="","",R102*20%)</f>
      </c>
      <c r="T102" s="4">
        <v>1</v>
      </c>
      <c r="U102" s="4">
        <f>IF($L102="","",M102-N102-O102-P102-Q102-R102-S102-T102)</f>
      </c>
      <c r="V102" s="4">
        <f>IF($L102="","",(U102-AB102)/K102*100)</f>
      </c>
      <c r="W102" s="4">
        <f>IF($L102="","",N102-S102)</f>
      </c>
      <c r="AC102" s="4">
        <f>IF($L102="","",U102-AB102)</f>
      </c>
    </row>
    <row r="103" spans="1:34" x14ac:dyDescent="0.25">
      <c r="A103" s="8"/>
      <c r="D103" s="9"/>
      <c r="K103" s="4"/>
      <c r="L103" s="4"/>
      <c r="M103" s="4">
        <f>IF($L103="","",L103-K103)</f>
      </c>
      <c r="N103" s="4">
        <f>IF($L103="","",M103*16.67%)</f>
      </c>
      <c r="O103" s="4">
        <f>IF($L103="","",L103/100*11)</f>
      </c>
      <c r="P103" s="4">
        <v>8.99</v>
      </c>
      <c r="Q103" s="4">
        <f>IF($L103="","",L103*1%)</f>
      </c>
      <c r="R103" s="4"/>
      <c r="S103" s="4">
        <f>IF($L103="","",R103*20%)</f>
      </c>
      <c r="T103" s="4">
        <v>1</v>
      </c>
      <c r="U103" s="4">
        <f>IF($L103="","",M103-N103-O103-P103-Q103-R103-S103-T103)</f>
      </c>
      <c r="V103" s="4">
        <f>IF($L103="","",(U103-AB103)/K103*100)</f>
      </c>
      <c r="W103" s="4">
        <f>IF($L103="","",N103-S103)</f>
      </c>
      <c r="AC103" s="4">
        <f>IF($L103="","",U103-AB103)</f>
      </c>
    </row>
    <row r="104" spans="1:34" x14ac:dyDescent="0.25">
      <c r="A104" s="8"/>
      <c r="D104" s="9"/>
      <c r="K104" s="4"/>
      <c r="L104" s="4"/>
      <c r="M104" s="4">
        <f>IF($L104="","",L104-K104)</f>
      </c>
      <c r="N104" s="4">
        <f>IF($L104="","",M104*16.67%)</f>
      </c>
      <c r="O104" s="4">
        <f>IF($L104="","",L104/100*11)</f>
      </c>
      <c r="P104" s="4">
        <v>8.99</v>
      </c>
      <c r="Q104" s="4">
        <f>IF($L104="","",L104*1%)</f>
      </c>
      <c r="R104" s="4"/>
      <c r="S104" s="4">
        <f>IF($L104="","",R104*20%)</f>
      </c>
      <c r="T104" s="4">
        <v>1</v>
      </c>
      <c r="U104" s="4">
        <f>IF($L104="","",M104-N104-O104-P104-Q104-R104-S104-T104)</f>
      </c>
      <c r="V104" s="4">
        <f>IF($L104="","",(U104-AB104)/K104*100)</f>
      </c>
      <c r="W104" s="4">
        <f>IF($L104="","",N104-S104)</f>
      </c>
      <c r="AC104" s="4">
        <f>IF($L104="","",U104-AB104)</f>
      </c>
    </row>
    <row r="105" spans="1:34" x14ac:dyDescent="0.25">
      <c r="A105" s="8"/>
      <c r="D105" s="9"/>
      <c r="K105" s="4"/>
      <c r="L105" s="4"/>
      <c r="M105" s="4">
        <f>IF($L105="","",L105-K105)</f>
      </c>
      <c r="N105" s="4">
        <f>IF($L105="","",M105*16.67%)</f>
      </c>
      <c r="O105" s="4">
        <f>IF($L105="","",L105/100*11)</f>
      </c>
      <c r="P105" s="4">
        <v>8.99</v>
      </c>
      <c r="Q105" s="4">
        <f>IF($L105="","",L105*1%)</f>
      </c>
      <c r="R105" s="4"/>
      <c r="S105" s="4">
        <f>IF($L105="","",R105*20%)</f>
      </c>
      <c r="T105" s="4">
        <v>1</v>
      </c>
      <c r="U105" s="4">
        <f>IF($L105="","",M105-N105-O105-P105-Q105-R105-S105-T105)</f>
      </c>
      <c r="V105" s="4">
        <f>IF($L105="","",(U105-AB105)/K105*100)</f>
      </c>
      <c r="W105" s="4">
        <f>IF($L105="","",N105-S105)</f>
      </c>
      <c r="AC105" s="4">
        <f>IF($L105="","",U105-AB105)</f>
      </c>
    </row>
    <row r="106" spans="1:34" x14ac:dyDescent="0.25">
      <c r="A106" s="8"/>
      <c r="D106" s="9"/>
      <c r="K106" s="4"/>
      <c r="L106" s="4"/>
      <c r="M106" s="4">
        <f>IF($L106="","",L106-K106)</f>
      </c>
      <c r="N106" s="4">
        <f>IF($L106="","",M106*16.67%)</f>
      </c>
      <c r="O106" s="4">
        <f>IF($L106="","",L106/100*11)</f>
      </c>
      <c r="P106" s="4">
        <v>8.99</v>
      </c>
      <c r="Q106" s="4">
        <f>IF($L106="","",L106*1%)</f>
      </c>
      <c r="R106" s="4"/>
      <c r="S106" s="4">
        <f>IF($L106="","",R106*20%)</f>
      </c>
      <c r="T106" s="4">
        <v>1</v>
      </c>
      <c r="U106" s="4">
        <f>IF($L106="","",M106-N106-O106-P106-Q106-R106-S106-T106)</f>
      </c>
      <c r="V106" s="4">
        <f>IF($L106="","",(U106-AB106)/K106*100)</f>
      </c>
      <c r="W106" s="4">
        <f>IF($L106="","",N106-S106)</f>
      </c>
      <c r="AC106" s="4">
        <f>IF($L106="","",U106-AB106)</f>
      </c>
    </row>
    <row r="107" spans="1:34" x14ac:dyDescent="0.25">
      <c r="A107" s="8"/>
      <c r="D107" s="9"/>
      <c r="K107" s="4"/>
      <c r="L107" s="4"/>
      <c r="M107" s="4">
        <f>IF($L107="","",L107-K107)</f>
      </c>
      <c r="N107" s="4">
        <f>IF($L107="","",M107*16.67%)</f>
      </c>
      <c r="O107" s="4">
        <f>IF($L107="","",L107/100*11)</f>
      </c>
      <c r="P107" s="4">
        <v>8.99</v>
      </c>
      <c r="Q107" s="4">
        <f>IF($L107="","",L107*1%)</f>
      </c>
      <c r="R107" s="4"/>
      <c r="S107" s="4">
        <f>IF($L107="","",R107*20%)</f>
      </c>
      <c r="T107" s="4">
        <v>1</v>
      </c>
      <c r="U107" s="4">
        <f>IF($L107="","",M107-N107-O107-P107-Q107-R107-S107-T107)</f>
      </c>
      <c r="V107" s="4">
        <f>IF($L107="","",(U107-AB107)/K107*100)</f>
      </c>
      <c r="W107" s="4">
        <f>IF($L107="","",N107-S107)</f>
      </c>
      <c r="AC107" s="4">
        <f>IF($L107="","",U107-AB107)</f>
      </c>
    </row>
    <row r="108" spans="1:34" x14ac:dyDescent="0.25">
      <c r="A108" s="8"/>
      <c r="D108" s="9"/>
      <c r="K108" s="4"/>
      <c r="L108" s="4"/>
      <c r="M108" s="4">
        <f>IF($L108="","",L108-K108)</f>
      </c>
      <c r="N108" s="4">
        <f>IF($L108="","",M108*16.67%)</f>
      </c>
      <c r="O108" s="4">
        <f>IF($L108="","",L108/100*11)</f>
      </c>
      <c r="P108" s="4">
        <v>8.99</v>
      </c>
      <c r="Q108" s="4">
        <f>IF($L108="","",L108*1%)</f>
      </c>
      <c r="R108" s="4"/>
      <c r="S108" s="4">
        <f>IF($L108="","",R108*20%)</f>
      </c>
      <c r="T108" s="4">
        <v>1</v>
      </c>
      <c r="U108" s="4">
        <f>IF($L108="","",M108-N108-O108-P108-Q108-R108-S108-T108)</f>
      </c>
      <c r="V108" s="4">
        <f>IF($L108="","",(U108-AB108)/K108*100)</f>
      </c>
      <c r="W108" s="4">
        <f>IF($L108="","",N108-S108)</f>
      </c>
      <c r="AC108" s="4">
        <f>IF($L108="","",U108-AB108)</f>
      </c>
    </row>
    <row r="109" spans="1:34" x14ac:dyDescent="0.25">
      <c r="A109" s="8"/>
      <c r="D109" s="9"/>
      <c r="K109" s="4"/>
      <c r="L109" s="4"/>
      <c r="M109" s="4">
        <f>IF($L109="","",L109-K109)</f>
      </c>
      <c r="N109" s="4">
        <f>IF($L109="","",M109*16.67%)</f>
      </c>
      <c r="O109" s="4">
        <f>IF($L109="","",L109/100*11)</f>
      </c>
      <c r="P109" s="4">
        <v>8.99</v>
      </c>
      <c r="Q109" s="4">
        <f>IF($L109="","",L109*1%)</f>
      </c>
      <c r="R109" s="4"/>
      <c r="S109" s="4">
        <f>IF($L109="","",R109*20%)</f>
      </c>
      <c r="T109" s="4">
        <v>1</v>
      </c>
      <c r="U109" s="4">
        <f>IF($L109="","",M109-N109-O109-P109-Q109-R109-S109-T109)</f>
      </c>
      <c r="V109" s="4">
        <f>IF($L109="","",(U109-AB109)/K109*100)</f>
      </c>
      <c r="W109" s="4">
        <f>IF($L109="","",N109-S109)</f>
      </c>
      <c r="AC109" s="4">
        <f>IF($L109="","",U109-AB109)</f>
      </c>
    </row>
    <row r="110" spans="1:34" x14ac:dyDescent="0.25">
      <c r="A110" s="8"/>
      <c r="D110" s="9"/>
      <c r="K110" s="4"/>
      <c r="L110" s="4"/>
      <c r="M110" s="4">
        <f>IF($L110="","",L110-K110)</f>
      </c>
      <c r="N110" s="4">
        <f>IF($L110="","",M110*16.67%)</f>
      </c>
      <c r="O110" s="4">
        <f>IF($L110="","",L110/100*11)</f>
      </c>
      <c r="P110" s="4">
        <v>8.99</v>
      </c>
      <c r="Q110" s="4">
        <f>IF($L110="","",L110*1%)</f>
      </c>
      <c r="R110" s="4"/>
      <c r="S110" s="4">
        <f>IF($L110="","",R110*20%)</f>
      </c>
      <c r="T110" s="4">
        <v>1</v>
      </c>
      <c r="U110" s="4">
        <f>IF($L110="","",M110-N110-O110-P110-Q110-R110-S110-T110)</f>
      </c>
      <c r="V110" s="4">
        <f>IF($L110="","",(U110-AB110)/K110*100)</f>
      </c>
      <c r="W110" s="4">
        <f>IF($L110="","",N110-S110)</f>
      </c>
      <c r="AC110" s="4">
        <f>IF($L110="","",U110-AB110)</f>
      </c>
    </row>
    <row r="111" spans="1:34" x14ac:dyDescent="0.25">
      <c r="A111" s="8"/>
      <c r="D111" s="9"/>
      <c r="K111" s="4"/>
      <c r="L111" s="4"/>
      <c r="M111" s="4">
        <f>IF($L111="","",L111-K111)</f>
      </c>
      <c r="N111" s="4">
        <f>IF($L111="","",M111*16.67%)</f>
      </c>
      <c r="O111" s="4">
        <f>IF($L111="","",L111/100*11)</f>
      </c>
      <c r="P111" s="4">
        <v>8.99</v>
      </c>
      <c r="Q111" s="4">
        <f>IF($L111="","",L111*1%)</f>
      </c>
      <c r="R111" s="4"/>
      <c r="S111" s="4">
        <f>IF($L111="","",R111*20%)</f>
      </c>
      <c r="T111" s="4">
        <v>1</v>
      </c>
      <c r="U111" s="4">
        <f>IF($L111="","",M111-N111-O111-P111-Q111-R111-S111-T111)</f>
      </c>
      <c r="V111" s="4">
        <f>IF($L111="","",(U111-AB111)/K111*100)</f>
      </c>
      <c r="W111" s="4">
        <f>IF($L111="","",N111-S111)</f>
      </c>
      <c r="AC111" s="4">
        <f>IF($L111="","",U111-AB111)</f>
      </c>
    </row>
    <row r="112" spans="1:34" x14ac:dyDescent="0.25">
      <c r="A112" s="8"/>
      <c r="D112" s="9"/>
      <c r="K112" s="4"/>
      <c r="L112" s="4"/>
      <c r="M112" s="4">
        <f>IF($L112="","",L112-K112)</f>
      </c>
      <c r="N112" s="4">
        <f>IF($L112="","",M112*16.67%)</f>
      </c>
      <c r="O112" s="4">
        <f>IF($L112="","",L112/100*11)</f>
      </c>
      <c r="P112" s="4">
        <v>8.99</v>
      </c>
      <c r="Q112" s="4">
        <f>IF($L112="","",L112*1%)</f>
      </c>
      <c r="R112" s="4"/>
      <c r="S112" s="4">
        <f>IF($L112="","",R112*20%)</f>
      </c>
      <c r="T112" s="4">
        <v>1</v>
      </c>
      <c r="U112" s="4">
        <f>IF($L112="","",M112-N112-O112-P112-Q112-R112-S112-T112)</f>
      </c>
      <c r="V112" s="4">
        <f>IF($L112="","",(U112-AB112)/K112*100)</f>
      </c>
      <c r="W112" s="4">
        <f>IF($L112="","",N112-S112)</f>
      </c>
      <c r="AC112" s="4">
        <f>IF($L112="","",U112-AB112)</f>
      </c>
    </row>
    <row r="113" spans="1:34" x14ac:dyDescent="0.25">
      <c r="A113" s="8"/>
      <c r="D113" s="9"/>
      <c r="K113" s="4"/>
      <c r="L113" s="4"/>
      <c r="M113" s="4">
        <f>IF($L113="","",L113-K113)</f>
      </c>
      <c r="N113" s="4">
        <f>IF($L113="","",M113*16.67%)</f>
      </c>
      <c r="O113" s="4">
        <f>IF($L113="","",L113/100*11)</f>
      </c>
      <c r="P113" s="4">
        <v>8.99</v>
      </c>
      <c r="Q113" s="4">
        <f>IF($L113="","",L113*1%)</f>
      </c>
      <c r="R113" s="4"/>
      <c r="S113" s="4">
        <f>IF($L113="","",R113*20%)</f>
      </c>
      <c r="T113" s="4">
        <v>1</v>
      </c>
      <c r="U113" s="4">
        <f>IF($L113="","",M113-N113-O113-P113-Q113-R113-S113-T113)</f>
      </c>
      <c r="V113" s="4">
        <f>IF($L113="","",(U113-AB113)/K113*100)</f>
      </c>
      <c r="W113" s="4">
        <f>IF($L113="","",N113-S113)</f>
      </c>
      <c r="AC113" s="4">
        <f>IF($L113="","",U113-AB113)</f>
      </c>
    </row>
    <row r="114" spans="1:34" x14ac:dyDescent="0.25">
      <c r="A114" s="8"/>
      <c r="D114" s="9"/>
      <c r="K114" s="4"/>
      <c r="L114" s="4"/>
      <c r="M114" s="4">
        <f>IF($L114="","",L114-K114)</f>
      </c>
      <c r="N114" s="4">
        <f>IF($L114="","",M114*16.67%)</f>
      </c>
      <c r="O114" s="4">
        <f>IF($L114="","",L114/100*11)</f>
      </c>
      <c r="P114" s="4">
        <v>8.99</v>
      </c>
      <c r="Q114" s="4">
        <f>IF($L114="","",L114*1%)</f>
      </c>
      <c r="R114" s="4"/>
      <c r="S114" s="4">
        <f>IF($L114="","",R114*20%)</f>
      </c>
      <c r="T114" s="4">
        <v>1</v>
      </c>
      <c r="U114" s="4">
        <f>IF($L114="","",M114-N114-O114-P114-Q114-R114-S114-T114)</f>
      </c>
      <c r="V114" s="4">
        <f>IF($L114="","",(U114-AB114)/K114*100)</f>
      </c>
      <c r="W114" s="4">
        <f>IF($L114="","",N114-S114)</f>
      </c>
      <c r="AC114" s="4">
        <f>IF($L114="","",U114-AB114)</f>
      </c>
    </row>
    <row r="115" spans="1:34" x14ac:dyDescent="0.25">
      <c r="A115" s="8"/>
      <c r="D115" s="9"/>
      <c r="K115" s="4"/>
      <c r="L115" s="4"/>
      <c r="M115" s="4">
        <f>IF($L115="","",L115-K115)</f>
      </c>
      <c r="N115" s="4">
        <f>IF($L115="","",M115*16.67%)</f>
      </c>
      <c r="O115" s="4">
        <f>IF($L115="","",L115/100*11)</f>
      </c>
      <c r="P115" s="4">
        <v>8.99</v>
      </c>
      <c r="Q115" s="4">
        <f>IF($L115="","",L115*1%)</f>
      </c>
      <c r="R115" s="4"/>
      <c r="S115" s="4">
        <f>IF($L115="","",R115*20%)</f>
      </c>
      <c r="T115" s="4">
        <v>1</v>
      </c>
      <c r="U115" s="4">
        <f>IF($L115="","",M115-N115-O115-P115-Q115-R115-S115-T115)</f>
      </c>
      <c r="V115" s="4">
        <f>IF($L115="","",(U115-AB115)/K115*100)</f>
      </c>
      <c r="W115" s="4">
        <f>IF($L115="","",N115-S115)</f>
      </c>
      <c r="AC115" s="4">
        <f>IF($L115="","",U115-AB115)</f>
      </c>
    </row>
    <row r="116" spans="1:34" x14ac:dyDescent="0.25">
      <c r="A116" s="8"/>
      <c r="D116" s="9"/>
      <c r="K116" s="4"/>
      <c r="L116" s="4"/>
      <c r="M116" s="4">
        <f>IF($L116="","",L116-K116)</f>
      </c>
      <c r="N116" s="4">
        <f>IF($L116="","",M116*16.67%)</f>
      </c>
      <c r="O116" s="4">
        <f>IF($L116="","",L116/100*11)</f>
      </c>
      <c r="P116" s="4">
        <v>8.99</v>
      </c>
      <c r="Q116" s="4">
        <f>IF($L116="","",L116*1%)</f>
      </c>
      <c r="R116" s="4"/>
      <c r="S116" s="4">
        <f>IF($L116="","",R116*20%)</f>
      </c>
      <c r="T116" s="4">
        <v>1</v>
      </c>
      <c r="U116" s="4">
        <f>IF($L116="","",M116-N116-O116-P116-Q116-R116-S116-T116)</f>
      </c>
      <c r="V116" s="4">
        <f>IF($L116="","",(U116-AB116)/K116*100)</f>
      </c>
      <c r="W116" s="4">
        <f>IF($L116="","",N116-S116)</f>
      </c>
      <c r="AC116" s="4">
        <f>IF($L116="","",U116-AB116)</f>
      </c>
    </row>
    <row r="117" spans="1:34" x14ac:dyDescent="0.25">
      <c r="A117" s="8"/>
      <c r="D117" s="9"/>
      <c r="K117" s="4"/>
      <c r="L117" s="4"/>
      <c r="M117" s="4">
        <f>IF($L117="","",L117-K117)</f>
      </c>
      <c r="N117" s="4">
        <f>IF($L117="","",M117*16.67%)</f>
      </c>
      <c r="O117" s="4">
        <f>IF($L117="","",L117/100*11)</f>
      </c>
      <c r="P117" s="4">
        <v>8.99</v>
      </c>
      <c r="Q117" s="4">
        <f>IF($L117="","",L117*1%)</f>
      </c>
      <c r="R117" s="4"/>
      <c r="S117" s="4">
        <f>IF($L117="","",R117*20%)</f>
      </c>
      <c r="T117" s="4">
        <v>1</v>
      </c>
      <c r="U117" s="4">
        <f>IF($L117="","",M117-N117-O117-P117-Q117-R117-S117-T117)</f>
      </c>
      <c r="V117" s="4">
        <f>IF($L117="","",(U117-AB117)/K117*100)</f>
      </c>
      <c r="W117" s="4">
        <f>IF($L117="","",N117-S117)</f>
      </c>
      <c r="AC117" s="4">
        <f>IF($L117="","",U117-AB117)</f>
      </c>
    </row>
    <row r="118" spans="1:34" x14ac:dyDescent="0.25">
      <c r="A118" s="8"/>
      <c r="D118" s="9"/>
      <c r="K118" s="4"/>
      <c r="L118" s="4"/>
      <c r="M118" s="4">
        <f>IF($L118="","",L118-K118)</f>
      </c>
      <c r="N118" s="4">
        <f>IF($L118="","",M118*16.67%)</f>
      </c>
      <c r="O118" s="4">
        <f>IF($L118="","",L118/100*11)</f>
      </c>
      <c r="P118" s="4">
        <v>8.99</v>
      </c>
      <c r="Q118" s="4">
        <f>IF($L118="","",L118*1%)</f>
      </c>
      <c r="R118" s="4"/>
      <c r="S118" s="4">
        <f>IF($L118="","",R118*20%)</f>
      </c>
      <c r="T118" s="4">
        <v>1</v>
      </c>
      <c r="U118" s="4">
        <f>IF($L118="","",M118-N118-O118-P118-Q118-R118-S118-T118)</f>
      </c>
      <c r="V118" s="4">
        <f>IF($L118="","",(U118-AB118)/K118*100)</f>
      </c>
      <c r="W118" s="4">
        <f>IF($L118="","",N118-S118)</f>
      </c>
      <c r="AC118" s="4">
        <f>IF($L118="","",U118-AB118)</f>
      </c>
    </row>
    <row r="119" spans="1:34" x14ac:dyDescent="0.25">
      <c r="A119" s="8"/>
      <c r="D119" s="9"/>
      <c r="K119" s="4"/>
      <c r="L119" s="4"/>
      <c r="M119" s="4">
        <f>IF($L119="","",L119-K119)</f>
      </c>
      <c r="N119" s="4">
        <f>IF($L119="","",M119*16.67%)</f>
      </c>
      <c r="O119" s="4">
        <f>IF($L119="","",L119/100*11)</f>
      </c>
      <c r="P119" s="4">
        <v>8.99</v>
      </c>
      <c r="Q119" s="4">
        <f>IF($L119="","",L119*1%)</f>
      </c>
      <c r="R119" s="4"/>
      <c r="S119" s="4">
        <f>IF($L119="","",R119*20%)</f>
      </c>
      <c r="T119" s="4">
        <v>1</v>
      </c>
      <c r="U119" s="4">
        <f>IF($L119="","",M119-N119-O119-P119-Q119-R119-S119-T119)</f>
      </c>
      <c r="V119" s="4">
        <f>IF($L119="","",(U119-AB119)/K119*100)</f>
      </c>
      <c r="W119" s="4">
        <f>IF($L119="","",N119-S119)</f>
      </c>
      <c r="AC119" s="4">
        <f>IF($L119="","",U119-AB119)</f>
      </c>
    </row>
    <row r="120" spans="1:34" x14ac:dyDescent="0.25">
      <c r="A120" s="8"/>
      <c r="D120" s="9"/>
      <c r="K120" s="4"/>
      <c r="L120" s="4"/>
      <c r="M120" s="4">
        <f>IF($L120="","",L120-K120)</f>
      </c>
      <c r="N120" s="4">
        <f>IF($L120="","",M120*16.67%)</f>
      </c>
      <c r="O120" s="4">
        <f>IF($L120="","",L120/100*11)</f>
      </c>
      <c r="P120" s="4">
        <v>8.99</v>
      </c>
      <c r="Q120" s="4">
        <f>IF($L120="","",L120*1%)</f>
      </c>
      <c r="R120" s="4"/>
      <c r="S120" s="4">
        <f>IF($L120="","",R120*20%)</f>
      </c>
      <c r="T120" s="4">
        <v>1</v>
      </c>
      <c r="U120" s="4">
        <f>IF($L120="","",M120-N120-O120-P120-Q120-R120-S120-T120)</f>
      </c>
      <c r="V120" s="4">
        <f>IF($L120="","",(U120-AB120)/K120*100)</f>
      </c>
      <c r="W120" s="4">
        <f>IF($L120="","",N120-S120)</f>
      </c>
      <c r="AC120" s="4">
        <f>IF($L120="","",U120-AB120)</f>
      </c>
    </row>
    <row r="121" spans="1:34" x14ac:dyDescent="0.25">
      <c r="A121" s="8"/>
      <c r="D121" s="9"/>
      <c r="K121" s="4"/>
      <c r="L121" s="4"/>
      <c r="M121" s="4">
        <f>IF($L121="","",L121-K121)</f>
      </c>
      <c r="N121" s="4">
        <f>IF($L121="","",M121*16.67%)</f>
      </c>
      <c r="O121" s="4">
        <f>IF($L121="","",L121/100*11)</f>
      </c>
      <c r="P121" s="4">
        <v>8.99</v>
      </c>
      <c r="Q121" s="4">
        <f>IF($L121="","",L121*1%)</f>
      </c>
      <c r="R121" s="4"/>
      <c r="S121" s="4">
        <f>IF($L121="","",R121*20%)</f>
      </c>
      <c r="T121" s="4">
        <v>1</v>
      </c>
      <c r="U121" s="4">
        <f>IF($L121="","",M121-N121-O121-P121-Q121-R121-S121-T121)</f>
      </c>
      <c r="V121" s="4">
        <f>IF($L121="","",(U121-AB121)/K121*100)</f>
      </c>
      <c r="W121" s="4">
        <f>IF($L121="","",N121-S121)</f>
      </c>
      <c r="AC121" s="4">
        <f>IF($L121="","",U121-AB121)</f>
      </c>
    </row>
    <row r="122" spans="1:34" x14ac:dyDescent="0.25">
      <c r="A122" s="8"/>
      <c r="D122" s="9"/>
      <c r="K122" s="4"/>
      <c r="L122" s="4"/>
      <c r="M122" s="4">
        <f>IF($L122="","",L122-K122)</f>
      </c>
      <c r="N122" s="4">
        <f>IF($L122="","",M122*16.67%)</f>
      </c>
      <c r="O122" s="4">
        <f>IF($L122="","",L122/100*11)</f>
      </c>
      <c r="P122" s="4">
        <v>8.99</v>
      </c>
      <c r="Q122" s="4">
        <f>IF($L122="","",L122*1%)</f>
      </c>
      <c r="R122" s="4"/>
      <c r="S122" s="4">
        <f>IF($L122="","",R122*20%)</f>
      </c>
      <c r="T122" s="4">
        <v>1</v>
      </c>
      <c r="U122" s="4">
        <f>IF($L122="","",M122-N122-O122-P122-Q122-R122-S122-T122)</f>
      </c>
      <c r="V122" s="4">
        <f>IF($L122="","",(U122-AB122)/K122*100)</f>
      </c>
      <c r="W122" s="4">
        <f>IF($L122="","",N122-S122)</f>
      </c>
      <c r="AC122" s="4">
        <f>IF($L122="","",U122-AB122)</f>
      </c>
    </row>
    <row r="123" spans="1:34" x14ac:dyDescent="0.25">
      <c r="A123" s="8"/>
      <c r="D123" s="9"/>
      <c r="K123" s="4"/>
      <c r="L123" s="4"/>
      <c r="M123" s="4">
        <f>IF($L123="","",L123-K123)</f>
      </c>
      <c r="N123" s="4">
        <f>IF($L123="","",M123*16.67%)</f>
      </c>
      <c r="O123" s="4">
        <f>IF($L123="","",L123/100*11)</f>
      </c>
      <c r="P123" s="4">
        <v>8.99</v>
      </c>
      <c r="Q123" s="4">
        <f>IF($L123="","",L123*1%)</f>
      </c>
      <c r="R123" s="4"/>
      <c r="S123" s="4">
        <f>IF($L123="","",R123*20%)</f>
      </c>
      <c r="T123" s="4">
        <v>1</v>
      </c>
      <c r="U123" s="4">
        <f>IF($L123="","",M123-N123-O123-P123-Q123-R123-S123-T123)</f>
      </c>
      <c r="V123" s="4">
        <f>IF($L123="","",(U123-AB123)/K123*100)</f>
      </c>
      <c r="W123" s="4">
        <f>IF($L123="","",N123-S123)</f>
      </c>
      <c r="AC123" s="4">
        <f>IF($L123="","",U123-AB123)</f>
      </c>
    </row>
    <row r="124" spans="1:34" x14ac:dyDescent="0.25">
      <c r="A124" s="8"/>
      <c r="D124" s="9"/>
      <c r="K124" s="4"/>
      <c r="L124" s="4"/>
      <c r="M124" s="4">
        <f>IF($L124="","",L124-K124)</f>
      </c>
      <c r="N124" s="4">
        <f>IF($L124="","",M124*16.67%)</f>
      </c>
      <c r="O124" s="4">
        <f>IF($L124="","",L124/100*11)</f>
      </c>
      <c r="P124" s="4">
        <v>8.99</v>
      </c>
      <c r="Q124" s="4">
        <f>IF($L124="","",L124*1%)</f>
      </c>
      <c r="R124" s="4"/>
      <c r="S124" s="4">
        <f>IF($L124="","",R124*20%)</f>
      </c>
      <c r="T124" s="4">
        <v>1</v>
      </c>
      <c r="U124" s="4">
        <f>IF($L124="","",M124-N124-O124-P124-Q124-R124-S124-T124)</f>
      </c>
      <c r="V124" s="4">
        <f>IF($L124="","",(U124-AB124)/K124*100)</f>
      </c>
      <c r="W124" s="4">
        <f>IF($L124="","",N124-S124)</f>
      </c>
      <c r="AC124" s="4">
        <f>IF($L124="","",U124-AB124)</f>
      </c>
    </row>
    <row r="125" spans="1:34" x14ac:dyDescent="0.25">
      <c r="A125" s="8"/>
      <c r="D125" s="9"/>
      <c r="K125" s="4"/>
      <c r="L125" s="4"/>
      <c r="M125" s="4">
        <f>IF($L125="","",L125-K125)</f>
      </c>
      <c r="N125" s="4">
        <f>IF($L125="","",M125*16.67%)</f>
      </c>
      <c r="O125" s="4">
        <f>IF($L125="","",L125/100*11)</f>
      </c>
      <c r="P125" s="4">
        <v>8.99</v>
      </c>
      <c r="Q125" s="4">
        <f>IF($L125="","",L125*1%)</f>
      </c>
      <c r="R125" s="4"/>
      <c r="S125" s="4">
        <f>IF($L125="","",R125*20%)</f>
      </c>
      <c r="T125" s="4">
        <v>1</v>
      </c>
      <c r="U125" s="4">
        <f>IF($L125="","",M125-N125-O125-P125-Q125-R125-S125-T125)</f>
      </c>
      <c r="V125" s="4">
        <f>IF($L125="","",(U125-AB125)/K125*100)</f>
      </c>
      <c r="W125" s="4">
        <f>IF($L125="","",N125-S125)</f>
      </c>
      <c r="AC125" s="4">
        <f>IF($L125="","",U125-AB125)</f>
      </c>
    </row>
    <row r="126" spans="1:34" x14ac:dyDescent="0.25">
      <c r="A126" s="8"/>
      <c r="D126" s="9"/>
      <c r="K126" s="4"/>
      <c r="L126" s="4"/>
      <c r="M126" s="4">
        <f>IF($L126="","",L126-K126)</f>
      </c>
      <c r="N126" s="4">
        <f>IF($L126="","",M126*16.67%)</f>
      </c>
      <c r="O126" s="4">
        <f>IF($L126="","",L126/100*11)</f>
      </c>
      <c r="P126" s="4">
        <v>8.99</v>
      </c>
      <c r="Q126" s="4">
        <f>IF($L126="","",L126*1%)</f>
      </c>
      <c r="R126" s="4"/>
      <c r="S126" s="4">
        <f>IF($L126="","",R126*20%)</f>
      </c>
      <c r="T126" s="4">
        <v>1</v>
      </c>
      <c r="U126" s="4">
        <f>IF($L126="","",M126-N126-O126-P126-Q126-R126-S126-T126)</f>
      </c>
      <c r="V126" s="4">
        <f>IF($L126="","",(U126-AB126)/K126*100)</f>
      </c>
      <c r="W126" s="4">
        <f>IF($L126="","",N126-S126)</f>
      </c>
      <c r="AC126" s="4">
        <f>IF($L126="","",U126-AB126)</f>
      </c>
    </row>
    <row r="127" spans="1:34" x14ac:dyDescent="0.25">
      <c r="A127" s="8"/>
      <c r="D127" s="9"/>
      <c r="K127" s="4"/>
      <c r="L127" s="4"/>
      <c r="M127" s="4">
        <f>IF($L127="","",L127-K127)</f>
      </c>
      <c r="N127" s="4">
        <f>IF($L127="","",M127*16.67%)</f>
      </c>
      <c r="O127" s="4">
        <f>IF($L127="","",L127/100*11)</f>
      </c>
      <c r="P127" s="4">
        <v>8.99</v>
      </c>
      <c r="Q127" s="4">
        <f>IF($L127="","",L127*1%)</f>
      </c>
      <c r="R127" s="4"/>
      <c r="S127" s="4">
        <f>IF($L127="","",R127*20%)</f>
      </c>
      <c r="T127" s="4">
        <v>1</v>
      </c>
      <c r="U127" s="4">
        <f>IF($L127="","",M127-N127-O127-P127-Q127-R127-S127-T127)</f>
      </c>
      <c r="V127" s="4">
        <f>IF($L127="","",(U127-AB127)/K127*100)</f>
      </c>
      <c r="W127" s="4">
        <f>IF($L127="","",N127-S127)</f>
      </c>
      <c r="AC127" s="4">
        <f>IF($L127="","",U127-AB127)</f>
      </c>
    </row>
    <row r="128" spans="1:34" x14ac:dyDescent="0.25">
      <c r="A128" s="8"/>
      <c r="D128" s="9"/>
      <c r="K128" s="4"/>
      <c r="L128" s="4"/>
      <c r="M128" s="4">
        <f>IF($L128="","",L128-K128)</f>
      </c>
      <c r="N128" s="4">
        <f>IF($L128="","",M128*16.67%)</f>
      </c>
      <c r="O128" s="4">
        <f>IF($L128="","",L128/100*11)</f>
      </c>
      <c r="P128" s="4">
        <v>8.99</v>
      </c>
      <c r="Q128" s="4">
        <f>IF($L128="","",L128*1%)</f>
      </c>
      <c r="R128" s="4"/>
      <c r="S128" s="4">
        <f>IF($L128="","",R128*20%)</f>
      </c>
      <c r="T128" s="4">
        <v>1</v>
      </c>
      <c r="U128" s="4">
        <f>IF($L128="","",M128-N128-O128-P128-Q128-R128-S128-T128)</f>
      </c>
      <c r="V128" s="4">
        <f>IF($L128="","",(U128-AB128)/K128*100)</f>
      </c>
      <c r="W128" s="4">
        <f>IF($L128="","",N128-S128)</f>
      </c>
      <c r="AC128" s="4">
        <f>IF($L128="","",U128-AB128)</f>
      </c>
    </row>
    <row r="129" spans="1:34" x14ac:dyDescent="0.25">
      <c r="A129" s="8"/>
      <c r="D129" s="9"/>
      <c r="K129" s="4"/>
      <c r="L129" s="4"/>
      <c r="M129" s="4">
        <f>IF($L129="","",L129-K129)</f>
      </c>
      <c r="N129" s="4">
        <f>IF($L129="","",M129*16.67%)</f>
      </c>
      <c r="O129" s="4">
        <f>IF($L129="","",L129/100*11)</f>
      </c>
      <c r="P129" s="4">
        <v>8.99</v>
      </c>
      <c r="Q129" s="4">
        <f>IF($L129="","",L129*1%)</f>
      </c>
      <c r="R129" s="4"/>
      <c r="S129" s="4">
        <f>IF($L129="","",R129*20%)</f>
      </c>
      <c r="T129" s="4">
        <v>1</v>
      </c>
      <c r="U129" s="4">
        <f>IF($L129="","",M129-N129-O129-P129-Q129-R129-S129-T129)</f>
      </c>
      <c r="V129" s="4">
        <f>IF($L129="","",(U129-AB129)/K129*100)</f>
      </c>
      <c r="W129" s="4">
        <f>IF($L129="","",N129-S129)</f>
      </c>
      <c r="AC129" s="4">
        <f>IF($L129="","",U129-AB129)</f>
      </c>
    </row>
    <row r="130" spans="1:34" x14ac:dyDescent="0.25">
      <c r="A130" s="8"/>
      <c r="D130" s="9"/>
      <c r="K130" s="4"/>
      <c r="L130" s="4"/>
      <c r="M130" s="4">
        <f>IF($L130="","",L130-K130)</f>
      </c>
      <c r="N130" s="4">
        <f>IF($L130="","",M130*16.67%)</f>
      </c>
      <c r="O130" s="4">
        <f>IF($L130="","",L130/100*11)</f>
      </c>
      <c r="P130" s="4">
        <v>8.99</v>
      </c>
      <c r="Q130" s="4">
        <f>IF($L130="","",L130*1%)</f>
      </c>
      <c r="R130" s="4"/>
      <c r="S130" s="4">
        <f>IF($L130="","",R130*20%)</f>
      </c>
      <c r="T130" s="4">
        <v>1</v>
      </c>
      <c r="U130" s="4">
        <f>IF($L130="","",M130-N130-O130-P130-Q130-R130-S130-T130)</f>
      </c>
      <c r="V130" s="4">
        <f>IF($L130="","",(U130-AB130)/K130*100)</f>
      </c>
      <c r="W130" s="4">
        <f>IF($L130="","",N130-S130)</f>
      </c>
      <c r="AC130" s="4">
        <f>IF($L130="","",U130-AB130)</f>
      </c>
    </row>
    <row r="131" spans="1:34" x14ac:dyDescent="0.25">
      <c r="A131" s="8"/>
      <c r="D131" s="9"/>
      <c r="K131" s="4"/>
      <c r="L131" s="4"/>
      <c r="M131" s="4">
        <f>IF($L131="","",L131-K131)</f>
      </c>
      <c r="N131" s="4">
        <f>IF($L131="","",M131*16.67%)</f>
      </c>
      <c r="O131" s="4">
        <f>IF($L131="","",L131/100*11)</f>
      </c>
      <c r="P131" s="4">
        <v>8.99</v>
      </c>
      <c r="Q131" s="4">
        <f>IF($L131="","",L131*1%)</f>
      </c>
      <c r="R131" s="4"/>
      <c r="S131" s="4">
        <f>IF($L131="","",R131*20%)</f>
      </c>
      <c r="T131" s="4">
        <v>1</v>
      </c>
      <c r="U131" s="4">
        <f>IF($L131="","",M131-N131-O131-P131-Q131-R131-S131-T131)</f>
      </c>
      <c r="V131" s="4">
        <f>IF($L131="","",(U131-AB131)/K131*100)</f>
      </c>
      <c r="W131" s="4">
        <f>IF($L131="","",N131-S131)</f>
      </c>
      <c r="AC131" s="4">
        <f>IF($L131="","",U131-AB131)</f>
      </c>
    </row>
    <row r="132" spans="1:34" x14ac:dyDescent="0.25">
      <c r="A132" s="8"/>
      <c r="D132" s="9"/>
      <c r="K132" s="4"/>
      <c r="L132" s="4"/>
      <c r="M132" s="4">
        <f>IF($L132="","",L132-K132)</f>
      </c>
      <c r="N132" s="4">
        <f>IF($L132="","",M132*16.67%)</f>
      </c>
      <c r="O132" s="4">
        <f>IF($L132="","",L132/100*11)</f>
      </c>
      <c r="P132" s="4">
        <v>8.99</v>
      </c>
      <c r="Q132" s="4">
        <f>IF($L132="","",L132*1%)</f>
      </c>
      <c r="R132" s="4"/>
      <c r="S132" s="4">
        <f>IF($L132="","",R132*20%)</f>
      </c>
      <c r="T132" s="4">
        <v>1</v>
      </c>
      <c r="U132" s="4">
        <f>IF($L132="","",M132-N132-O132-P132-Q132-R132-S132-T132)</f>
      </c>
      <c r="V132" s="4">
        <f>IF($L132="","",(U132-AB132)/K132*100)</f>
      </c>
      <c r="W132" s="4">
        <f>IF($L132="","",N132-S132)</f>
      </c>
      <c r="AC132" s="4">
        <f>IF($L132="","",U132-AB132)</f>
      </c>
    </row>
    <row r="133" spans="1:34" x14ac:dyDescent="0.25">
      <c r="A133" s="8"/>
      <c r="D133" s="9"/>
      <c r="K133" s="4"/>
      <c r="L133" s="4"/>
      <c r="M133" s="4">
        <f>IF($L133="","",L133-K133)</f>
      </c>
      <c r="N133" s="4">
        <f>IF($L133="","",M133*16.67%)</f>
      </c>
      <c r="O133" s="4">
        <f>IF($L133="","",L133/100*11)</f>
      </c>
      <c r="P133" s="4">
        <v>8.99</v>
      </c>
      <c r="Q133" s="4">
        <f>IF($L133="","",L133*1%)</f>
      </c>
      <c r="R133" s="4"/>
      <c r="S133" s="4">
        <f>IF($L133="","",R133*20%)</f>
      </c>
      <c r="T133" s="4">
        <v>1</v>
      </c>
      <c r="U133" s="4">
        <f>IF($L133="","",M133-N133-O133-P133-Q133-R133-S133-T133)</f>
      </c>
      <c r="V133" s="4">
        <f>IF($L133="","",(U133-AB133)/K133*100)</f>
      </c>
      <c r="W133" s="4">
        <f>IF($L133="","",N133-S133)</f>
      </c>
      <c r="AC133" s="4">
        <f>IF($L133="","",U133-AB133)</f>
      </c>
    </row>
    <row r="134" spans="1:34" x14ac:dyDescent="0.25">
      <c r="A134" s="8"/>
      <c r="D134" s="9"/>
      <c r="K134" s="4"/>
      <c r="L134" s="4"/>
      <c r="M134" s="4">
        <f>IF($L134="","",L134-K134)</f>
      </c>
      <c r="N134" s="4">
        <f>IF($L134="","",M134*16.67%)</f>
      </c>
      <c r="O134" s="4">
        <f>IF($L134="","",L134/100*11)</f>
      </c>
      <c r="P134" s="4">
        <v>8.99</v>
      </c>
      <c r="Q134" s="4">
        <f>IF($L134="","",L134*1%)</f>
      </c>
      <c r="R134" s="4"/>
      <c r="S134" s="4">
        <f>IF($L134="","",R134*20%)</f>
      </c>
      <c r="T134" s="4">
        <v>1</v>
      </c>
      <c r="U134" s="4">
        <f>IF($L134="","",M134-N134-O134-P134-Q134-R134-S134-T134)</f>
      </c>
      <c r="V134" s="4">
        <f>IF($L134="","",(U134-AB134)/K134*100)</f>
      </c>
      <c r="W134" s="4">
        <f>IF($L134="","",N134-S134)</f>
      </c>
      <c r="AC134" s="4">
        <f>IF($L134="","",U134-AB134)</f>
      </c>
    </row>
    <row r="135" spans="1:34" x14ac:dyDescent="0.25">
      <c r="A135" s="8"/>
      <c r="D135" s="9"/>
      <c r="K135" s="4"/>
      <c r="L135" s="4"/>
      <c r="M135" s="4">
        <f>IF($L135="","",L135-K135)</f>
      </c>
      <c r="N135" s="4">
        <f>IF($L135="","",M135*16.67%)</f>
      </c>
      <c r="O135" s="4">
        <f>IF($L135="","",L135/100*11)</f>
      </c>
      <c r="P135" s="4">
        <v>8.99</v>
      </c>
      <c r="Q135" s="4">
        <f>IF($L135="","",L135*1%)</f>
      </c>
      <c r="R135" s="4"/>
      <c r="S135" s="4">
        <f>IF($L135="","",R135*20%)</f>
      </c>
      <c r="T135" s="4">
        <v>1</v>
      </c>
      <c r="U135" s="4">
        <f>IF($L135="","",M135-N135-O135-P135-Q135-R135-S135-T135)</f>
      </c>
      <c r="V135" s="4">
        <f>IF($L135="","",(U135-AB135)/K135*100)</f>
      </c>
      <c r="W135" s="4">
        <f>IF($L135="","",N135-S135)</f>
      </c>
      <c r="AC135" s="4">
        <f>IF($L135="","",U135-AB135)</f>
      </c>
    </row>
    <row r="136" spans="1:34" x14ac:dyDescent="0.25">
      <c r="A136" s="8"/>
      <c r="D136" s="9"/>
      <c r="K136" s="4"/>
      <c r="L136" s="4"/>
      <c r="M136" s="4">
        <f>IF($L136="","",L136-K136)</f>
      </c>
      <c r="N136" s="4">
        <f>IF($L136="","",M136*16.67%)</f>
      </c>
      <c r="O136" s="4">
        <f>IF($L136="","",L136/100*11)</f>
      </c>
      <c r="P136" s="4">
        <v>8.99</v>
      </c>
      <c r="Q136" s="4">
        <f>IF($L136="","",L136*1%)</f>
      </c>
      <c r="R136" s="4"/>
      <c r="S136" s="4">
        <f>IF($L136="","",R136*20%)</f>
      </c>
      <c r="T136" s="4">
        <v>1</v>
      </c>
      <c r="U136" s="4">
        <f>IF($L136="","",M136-N136-O136-P136-Q136-R136-S136-T136)</f>
      </c>
      <c r="V136" s="4">
        <f>IF($L136="","",(U136-AB136)/K136*100)</f>
      </c>
      <c r="W136" s="4">
        <f>IF($L136="","",N136-S136)</f>
      </c>
      <c r="AC136" s="4">
        <f>IF($L136="","",U136-AB136)</f>
      </c>
    </row>
    <row r="137" spans="1:34" x14ac:dyDescent="0.25">
      <c r="A137" s="8"/>
      <c r="D137" s="9"/>
      <c r="K137" s="4"/>
      <c r="L137" s="4"/>
      <c r="M137" s="4">
        <f>IF($L137="","",L137-K137)</f>
      </c>
      <c r="N137" s="4">
        <f>IF($L137="","",M137*16.67%)</f>
      </c>
      <c r="O137" s="4">
        <f>IF($L137="","",L137/100*11)</f>
      </c>
      <c r="P137" s="4">
        <v>8.99</v>
      </c>
      <c r="Q137" s="4">
        <f>IF($L137="","",L137*1%)</f>
      </c>
      <c r="R137" s="4"/>
      <c r="S137" s="4">
        <f>IF($L137="","",R137*20%)</f>
      </c>
      <c r="T137" s="4">
        <v>1</v>
      </c>
      <c r="U137" s="4">
        <f>IF($L137="","",M137-N137-O137-P137-Q137-R137-S137-T137)</f>
      </c>
      <c r="V137" s="4">
        <f>IF($L137="","",(U137-AB137)/K137*100)</f>
      </c>
      <c r="W137" s="4">
        <f>IF($L137="","",N137-S137)</f>
      </c>
      <c r="AC137" s="4">
        <f>IF($L137="","",U137-AB137)</f>
      </c>
    </row>
    <row r="138" spans="1:34" x14ac:dyDescent="0.25">
      <c r="A138" s="8"/>
      <c r="D138" s="9"/>
      <c r="K138" s="4"/>
      <c r="L138" s="4"/>
      <c r="M138" s="4">
        <f>IF($L138="","",L138-K138)</f>
      </c>
      <c r="N138" s="4">
        <f>IF($L138="","",M138*16.67%)</f>
      </c>
      <c r="O138" s="4">
        <f>IF($L138="","",L138/100*11)</f>
      </c>
      <c r="P138" s="4">
        <v>8.99</v>
      </c>
      <c r="Q138" s="4">
        <f>IF($L138="","",L138*1%)</f>
      </c>
      <c r="R138" s="4"/>
      <c r="S138" s="4">
        <f>IF($L138="","",R138*20%)</f>
      </c>
      <c r="T138" s="4">
        <v>1</v>
      </c>
      <c r="U138" s="4">
        <f>IF($L138="","",M138-N138-O138-P138-Q138-R138-S138-T138)</f>
      </c>
      <c r="V138" s="4">
        <f>IF($L138="","",(U138-AB138)/K138*100)</f>
      </c>
      <c r="W138" s="4">
        <f>IF($L138="","",N138-S138)</f>
      </c>
      <c r="AC138" s="4">
        <f>IF($L138="","",U138-AB138)</f>
      </c>
    </row>
    <row r="139" spans="1:34" x14ac:dyDescent="0.25">
      <c r="A139" s="8"/>
      <c r="D139" s="9"/>
      <c r="K139" s="4"/>
      <c r="L139" s="4"/>
      <c r="M139" s="4">
        <f>IF($L139="","",L139-K139)</f>
      </c>
      <c r="N139" s="4">
        <f>IF($L139="","",M139*16.67%)</f>
      </c>
      <c r="O139" s="4">
        <f>IF($L139="","",L139/100*11)</f>
      </c>
      <c r="P139" s="4">
        <v>8.99</v>
      </c>
      <c r="Q139" s="4">
        <f>IF($L139="","",L139*1%)</f>
      </c>
      <c r="R139" s="4"/>
      <c r="S139" s="4">
        <f>IF($L139="","",R139*20%)</f>
      </c>
      <c r="T139" s="4">
        <v>1</v>
      </c>
      <c r="U139" s="4">
        <f>IF($L139="","",M139-N139-O139-P139-Q139-R139-S139-T139)</f>
      </c>
      <c r="V139" s="4">
        <f>IF($L139="","",(U139-AB139)/K139*100)</f>
      </c>
      <c r="W139" s="4">
        <f>IF($L139="","",N139-S139)</f>
      </c>
      <c r="AC139" s="4">
        <f>IF($L139="","",U139-AB139)</f>
      </c>
    </row>
    <row r="140" spans="1:34" x14ac:dyDescent="0.25">
      <c r="A140" s="8"/>
      <c r="D140" s="9"/>
      <c r="K140" s="4"/>
      <c r="L140" s="4"/>
      <c r="M140" s="4">
        <f>IF($L140="","",L140-K140)</f>
      </c>
      <c r="N140" s="4">
        <f>IF($L140="","",M140*16.67%)</f>
      </c>
      <c r="O140" s="4">
        <f>IF($L140="","",L140/100*11)</f>
      </c>
      <c r="P140" s="4">
        <v>8.99</v>
      </c>
      <c r="Q140" s="4">
        <f>IF($L140="","",L140*1%)</f>
      </c>
      <c r="R140" s="4"/>
      <c r="S140" s="4">
        <f>IF($L140="","",R140*20%)</f>
      </c>
      <c r="T140" s="4">
        <v>1</v>
      </c>
      <c r="U140" s="4">
        <f>IF($L140="","",M140-N140-O140-P140-Q140-R140-S140-T140)</f>
      </c>
      <c r="V140" s="4">
        <f>IF($L140="","",(U140-AB140)/K140*100)</f>
      </c>
      <c r="W140" s="4">
        <f>IF($L140="","",N140-S140)</f>
      </c>
      <c r="AC140" s="4">
        <f>IF($L140="","",U140-AB140)</f>
      </c>
    </row>
    <row r="141" spans="1:34" x14ac:dyDescent="0.25">
      <c r="A141" s="8"/>
      <c r="D141" s="9"/>
      <c r="K141" s="4"/>
      <c r="L141" s="4"/>
      <c r="M141" s="4">
        <f>IF($L141="","",L141-K141)</f>
      </c>
      <c r="N141" s="4">
        <f>IF($L141="","",M141*16.67%)</f>
      </c>
      <c r="O141" s="4">
        <f>IF($L141="","",L141/100*11)</f>
      </c>
      <c r="P141" s="4">
        <v>8.99</v>
      </c>
      <c r="Q141" s="4">
        <f>IF($L141="","",L141*1%)</f>
      </c>
      <c r="R141" s="4"/>
      <c r="S141" s="4">
        <f>IF($L141="","",R141*20%)</f>
      </c>
      <c r="T141" s="4">
        <v>1</v>
      </c>
      <c r="U141" s="4">
        <f>IF($L141="","",M141-N141-O141-P141-Q141-R141-S141-T141)</f>
      </c>
      <c r="V141" s="4">
        <f>IF($L141="","",(U141-AB141)/K141*100)</f>
      </c>
      <c r="W141" s="4">
        <f>IF($L141="","",N141-S141)</f>
      </c>
      <c r="AC141" s="4">
        <f>IF($L141="","",U141-AB141)</f>
      </c>
    </row>
    <row r="142" spans="1:34" x14ac:dyDescent="0.25">
      <c r="A142" s="8"/>
      <c r="D142" s="9"/>
      <c r="K142" s="4"/>
      <c r="L142" s="4"/>
      <c r="M142" s="4">
        <f>IF($L142="","",L142-K142)</f>
      </c>
      <c r="N142" s="4">
        <f>IF($L142="","",M142*16.67%)</f>
      </c>
      <c r="O142" s="4">
        <f>IF($L142="","",L142/100*11)</f>
      </c>
      <c r="P142" s="4">
        <v>8.99</v>
      </c>
      <c r="Q142" s="4">
        <f>IF($L142="","",L142*1%)</f>
      </c>
      <c r="R142" s="4"/>
      <c r="S142" s="4">
        <f>IF($L142="","",R142*20%)</f>
      </c>
      <c r="T142" s="4">
        <v>1</v>
      </c>
      <c r="U142" s="4">
        <f>IF($L142="","",M142-N142-O142-P142-Q142-R142-S142-T142)</f>
      </c>
      <c r="V142" s="4">
        <f>IF($L142="","",(U142-AB142)/K142*100)</f>
      </c>
      <c r="W142" s="4">
        <f>IF($L142="","",N142-S142)</f>
      </c>
      <c r="AC142" s="4">
        <f>IF($L142="","",U142-AB142)</f>
      </c>
    </row>
    <row r="143" spans="1:34" x14ac:dyDescent="0.25">
      <c r="A143" s="8"/>
      <c r="D143" s="9"/>
      <c r="K143" s="4"/>
      <c r="L143" s="4"/>
      <c r="M143" s="4">
        <f>IF($L143="","",L143-K143)</f>
      </c>
      <c r="N143" s="4">
        <f>IF($L143="","",M143*16.67%)</f>
      </c>
      <c r="O143" s="4">
        <f>IF($L143="","",L143/100*11)</f>
      </c>
      <c r="P143" s="4">
        <v>8.99</v>
      </c>
      <c r="Q143" s="4">
        <f>IF($L143="","",L143*1%)</f>
      </c>
      <c r="R143" s="4"/>
      <c r="S143" s="4">
        <f>IF($L143="","",R143*20%)</f>
      </c>
      <c r="T143" s="4">
        <v>1</v>
      </c>
      <c r="U143" s="4">
        <f>IF($L143="","",M143-N143-O143-P143-Q143-R143-S143-T143)</f>
      </c>
      <c r="V143" s="4">
        <f>IF($L143="","",(U143-AB143)/K143*100)</f>
      </c>
      <c r="W143" s="4">
        <f>IF($L143="","",N143-S143)</f>
      </c>
      <c r="AC143" s="4">
        <f>IF($L143="","",U143-AB143)</f>
      </c>
    </row>
    <row r="144" spans="1:34" x14ac:dyDescent="0.25">
      <c r="A144" s="8"/>
      <c r="D144" s="9"/>
      <c r="K144" s="4"/>
      <c r="L144" s="4"/>
      <c r="M144" s="4">
        <f>IF($L144="","",L144-K144)</f>
      </c>
      <c r="N144" s="4">
        <f>IF($L144="","",M144*16.67%)</f>
      </c>
      <c r="O144" s="4">
        <f>IF($L144="","",L144/100*11)</f>
      </c>
      <c r="P144" s="4">
        <v>8.99</v>
      </c>
      <c r="Q144" s="4">
        <f>IF($L144="","",L144*1%)</f>
      </c>
      <c r="R144" s="4"/>
      <c r="S144" s="4">
        <f>IF($L144="","",R144*20%)</f>
      </c>
      <c r="T144" s="4">
        <v>1</v>
      </c>
      <c r="U144" s="4">
        <f>IF($L144="","",M144-N144-O144-P144-Q144-R144-S144-T144)</f>
      </c>
      <c r="V144" s="4">
        <f>IF($L144="","",(U144-AB144)/K144*100)</f>
      </c>
      <c r="W144" s="4">
        <f>IF($L144="","",N144-S144)</f>
      </c>
      <c r="AC144" s="4">
        <f>IF($L144="","",U144-AB144)</f>
      </c>
    </row>
    <row r="145" spans="1:34" x14ac:dyDescent="0.25">
      <c r="A145" s="8"/>
      <c r="D145" s="9"/>
      <c r="K145" s="4"/>
      <c r="L145" s="4"/>
      <c r="M145" s="4">
        <f>IF($L145="","",L145-K145)</f>
      </c>
      <c r="N145" s="4">
        <f>IF($L145="","",M145*16.67%)</f>
      </c>
      <c r="O145" s="4">
        <f>IF($L145="","",L145/100*11)</f>
      </c>
      <c r="P145" s="4">
        <v>8.99</v>
      </c>
      <c r="Q145" s="4">
        <f>IF($L145="","",L145*1%)</f>
      </c>
      <c r="R145" s="4"/>
      <c r="S145" s="4">
        <f>IF($L145="","",R145*20%)</f>
      </c>
      <c r="T145" s="4">
        <v>1</v>
      </c>
      <c r="U145" s="4">
        <f>IF($L145="","",M145-N145-O145-P145-Q145-R145-S145-T145)</f>
      </c>
      <c r="V145" s="4">
        <f>IF($L145="","",(U145-AB145)/K145*100)</f>
      </c>
      <c r="W145" s="4">
        <f>IF($L145="","",N145-S145)</f>
      </c>
      <c r="AC145" s="4">
        <f>IF($L145="","",U145-AB145)</f>
      </c>
    </row>
    <row r="146" spans="1:34" x14ac:dyDescent="0.25">
      <c r="A146" s="8"/>
      <c r="D146" s="9"/>
      <c r="K146" s="4"/>
      <c r="L146" s="4"/>
      <c r="M146" s="4">
        <f>IF($L146="","",L146-K146)</f>
      </c>
      <c r="N146" s="4">
        <f>IF($L146="","",M146*16.67%)</f>
      </c>
      <c r="O146" s="4">
        <f>IF($L146="","",L146/100*11)</f>
      </c>
      <c r="P146" s="4">
        <v>8.99</v>
      </c>
      <c r="Q146" s="4">
        <f>IF($L146="","",L146*1%)</f>
      </c>
      <c r="R146" s="4"/>
      <c r="S146" s="4">
        <f>IF($L146="","",R146*20%)</f>
      </c>
      <c r="T146" s="4">
        <v>1</v>
      </c>
      <c r="U146" s="4">
        <f>IF($L146="","",M146-N146-O146-P146-Q146-R146-S146-T146)</f>
      </c>
      <c r="V146" s="4">
        <f>IF($L146="","",(U146-AB146)/K146*100)</f>
      </c>
      <c r="W146" s="4">
        <f>IF($L146="","",N146-S146)</f>
      </c>
      <c r="AC146" s="4">
        <f>IF($L146="","",U146-AB146)</f>
      </c>
    </row>
    <row r="147" spans="1:34" x14ac:dyDescent="0.25">
      <c r="A147" s="8"/>
      <c r="D147" s="9"/>
      <c r="K147" s="4"/>
      <c r="L147" s="4"/>
      <c r="M147" s="4">
        <f>IF($L147="","",L147-K147)</f>
      </c>
      <c r="N147" s="4">
        <f>IF($L147="","",M147*16.67%)</f>
      </c>
      <c r="O147" s="4">
        <f>IF($L147="","",L147/100*11)</f>
      </c>
      <c r="P147" s="4">
        <v>8.99</v>
      </c>
      <c r="Q147" s="4">
        <f>IF($L147="","",L147*1%)</f>
      </c>
      <c r="R147" s="4"/>
      <c r="S147" s="4">
        <f>IF($L147="","",R147*20%)</f>
      </c>
      <c r="T147" s="4">
        <v>1</v>
      </c>
      <c r="U147" s="4">
        <f>IF($L147="","",M147-N147-O147-P147-Q147-R147-S147-T147)</f>
      </c>
      <c r="V147" s="4">
        <f>IF($L147="","",(U147-AB147)/K147*100)</f>
      </c>
      <c r="W147" s="4">
        <f>IF($L147="","",N147-S147)</f>
      </c>
      <c r="AC147" s="4">
        <f>IF($L147="","",U147-AB147)</f>
      </c>
    </row>
    <row r="148" spans="1:34" x14ac:dyDescent="0.25">
      <c r="A148" s="8"/>
      <c r="D148" s="9"/>
      <c r="K148" s="4"/>
      <c r="L148" s="4"/>
      <c r="M148" s="4">
        <f>IF($L148="","",L148-K148)</f>
      </c>
      <c r="N148" s="4">
        <f>IF($L148="","",M148*16.67%)</f>
      </c>
      <c r="O148" s="4">
        <f>IF($L148="","",L148/100*11)</f>
      </c>
      <c r="P148" s="4">
        <v>8.99</v>
      </c>
      <c r="Q148" s="4">
        <f>IF($L148="","",L148*1%)</f>
      </c>
      <c r="R148" s="4"/>
      <c r="S148" s="4">
        <f>IF($L148="","",R148*20%)</f>
      </c>
      <c r="T148" s="4">
        <v>1</v>
      </c>
      <c r="U148" s="4">
        <f>IF($L148="","",M148-N148-O148-P148-Q148-R148-S148-T148)</f>
      </c>
      <c r="V148" s="4">
        <f>IF($L148="","",(U148-AB148)/K148*100)</f>
      </c>
      <c r="W148" s="4">
        <f>IF($L148="","",N148-S148)</f>
      </c>
      <c r="AC148" s="4">
        <f>IF($L148="","",U148-AB148)</f>
      </c>
    </row>
    <row r="149" spans="1:34" x14ac:dyDescent="0.25">
      <c r="A149" s="8"/>
      <c r="D149" s="9"/>
      <c r="K149" s="4"/>
      <c r="L149" s="4"/>
      <c r="M149" s="4">
        <f>IF($L149="","",L149-K149)</f>
      </c>
      <c r="N149" s="4">
        <f>IF($L149="","",M149*16.67%)</f>
      </c>
      <c r="O149" s="4">
        <f>IF($L149="","",L149/100*11)</f>
      </c>
      <c r="P149" s="4">
        <v>8.99</v>
      </c>
      <c r="Q149" s="4">
        <f>IF($L149="","",L149*1%)</f>
      </c>
      <c r="R149" s="4"/>
      <c r="S149" s="4">
        <f>IF($L149="","",R149*20%)</f>
      </c>
      <c r="T149" s="4">
        <v>1</v>
      </c>
      <c r="U149" s="4">
        <f>IF($L149="","",M149-N149-O149-P149-Q149-R149-S149-T149)</f>
      </c>
      <c r="V149" s="4">
        <f>IF($L149="","",(U149-AB149)/K149*100)</f>
      </c>
      <c r="W149" s="4">
        <f>IF($L149="","",N149-S149)</f>
      </c>
      <c r="AC149" s="4">
        <f>IF($L149="","",U149-AB149)</f>
      </c>
    </row>
    <row r="150" spans="1:34" x14ac:dyDescent="0.25">
      <c r="A150" s="8"/>
      <c r="D150" s="9"/>
      <c r="K150" s="4"/>
      <c r="L150" s="4"/>
      <c r="M150" s="4">
        <f>IF($L150="","",L150-K150)</f>
      </c>
      <c r="N150" s="4">
        <f>IF($L150="","",M150*16.67%)</f>
      </c>
      <c r="O150" s="4">
        <f>IF($L150="","",L150/100*11)</f>
      </c>
      <c r="P150" s="4">
        <v>8.99</v>
      </c>
      <c r="Q150" s="4">
        <f>IF($L150="","",L150*1%)</f>
      </c>
      <c r="R150" s="4"/>
      <c r="S150" s="4">
        <f>IF($L150="","",R150*20%)</f>
      </c>
      <c r="T150" s="4">
        <v>1</v>
      </c>
      <c r="U150" s="4">
        <f>IF($L150="","",M150-N150-O150-P150-Q150-R150-S150-T150)</f>
      </c>
      <c r="V150" s="4">
        <f>IF($L150="","",(U150-AB150)/K150*100)</f>
      </c>
      <c r="W150" s="4">
        <f>IF($L150="","",N150-S150)</f>
      </c>
      <c r="AC150" s="4">
        <f>IF($L150="","",U150-AB150)</f>
      </c>
    </row>
    <row r="151" spans="1:34" x14ac:dyDescent="0.25">
      <c r="A151" s="8"/>
      <c r="D151" s="9"/>
      <c r="K151" s="4"/>
      <c r="L151" s="4"/>
      <c r="M151" s="4">
        <f>IF($L151="","",L151-K151)</f>
      </c>
      <c r="N151" s="4">
        <f>IF($L151="","",M151*16.67%)</f>
      </c>
      <c r="O151" s="4">
        <f>IF($L151="","",L151/100*11)</f>
      </c>
      <c r="P151" s="4">
        <v>8.99</v>
      </c>
      <c r="Q151" s="4">
        <f>IF($L151="","",L151*1%)</f>
      </c>
      <c r="R151" s="4"/>
      <c r="S151" s="4">
        <f>IF($L151="","",R151*20%)</f>
      </c>
      <c r="T151" s="4">
        <v>1</v>
      </c>
      <c r="U151" s="4">
        <f>IF($L151="","",M151-N151-O151-P151-Q151-R151-S151-T151)</f>
      </c>
      <c r="V151" s="4">
        <f>IF($L151="","",(U151-AB151)/K151*100)</f>
      </c>
      <c r="W151" s="4">
        <f>IF($L151="","",N151-S151)</f>
      </c>
      <c r="AC151" s="4">
        <f>IF($L151="","",U151-AB151)</f>
      </c>
    </row>
    <row r="152" spans="1:34" x14ac:dyDescent="0.25">
      <c r="A152" s="8"/>
      <c r="D152" s="9"/>
      <c r="K152" s="4"/>
      <c r="L152" s="4"/>
      <c r="M152" s="4">
        <f>IF($L152="","",L152-K152)</f>
      </c>
      <c r="N152" s="4">
        <f>IF($L152="","",M152*16.67%)</f>
      </c>
      <c r="O152" s="4">
        <f>IF($L152="","",L152/100*11)</f>
      </c>
      <c r="P152" s="4">
        <v>8.99</v>
      </c>
      <c r="Q152" s="4">
        <f>IF($L152="","",L152*1%)</f>
      </c>
      <c r="R152" s="4"/>
      <c r="S152" s="4">
        <f>IF($L152="","",R152*20%)</f>
      </c>
      <c r="T152" s="4">
        <v>1</v>
      </c>
      <c r="U152" s="4">
        <f>IF($L152="","",M152-N152-O152-P152-Q152-R152-S152-T152)</f>
      </c>
      <c r="V152" s="4">
        <f>IF($L152="","",(U152-AB152)/K152*100)</f>
      </c>
      <c r="W152" s="4">
        <f>IF($L152="","",N152-S152)</f>
      </c>
      <c r="AC152" s="4">
        <f>IF($L152="","",U152-AB152)</f>
      </c>
    </row>
    <row r="153" spans="1:34" x14ac:dyDescent="0.25">
      <c r="A153" s="8"/>
      <c r="D153" s="9"/>
      <c r="K153" s="4"/>
      <c r="L153" s="4"/>
      <c r="M153" s="4">
        <f>IF($L153="","",L153-K153)</f>
      </c>
      <c r="N153" s="4">
        <f>IF($L153="","",M153*16.67%)</f>
      </c>
      <c r="O153" s="4">
        <f>IF($L153="","",L153/100*11)</f>
      </c>
      <c r="P153" s="4">
        <v>8.99</v>
      </c>
      <c r="Q153" s="4">
        <f>IF($L153="","",L153*1%)</f>
      </c>
      <c r="R153" s="4"/>
      <c r="S153" s="4">
        <f>IF($L153="","",R153*20%)</f>
      </c>
      <c r="T153" s="4">
        <v>1</v>
      </c>
      <c r="U153" s="4">
        <f>IF($L153="","",M153-N153-O153-P153-Q153-R153-S153-T153)</f>
      </c>
      <c r="V153" s="4">
        <f>IF($L153="","",(U153-AB153)/K153*100)</f>
      </c>
      <c r="W153" s="4">
        <f>IF($L153="","",N153-S153)</f>
      </c>
      <c r="AC153" s="4">
        <f>IF($L153="","",U153-AB153)</f>
      </c>
    </row>
    <row r="154" spans="1:34" x14ac:dyDescent="0.25">
      <c r="A154" s="8"/>
      <c r="D154" s="9"/>
      <c r="K154" s="4"/>
      <c r="L154" s="4"/>
      <c r="M154" s="4">
        <f>IF($L154="","",L154-K154)</f>
      </c>
      <c r="N154" s="4">
        <f>IF($L154="","",M154*16.67%)</f>
      </c>
      <c r="O154" s="4">
        <f>IF($L154="","",L154/100*11)</f>
      </c>
      <c r="P154" s="4">
        <v>8.99</v>
      </c>
      <c r="Q154" s="4">
        <f>IF($L154="","",L154*1%)</f>
      </c>
      <c r="R154" s="4"/>
      <c r="S154" s="4">
        <f>IF($L154="","",R154*20%)</f>
      </c>
      <c r="T154" s="4">
        <v>1</v>
      </c>
      <c r="U154" s="4">
        <f>IF($L154="","",M154-N154-O154-P154-Q154-R154-S154-T154)</f>
      </c>
      <c r="V154" s="4">
        <f>IF($L154="","",(U154-AB154)/K154*100)</f>
      </c>
      <c r="W154" s="4">
        <f>IF($L154="","",N154-S154)</f>
      </c>
      <c r="AC154" s="4">
        <f>IF($L154="","",U154-AB154)</f>
      </c>
    </row>
    <row r="155" spans="1:34" x14ac:dyDescent="0.25">
      <c r="A155" s="8"/>
      <c r="D155" s="9"/>
      <c r="K155" s="4"/>
      <c r="L155" s="4"/>
      <c r="M155" s="4">
        <f>IF($L155="","",L155-K155)</f>
      </c>
      <c r="N155" s="4">
        <f>IF($L155="","",M155*16.67%)</f>
      </c>
      <c r="O155" s="4">
        <f>IF($L155="","",L155/100*11)</f>
      </c>
      <c r="P155" s="4">
        <v>8.99</v>
      </c>
      <c r="Q155" s="4">
        <f>IF($L155="","",L155*1%)</f>
      </c>
      <c r="R155" s="4"/>
      <c r="S155" s="4">
        <f>IF($L155="","",R155*20%)</f>
      </c>
      <c r="T155" s="4">
        <v>1</v>
      </c>
      <c r="U155" s="4">
        <f>IF($L155="","",M155-N155-O155-P155-Q155-R155-S155-T155)</f>
      </c>
      <c r="V155" s="4">
        <f>IF($L155="","",(U155-AB155)/K155*100)</f>
      </c>
      <c r="W155" s="4">
        <f>IF($L155="","",N155-S155)</f>
      </c>
      <c r="AC155" s="4">
        <f>IF($L155="","",U155-AB155)</f>
      </c>
    </row>
    <row r="156" spans="1:34" x14ac:dyDescent="0.25">
      <c r="A156" s="8"/>
      <c r="D156" s="9"/>
      <c r="K156" s="4"/>
      <c r="L156" s="4"/>
      <c r="M156" s="4">
        <f>IF($L156="","",L156-K156)</f>
      </c>
      <c r="N156" s="4">
        <f>IF($L156="","",M156*16.67%)</f>
      </c>
      <c r="O156" s="4">
        <f>IF($L156="","",L156/100*11)</f>
      </c>
      <c r="P156" s="4">
        <v>8.99</v>
      </c>
      <c r="Q156" s="4">
        <f>IF($L156="","",L156*1%)</f>
      </c>
      <c r="R156" s="4"/>
      <c r="S156" s="4">
        <f>IF($L156="","",R156*20%)</f>
      </c>
      <c r="T156" s="4">
        <v>1</v>
      </c>
      <c r="U156" s="4">
        <f>IF($L156="","",M156-N156-O156-P156-Q156-R156-S156-T156)</f>
      </c>
      <c r="V156" s="4">
        <f>IF($L156="","",(U156-AB156)/K156*100)</f>
      </c>
      <c r="W156" s="4">
        <f>IF($L156="","",N156-S156)</f>
      </c>
      <c r="AC156" s="4">
        <f>IF($L156="","",U156-AB156)</f>
      </c>
    </row>
    <row r="157" spans="1:34" x14ac:dyDescent="0.25">
      <c r="A157" s="8"/>
      <c r="D157" s="9"/>
      <c r="K157" s="4"/>
      <c r="L157" s="4"/>
      <c r="M157" s="4">
        <f>IF($L157="","",L157-K157)</f>
      </c>
      <c r="N157" s="4">
        <f>IF($L157="","",M157*16.67%)</f>
      </c>
      <c r="O157" s="4">
        <f>IF($L157="","",L157/100*11)</f>
      </c>
      <c r="P157" s="4">
        <v>8.99</v>
      </c>
      <c r="Q157" s="4">
        <f>IF($L157="","",L157*1%)</f>
      </c>
      <c r="R157" s="4"/>
      <c r="S157" s="4">
        <f>IF($L157="","",R157*20%)</f>
      </c>
      <c r="T157" s="4">
        <v>1</v>
      </c>
      <c r="U157" s="4">
        <f>IF($L157="","",M157-N157-O157-P157-Q157-R157-S157-T157)</f>
      </c>
      <c r="V157" s="4">
        <f>IF($L157="","",(U157-AB157)/K157*100)</f>
      </c>
      <c r="W157" s="4">
        <f>IF($L157="","",N157-S157)</f>
      </c>
      <c r="AC157" s="4">
        <f>IF($L157="","",U157-AB157)</f>
      </c>
    </row>
    <row r="158" spans="1:34" x14ac:dyDescent="0.25">
      <c r="A158" s="8"/>
      <c r="D158" s="9"/>
      <c r="K158" s="4"/>
      <c r="L158" s="4"/>
      <c r="M158" s="4">
        <f>IF($L158="","",L158-K158)</f>
      </c>
      <c r="N158" s="4">
        <f>IF($L158="","",M158*16.67%)</f>
      </c>
      <c r="O158" s="4">
        <f>IF($L158="","",L158/100*11)</f>
      </c>
      <c r="P158" s="4">
        <v>8.99</v>
      </c>
      <c r="Q158" s="4">
        <f>IF($L158="","",L158*1%)</f>
      </c>
      <c r="R158" s="4"/>
      <c r="S158" s="4">
        <f>IF($L158="","",R158*20%)</f>
      </c>
      <c r="T158" s="4">
        <v>1</v>
      </c>
      <c r="U158" s="4">
        <f>IF($L158="","",M158-N158-O158-P158-Q158-R158-S158-T158)</f>
      </c>
      <c r="V158" s="4">
        <f>IF($L158="","",(U158-AB158)/K158*100)</f>
      </c>
      <c r="W158" s="4">
        <f>IF($L158="","",N158-S158)</f>
      </c>
      <c r="AC158" s="4">
        <f>IF($L158="","",U158-AB158)</f>
      </c>
    </row>
    <row r="159" spans="1:34" x14ac:dyDescent="0.25">
      <c r="A159" s="8"/>
      <c r="D159" s="9"/>
      <c r="K159" s="4"/>
      <c r="L159" s="4"/>
      <c r="M159" s="4">
        <f>IF($L159="","",L159-K159)</f>
      </c>
      <c r="N159" s="4">
        <f>IF($L159="","",M159*16.67%)</f>
      </c>
      <c r="O159" s="4">
        <f>IF($L159="","",L159/100*11)</f>
      </c>
      <c r="P159" s="4">
        <v>8.99</v>
      </c>
      <c r="Q159" s="4">
        <f>IF($L159="","",L159*1%)</f>
      </c>
      <c r="R159" s="4"/>
      <c r="S159" s="4">
        <f>IF($L159="","",R159*20%)</f>
      </c>
      <c r="T159" s="4">
        <v>1</v>
      </c>
      <c r="U159" s="4">
        <f>IF($L159="","",M159-N159-O159-P159-Q159-R159-S159-T159)</f>
      </c>
      <c r="V159" s="4">
        <f>IF($L159="","",(U159-AB159)/K159*100)</f>
      </c>
      <c r="W159" s="4">
        <f>IF($L159="","",N159-S159)</f>
      </c>
      <c r="AC159" s="4">
        <f>IF($L159="","",U159-AB159)</f>
      </c>
    </row>
    <row r="160" spans="1:34" x14ac:dyDescent="0.25">
      <c r="A160" s="8"/>
      <c r="D160" s="9"/>
      <c r="K160" s="4"/>
      <c r="L160" s="4"/>
      <c r="M160" s="4">
        <f>IF($L160="","",L160-K160)</f>
      </c>
      <c r="N160" s="4">
        <f>IF($L160="","",M160*16.67%)</f>
      </c>
      <c r="O160" s="4">
        <f>IF($L160="","",L160/100*11)</f>
      </c>
      <c r="P160" s="4">
        <v>8.99</v>
      </c>
      <c r="Q160" s="4">
        <f>IF($L160="","",L160*1%)</f>
      </c>
      <c r="R160" s="4"/>
      <c r="S160" s="4">
        <f>IF($L160="","",R160*20%)</f>
      </c>
      <c r="T160" s="4">
        <v>1</v>
      </c>
      <c r="U160" s="4">
        <f>IF($L160="","",M160-N160-O160-P160-Q160-R160-S160-T160)</f>
      </c>
      <c r="V160" s="4">
        <f>IF($L160="","",(U160-AB160)/K160*100)</f>
      </c>
      <c r="W160" s="4">
        <f>IF($L160="","",N160-S160)</f>
      </c>
      <c r="AC160" s="4">
        <f>IF($L160="","",U160-AB160)</f>
      </c>
    </row>
    <row r="161" spans="1:34" x14ac:dyDescent="0.25">
      <c r="A161" s="8"/>
      <c r="D161" s="9"/>
      <c r="K161" s="4"/>
      <c r="L161" s="4"/>
      <c r="M161" s="4">
        <f>IF($L161="","",L161-K161)</f>
      </c>
      <c r="N161" s="4">
        <f>IF($L161="","",M161*16.67%)</f>
      </c>
      <c r="O161" s="4">
        <f>IF($L161="","",L161/100*11)</f>
      </c>
      <c r="P161" s="4">
        <v>8.99</v>
      </c>
      <c r="Q161" s="4">
        <f>IF($L161="","",L161*1%)</f>
      </c>
      <c r="R161" s="4"/>
      <c r="S161" s="4">
        <f>IF($L161="","",R161*20%)</f>
      </c>
      <c r="T161" s="4">
        <v>1</v>
      </c>
      <c r="U161" s="4">
        <f>IF($L161="","",M161-N161-O161-P161-Q161-R161-S161-T161)</f>
      </c>
      <c r="V161" s="4">
        <f>IF($L161="","",(U161-AB161)/K161*100)</f>
      </c>
      <c r="W161" s="4">
        <f>IF($L161="","",N161-S161)</f>
      </c>
      <c r="AC161" s="4">
        <f>IF($L161="","",U161-AB161)</f>
      </c>
    </row>
    <row r="162" spans="1:34" x14ac:dyDescent="0.25">
      <c r="A162" s="8"/>
      <c r="D162" s="9"/>
      <c r="K162" s="4"/>
      <c r="L162" s="4"/>
      <c r="M162" s="4">
        <f>IF($L162="","",L162-K162)</f>
      </c>
      <c r="N162" s="4">
        <f>IF($L162="","",M162*16.67%)</f>
      </c>
      <c r="O162" s="4">
        <f>IF($L162="","",L162/100*11)</f>
      </c>
      <c r="P162" s="4">
        <v>8.99</v>
      </c>
      <c r="Q162" s="4">
        <f>IF($L162="","",L162*1%)</f>
      </c>
      <c r="R162" s="4"/>
      <c r="S162" s="4">
        <f>IF($L162="","",R162*20%)</f>
      </c>
      <c r="T162" s="4">
        <v>1</v>
      </c>
      <c r="U162" s="4">
        <f>IF($L162="","",M162-N162-O162-P162-Q162-R162-S162-T162)</f>
      </c>
      <c r="V162" s="4">
        <f>IF($L162="","",(U162-AB162)/K162*100)</f>
      </c>
      <c r="W162" s="4">
        <f>IF($L162="","",N162-S162)</f>
      </c>
      <c r="AC162" s="4">
        <f>IF($L162="","",U162-AB162)</f>
      </c>
    </row>
    <row r="163" spans="1:34" x14ac:dyDescent="0.25">
      <c r="A163" s="8"/>
      <c r="D163" s="9"/>
      <c r="K163" s="4"/>
      <c r="L163" s="4"/>
      <c r="M163" s="4">
        <f>IF($L163="","",L163-K163)</f>
      </c>
      <c r="N163" s="4">
        <f>IF($L163="","",M163*16.67%)</f>
      </c>
      <c r="O163" s="4">
        <f>IF($L163="","",L163/100*11)</f>
      </c>
      <c r="P163" s="4">
        <v>8.99</v>
      </c>
      <c r="Q163" s="4">
        <f>IF($L163="","",L163*1%)</f>
      </c>
      <c r="R163" s="4"/>
      <c r="S163" s="4">
        <f>IF($L163="","",R163*20%)</f>
      </c>
      <c r="T163" s="4">
        <v>1</v>
      </c>
      <c r="U163" s="4">
        <f>IF($L163="","",M163-N163-O163-P163-Q163-R163-S163-T163)</f>
      </c>
      <c r="V163" s="4">
        <f>IF($L163="","",(U163-AB163)/K163*100)</f>
      </c>
      <c r="W163" s="4">
        <f>IF($L163="","",N163-S163)</f>
      </c>
      <c r="AC163" s="4">
        <f>IF($L163="","",U163-AB163)</f>
      </c>
    </row>
    <row r="164" spans="1:34" x14ac:dyDescent="0.25">
      <c r="A164" s="8"/>
      <c r="D164" s="9"/>
      <c r="K164" s="4"/>
      <c r="L164" s="4"/>
      <c r="M164" s="4">
        <f>IF($L164="","",L164-K164)</f>
      </c>
      <c r="N164" s="4">
        <f>IF($L164="","",M164*16.67%)</f>
      </c>
      <c r="O164" s="4">
        <f>IF($L164="","",L164/100*11)</f>
      </c>
      <c r="P164" s="4">
        <v>8.99</v>
      </c>
      <c r="Q164" s="4">
        <f>IF($L164="","",L164*1%)</f>
      </c>
      <c r="R164" s="4"/>
      <c r="S164" s="4">
        <f>IF($L164="","",R164*20%)</f>
      </c>
      <c r="T164" s="4">
        <v>1</v>
      </c>
      <c r="U164" s="4">
        <f>IF($L164="","",M164-N164-O164-P164-Q164-R164-S164-T164)</f>
      </c>
      <c r="V164" s="4">
        <f>IF($L164="","",(U164-AB164)/K164*100)</f>
      </c>
      <c r="W164" s="4">
        <f>IF($L164="","",N164-S164)</f>
      </c>
      <c r="AC164" s="4">
        <f>IF($L164="","",U164-AB164)</f>
      </c>
    </row>
    <row r="165" spans="1:34" x14ac:dyDescent="0.25">
      <c r="A165" s="8"/>
      <c r="D165" s="9"/>
      <c r="K165" s="4"/>
      <c r="L165" s="4"/>
      <c r="M165" s="4">
        <f>IF($L165="","",L165-K165)</f>
      </c>
      <c r="N165" s="4">
        <f>IF($L165="","",M165*16.67%)</f>
      </c>
      <c r="O165" s="4">
        <f>IF($L165="","",L165/100*11)</f>
      </c>
      <c r="P165" s="4">
        <v>8.99</v>
      </c>
      <c r="Q165" s="4">
        <f>IF($L165="","",L165*1%)</f>
      </c>
      <c r="R165" s="4"/>
      <c r="S165" s="4">
        <f>IF($L165="","",R165*20%)</f>
      </c>
      <c r="T165" s="4">
        <v>1</v>
      </c>
      <c r="U165" s="4">
        <f>IF($L165="","",M165-N165-O165-P165-Q165-R165-S165-T165)</f>
      </c>
      <c r="V165" s="4">
        <f>IF($L165="","",(U165-AB165)/K165*100)</f>
      </c>
      <c r="W165" s="4">
        <f>IF($L165="","",N165-S165)</f>
      </c>
      <c r="AC165" s="4">
        <f>IF($L165="","",U165-AB165)</f>
      </c>
    </row>
    <row r="166" spans="1:34" x14ac:dyDescent="0.25">
      <c r="A166" s="8"/>
      <c r="D166" s="9"/>
      <c r="K166" s="4"/>
      <c r="L166" s="4"/>
      <c r="M166" s="4">
        <f>IF($L166="","",L166-K166)</f>
      </c>
      <c r="N166" s="4">
        <f>IF($L166="","",M166*16.67%)</f>
      </c>
      <c r="O166" s="4">
        <f>IF($L166="","",L166/100*11)</f>
      </c>
      <c r="P166" s="4">
        <v>8.99</v>
      </c>
      <c r="Q166" s="4">
        <f>IF($L166="","",L166*1%)</f>
      </c>
      <c r="R166" s="4"/>
      <c r="S166" s="4">
        <f>IF($L166="","",R166*20%)</f>
      </c>
      <c r="T166" s="4">
        <v>1</v>
      </c>
      <c r="U166" s="4">
        <f>IF($L166="","",M166-N166-O166-P166-Q166-R166-S166-T166)</f>
      </c>
      <c r="V166" s="4">
        <f>IF($L166="","",(U166-AB166)/K166*100)</f>
      </c>
      <c r="W166" s="4">
        <f>IF($L166="","",N166-S166)</f>
      </c>
      <c r="AC166" s="4">
        <f>IF($L166="","",U166-AB166)</f>
      </c>
    </row>
    <row r="167" spans="1:34" x14ac:dyDescent="0.25">
      <c r="A167" s="8"/>
      <c r="D167" s="9"/>
      <c r="K167" s="4"/>
      <c r="L167" s="4"/>
      <c r="M167" s="4">
        <f>IF($L167="","",L167-K167)</f>
      </c>
      <c r="N167" s="4">
        <f>IF($L167="","",M167*16.67%)</f>
      </c>
      <c r="O167" s="4">
        <f>IF($L167="","",L167/100*11)</f>
      </c>
      <c r="P167" s="4">
        <v>8.99</v>
      </c>
      <c r="Q167" s="4">
        <f>IF($L167="","",L167*1%)</f>
      </c>
      <c r="R167" s="4"/>
      <c r="S167" s="4">
        <f>IF($L167="","",R167*20%)</f>
      </c>
      <c r="T167" s="4">
        <v>1</v>
      </c>
      <c r="U167" s="4">
        <f>IF($L167="","",M167-N167-O167-P167-Q167-R167-S167-T167)</f>
      </c>
      <c r="V167" s="4">
        <f>IF($L167="","",(U167-AB167)/K167*100)</f>
      </c>
      <c r="W167" s="4">
        <f>IF($L167="","",N167-S167)</f>
      </c>
      <c r="AC167" s="4">
        <f>IF($L167="","",U167-AB167)</f>
      </c>
    </row>
    <row r="168" spans="1:34" x14ac:dyDescent="0.25">
      <c r="A168" s="8"/>
      <c r="D168" s="9"/>
      <c r="K168" s="4"/>
      <c r="L168" s="4"/>
      <c r="M168" s="4">
        <f>IF($L168="","",L168-K168)</f>
      </c>
      <c r="N168" s="4">
        <f>IF($L168="","",M168*16.67%)</f>
      </c>
      <c r="O168" s="4">
        <f>IF($L168="","",L168/100*11)</f>
      </c>
      <c r="P168" s="4">
        <v>8.99</v>
      </c>
      <c r="Q168" s="4">
        <f>IF($L168="","",L168*1%)</f>
      </c>
      <c r="R168" s="4"/>
      <c r="S168" s="4">
        <f>IF($L168="","",R168*20%)</f>
      </c>
      <c r="T168" s="4">
        <v>1</v>
      </c>
      <c r="U168" s="4">
        <f>IF($L168="","",M168-N168-O168-P168-Q168-R168-S168-T168)</f>
      </c>
      <c r="V168" s="4">
        <f>IF($L168="","",(U168-AB168)/K168*100)</f>
      </c>
      <c r="W168" s="4">
        <f>IF($L168="","",N168-S168)</f>
      </c>
      <c r="AC168" s="4">
        <f>IF($L168="","",U168-AB168)</f>
      </c>
    </row>
    <row r="169" spans="1:34" x14ac:dyDescent="0.25">
      <c r="A169" s="8"/>
      <c r="D169" s="9"/>
      <c r="K169" s="4"/>
      <c r="L169" s="4"/>
      <c r="M169" s="4">
        <f>IF($L169="","",L169-K169)</f>
      </c>
      <c r="N169" s="4">
        <f>IF($L169="","",M169*16.67%)</f>
      </c>
      <c r="O169" s="4">
        <f>IF($L169="","",L169/100*11)</f>
      </c>
      <c r="P169" s="4">
        <v>8.99</v>
      </c>
      <c r="Q169" s="4">
        <f>IF($L169="","",L169*1%)</f>
      </c>
      <c r="R169" s="4"/>
      <c r="S169" s="4">
        <f>IF($L169="","",R169*20%)</f>
      </c>
      <c r="T169" s="4">
        <v>1</v>
      </c>
      <c r="U169" s="4">
        <f>IF($L169="","",M169-N169-O169-P169-Q169-R169-S169-T169)</f>
      </c>
      <c r="V169" s="4">
        <f>IF($L169="","",(U169-AB169)/K169*100)</f>
      </c>
      <c r="W169" s="4">
        <f>IF($L169="","",N169-S169)</f>
      </c>
      <c r="AC169" s="4">
        <f>IF($L169="","",U169-AB169)</f>
      </c>
    </row>
    <row r="170" spans="1:34" x14ac:dyDescent="0.25">
      <c r="A170" s="8"/>
      <c r="D170" s="9"/>
      <c r="K170" s="4"/>
      <c r="L170" s="4"/>
      <c r="M170" s="4">
        <f>IF($L170="","",L170-K170)</f>
      </c>
      <c r="N170" s="4">
        <f>IF($L170="","",M170*16.67%)</f>
      </c>
      <c r="O170" s="4">
        <f>IF($L170="","",L170/100*11)</f>
      </c>
      <c r="P170" s="4">
        <v>8.99</v>
      </c>
      <c r="Q170" s="4">
        <f>IF($L170="","",L170*1%)</f>
      </c>
      <c r="R170" s="4"/>
      <c r="S170" s="4">
        <f>IF($L170="","",R170*20%)</f>
      </c>
      <c r="T170" s="4">
        <v>1</v>
      </c>
      <c r="U170" s="4">
        <f>IF($L170="","",M170-N170-O170-P170-Q170-R170-S170-T170)</f>
      </c>
      <c r="V170" s="4">
        <f>IF($L170="","",(U170-AB170)/K170*100)</f>
      </c>
      <c r="W170" s="4">
        <f>IF($L170="","",N170-S170)</f>
      </c>
      <c r="AC170" s="4">
        <f>IF($L170="","",U170-AB170)</f>
      </c>
    </row>
    <row r="171" spans="1:34" x14ac:dyDescent="0.25">
      <c r="A171" s="8"/>
      <c r="D171" s="9"/>
      <c r="K171" s="4"/>
      <c r="L171" s="4"/>
      <c r="M171" s="4">
        <f>IF($L171="","",L171-K171)</f>
      </c>
      <c r="N171" s="4">
        <f>IF($L171="","",M171*16.67%)</f>
      </c>
      <c r="O171" s="4">
        <f>IF($L171="","",L171/100*11)</f>
      </c>
      <c r="P171" s="4">
        <v>8.99</v>
      </c>
      <c r="Q171" s="4">
        <f>IF($L171="","",L171*1%)</f>
      </c>
      <c r="R171" s="4"/>
      <c r="S171" s="4">
        <f>IF($L171="","",R171*20%)</f>
      </c>
      <c r="T171" s="4">
        <v>1</v>
      </c>
      <c r="U171" s="4">
        <f>IF($L171="","",M171-N171-O171-P171-Q171-R171-S171-T171)</f>
      </c>
      <c r="V171" s="4">
        <f>IF($L171="","",(U171-AB171)/K171*100)</f>
      </c>
      <c r="W171" s="4">
        <f>IF($L171="","",N171-S171)</f>
      </c>
      <c r="AC171" s="4">
        <f>IF($L171="","",U171-AB171)</f>
      </c>
    </row>
    <row r="172" spans="1:34" x14ac:dyDescent="0.25">
      <c r="A172" s="8"/>
      <c r="D172" s="9"/>
      <c r="K172" s="4"/>
      <c r="L172" s="4"/>
      <c r="M172" s="4">
        <f>IF($L172="","",L172-K172)</f>
      </c>
      <c r="N172" s="4">
        <f>IF($L172="","",M172*16.67%)</f>
      </c>
      <c r="O172" s="4">
        <f>IF($L172="","",L172/100*11)</f>
      </c>
      <c r="P172" s="4">
        <v>8.99</v>
      </c>
      <c r="Q172" s="4">
        <f>IF($L172="","",L172*1%)</f>
      </c>
      <c r="R172" s="4"/>
      <c r="S172" s="4">
        <f>IF($L172="","",R172*20%)</f>
      </c>
      <c r="T172" s="4">
        <v>1</v>
      </c>
      <c r="U172" s="4">
        <f>IF($L172="","",M172-N172-O172-P172-Q172-R172-S172-T172)</f>
      </c>
      <c r="V172" s="4">
        <f>IF($L172="","",(U172-AB172)/K172*100)</f>
      </c>
      <c r="W172" s="4">
        <f>IF($L172="","",N172-S172)</f>
      </c>
      <c r="AC172" s="4">
        <f>IF($L172="","",U172-AB172)</f>
      </c>
    </row>
    <row r="173" spans="1:34" x14ac:dyDescent="0.25">
      <c r="A173" s="8"/>
      <c r="D173" s="9"/>
      <c r="K173" s="4"/>
      <c r="L173" s="4"/>
      <c r="M173" s="4">
        <f>IF($L173="","",L173-K173)</f>
      </c>
      <c r="N173" s="4">
        <f>IF($L173="","",M173*16.67%)</f>
      </c>
      <c r="O173" s="4">
        <f>IF($L173="","",L173/100*11)</f>
      </c>
      <c r="P173" s="4">
        <v>8.99</v>
      </c>
      <c r="Q173" s="4">
        <f>IF($L173="","",L173*1%)</f>
      </c>
      <c r="R173" s="4"/>
      <c r="S173" s="4">
        <f>IF($L173="","",R173*20%)</f>
      </c>
      <c r="T173" s="4">
        <v>1</v>
      </c>
      <c r="U173" s="4">
        <f>IF($L173="","",M173-N173-O173-P173-Q173-R173-S173-T173)</f>
      </c>
      <c r="V173" s="4">
        <f>IF($L173="","",(U173-AB173)/K173*100)</f>
      </c>
      <c r="W173" s="4">
        <f>IF($L173="","",N173-S173)</f>
      </c>
      <c r="AC173" s="4">
        <f>IF($L173="","",U173-AB173)</f>
      </c>
    </row>
    <row r="174" spans="1:34" x14ac:dyDescent="0.25">
      <c r="A174" s="8"/>
      <c r="D174" s="9"/>
      <c r="K174" s="4"/>
      <c r="L174" s="4"/>
      <c r="M174" s="4">
        <f>IF($L174="","",L174-K174)</f>
      </c>
      <c r="N174" s="4">
        <f>IF($L174="","",M174*16.67%)</f>
      </c>
      <c r="O174" s="4">
        <f>IF($L174="","",L174/100*11)</f>
      </c>
      <c r="P174" s="4">
        <v>8.99</v>
      </c>
      <c r="Q174" s="4">
        <f>IF($L174="","",L174*1%)</f>
      </c>
      <c r="R174" s="4"/>
      <c r="S174" s="4">
        <f>IF($L174="","",R174*20%)</f>
      </c>
      <c r="T174" s="4">
        <v>1</v>
      </c>
      <c r="U174" s="4">
        <f>IF($L174="","",M174-N174-O174-P174-Q174-R174-S174-T174)</f>
      </c>
      <c r="V174" s="4">
        <f>IF($L174="","",(U174-AB174)/K174*100)</f>
      </c>
      <c r="W174" s="4">
        <f>IF($L174="","",N174-S174)</f>
      </c>
      <c r="AC174" s="4">
        <f>IF($L174="","",U174-AB174)</f>
      </c>
    </row>
    <row r="175" spans="1:34" x14ac:dyDescent="0.25">
      <c r="A175" s="8"/>
      <c r="D175" s="9"/>
      <c r="K175" s="4"/>
      <c r="L175" s="4"/>
      <c r="M175" s="4">
        <f>IF($L175="","",L175-K175)</f>
      </c>
      <c r="N175" s="4">
        <f>IF($L175="","",M175*16.67%)</f>
      </c>
      <c r="O175" s="4">
        <f>IF($L175="","",L175/100*11)</f>
      </c>
      <c r="P175" s="4">
        <v>8.99</v>
      </c>
      <c r="Q175" s="4">
        <f>IF($L175="","",L175*1%)</f>
      </c>
      <c r="R175" s="4"/>
      <c r="S175" s="4">
        <f>IF($L175="","",R175*20%)</f>
      </c>
      <c r="T175" s="4">
        <v>1</v>
      </c>
      <c r="U175" s="4">
        <f>IF($L175="","",M175-N175-O175-P175-Q175-R175-S175-T175)</f>
      </c>
      <c r="V175" s="4">
        <f>IF($L175="","",(U175-AB175)/K175*100)</f>
      </c>
      <c r="W175" s="4">
        <f>IF($L175="","",N175-S175)</f>
      </c>
      <c r="AC175" s="4">
        <f>IF($L175="","",U175-AB175)</f>
      </c>
    </row>
    <row r="176" spans="1:34" x14ac:dyDescent="0.25">
      <c r="A176" s="8"/>
      <c r="D176" s="9"/>
      <c r="K176" s="4"/>
      <c r="L176" s="4"/>
      <c r="M176" s="4">
        <f>IF($L176="","",L176-K176)</f>
      </c>
      <c r="N176" s="4">
        <f>IF($L176="","",M176*16.67%)</f>
      </c>
      <c r="O176" s="4">
        <f>IF($L176="","",L176/100*11)</f>
      </c>
      <c r="P176" s="4">
        <v>8.99</v>
      </c>
      <c r="Q176" s="4">
        <f>IF($L176="","",L176*1%)</f>
      </c>
      <c r="R176" s="4"/>
      <c r="S176" s="4">
        <f>IF($L176="","",R176*20%)</f>
      </c>
      <c r="T176" s="4">
        <v>1</v>
      </c>
      <c r="U176" s="4">
        <f>IF($L176="","",M176-N176-O176-P176-Q176-R176-S176-T176)</f>
      </c>
      <c r="V176" s="4">
        <f>IF($L176="","",(U176-AB176)/K176*100)</f>
      </c>
      <c r="W176" s="4">
        <f>IF($L176="","",N176-S176)</f>
      </c>
      <c r="AC176" s="4">
        <f>IF($L176="","",U176-AB176)</f>
      </c>
    </row>
    <row r="177" spans="1:34" x14ac:dyDescent="0.25">
      <c r="A177" s="8"/>
      <c r="D177" s="9"/>
      <c r="K177" s="4"/>
      <c r="L177" s="4"/>
      <c r="M177" s="4">
        <f>IF($L177="","",L177-K177)</f>
      </c>
      <c r="N177" s="4">
        <f>IF($L177="","",M177*16.67%)</f>
      </c>
      <c r="O177" s="4">
        <f>IF($L177="","",L177/100*11)</f>
      </c>
      <c r="P177" s="4">
        <v>8.99</v>
      </c>
      <c r="Q177" s="4">
        <f>IF($L177="","",L177*1%)</f>
      </c>
      <c r="R177" s="4"/>
      <c r="S177" s="4">
        <f>IF($L177="","",R177*20%)</f>
      </c>
      <c r="T177" s="4">
        <v>1</v>
      </c>
      <c r="U177" s="4">
        <f>IF($L177="","",M177-N177-O177-P177-Q177-R177-S177-T177)</f>
      </c>
      <c r="V177" s="4">
        <f>IF($L177="","",(U177-AB177)/K177*100)</f>
      </c>
      <c r="W177" s="4">
        <f>IF($L177="","",N177-S177)</f>
      </c>
      <c r="AC177" s="4">
        <f>IF($L177="","",U177-AB177)</f>
      </c>
    </row>
    <row r="178" spans="1:34" x14ac:dyDescent="0.25">
      <c r="A178" s="8"/>
      <c r="D178" s="9"/>
      <c r="K178" s="4"/>
      <c r="L178" s="4"/>
      <c r="M178" s="4">
        <f>IF($L178="","",L178-K178)</f>
      </c>
      <c r="N178" s="4">
        <f>IF($L178="","",M178*16.67%)</f>
      </c>
      <c r="O178" s="4">
        <f>IF($L178="","",L178/100*11)</f>
      </c>
      <c r="P178" s="4">
        <v>8.99</v>
      </c>
      <c r="Q178" s="4">
        <f>IF($L178="","",L178*1%)</f>
      </c>
      <c r="R178" s="4"/>
      <c r="S178" s="4">
        <f>IF($L178="","",R178*20%)</f>
      </c>
      <c r="T178" s="4">
        <v>1</v>
      </c>
      <c r="U178" s="4">
        <f>IF($L178="","",M178-N178-O178-P178-Q178-R178-S178-T178)</f>
      </c>
      <c r="V178" s="4">
        <f>IF($L178="","",(U178-AB178)/K178*100)</f>
      </c>
      <c r="W178" s="4">
        <f>IF($L178="","",N178-S178)</f>
      </c>
      <c r="AC178" s="4">
        <f>IF($L178="","",U178-AB178)</f>
      </c>
    </row>
    <row r="179" spans="1:34" x14ac:dyDescent="0.25">
      <c r="A179" s="8"/>
      <c r="D179" s="9"/>
      <c r="K179" s="4"/>
      <c r="L179" s="4"/>
      <c r="M179" s="4">
        <f>IF($L179="","",L179-K179)</f>
      </c>
      <c r="N179" s="4">
        <f>IF($L179="","",M179*16.67%)</f>
      </c>
      <c r="O179" s="4">
        <f>IF($L179="","",L179/100*11)</f>
      </c>
      <c r="P179" s="4">
        <v>8.99</v>
      </c>
      <c r="Q179" s="4">
        <f>IF($L179="","",L179*1%)</f>
      </c>
      <c r="R179" s="4"/>
      <c r="S179" s="4">
        <f>IF($L179="","",R179*20%)</f>
      </c>
      <c r="T179" s="4">
        <v>1</v>
      </c>
      <c r="U179" s="4">
        <f>IF($L179="","",M179-N179-O179-P179-Q179-R179-S179-T179)</f>
      </c>
      <c r="V179" s="4">
        <f>IF($L179="","",(U179-AB179)/K179*100)</f>
      </c>
      <c r="W179" s="4">
        <f>IF($L179="","",N179-S179)</f>
      </c>
      <c r="AC179" s="4">
        <f>IF($L179="","",U179-AB179)</f>
      </c>
    </row>
    <row r="180" spans="1:34" x14ac:dyDescent="0.25">
      <c r="A180" s="8"/>
      <c r="D180" s="9"/>
      <c r="K180" s="4"/>
      <c r="L180" s="4"/>
      <c r="M180" s="4">
        <f>IF($L180="","",L180-K180)</f>
      </c>
      <c r="N180" s="4">
        <f>IF($L180="","",M180*16.67%)</f>
      </c>
      <c r="O180" s="4">
        <f>IF($L180="","",L180/100*11)</f>
      </c>
      <c r="P180" s="4">
        <v>8.99</v>
      </c>
      <c r="Q180" s="4">
        <f>IF($L180="","",L180*1%)</f>
      </c>
      <c r="R180" s="4"/>
      <c r="S180" s="4">
        <f>IF($L180="","",R180*20%)</f>
      </c>
      <c r="T180" s="4">
        <v>1</v>
      </c>
      <c r="U180" s="4">
        <f>IF($L180="","",M180-N180-O180-P180-Q180-R180-S180-T180)</f>
      </c>
      <c r="V180" s="4">
        <f>IF($L180="","",(U180-AB180)/K180*100)</f>
      </c>
      <c r="W180" s="4">
        <f>IF($L180="","",N180-S180)</f>
      </c>
      <c r="AC180" s="4">
        <f>IF($L180="","",U180-AB180)</f>
      </c>
    </row>
    <row r="181" spans="1:34" x14ac:dyDescent="0.25">
      <c r="A181" s="8"/>
      <c r="D181" s="9"/>
      <c r="K181" s="4"/>
      <c r="L181" s="4"/>
      <c r="M181" s="4">
        <f>IF($L181="","",L181-K181)</f>
      </c>
      <c r="N181" s="4">
        <f>IF($L181="","",M181*16.67%)</f>
      </c>
      <c r="O181" s="4">
        <f>IF($L181="","",L181/100*11)</f>
      </c>
      <c r="P181" s="4">
        <v>8.99</v>
      </c>
      <c r="Q181" s="4">
        <f>IF($L181="","",L181*1%)</f>
      </c>
      <c r="R181" s="4"/>
      <c r="S181" s="4">
        <f>IF($L181="","",R181*20%)</f>
      </c>
      <c r="T181" s="4">
        <v>1</v>
      </c>
      <c r="U181" s="4">
        <f>IF($L181="","",M181-N181-O181-P181-Q181-R181-S181-T181)</f>
      </c>
      <c r="V181" s="4">
        <f>IF($L181="","",(U181-AB181)/K181*100)</f>
      </c>
      <c r="W181" s="4">
        <f>IF($L181="","",N181-S181)</f>
      </c>
      <c r="AC181" s="4">
        <f>IF($L181="","",U181-AB181)</f>
      </c>
    </row>
    <row r="182" spans="1:34" x14ac:dyDescent="0.25">
      <c r="A182" s="8"/>
      <c r="D182" s="9"/>
      <c r="K182" s="4"/>
      <c r="L182" s="4"/>
      <c r="M182" s="4">
        <f>IF($L182="","",L182-K182)</f>
      </c>
      <c r="N182" s="4">
        <f>IF($L182="","",M182*16.67%)</f>
      </c>
      <c r="O182" s="4">
        <f>IF($L182="","",L182/100*11)</f>
      </c>
      <c r="P182" s="4">
        <v>8.99</v>
      </c>
      <c r="Q182" s="4">
        <f>IF($L182="","",L182*1%)</f>
      </c>
      <c r="R182" s="4"/>
      <c r="S182" s="4">
        <f>IF($L182="","",R182*20%)</f>
      </c>
      <c r="T182" s="4">
        <v>1</v>
      </c>
      <c r="U182" s="4">
        <f>IF($L182="","",M182-N182-O182-P182-Q182-R182-S182-T182)</f>
      </c>
      <c r="V182" s="4">
        <f>IF($L182="","",(U182-AB182)/K182*100)</f>
      </c>
      <c r="W182" s="4">
        <f>IF($L182="","",N182-S182)</f>
      </c>
      <c r="AC182" s="4">
        <f>IF($L182="","",U182-AB182)</f>
      </c>
    </row>
    <row r="183" spans="1:34" x14ac:dyDescent="0.25">
      <c r="A183" s="8"/>
      <c r="D183" s="9"/>
      <c r="K183" s="4"/>
      <c r="L183" s="4"/>
      <c r="M183" s="4">
        <f>IF($L183="","",L183-K183)</f>
      </c>
      <c r="N183" s="4">
        <f>IF($L183="","",M183*16.67%)</f>
      </c>
      <c r="O183" s="4">
        <f>IF($L183="","",L183/100*11)</f>
      </c>
      <c r="P183" s="4">
        <v>8.99</v>
      </c>
      <c r="Q183" s="4">
        <f>IF($L183="","",L183*1%)</f>
      </c>
      <c r="R183" s="4"/>
      <c r="S183" s="4">
        <f>IF($L183="","",R183*20%)</f>
      </c>
      <c r="T183" s="4">
        <v>1</v>
      </c>
      <c r="U183" s="4">
        <f>IF($L183="","",M183-N183-O183-P183-Q183-R183-S183-T183)</f>
      </c>
      <c r="V183" s="4">
        <f>IF($L183="","",(U183-AB183)/K183*100)</f>
      </c>
      <c r="W183" s="4">
        <f>IF($L183="","",N183-S183)</f>
      </c>
      <c r="AC183" s="4">
        <f>IF($L183="","",U183-AB183)</f>
      </c>
    </row>
    <row r="184" spans="1:34" x14ac:dyDescent="0.25">
      <c r="A184" s="8"/>
      <c r="D184" s="9"/>
      <c r="K184" s="4"/>
      <c r="L184" s="4"/>
      <c r="M184" s="4">
        <f>IF($L184="","",L184-K184)</f>
      </c>
      <c r="N184" s="4">
        <f>IF($L184="","",M184*16.67%)</f>
      </c>
      <c r="O184" s="4">
        <f>IF($L184="","",L184/100*11)</f>
      </c>
      <c r="P184" s="4">
        <v>8.99</v>
      </c>
      <c r="Q184" s="4">
        <f>IF($L184="","",L184*1%)</f>
      </c>
      <c r="R184" s="4"/>
      <c r="S184" s="4">
        <f>IF($L184="","",R184*20%)</f>
      </c>
      <c r="T184" s="4">
        <v>1</v>
      </c>
      <c r="U184" s="4">
        <f>IF($L184="","",M184-N184-O184-P184-Q184-R184-S184-T184)</f>
      </c>
      <c r="V184" s="4">
        <f>IF($L184="","",(U184-AB184)/K184*100)</f>
      </c>
      <c r="W184" s="4">
        <f>IF($L184="","",N184-S184)</f>
      </c>
      <c r="AC184" s="4">
        <f>IF($L184="","",U184-AB184)</f>
      </c>
    </row>
    <row r="185" spans="1:34" x14ac:dyDescent="0.25">
      <c r="A185" s="8"/>
      <c r="D185" s="9"/>
      <c r="K185" s="4"/>
      <c r="L185" s="4"/>
      <c r="M185" s="4">
        <f>IF($L185="","",L185-K185)</f>
      </c>
      <c r="N185" s="4">
        <f>IF($L185="","",M185*16.67%)</f>
      </c>
      <c r="O185" s="4">
        <f>IF($L185="","",L185/100*11)</f>
      </c>
      <c r="P185" s="4">
        <v>8.99</v>
      </c>
      <c r="Q185" s="4">
        <f>IF($L185="","",L185*1%)</f>
      </c>
      <c r="R185" s="4"/>
      <c r="S185" s="4">
        <f>IF($L185="","",R185*20%)</f>
      </c>
      <c r="T185" s="4">
        <v>1</v>
      </c>
      <c r="U185" s="4">
        <f>IF($L185="","",M185-N185-O185-P185-Q185-R185-S185-T185)</f>
      </c>
      <c r="V185" s="4">
        <f>IF($L185="","",(U185-AB185)/K185*100)</f>
      </c>
      <c r="W185" s="4">
        <f>IF($L185="","",N185-S185)</f>
      </c>
      <c r="AC185" s="4">
        <f>IF($L185="","",U185-AB185)</f>
      </c>
    </row>
    <row r="186" spans="1:34" x14ac:dyDescent="0.25">
      <c r="A186" s="8"/>
      <c r="D186" s="9"/>
      <c r="K186" s="4"/>
      <c r="L186" s="4"/>
      <c r="M186" s="4">
        <f>IF($L186="","",L186-K186)</f>
      </c>
      <c r="N186" s="4">
        <f>IF($L186="","",M186*16.67%)</f>
      </c>
      <c r="O186" s="4">
        <f>IF($L186="","",L186/100*11)</f>
      </c>
      <c r="P186" s="4">
        <v>8.99</v>
      </c>
      <c r="Q186" s="4">
        <f>IF($L186="","",L186*1%)</f>
      </c>
      <c r="R186" s="4"/>
      <c r="S186" s="4">
        <f>IF($L186="","",R186*20%)</f>
      </c>
      <c r="T186" s="4">
        <v>1</v>
      </c>
      <c r="U186" s="4">
        <f>IF($L186="","",M186-N186-O186-P186-Q186-R186-S186-T186)</f>
      </c>
      <c r="V186" s="4">
        <f>IF($L186="","",(U186-AB186)/K186*100)</f>
      </c>
      <c r="W186" s="4">
        <f>IF($L186="","",N186-S186)</f>
      </c>
      <c r="AC186" s="4">
        <f>IF($L186="","",U186-AB186)</f>
      </c>
    </row>
    <row r="187" spans="1:34" x14ac:dyDescent="0.25">
      <c r="A187" s="8"/>
      <c r="D187" s="9"/>
      <c r="K187" s="4"/>
      <c r="L187" s="4"/>
      <c r="M187" s="4">
        <f>IF($L187="","",L187-K187)</f>
      </c>
      <c r="N187" s="4">
        <f>IF($L187="","",M187*16.67%)</f>
      </c>
      <c r="O187" s="4">
        <f>IF($L187="","",L187/100*11)</f>
      </c>
      <c r="P187" s="4">
        <v>8.99</v>
      </c>
      <c r="Q187" s="4">
        <f>IF($L187="","",L187*1%)</f>
      </c>
      <c r="R187" s="4"/>
      <c r="S187" s="4">
        <f>IF($L187="","",R187*20%)</f>
      </c>
      <c r="T187" s="4">
        <v>1</v>
      </c>
      <c r="U187" s="4">
        <f>IF($L187="","",M187-N187-O187-P187-Q187-R187-S187-T187)</f>
      </c>
      <c r="V187" s="4">
        <f>IF($L187="","",(U187-AB187)/K187*100)</f>
      </c>
      <c r="W187" s="4">
        <f>IF($L187="","",N187-S187)</f>
      </c>
      <c r="AC187" s="4">
        <f>IF($L187="","",U187-AB187)</f>
      </c>
    </row>
    <row r="188" spans="1:34" x14ac:dyDescent="0.25">
      <c r="A188" s="8"/>
      <c r="D188" s="9"/>
      <c r="K188" s="4"/>
      <c r="L188" s="4"/>
      <c r="M188" s="4">
        <f>IF($L188="","",L188-K188)</f>
      </c>
      <c r="N188" s="4">
        <f>IF($L188="","",M188*16.67%)</f>
      </c>
      <c r="O188" s="4">
        <f>IF($L188="","",L188/100*11)</f>
      </c>
      <c r="P188" s="4">
        <v>8.99</v>
      </c>
      <c r="Q188" s="4">
        <f>IF($L188="","",L188*1%)</f>
      </c>
      <c r="R188" s="4"/>
      <c r="S188" s="4">
        <f>IF($L188="","",R188*20%)</f>
      </c>
      <c r="T188" s="4">
        <v>1</v>
      </c>
      <c r="U188" s="4">
        <f>IF($L188="","",M188-N188-O188-P188-Q188-R188-S188-T188)</f>
      </c>
      <c r="V188" s="4">
        <f>IF($L188="","",(U188-AB188)/K188*100)</f>
      </c>
      <c r="W188" s="4">
        <f>IF($L188="","",N188-S188)</f>
      </c>
      <c r="AC188" s="4">
        <f>IF($L188="","",U188-AB188)</f>
      </c>
    </row>
    <row r="189" spans="1:34" x14ac:dyDescent="0.25">
      <c r="A189" s="8"/>
      <c r="D189" s="9"/>
      <c r="K189" s="4"/>
      <c r="L189" s="4"/>
      <c r="M189" s="4">
        <f>IF($L189="","",L189-K189)</f>
      </c>
      <c r="N189" s="4">
        <f>IF($L189="","",M189*16.67%)</f>
      </c>
      <c r="O189" s="4">
        <f>IF($L189="","",L189/100*11)</f>
      </c>
      <c r="P189" s="4">
        <v>8.99</v>
      </c>
      <c r="Q189" s="4">
        <f>IF($L189="","",L189*1%)</f>
      </c>
      <c r="R189" s="4"/>
      <c r="S189" s="4">
        <f>IF($L189="","",R189*20%)</f>
      </c>
      <c r="T189" s="4">
        <v>1</v>
      </c>
      <c r="U189" s="4">
        <f>IF($L189="","",M189-N189-O189-P189-Q189-R189-S189-T189)</f>
      </c>
      <c r="V189" s="4">
        <f>IF($L189="","",(U189-AB189)/K189*100)</f>
      </c>
      <c r="W189" s="4">
        <f>IF($L189="","",N189-S189)</f>
      </c>
      <c r="AC189" s="4">
        <f>IF($L189="","",U189-AB189)</f>
      </c>
    </row>
    <row r="190" spans="1:34" x14ac:dyDescent="0.25">
      <c r="A190" s="8"/>
      <c r="D190" s="9"/>
      <c r="K190" s="4"/>
      <c r="L190" s="4"/>
      <c r="M190" s="4">
        <f>IF($L190="","",L190-K190)</f>
      </c>
      <c r="N190" s="4">
        <f>IF($L190="","",M190*16.67%)</f>
      </c>
      <c r="O190" s="4">
        <f>IF($L190="","",L190/100*11)</f>
      </c>
      <c r="P190" s="4">
        <v>8.99</v>
      </c>
      <c r="Q190" s="4">
        <f>IF($L190="","",L190*1%)</f>
      </c>
      <c r="R190" s="4"/>
      <c r="S190" s="4">
        <f>IF($L190="","",R190*20%)</f>
      </c>
      <c r="T190" s="4">
        <v>1</v>
      </c>
      <c r="U190" s="4">
        <f>IF($L190="","",M190-N190-O190-P190-Q190-R190-S190-T190)</f>
      </c>
      <c r="V190" s="4">
        <f>IF($L190="","",(U190-AB190)/K190*100)</f>
      </c>
      <c r="W190" s="4">
        <f>IF($L190="","",N190-S190)</f>
      </c>
      <c r="AC190" s="4">
        <f>IF($L190="","",U190-AB190)</f>
      </c>
    </row>
    <row r="191" spans="1:34" x14ac:dyDescent="0.25">
      <c r="A191" s="8"/>
      <c r="D191" s="9"/>
      <c r="K191" s="4"/>
      <c r="L191" s="4"/>
      <c r="M191" s="4">
        <f>IF($L191="","",L191-K191)</f>
      </c>
      <c r="N191" s="4">
        <f>IF($L191="","",M191*16.67%)</f>
      </c>
      <c r="O191" s="4">
        <f>IF($L191="","",L191/100*11)</f>
      </c>
      <c r="P191" s="4">
        <v>8.99</v>
      </c>
      <c r="Q191" s="4">
        <f>IF($L191="","",L191*1%)</f>
      </c>
      <c r="R191" s="4"/>
      <c r="S191" s="4">
        <f>IF($L191="","",R191*20%)</f>
      </c>
      <c r="T191" s="4">
        <v>1</v>
      </c>
      <c r="U191" s="4">
        <f>IF($L191="","",M191-N191-O191-P191-Q191-R191-S191-T191)</f>
      </c>
      <c r="V191" s="4">
        <f>IF($L191="","",(U191-AB191)/K191*100)</f>
      </c>
      <c r="W191" s="4">
        <f>IF($L191="","",N191-S191)</f>
      </c>
      <c r="AC191" s="4">
        <f>IF($L191="","",U191-AB191)</f>
      </c>
    </row>
    <row r="192" spans="1:34" x14ac:dyDescent="0.25">
      <c r="A192" s="8"/>
      <c r="D192" s="9"/>
      <c r="K192" s="4"/>
      <c r="L192" s="4"/>
      <c r="M192" s="4">
        <f>IF($L192="","",L192-K192)</f>
      </c>
      <c r="N192" s="4">
        <f>IF($L192="","",M192*16.67%)</f>
      </c>
      <c r="O192" s="4">
        <f>IF($L192="","",L192/100*11)</f>
      </c>
      <c r="P192" s="4">
        <v>8.99</v>
      </c>
      <c r="Q192" s="4">
        <f>IF($L192="","",L192*1%)</f>
      </c>
      <c r="R192" s="4"/>
      <c r="S192" s="4">
        <f>IF($L192="","",R192*20%)</f>
      </c>
      <c r="T192" s="4">
        <v>1</v>
      </c>
      <c r="U192" s="4">
        <f>IF($L192="","",M192-N192-O192-P192-Q192-R192-S192-T192)</f>
      </c>
      <c r="V192" s="4">
        <f>IF($L192="","",(U192-AB192)/K192*100)</f>
      </c>
      <c r="W192" s="4">
        <f>IF($L192="","",N192-S192)</f>
      </c>
      <c r="AC192" s="4">
        <f>IF($L192="","",U192-AB192)</f>
      </c>
    </row>
    <row r="193" spans="1:34" x14ac:dyDescent="0.25">
      <c r="A193" s="8"/>
      <c r="D193" s="9"/>
      <c r="K193" s="4"/>
      <c r="L193" s="4"/>
      <c r="M193" s="4">
        <f>IF($L193="","",L193-K193)</f>
      </c>
      <c r="N193" s="4">
        <f>IF($L193="","",M193*16.67%)</f>
      </c>
      <c r="O193" s="4">
        <f>IF($L193="","",L193/100*11)</f>
      </c>
      <c r="P193" s="4">
        <v>8.99</v>
      </c>
      <c r="Q193" s="4">
        <f>IF($L193="","",L193*1%)</f>
      </c>
      <c r="R193" s="4"/>
      <c r="S193" s="4">
        <f>IF($L193="","",R193*20%)</f>
      </c>
      <c r="T193" s="4">
        <v>1</v>
      </c>
      <c r="U193" s="4">
        <f>IF($L193="","",M193-N193-O193-P193-Q193-R193-S193-T193)</f>
      </c>
      <c r="V193" s="4">
        <f>IF($L193="","",(U193-AB193)/K193*100)</f>
      </c>
      <c r="W193" s="4">
        <f>IF($L193="","",N193-S193)</f>
      </c>
      <c r="AC193" s="4">
        <f>IF($L193="","",U193-AB193)</f>
      </c>
    </row>
    <row r="194" spans="1:34" x14ac:dyDescent="0.25">
      <c r="A194" s="8"/>
      <c r="D194" s="9"/>
      <c r="K194" s="4"/>
      <c r="L194" s="4"/>
      <c r="M194" s="4">
        <f>IF($L194="","",L194-K194)</f>
      </c>
      <c r="N194" s="4">
        <f>IF($L194="","",M194*16.67%)</f>
      </c>
      <c r="O194" s="4">
        <f>IF($L194="","",L194/100*11)</f>
      </c>
      <c r="P194" s="4">
        <v>8.99</v>
      </c>
      <c r="Q194" s="4">
        <f>IF($L194="","",L194*1%)</f>
      </c>
      <c r="R194" s="4"/>
      <c r="S194" s="4">
        <f>IF($L194="","",R194*20%)</f>
      </c>
      <c r="T194" s="4">
        <v>1</v>
      </c>
      <c r="U194" s="4">
        <f>IF($L194="","",M194-N194-O194-P194-Q194-R194-S194-T194)</f>
      </c>
      <c r="V194" s="4">
        <f>IF($L194="","",(U194-AB194)/K194*100)</f>
      </c>
      <c r="W194" s="4">
        <f>IF($L194="","",N194-S194)</f>
      </c>
      <c r="AC194" s="4">
        <f>IF($L194="","",U194-AB194)</f>
      </c>
    </row>
    <row r="195" spans="1:34" x14ac:dyDescent="0.25">
      <c r="A195" s="8"/>
      <c r="D195" s="9"/>
      <c r="K195" s="4"/>
      <c r="L195" s="4"/>
      <c r="M195" s="4">
        <f>IF($L195="","",L195-K195)</f>
      </c>
      <c r="N195" s="4">
        <f>IF($L195="","",M195*16.67%)</f>
      </c>
      <c r="O195" s="4">
        <f>IF($L195="","",L195/100*11)</f>
      </c>
      <c r="P195" s="4">
        <v>8.99</v>
      </c>
      <c r="Q195" s="4">
        <f>IF($L195="","",L195*1%)</f>
      </c>
      <c r="R195" s="4"/>
      <c r="S195" s="4">
        <f>IF($L195="","",R195*20%)</f>
      </c>
      <c r="T195" s="4">
        <v>1</v>
      </c>
      <c r="U195" s="4">
        <f>IF($L195="","",M195-N195-O195-P195-Q195-R195-S195-T195)</f>
      </c>
      <c r="V195" s="4">
        <f>IF($L195="","",(U195-AB195)/K195*100)</f>
      </c>
      <c r="W195" s="4">
        <f>IF($L195="","",N195-S195)</f>
      </c>
      <c r="AC195" s="4">
        <f>IF($L195="","",U195-AB195)</f>
      </c>
    </row>
    <row r="196" spans="1:34" x14ac:dyDescent="0.25">
      <c r="A196" s="8"/>
      <c r="D196" s="9"/>
      <c r="K196" s="4"/>
      <c r="L196" s="4"/>
      <c r="M196" s="4">
        <f>IF($L196="","",L196-K196)</f>
      </c>
      <c r="N196" s="4">
        <f>IF($L196="","",M196*16.67%)</f>
      </c>
      <c r="O196" s="4">
        <f>IF($L196="","",L196/100*11)</f>
      </c>
      <c r="P196" s="4">
        <v>8.99</v>
      </c>
      <c r="Q196" s="4">
        <f>IF($L196="","",L196*1%)</f>
      </c>
      <c r="R196" s="4"/>
      <c r="S196" s="4">
        <f>IF($L196="","",R196*20%)</f>
      </c>
      <c r="T196" s="4">
        <v>1</v>
      </c>
      <c r="U196" s="4">
        <f>IF($L196="","",M196-N196-O196-P196-Q196-R196-S196-T196)</f>
      </c>
      <c r="V196" s="4">
        <f>IF($L196="","",(U196-AB196)/K196*100)</f>
      </c>
      <c r="W196" s="4">
        <f>IF($L196="","",N196-S196)</f>
      </c>
      <c r="AC196" s="4">
        <f>IF($L196="","",U196-AB196)</f>
      </c>
    </row>
    <row r="197" spans="1:34" x14ac:dyDescent="0.25">
      <c r="A197" s="8"/>
      <c r="D197" s="9"/>
      <c r="K197" s="4"/>
      <c r="L197" s="4"/>
      <c r="M197" s="4">
        <f>IF($L197="","",L197-K197)</f>
      </c>
      <c r="N197" s="4">
        <f>IF($L197="","",M197*16.67%)</f>
      </c>
      <c r="O197" s="4">
        <f>IF($L197="","",L197/100*11)</f>
      </c>
      <c r="P197" s="4">
        <v>8.99</v>
      </c>
      <c r="Q197" s="4">
        <f>IF($L197="","",L197*1%)</f>
      </c>
      <c r="R197" s="4"/>
      <c r="S197" s="4">
        <f>IF($L197="","",R197*20%)</f>
      </c>
      <c r="T197" s="4">
        <v>1</v>
      </c>
      <c r="U197" s="4">
        <f>IF($L197="","",M197-N197-O197-P197-Q197-R197-S197-T197)</f>
      </c>
      <c r="V197" s="4">
        <f>IF($L197="","",(U197-AB197)/K197*100)</f>
      </c>
      <c r="W197" s="4">
        <f>IF($L197="","",N197-S197)</f>
      </c>
      <c r="AC197" s="4">
        <f>IF($L197="","",U197-AB197)</f>
      </c>
    </row>
    <row r="198" spans="1:34" x14ac:dyDescent="0.25">
      <c r="A198" s="8"/>
      <c r="D198" s="9"/>
      <c r="K198" s="4"/>
      <c r="L198" s="4"/>
      <c r="M198" s="4">
        <f>IF($L198="","",L198-K198)</f>
      </c>
      <c r="N198" s="4">
        <f>IF($L198="","",M198*16.67%)</f>
      </c>
      <c r="O198" s="4">
        <f>IF($L198="","",L198/100*11)</f>
      </c>
      <c r="P198" s="4">
        <v>8.99</v>
      </c>
      <c r="Q198" s="4">
        <f>IF($L198="","",L198*1%)</f>
      </c>
      <c r="R198" s="4"/>
      <c r="S198" s="4">
        <f>IF($L198="","",R198*20%)</f>
      </c>
      <c r="T198" s="4">
        <v>1</v>
      </c>
      <c r="U198" s="4">
        <f>IF($L198="","",M198-N198-O198-P198-Q198-R198-S198-T198)</f>
      </c>
      <c r="V198" s="4">
        <f>IF($L198="","",(U198-AB198)/K198*100)</f>
      </c>
      <c r="W198" s="4">
        <f>IF($L198="","",N198-S198)</f>
      </c>
      <c r="AC198" s="4">
        <f>IF($L198="","",U198-AB198)</f>
      </c>
    </row>
    <row r="199" spans="1:34" x14ac:dyDescent="0.25">
      <c r="A199" s="8"/>
      <c r="D199" s="9"/>
      <c r="K199" s="4"/>
      <c r="L199" s="4"/>
      <c r="M199" s="4">
        <f>IF($L199="","",L199-K199)</f>
      </c>
      <c r="N199" s="4">
        <f>IF($L199="","",M199*16.67%)</f>
      </c>
      <c r="O199" s="4">
        <f>IF($L199="","",L199/100*11)</f>
      </c>
      <c r="P199" s="4">
        <v>8.99</v>
      </c>
      <c r="Q199" s="4">
        <f>IF($L199="","",L199*1%)</f>
      </c>
      <c r="R199" s="4"/>
      <c r="S199" s="4">
        <f>IF($L199="","",R199*20%)</f>
      </c>
      <c r="T199" s="4">
        <v>1</v>
      </c>
      <c r="U199" s="4">
        <f>IF($L199="","",M199-N199-O199-P199-Q199-R199-S199-T199)</f>
      </c>
      <c r="V199" s="4">
        <f>IF($L199="","",(U199-AB199)/K199*100)</f>
      </c>
      <c r="W199" s="4">
        <f>IF($L199="","",N199-S199)</f>
      </c>
      <c r="AC199" s="4">
        <f>IF($L199="","",U199-AB199)</f>
      </c>
    </row>
    <row r="200" spans="1:34" x14ac:dyDescent="0.25">
      <c r="A200" s="8"/>
      <c r="D200" s="9"/>
      <c r="K200" s="4"/>
      <c r="L200" s="4"/>
      <c r="M200" s="4">
        <f>IF($L200="","",L200-K200)</f>
      </c>
      <c r="N200" s="4">
        <f>IF($L200="","",M200*16.67%)</f>
      </c>
      <c r="O200" s="4">
        <f>IF($L200="","",L200/100*11)</f>
      </c>
      <c r="P200" s="4">
        <v>8.99</v>
      </c>
      <c r="Q200" s="4">
        <f>IF($L200="","",L200*1%)</f>
      </c>
      <c r="R200" s="4"/>
      <c r="S200" s="4">
        <f>IF($L200="","",R200*20%)</f>
      </c>
      <c r="T200" s="4">
        <v>1</v>
      </c>
      <c r="U200" s="4">
        <f>IF($L200="","",M200-N200-O200-P200-Q200-R200-S200-T200)</f>
      </c>
      <c r="V200" s="4">
        <f>IF($L200="","",(U200-AB200)/K200*100)</f>
      </c>
      <c r="W200" s="4">
        <f>IF($L200="","",N200-S200)</f>
      </c>
      <c r="AC200" s="4">
        <f>IF($L200="","",U200-AB200)</f>
      </c>
    </row>
    <row r="201" spans="1:34" x14ac:dyDescent="0.25">
      <c r="A201" s="8"/>
      <c r="D201" s="9"/>
      <c r="K201" s="4"/>
      <c r="L201" s="4"/>
      <c r="M201" s="4">
        <f>IF($L201="","",L201-K201)</f>
      </c>
      <c r="N201" s="4">
        <f>IF($L201="","",M201*16.67%)</f>
      </c>
      <c r="O201" s="4">
        <f>IF($L201="","",L201/100*11)</f>
      </c>
      <c r="P201" s="4">
        <v>8.99</v>
      </c>
      <c r="Q201" s="4">
        <f>IF($L201="","",L201*1%)</f>
      </c>
      <c r="R201" s="4"/>
      <c r="S201" s="4">
        <f>IF($L201="","",R201*20%)</f>
      </c>
      <c r="T201" s="4">
        <v>1</v>
      </c>
      <c r="U201" s="4">
        <f>IF($L201="","",M201-N201-O201-P201-Q201-R201-S201-T201)</f>
      </c>
      <c r="V201" s="4">
        <f>IF($L201="","",(U201-AB201)/K201*100)</f>
      </c>
      <c r="W201" s="4">
        <f>IF($L201="","",N201-S201)</f>
      </c>
      <c r="AC201" s="4">
        <f>IF($L201="","",U201-AB201)</f>
      </c>
    </row>
    <row r="202" spans="1:34" x14ac:dyDescent="0.25">
      <c r="A202" s="8"/>
      <c r="D202" s="9"/>
      <c r="K202" s="4"/>
      <c r="L202" s="4"/>
      <c r="M202" s="4">
        <f>IF($L202="","",L202-K202)</f>
      </c>
      <c r="N202" s="4">
        <f>IF($L202="","",M202*16.67%)</f>
      </c>
      <c r="O202" s="4">
        <f>IF($L202="","",L202/100*11)</f>
      </c>
      <c r="P202" s="4">
        <v>8.99</v>
      </c>
      <c r="Q202" s="4">
        <f>IF($L202="","",L202*1%)</f>
      </c>
      <c r="R202" s="4"/>
      <c r="S202" s="4">
        <f>IF($L202="","",R202*20%)</f>
      </c>
      <c r="T202" s="4">
        <v>1</v>
      </c>
      <c r="U202" s="4">
        <f>IF($L202="","",M202-N202-O202-P202-Q202-R202-S202-T202)</f>
      </c>
      <c r="V202" s="4">
        <f>IF($L202="","",(U202-AB202)/K202*100)</f>
      </c>
      <c r="W202" s="4">
        <f>IF($L202="","",N202-S202)</f>
      </c>
      <c r="AC202" s="4">
        <f>IF($L202="","",U202-AB202)</f>
      </c>
    </row>
    <row r="203" spans="1:34" x14ac:dyDescent="0.25">
      <c r="A203" s="8"/>
      <c r="D203" s="9"/>
      <c r="K203" s="4"/>
      <c r="L203" s="4"/>
      <c r="M203" s="4">
        <f>IF($L203="","",L203-K203)</f>
      </c>
      <c r="N203" s="4">
        <f>IF($L203="","",M203*16.67%)</f>
      </c>
      <c r="O203" s="4">
        <f>IF($L203="","",L203/100*11)</f>
      </c>
      <c r="P203" s="4">
        <v>8.99</v>
      </c>
      <c r="Q203" s="4">
        <f>IF($L203="","",L203*1%)</f>
      </c>
      <c r="R203" s="4"/>
      <c r="S203" s="4">
        <f>IF($L203="","",R203*20%)</f>
      </c>
      <c r="T203" s="4">
        <v>1</v>
      </c>
      <c r="U203" s="4">
        <f>IF($L203="","",M203-N203-O203-P203-Q203-R203-S203-T203)</f>
      </c>
      <c r="V203" s="4">
        <f>IF($L203="","",(U203-AB203)/K203*100)</f>
      </c>
      <c r="W203" s="4">
        <f>IF($L203="","",N203-S203)</f>
      </c>
      <c r="AC203" s="4">
        <f>IF($L203="","",U203-AB203)</f>
      </c>
    </row>
    <row r="204" spans="1:34" x14ac:dyDescent="0.25">
      <c r="A204" s="8"/>
      <c r="D204" s="9"/>
      <c r="K204" s="4"/>
      <c r="L204" s="4"/>
      <c r="M204" s="4">
        <f>IF($L204="","",L204-K204)</f>
      </c>
      <c r="N204" s="4">
        <f>IF($L204="","",M204*16.67%)</f>
      </c>
      <c r="O204" s="4">
        <f>IF($L204="","",L204/100*11)</f>
      </c>
      <c r="P204" s="4">
        <v>8.99</v>
      </c>
      <c r="Q204" s="4">
        <f>IF($L204="","",L204*1%)</f>
      </c>
      <c r="R204" s="4"/>
      <c r="S204" s="4">
        <f>IF($L204="","",R204*20%)</f>
      </c>
      <c r="T204" s="4">
        <v>1</v>
      </c>
      <c r="U204" s="4">
        <f>IF($L204="","",M204-N204-O204-P204-Q204-R204-S204-T204)</f>
      </c>
      <c r="V204" s="4">
        <f>IF($L204="","",(U204-AB204)/K204*100)</f>
      </c>
      <c r="W204" s="4">
        <f>IF($L204="","",N204-S204)</f>
      </c>
      <c r="AC204" s="4">
        <f>IF($L204="","",U204-AB204)</f>
      </c>
    </row>
    <row r="205" spans="1:34" x14ac:dyDescent="0.25">
      <c r="A205" s="8"/>
      <c r="D205" s="9"/>
      <c r="K205" s="4"/>
      <c r="L205" s="4"/>
      <c r="M205" s="4">
        <f>IF($L205="","",L205-K205)</f>
      </c>
      <c r="N205" s="4">
        <f>IF($L205="","",M205*16.67%)</f>
      </c>
      <c r="O205" s="4">
        <f>IF($L205="","",L205/100*11)</f>
      </c>
      <c r="P205" s="4">
        <v>8.99</v>
      </c>
      <c r="Q205" s="4">
        <f>IF($L205="","",L205*1%)</f>
      </c>
      <c r="R205" s="4"/>
      <c r="S205" s="4">
        <f>IF($L205="","",R205*20%)</f>
      </c>
      <c r="T205" s="4">
        <v>1</v>
      </c>
      <c r="U205" s="4">
        <f>IF($L205="","",M205-N205-O205-P205-Q205-R205-S205-T205)</f>
      </c>
      <c r="V205" s="4">
        <f>IF($L205="","",(U205-AB205)/K205*100)</f>
      </c>
      <c r="W205" s="4">
        <f>IF($L205="","",N205-S205)</f>
      </c>
      <c r="AC205" s="4">
        <f>IF($L205="","",U205-AB205)</f>
      </c>
    </row>
    <row r="206" spans="1:34" x14ac:dyDescent="0.25">
      <c r="A206" s="8"/>
      <c r="D206" s="9"/>
      <c r="K206" s="4"/>
      <c r="L206" s="4"/>
      <c r="M206" s="4">
        <f>IF($L206="","",L206-K206)</f>
      </c>
      <c r="N206" s="4">
        <f>IF($L206="","",M206*16.67%)</f>
      </c>
      <c r="O206" s="4">
        <f>IF($L206="","",L206/100*11)</f>
      </c>
      <c r="P206" s="4">
        <v>8.99</v>
      </c>
      <c r="Q206" s="4">
        <f>IF($L206="","",L206*1%)</f>
      </c>
      <c r="R206" s="4"/>
      <c r="S206" s="4">
        <f>IF($L206="","",R206*20%)</f>
      </c>
      <c r="T206" s="4">
        <v>1</v>
      </c>
      <c r="U206" s="4">
        <f>IF($L206="","",M206-N206-O206-P206-Q206-R206-S206-T206)</f>
      </c>
      <c r="V206" s="4">
        <f>IF($L206="","",(U206-AB206)/K206*100)</f>
      </c>
      <c r="W206" s="4">
        <f>IF($L206="","",N206-S206)</f>
      </c>
      <c r="AC206" s="4">
        <f>IF($L206="","",U206-AB206)</f>
      </c>
    </row>
    <row r="207" spans="1:34" x14ac:dyDescent="0.25">
      <c r="A207" s="8"/>
      <c r="D207" s="9"/>
      <c r="K207" s="4"/>
      <c r="L207" s="4"/>
      <c r="M207" s="4">
        <f>IF($L207="","",L207-K207)</f>
      </c>
      <c r="N207" s="4">
        <f>IF($L207="","",M207*16.67%)</f>
      </c>
      <c r="O207" s="4">
        <f>IF($L207="","",L207/100*11)</f>
      </c>
      <c r="P207" s="4">
        <v>8.99</v>
      </c>
      <c r="Q207" s="4">
        <f>IF($L207="","",L207*1%)</f>
      </c>
      <c r="R207" s="4"/>
      <c r="S207" s="4">
        <f>IF($L207="","",R207*20%)</f>
      </c>
      <c r="T207" s="4">
        <v>1</v>
      </c>
      <c r="U207" s="4">
        <f>IF($L207="","",M207-N207-O207-P207-Q207-R207-S207-T207)</f>
      </c>
      <c r="V207" s="4">
        <f>IF($L207="","",(U207-AB207)/K207*100)</f>
      </c>
      <c r="W207" s="4">
        <f>IF($L207="","",N207-S207)</f>
      </c>
      <c r="AC207" s="4">
        <f>IF($L207="","",U207-AB207)</f>
      </c>
    </row>
    <row r="208" spans="1:34" x14ac:dyDescent="0.25">
      <c r="A208" s="8"/>
      <c r="D208" s="9"/>
      <c r="K208" s="4"/>
      <c r="L208" s="4"/>
      <c r="M208" s="4">
        <f>IF($L208="","",L208-K208)</f>
      </c>
      <c r="N208" s="4">
        <f>IF($L208="","",M208*16.67%)</f>
      </c>
      <c r="O208" s="4">
        <f>IF($L208="","",L208/100*11)</f>
      </c>
      <c r="P208" s="4">
        <v>8.99</v>
      </c>
      <c r="Q208" s="4">
        <f>IF($L208="","",L208*1%)</f>
      </c>
      <c r="R208" s="4"/>
      <c r="S208" s="4">
        <f>IF($L208="","",R208*20%)</f>
      </c>
      <c r="T208" s="4">
        <v>1</v>
      </c>
      <c r="U208" s="4">
        <f>IF($L208="","",M208-N208-O208-P208-Q208-R208-S208-T208)</f>
      </c>
      <c r="V208" s="4">
        <f>IF($L208="","",(U208-AB208)/K208*100)</f>
      </c>
      <c r="W208" s="4">
        <f>IF($L208="","",N208-S208)</f>
      </c>
      <c r="AC208" s="4">
        <f>IF($L208="","",U208-AB208)</f>
      </c>
    </row>
    <row r="209" spans="1:34" x14ac:dyDescent="0.25">
      <c r="A209" s="8"/>
      <c r="D209" s="9"/>
      <c r="K209" s="4"/>
      <c r="L209" s="4"/>
      <c r="M209" s="4">
        <f>IF($L209="","",L209-K209)</f>
      </c>
      <c r="N209" s="4">
        <f>IF($L209="","",M209*16.67%)</f>
      </c>
      <c r="O209" s="4">
        <f>IF($L209="","",L209/100*11)</f>
      </c>
      <c r="P209" s="4">
        <v>8.99</v>
      </c>
      <c r="Q209" s="4">
        <f>IF($L209="","",L209*1%)</f>
      </c>
      <c r="R209" s="4"/>
      <c r="S209" s="4">
        <f>IF($L209="","",R209*20%)</f>
      </c>
      <c r="T209" s="4">
        <v>1</v>
      </c>
      <c r="U209" s="4">
        <f>IF($L209="","",M209-N209-O209-P209-Q209-R209-S209-T209)</f>
      </c>
      <c r="V209" s="4">
        <f>IF($L209="","",(U209-AB209)/K209*100)</f>
      </c>
      <c r="W209" s="4">
        <f>IF($L209="","",N209-S209)</f>
      </c>
      <c r="AC209" s="4">
        <f>IF($L209="","",U209-AB209)</f>
      </c>
    </row>
    <row r="210" spans="1:34" x14ac:dyDescent="0.25">
      <c r="A210" s="8"/>
      <c r="D210" s="9"/>
      <c r="K210" s="4"/>
      <c r="L210" s="4"/>
      <c r="M210" s="4">
        <f>IF($L210="","",L210-K210)</f>
      </c>
      <c r="N210" s="4">
        <f>IF($L210="","",M210*16.67%)</f>
      </c>
      <c r="O210" s="4">
        <f>IF($L210="","",L210/100*11)</f>
      </c>
      <c r="P210" s="4">
        <v>8.99</v>
      </c>
      <c r="Q210" s="4">
        <f>IF($L210="","",L210*1%)</f>
      </c>
      <c r="R210" s="4"/>
      <c r="S210" s="4">
        <f>IF($L210="","",R210*20%)</f>
      </c>
      <c r="T210" s="4">
        <v>1</v>
      </c>
      <c r="U210" s="4">
        <f>IF($L210="","",M210-N210-O210-P210-Q210-R210-S210-T210)</f>
      </c>
      <c r="V210" s="4">
        <f>IF($L210="","",(U210-AB210)/K210*100)</f>
      </c>
      <c r="W210" s="4">
        <f>IF($L210="","",N210-S210)</f>
      </c>
      <c r="AC210" s="4">
        <f>IF($L210="","",U210-AB210)</f>
      </c>
    </row>
    <row r="211" spans="1:34" x14ac:dyDescent="0.25">
      <c r="A211" s="8"/>
      <c r="D211" s="9"/>
      <c r="K211" s="4"/>
      <c r="L211" s="4"/>
      <c r="M211" s="4">
        <f>IF($L211="","",L211-K211)</f>
      </c>
      <c r="N211" s="4">
        <f>IF($L211="","",M211*16.67%)</f>
      </c>
      <c r="O211" s="4">
        <f>IF($L211="","",L211/100*11)</f>
      </c>
      <c r="P211" s="4">
        <v>8.99</v>
      </c>
      <c r="Q211" s="4">
        <f>IF($L211="","",L211*1%)</f>
      </c>
      <c r="R211" s="4"/>
      <c r="S211" s="4">
        <f>IF($L211="","",R211*20%)</f>
      </c>
      <c r="T211" s="4">
        <v>1</v>
      </c>
      <c r="U211" s="4">
        <f>IF($L211="","",M211-N211-O211-P211-Q211-R211-S211-T211)</f>
      </c>
      <c r="V211" s="4">
        <f>IF($L211="","",(U211-AB211)/K211*100)</f>
      </c>
      <c r="W211" s="4">
        <f>IF($L211="","",N211-S211)</f>
      </c>
      <c r="AC211" s="4">
        <f>IF($L211="","",U211-AB211)</f>
      </c>
    </row>
    <row r="212" spans="1:34" x14ac:dyDescent="0.25">
      <c r="A212" s="8"/>
      <c r="D212" s="9"/>
      <c r="K212" s="4"/>
      <c r="L212" s="4"/>
      <c r="M212" s="4">
        <f>IF($L212="","",L212-K212)</f>
      </c>
      <c r="N212" s="4">
        <f>IF($L212="","",M212*16.67%)</f>
      </c>
      <c r="O212" s="4">
        <f>IF($L212="","",L212/100*11)</f>
      </c>
      <c r="P212" s="4">
        <v>8.99</v>
      </c>
      <c r="Q212" s="4">
        <f>IF($L212="","",L212*1%)</f>
      </c>
      <c r="R212" s="4"/>
      <c r="S212" s="4">
        <f>IF($L212="","",R212*20%)</f>
      </c>
      <c r="T212" s="4">
        <v>1</v>
      </c>
      <c r="U212" s="4">
        <f>IF($L212="","",M212-N212-O212-P212-Q212-R212-S212-T212)</f>
      </c>
      <c r="V212" s="4">
        <f>IF($L212="","",(U212-AB212)/K212*100)</f>
      </c>
      <c r="W212" s="4">
        <f>IF($L212="","",N212-S212)</f>
      </c>
      <c r="AC212" s="4">
        <f>IF($L212="","",U212-AB212)</f>
      </c>
    </row>
    <row r="213" spans="1:34" x14ac:dyDescent="0.25">
      <c r="A213" s="8"/>
      <c r="D213" s="9"/>
      <c r="K213" s="4"/>
      <c r="L213" s="4"/>
      <c r="M213" s="4">
        <f>IF($L213="","",L213-K213)</f>
      </c>
      <c r="N213" s="4">
        <f>IF($L213="","",M213*16.67%)</f>
      </c>
      <c r="O213" s="4">
        <f>IF($L213="","",L213/100*11)</f>
      </c>
      <c r="P213" s="4">
        <v>8.99</v>
      </c>
      <c r="Q213" s="4">
        <f>IF($L213="","",L213*1%)</f>
      </c>
      <c r="R213" s="4"/>
      <c r="S213" s="4">
        <f>IF($L213="","",R213*20%)</f>
      </c>
      <c r="T213" s="4">
        <v>1</v>
      </c>
      <c r="U213" s="4">
        <f>IF($L213="","",M213-N213-O213-P213-Q213-R213-S213-T213)</f>
      </c>
      <c r="V213" s="4">
        <f>IF($L213="","",(U213-AB213)/K213*100)</f>
      </c>
      <c r="W213" s="4">
        <f>IF($L213="","",N213-S213)</f>
      </c>
      <c r="AC213" s="4">
        <f>IF($L213="","",U213-AB213)</f>
      </c>
    </row>
    <row r="214" spans="1:34" x14ac:dyDescent="0.25">
      <c r="A214" s="8"/>
      <c r="D214" s="9"/>
      <c r="K214" s="4"/>
      <c r="L214" s="4"/>
      <c r="M214" s="4">
        <f>IF($L214="","",L214-K214)</f>
      </c>
      <c r="N214" s="4">
        <f>IF($L214="","",M214*16.67%)</f>
      </c>
      <c r="O214" s="4">
        <f>IF($L214="","",L214/100*11)</f>
      </c>
      <c r="P214" s="4">
        <v>8.99</v>
      </c>
      <c r="Q214" s="4">
        <f>IF($L214="","",L214*1%)</f>
      </c>
      <c r="R214" s="4"/>
      <c r="S214" s="4">
        <f>IF($L214="","",R214*20%)</f>
      </c>
      <c r="T214" s="4">
        <v>1</v>
      </c>
      <c r="U214" s="4">
        <f>IF($L214="","",M214-N214-O214-P214-Q214-R214-S214-T214)</f>
      </c>
      <c r="V214" s="4">
        <f>IF($L214="","",(U214-AB214)/K214*100)</f>
      </c>
      <c r="W214" s="4">
        <f>IF($L214="","",N214-S214)</f>
      </c>
      <c r="AC214" s="4">
        <f>IF($L214="","",U214-AB214)</f>
      </c>
    </row>
    <row r="215" spans="1:34" x14ac:dyDescent="0.25">
      <c r="A215" s="8"/>
      <c r="D215" s="9"/>
      <c r="K215" s="4"/>
      <c r="L215" s="4"/>
      <c r="M215" s="4">
        <f>IF($L215="","",L215-K215)</f>
      </c>
      <c r="N215" s="4">
        <f>IF($L215="","",M215*16.67%)</f>
      </c>
      <c r="O215" s="4">
        <f>IF($L215="","",L215/100*11)</f>
      </c>
      <c r="P215" s="4">
        <v>8.99</v>
      </c>
      <c r="Q215" s="4">
        <f>IF($L215="","",L215*1%)</f>
      </c>
      <c r="R215" s="4"/>
      <c r="S215" s="4">
        <f>IF($L215="","",R215*20%)</f>
      </c>
      <c r="T215" s="4">
        <v>1</v>
      </c>
      <c r="U215" s="4">
        <f>IF($L215="","",M215-N215-O215-P215-Q215-R215-S215-T215)</f>
      </c>
      <c r="V215" s="4">
        <f>IF($L215="","",(U215-AB215)/K215*100)</f>
      </c>
      <c r="W215" s="4">
        <f>IF($L215="","",N215-S215)</f>
      </c>
      <c r="AC215" s="4">
        <f>IF($L215="","",U215-AB215)</f>
      </c>
    </row>
    <row r="216" spans="1:34" x14ac:dyDescent="0.25">
      <c r="A216" s="8"/>
      <c r="D216" s="9"/>
      <c r="K216" s="4"/>
      <c r="L216" s="4"/>
      <c r="M216" s="4">
        <f>IF($L216="","",L216-K216)</f>
      </c>
      <c r="N216" s="4">
        <f>IF($L216="","",M216*16.67%)</f>
      </c>
      <c r="O216" s="4">
        <f>IF($L216="","",L216/100*11)</f>
      </c>
      <c r="P216" s="4">
        <v>8.99</v>
      </c>
      <c r="Q216" s="4">
        <f>IF($L216="","",L216*1%)</f>
      </c>
      <c r="R216" s="4"/>
      <c r="S216" s="4">
        <f>IF($L216="","",R216*20%)</f>
      </c>
      <c r="T216" s="4">
        <v>1</v>
      </c>
      <c r="U216" s="4">
        <f>IF($L216="","",M216-N216-O216-P216-Q216-R216-S216-T216)</f>
      </c>
      <c r="V216" s="4">
        <f>IF($L216="","",(U216-AB216)/K216*100)</f>
      </c>
      <c r="W216" s="4">
        <f>IF($L216="","",N216-S216)</f>
      </c>
      <c r="AC216" s="4">
        <f>IF($L216="","",U216-AB216)</f>
      </c>
    </row>
    <row r="217" spans="1:34" x14ac:dyDescent="0.25">
      <c r="A217" s="8"/>
      <c r="D217" s="9"/>
      <c r="K217" s="4"/>
      <c r="L217" s="4"/>
      <c r="M217" s="4">
        <f>IF($L217="","",L217-K217)</f>
      </c>
      <c r="N217" s="4">
        <f>IF($L217="","",M217*16.67%)</f>
      </c>
      <c r="O217" s="4">
        <f>IF($L217="","",L217/100*11)</f>
      </c>
      <c r="P217" s="4">
        <v>8.99</v>
      </c>
      <c r="Q217" s="4">
        <f>IF($L217="","",L217*1%)</f>
      </c>
      <c r="R217" s="4"/>
      <c r="S217" s="4">
        <f>IF($L217="","",R217*20%)</f>
      </c>
      <c r="T217" s="4">
        <v>1</v>
      </c>
      <c r="U217" s="4">
        <f>IF($L217="","",M217-N217-O217-P217-Q217-R217-S217-T217)</f>
      </c>
      <c r="V217" s="4">
        <f>IF($L217="","",(U217-AB217)/K217*100)</f>
      </c>
      <c r="W217" s="4">
        <f>IF($L217="","",N217-S217)</f>
      </c>
      <c r="AC217" s="4">
        <f>IF($L217="","",U217-AB217)</f>
      </c>
    </row>
    <row r="218" spans="1:34" x14ac:dyDescent="0.25">
      <c r="A218" s="8"/>
      <c r="D218" s="9"/>
      <c r="K218" s="4"/>
      <c r="L218" s="4"/>
      <c r="M218" s="4">
        <f>IF($L218="","",L218-K218)</f>
      </c>
      <c r="N218" s="4">
        <f>IF($L218="","",M218*16.67%)</f>
      </c>
      <c r="O218" s="4">
        <f>IF($L218="","",L218/100*11)</f>
      </c>
      <c r="P218" s="4">
        <v>8.99</v>
      </c>
      <c r="Q218" s="4">
        <f>IF($L218="","",L218*1%)</f>
      </c>
      <c r="R218" s="4"/>
      <c r="S218" s="4">
        <f>IF($L218="","",R218*20%)</f>
      </c>
      <c r="T218" s="4">
        <v>1</v>
      </c>
      <c r="U218" s="4">
        <f>IF($L218="","",M218-N218-O218-P218-Q218-R218-S218-T218)</f>
      </c>
      <c r="V218" s="4">
        <f>IF($L218="","",(U218-AB218)/K218*100)</f>
      </c>
      <c r="W218" s="4">
        <f>IF($L218="","",N218-S218)</f>
      </c>
      <c r="AC218" s="4">
        <f>IF($L218="","",U218-AB218)</f>
      </c>
    </row>
    <row r="219" spans="1:34" x14ac:dyDescent="0.25">
      <c r="A219" s="8"/>
      <c r="D219" s="9"/>
      <c r="K219" s="4"/>
      <c r="L219" s="4"/>
      <c r="M219" s="4">
        <f>IF($L219="","",L219-K219)</f>
      </c>
      <c r="N219" s="4">
        <f>IF($L219="","",M219*16.67%)</f>
      </c>
      <c r="O219" s="4">
        <f>IF($L219="","",L219/100*11)</f>
      </c>
      <c r="P219" s="4">
        <v>8.99</v>
      </c>
      <c r="Q219" s="4">
        <f>IF($L219="","",L219*1%)</f>
      </c>
      <c r="R219" s="4"/>
      <c r="S219" s="4">
        <f>IF($L219="","",R219*20%)</f>
      </c>
      <c r="T219" s="4">
        <v>1</v>
      </c>
      <c r="U219" s="4">
        <f>IF($L219="","",M219-N219-O219-P219-Q219-R219-S219-T219)</f>
      </c>
      <c r="V219" s="4">
        <f>IF($L219="","",(U219-AB219)/K219*100)</f>
      </c>
      <c r="W219" s="4">
        <f>IF($L219="","",N219-S219)</f>
      </c>
      <c r="AC219" s="4">
        <f>IF($L219="","",U219-AB219)</f>
      </c>
    </row>
    <row r="220" spans="1:34" x14ac:dyDescent="0.25">
      <c r="A220" s="8"/>
      <c r="D220" s="9"/>
      <c r="K220" s="4"/>
      <c r="L220" s="4"/>
      <c r="M220" s="4">
        <f>IF($L220="","",L220-K220)</f>
      </c>
      <c r="N220" s="4">
        <f>IF($L220="","",M220*16.67%)</f>
      </c>
      <c r="O220" s="4">
        <f>IF($L220="","",L220/100*11)</f>
      </c>
      <c r="P220" s="4">
        <v>8.99</v>
      </c>
      <c r="Q220" s="4">
        <f>IF($L220="","",L220*1%)</f>
      </c>
      <c r="R220" s="4"/>
      <c r="S220" s="4">
        <f>IF($L220="","",R220*20%)</f>
      </c>
      <c r="T220" s="4">
        <v>1</v>
      </c>
      <c r="U220" s="4">
        <f>IF($L220="","",M220-N220-O220-P220-Q220-R220-S220-T220)</f>
      </c>
      <c r="V220" s="4">
        <f>IF($L220="","",(U220-AB220)/K220*100)</f>
      </c>
      <c r="W220" s="4">
        <f>IF($L220="","",N220-S220)</f>
      </c>
      <c r="AC220" s="4">
        <f>IF($L220="","",U220-AB220)</f>
      </c>
    </row>
    <row r="221" spans="1:34" x14ac:dyDescent="0.25">
      <c r="A221" s="8"/>
      <c r="D221" s="9"/>
      <c r="K221" s="4"/>
      <c r="L221" s="4"/>
      <c r="M221" s="4">
        <f>IF($L221="","",L221-K221)</f>
      </c>
      <c r="N221" s="4">
        <f>IF($L221="","",M221*16.67%)</f>
      </c>
      <c r="O221" s="4">
        <f>IF($L221="","",L221/100*11)</f>
      </c>
      <c r="P221" s="4">
        <v>8.99</v>
      </c>
      <c r="Q221" s="4">
        <f>IF($L221="","",L221*1%)</f>
      </c>
      <c r="R221" s="4"/>
      <c r="S221" s="4">
        <f>IF($L221="","",R221*20%)</f>
      </c>
      <c r="T221" s="4">
        <v>1</v>
      </c>
      <c r="U221" s="4">
        <f>IF($L221="","",M221-N221-O221-P221-Q221-R221-S221-T221)</f>
      </c>
      <c r="V221" s="4">
        <f>IF($L221="","",(U221-AB221)/K221*100)</f>
      </c>
      <c r="W221" s="4">
        <f>IF($L221="","",N221-S221)</f>
      </c>
      <c r="AC221" s="4">
        <f>IF($L221="","",U221-AB221)</f>
      </c>
    </row>
    <row r="222" spans="1:34" s="7" customFormat="1" x14ac:dyDescent="0.25">
      <c r="A222" s="3" t="s">
        <v>18</v>
      </c>
      <c r="B222" s="7"/>
      <c r="C222" s="7"/>
      <c r="D222" s="7"/>
      <c r="E222" s="7"/>
      <c r="F222" s="7"/>
      <c r="G222" s="7"/>
      <c r="H222" s="7"/>
      <c r="I222" s="10">
        <f>SUM(I2:I221)</f>
      </c>
      <c r="J222" s="7"/>
      <c r="K222" s="10">
        <f>SUM(K2:K221)</f>
      </c>
      <c r="L222" s="10">
        <f>SUM(L2:L221)</f>
      </c>
      <c r="M222" s="10">
        <f>SUM(M2:M221)</f>
      </c>
      <c r="N222" s="10">
        <f>SUM(N2:N221)</f>
      </c>
      <c r="O222" s="10">
        <f>SUM(O2:O221)</f>
      </c>
      <c r="P222" s="10">
        <f>SUM(P2:P221)</f>
      </c>
      <c r="Q222" s="10">
        <f>SUM(Q2:Q221)</f>
      </c>
      <c r="R222" s="10">
        <f>SUM(R2:R221)</f>
      </c>
      <c r="S222" s="10">
        <f>SUM(S2:S221)</f>
      </c>
      <c r="T222" s="10">
        <f>SUM(T2:T221)</f>
      </c>
      <c r="U222" s="10">
        <f>SUM(U2:U221)</f>
      </c>
      <c r="V222" s="10">
        <f>IFERROR((U222-AB222)/K222*100,0)</f>
      </c>
      <c r="W222" s="10">
        <f>SUM(W2:W221)</f>
      </c>
      <c r="X222" s="10">
        <f>SUM(X2:X221)</f>
      </c>
      <c r="Y222" s="10">
        <f>SUM(Y2:Y221)</f>
      </c>
      <c r="Z222" s="10">
        <f>SUM(Z2:Z221)</f>
      </c>
      <c r="AA222" s="10">
        <f>SUM(AA2:AA221)</f>
      </c>
      <c r="AB222" s="10">
        <f>SUM(AB2:AB221)</f>
      </c>
      <c r="AC222" s="10">
        <f>SUM(AC2:AC221)</f>
      </c>
      <c r="AD222" s="7"/>
      <c r="AE222" s="7"/>
      <c r="AF222" s="7"/>
      <c r="AG222" s="7"/>
      <c r="AH22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2"/>
  <sheetFormatPr defaultRowHeight="15" outlineLevelRow="0" outlineLevelCol="0" x14ac:dyDescent="55"/>
  <sheetData>
    <row r="1" spans="1:3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192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193</v>
      </c>
      <c r="P1" t="s">
        <v>194</v>
      </c>
      <c r="Q1" t="s">
        <v>195</v>
      </c>
      <c r="R1" t="s">
        <v>196</v>
      </c>
      <c r="S1" t="s">
        <v>45</v>
      </c>
      <c r="T1" t="s">
        <v>46</v>
      </c>
      <c r="U1" t="s">
        <v>197</v>
      </c>
      <c r="V1" t="s">
        <v>198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11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</row>
    <row r="2" spans="1:38" x14ac:dyDescent="0.25">
      <c r="A2" s="8">
        <v>46227.5</v>
      </c>
      <c r="B2" t="s">
        <v>199</v>
      </c>
      <c r="C2" t="s">
        <v>200</v>
      </c>
      <c r="D2" s="9" t="s">
        <v>201</v>
      </c>
      <c r="E2" t="s">
        <v>200</v>
      </c>
      <c r="F2" t="s">
        <v>77</v>
      </c>
      <c r="G2" t="s">
        <v>72</v>
      </c>
      <c r="H2" t="s">
        <v>79</v>
      </c>
      <c r="I2">
        <v>1</v>
      </c>
      <c r="J2" s="4">
        <v>256.93</v>
      </c>
      <c r="K2" s="4">
        <v>344.13</v>
      </c>
      <c r="L2" s="4">
        <f>K2-J2</f>
      </c>
      <c r="M2" s="4">
        <f>L2*16.67%</f>
      </c>
      <c r="N2" s="4">
        <f>(K2*6.9%)-(K2*6.9%)*10%</f>
      </c>
      <c r="O2" s="4">
        <f>K2*0.35%</f>
      </c>
      <c r="P2" s="4">
        <v>0.4</v>
      </c>
      <c r="Q2" s="4">
        <f>(N2+O2+P2)*20%</f>
      </c>
      <c r="R2" s="4">
        <f>N2+O2+P2+Q2</f>
      </c>
      <c r="S2" s="4">
        <v>8</v>
      </c>
      <c r="T2" s="4">
        <v>0</v>
      </c>
      <c r="U2" s="4">
        <v>0</v>
      </c>
      <c r="V2" s="4">
        <f>U2*20%</f>
      </c>
      <c r="W2" s="4">
        <v>1</v>
      </c>
      <c r="X2" s="4">
        <f>Q2+T2+V2</f>
      </c>
      <c r="Y2" s="4">
        <f>L2-M2-R2-S2-T2-U2-V2-W2</f>
      </c>
      <c r="Z2" s="4">
        <f>(Y2-AF2)/J2*100</f>
      </c>
      <c r="AA2" s="4">
        <f>M2-X2</f>
      </c>
      <c r="AG2" s="4">
        <f>Y2-AF2</f>
      </c>
      <c r="AL2" t="s">
        <v>1</v>
      </c>
    </row>
    <row r="3" spans="1:38" x14ac:dyDescent="0.25">
      <c r="A3" s="8">
        <v>46226.5</v>
      </c>
      <c r="B3" t="s">
        <v>202</v>
      </c>
      <c r="C3" t="s">
        <v>203</v>
      </c>
      <c r="D3" s="9" t="s">
        <v>204</v>
      </c>
      <c r="E3" t="s">
        <v>203</v>
      </c>
      <c r="F3" t="s">
        <v>83</v>
      </c>
      <c r="G3" t="s">
        <v>78</v>
      </c>
      <c r="H3" t="s">
        <v>79</v>
      </c>
      <c r="I3">
        <v>1</v>
      </c>
      <c r="J3" s="4">
        <v>449.53</v>
      </c>
      <c r="K3" s="4">
        <v>632.67</v>
      </c>
      <c r="L3" s="4">
        <f>K3-J3</f>
      </c>
      <c r="M3" s="4">
        <f>L3*16.67%</f>
      </c>
      <c r="N3" s="4">
        <f>(K3*6.9%)-(K3*6.9%)*10%</f>
      </c>
      <c r="O3" s="4">
        <f>K3*0.35%</f>
      </c>
      <c r="P3" s="4">
        <v>0.4</v>
      </c>
      <c r="Q3" s="4">
        <f>(N3+O3+P3)*20%</f>
      </c>
      <c r="R3" s="4">
        <f>N3+O3+P3+Q3</f>
      </c>
      <c r="S3" s="4">
        <v>8</v>
      </c>
      <c r="T3" s="4">
        <v>0</v>
      </c>
      <c r="U3" s="4">
        <v>0</v>
      </c>
      <c r="V3" s="4">
        <f>U3*20%</f>
      </c>
      <c r="W3" s="4">
        <v>1</v>
      </c>
      <c r="X3" s="4">
        <f>Q3+T3+V3</f>
      </c>
      <c r="Y3" s="4">
        <f>L3-M3-R3-S3-T3-U3-V3-W3</f>
      </c>
      <c r="Z3" s="4">
        <f>(Y3-AF3)/J3*100</f>
      </c>
      <c r="AA3" s="4">
        <f>M3-X3</f>
      </c>
      <c r="AG3" s="4">
        <f>Y3-AF3</f>
      </c>
      <c r="AL3" t="s">
        <v>1</v>
      </c>
    </row>
    <row r="4" spans="1:38" x14ac:dyDescent="0.25">
      <c r="A4" s="8">
        <v>46224.5</v>
      </c>
      <c r="B4" t="s">
        <v>205</v>
      </c>
      <c r="C4" t="s">
        <v>150</v>
      </c>
      <c r="D4" s="9" t="s">
        <v>206</v>
      </c>
      <c r="E4" t="s">
        <v>65</v>
      </c>
      <c r="F4" t="s">
        <v>66</v>
      </c>
      <c r="G4" t="s">
        <v>78</v>
      </c>
      <c r="H4" t="s">
        <v>91</v>
      </c>
      <c r="I4">
        <v>1</v>
      </c>
      <c r="J4" s="4">
        <v>462.92</v>
      </c>
      <c r="K4" s="4">
        <v>686.89</v>
      </c>
      <c r="L4" s="4">
        <f>K4-J4</f>
      </c>
      <c r="M4" s="4">
        <f>L4*16.67%</f>
      </c>
      <c r="N4" s="4">
        <f>(K4*6.9%)-(K4*6.9%)*10%</f>
      </c>
      <c r="O4" s="4">
        <f>K4*0.35%</f>
      </c>
      <c r="P4" s="4">
        <v>0.4</v>
      </c>
      <c r="Q4" s="4">
        <f>(N4+O4+P4)*20%</f>
      </c>
      <c r="R4" s="4">
        <f>N4+O4+P4+Q4</f>
      </c>
      <c r="S4" s="4">
        <v>8</v>
      </c>
      <c r="T4" s="4">
        <v>0</v>
      </c>
      <c r="U4" s="4">
        <v>0</v>
      </c>
      <c r="V4" s="4">
        <f>U4*20%</f>
      </c>
      <c r="W4" s="4">
        <v>1</v>
      </c>
      <c r="X4" s="4">
        <f>Q4+T4+V4</f>
      </c>
      <c r="Y4" s="4">
        <f>L4-M4-R4-S4-T4-U4-V4-W4</f>
      </c>
      <c r="Z4" s="4">
        <f>(Y4-AF4)/J4*100</f>
      </c>
      <c r="AA4" s="4">
        <f>M4-X4</f>
      </c>
      <c r="AG4" s="4">
        <f>Y4-AF4</f>
      </c>
      <c r="AL4" t="s">
        <v>1</v>
      </c>
    </row>
    <row r="5" spans="1:38" x14ac:dyDescent="0.25">
      <c r="A5" s="8">
        <v>46223.5</v>
      </c>
      <c r="B5" t="s">
        <v>207</v>
      </c>
      <c r="C5" t="s">
        <v>150</v>
      </c>
      <c r="D5" s="9" t="s">
        <v>208</v>
      </c>
      <c r="E5" t="s">
        <v>65</v>
      </c>
      <c r="F5" t="s">
        <v>77</v>
      </c>
      <c r="G5" t="s">
        <v>78</v>
      </c>
      <c r="H5" t="s">
        <v>79</v>
      </c>
      <c r="I5">
        <v>1</v>
      </c>
      <c r="J5" s="4">
        <v>500.16</v>
      </c>
      <c r="K5" s="4">
        <v>745.1</v>
      </c>
      <c r="L5" s="4">
        <f>K5-J5</f>
      </c>
      <c r="M5" s="4">
        <f>L5*16.67%</f>
      </c>
      <c r="N5" s="4">
        <f>(K5*6.9%)-(K5*6.9%)*10%</f>
      </c>
      <c r="O5" s="4">
        <f>K5*0.35%</f>
      </c>
      <c r="P5" s="4">
        <v>0.4</v>
      </c>
      <c r="Q5" s="4">
        <f>(N5+O5+P5)*20%</f>
      </c>
      <c r="R5" s="4">
        <f>N5+O5+P5+Q5</f>
      </c>
      <c r="S5" s="4">
        <v>8</v>
      </c>
      <c r="T5" s="4">
        <v>0</v>
      </c>
      <c r="U5" s="4">
        <v>0</v>
      </c>
      <c r="V5" s="4">
        <f>U5*20%</f>
      </c>
      <c r="W5" s="4">
        <v>1</v>
      </c>
      <c r="X5" s="4">
        <f>Q5+T5+V5</f>
      </c>
      <c r="Y5" s="4">
        <f>L5-M5-R5-S5-T5-U5-V5-W5</f>
      </c>
      <c r="Z5" s="4">
        <f>(Y5-AF5)/J5*100</f>
      </c>
      <c r="AA5" s="4">
        <f>M5-X5</f>
      </c>
      <c r="AG5" s="4">
        <f>Y5-AF5</f>
      </c>
      <c r="AL5" t="s">
        <v>1</v>
      </c>
    </row>
    <row r="6" spans="1:38" x14ac:dyDescent="0.25">
      <c r="A6" s="8">
        <v>46222.5</v>
      </c>
      <c r="B6" t="s">
        <v>209</v>
      </c>
      <c r="C6" t="s">
        <v>93</v>
      </c>
      <c r="D6" s="9" t="s">
        <v>210</v>
      </c>
      <c r="E6" t="s">
        <v>65</v>
      </c>
      <c r="F6" t="s">
        <v>95</v>
      </c>
      <c r="G6" t="s">
        <v>72</v>
      </c>
      <c r="H6" t="s">
        <v>68</v>
      </c>
      <c r="I6">
        <v>1</v>
      </c>
      <c r="J6" s="4">
        <v>334.64</v>
      </c>
      <c r="K6" s="4">
        <v>432.05</v>
      </c>
      <c r="L6" s="4">
        <f>K6-J6</f>
      </c>
      <c r="M6" s="4">
        <f>L6*16.67%</f>
      </c>
      <c r="N6" s="4">
        <f>(K6*6.9%)-(K6*6.9%)*10%</f>
      </c>
      <c r="O6" s="4">
        <f>K6*0.35%</f>
      </c>
      <c r="P6" s="4">
        <v>0.4</v>
      </c>
      <c r="Q6" s="4">
        <f>(N6+O6+P6)*20%</f>
      </c>
      <c r="R6" s="4">
        <f>N6+O6+P6+Q6</f>
      </c>
      <c r="S6" s="4">
        <v>2</v>
      </c>
      <c r="T6" s="4">
        <v>0</v>
      </c>
      <c r="U6" s="4">
        <v>0</v>
      </c>
      <c r="V6" s="4">
        <f>U6*20%</f>
      </c>
      <c r="W6" s="4">
        <v>1</v>
      </c>
      <c r="X6" s="4">
        <f>Q6+T6+V6</f>
      </c>
      <c r="Y6" s="4">
        <f>L6-M6-R6-S6-T6-U6-V6-W6</f>
      </c>
      <c r="Z6" s="4">
        <f>(Y6-AF6)/J6*100</f>
      </c>
      <c r="AA6" s="4">
        <f>M6-X6</f>
      </c>
      <c r="AG6" s="4">
        <f>Y6-AF6</f>
      </c>
      <c r="AL6" t="s">
        <v>1</v>
      </c>
    </row>
    <row r="7" spans="1:38" x14ac:dyDescent="0.25">
      <c r="A7" s="8">
        <v>46221.5</v>
      </c>
      <c r="B7" t="s">
        <v>211</v>
      </c>
      <c r="C7" t="s">
        <v>89</v>
      </c>
      <c r="D7" s="9" t="s">
        <v>212</v>
      </c>
      <c r="E7" t="s">
        <v>65</v>
      </c>
      <c r="F7" t="s">
        <v>77</v>
      </c>
      <c r="G7" t="s">
        <v>72</v>
      </c>
      <c r="H7" t="s">
        <v>79</v>
      </c>
      <c r="I7">
        <v>1</v>
      </c>
      <c r="J7" s="4">
        <v>219.35</v>
      </c>
      <c r="K7" s="4">
        <v>322.18</v>
      </c>
      <c r="L7" s="4">
        <f>K7-J7</f>
      </c>
      <c r="M7" s="4">
        <f>L7*16.67%</f>
      </c>
      <c r="N7" s="4">
        <f>(K7*6.9%)-(K7*6.9%)*10%</f>
      </c>
      <c r="O7" s="4">
        <f>K7*0.35%</f>
      </c>
      <c r="P7" s="4">
        <v>0.4</v>
      </c>
      <c r="Q7" s="4">
        <f>(N7+O7+P7)*20%</f>
      </c>
      <c r="R7" s="4">
        <f>N7+O7+P7+Q7</f>
      </c>
      <c r="S7" s="4">
        <v>2</v>
      </c>
      <c r="T7" s="4">
        <v>0</v>
      </c>
      <c r="U7" s="4">
        <v>0</v>
      </c>
      <c r="V7" s="4">
        <f>U7*20%</f>
      </c>
      <c r="W7" s="4">
        <v>1</v>
      </c>
      <c r="X7" s="4">
        <f>Q7+T7+V7</f>
      </c>
      <c r="Y7" s="4">
        <f>L7-M7-R7-S7-T7-U7-V7-W7</f>
      </c>
      <c r="Z7" s="4">
        <f>(Y7-AF7)/J7*100</f>
      </c>
      <c r="AA7" s="4">
        <f>M7-X7</f>
      </c>
      <c r="AG7" s="4">
        <f>Y7-AF7</f>
      </c>
      <c r="AL7" t="s">
        <v>1</v>
      </c>
    </row>
    <row r="8" spans="1:38" x14ac:dyDescent="0.25">
      <c r="A8" s="8">
        <v>46219.5</v>
      </c>
      <c r="B8" t="s">
        <v>213</v>
      </c>
      <c r="C8" t="s">
        <v>214</v>
      </c>
      <c r="D8" s="9" t="s">
        <v>215</v>
      </c>
      <c r="E8" t="s">
        <v>214</v>
      </c>
      <c r="F8" t="s">
        <v>133</v>
      </c>
      <c r="G8" t="s">
        <v>72</v>
      </c>
      <c r="H8" t="s">
        <v>91</v>
      </c>
      <c r="I8">
        <v>1</v>
      </c>
      <c r="J8" s="4">
        <v>275.49</v>
      </c>
      <c r="K8" s="4">
        <v>405.63</v>
      </c>
      <c r="L8" s="4">
        <f>K8-J8</f>
      </c>
      <c r="M8" s="4">
        <f>L8*16.67%</f>
      </c>
      <c r="N8" s="4">
        <f>(K8*6.9%)-(K8*6.9%)*10%</f>
      </c>
      <c r="O8" s="4">
        <f>K8*0.35%</f>
      </c>
      <c r="P8" s="4">
        <v>0.4</v>
      </c>
      <c r="Q8" s="4">
        <f>(N8+O8+P8)*20%</f>
      </c>
      <c r="R8" s="4">
        <f>N8+O8+P8+Q8</f>
      </c>
      <c r="S8" s="4">
        <v>8</v>
      </c>
      <c r="T8" s="4">
        <v>0</v>
      </c>
      <c r="U8" s="4">
        <v>0</v>
      </c>
      <c r="V8" s="4">
        <f>U8*20%</f>
      </c>
      <c r="W8" s="4">
        <v>1</v>
      </c>
      <c r="X8" s="4">
        <f>Q8+T8+V8</f>
      </c>
      <c r="Y8" s="4">
        <f>L8-M8-R8-S8-T8-U8-V8-W8</f>
      </c>
      <c r="Z8" s="4">
        <f>(Y8-AF8)/J8*100</f>
      </c>
      <c r="AA8" s="4">
        <f>M8-X8</f>
      </c>
      <c r="AG8" s="4">
        <f>Y8-AF8</f>
      </c>
      <c r="AL8" t="s">
        <v>1</v>
      </c>
    </row>
    <row r="9" spans="1:38" x14ac:dyDescent="0.25">
      <c r="A9" s="8">
        <v>46218.5</v>
      </c>
      <c r="B9" t="s">
        <v>216</v>
      </c>
      <c r="C9" t="s">
        <v>217</v>
      </c>
      <c r="D9" s="9" t="s">
        <v>218</v>
      </c>
      <c r="E9" t="s">
        <v>217</v>
      </c>
      <c r="F9" t="s">
        <v>129</v>
      </c>
      <c r="G9" t="s">
        <v>78</v>
      </c>
      <c r="H9" t="s">
        <v>79</v>
      </c>
      <c r="I9">
        <v>1</v>
      </c>
      <c r="J9" s="4">
        <v>431.55</v>
      </c>
      <c r="K9" s="4">
        <v>555.17</v>
      </c>
      <c r="L9" s="4">
        <f>K9-J9</f>
      </c>
      <c r="M9" s="4">
        <f>L9*16.67%</f>
      </c>
      <c r="N9" s="4">
        <f>(K9*6.9%)-(K9*6.9%)*10%</f>
      </c>
      <c r="O9" s="4">
        <f>K9*0.35%</f>
      </c>
      <c r="P9" s="4">
        <v>0.4</v>
      </c>
      <c r="Q9" s="4">
        <f>(N9+O9+P9)*20%</f>
      </c>
      <c r="R9" s="4">
        <f>N9+O9+P9+Q9</f>
      </c>
      <c r="S9" s="4">
        <v>8</v>
      </c>
      <c r="T9" s="4">
        <v>0</v>
      </c>
      <c r="U9" s="4">
        <v>0</v>
      </c>
      <c r="V9" s="4">
        <f>U9*20%</f>
      </c>
      <c r="W9" s="4">
        <v>1</v>
      </c>
      <c r="X9" s="4">
        <f>Q9+T9+V9</f>
      </c>
      <c r="Y9" s="4">
        <f>L9-M9-R9-S9-T9-U9-V9-W9</f>
      </c>
      <c r="Z9" s="4">
        <f>(Y9-AF9)/J9*100</f>
      </c>
      <c r="AA9" s="4">
        <f>M9-X9</f>
      </c>
      <c r="AG9" s="4">
        <f>Y9-AF9</f>
      </c>
      <c r="AL9" t="s">
        <v>1</v>
      </c>
    </row>
    <row r="10" spans="1:38" x14ac:dyDescent="0.25">
      <c r="A10" s="8">
        <v>46217.5</v>
      </c>
      <c r="B10" t="s">
        <v>219</v>
      </c>
      <c r="C10" t="s">
        <v>167</v>
      </c>
      <c r="D10" s="9" t="s">
        <v>168</v>
      </c>
      <c r="E10" t="s">
        <v>167</v>
      </c>
      <c r="F10" t="s">
        <v>87</v>
      </c>
      <c r="G10" t="s">
        <v>72</v>
      </c>
      <c r="H10" t="s">
        <v>73</v>
      </c>
      <c r="I10">
        <v>1</v>
      </c>
      <c r="J10" s="4">
        <v>262.94</v>
      </c>
      <c r="K10" s="4">
        <v>393.16</v>
      </c>
      <c r="L10" s="4">
        <f>K10-J10</f>
      </c>
      <c r="M10" s="4">
        <f>L10*16.67%</f>
      </c>
      <c r="N10" s="4">
        <f>(K10*6.9%)-(K10*6.9%)*10%</f>
      </c>
      <c r="O10" s="4">
        <f>K10*0.35%</f>
      </c>
      <c r="P10" s="4">
        <v>0.4</v>
      </c>
      <c r="Q10" s="4">
        <f>(N10+O10+P10)*20%</f>
      </c>
      <c r="R10" s="4">
        <f>N10+O10+P10+Q10</f>
      </c>
      <c r="S10" s="4">
        <v>2</v>
      </c>
      <c r="T10" s="4">
        <v>0</v>
      </c>
      <c r="U10" s="4">
        <v>0</v>
      </c>
      <c r="V10" s="4">
        <f>U10*20%</f>
      </c>
      <c r="W10" s="4">
        <v>1</v>
      </c>
      <c r="X10" s="4">
        <f>Q10+T10+V10</f>
      </c>
      <c r="Y10" s="4">
        <f>L10-M10-R10-S10-T10-U10-V10-W10</f>
      </c>
      <c r="Z10" s="4">
        <f>(Y10-AF10)/J10*100</f>
      </c>
      <c r="AA10" s="4">
        <f>M10-X10</f>
      </c>
      <c r="AG10" s="4">
        <f>Y10-AF10</f>
      </c>
      <c r="AL10" t="s">
        <v>1</v>
      </c>
    </row>
    <row r="11" spans="1:38" x14ac:dyDescent="0.25">
      <c r="A11" s="8">
        <v>46216.5</v>
      </c>
      <c r="B11" t="s">
        <v>220</v>
      </c>
      <c r="C11" t="s">
        <v>147</v>
      </c>
      <c r="D11" s="9" t="s">
        <v>221</v>
      </c>
      <c r="E11" t="s">
        <v>147</v>
      </c>
      <c r="F11" t="s">
        <v>129</v>
      </c>
      <c r="G11" t="s">
        <v>72</v>
      </c>
      <c r="H11" t="s">
        <v>73</v>
      </c>
      <c r="I11">
        <v>1</v>
      </c>
      <c r="J11" s="4">
        <v>230.57</v>
      </c>
      <c r="K11" s="4">
        <v>319.34</v>
      </c>
      <c r="L11" s="4">
        <f>K11-J11</f>
      </c>
      <c r="M11" s="4">
        <f>L11*16.67%</f>
      </c>
      <c r="N11" s="4">
        <f>(K11*6.9%)-(K11*6.9%)*10%</f>
      </c>
      <c r="O11" s="4">
        <f>K11*0.35%</f>
      </c>
      <c r="P11" s="4">
        <v>0.4</v>
      </c>
      <c r="Q11" s="4">
        <f>(N11+O11+P11)*20%</f>
      </c>
      <c r="R11" s="4">
        <f>N11+O11+P11+Q11</f>
      </c>
      <c r="S11" s="4">
        <v>8</v>
      </c>
      <c r="T11" s="4">
        <v>0</v>
      </c>
      <c r="U11" s="4">
        <v>0</v>
      </c>
      <c r="V11" s="4">
        <f>U11*20%</f>
      </c>
      <c r="W11" s="4">
        <v>1</v>
      </c>
      <c r="X11" s="4">
        <f>Q11+T11+V11</f>
      </c>
      <c r="Y11" s="4">
        <f>L11-M11-R11-S11-T11-U11-V11-W11</f>
      </c>
      <c r="Z11" s="4">
        <f>(Y11-AF11)/J11*100</f>
      </c>
      <c r="AA11" s="4">
        <f>M11-X11</f>
      </c>
      <c r="AG11" s="4">
        <f>Y11-AF11</f>
      </c>
      <c r="AL11" t="s">
        <v>1</v>
      </c>
    </row>
    <row r="12" spans="1:38" x14ac:dyDescent="0.25">
      <c r="A12" s="8">
        <v>46214.5</v>
      </c>
      <c r="B12" t="s">
        <v>222</v>
      </c>
      <c r="C12" t="s">
        <v>157</v>
      </c>
      <c r="D12" s="9" t="s">
        <v>223</v>
      </c>
      <c r="E12" t="s">
        <v>65</v>
      </c>
      <c r="F12" t="s">
        <v>83</v>
      </c>
      <c r="G12" t="s">
        <v>72</v>
      </c>
      <c r="H12" t="s">
        <v>91</v>
      </c>
      <c r="I12">
        <v>1</v>
      </c>
      <c r="J12" s="4">
        <v>315.22</v>
      </c>
      <c r="K12" s="4">
        <v>397.26</v>
      </c>
      <c r="L12" s="4">
        <f>K12-J12</f>
      </c>
      <c r="M12" s="4">
        <f>L12*16.67%</f>
      </c>
      <c r="N12" s="4">
        <f>(K12*6.9%)-(K12*6.9%)*10%</f>
      </c>
      <c r="O12" s="4">
        <f>K12*0.35%</f>
      </c>
      <c r="P12" s="4">
        <v>0.4</v>
      </c>
      <c r="Q12" s="4">
        <f>(N12+O12+P12)*20%</f>
      </c>
      <c r="R12" s="4">
        <f>N12+O12+P12+Q12</f>
      </c>
      <c r="S12" s="4">
        <v>8</v>
      </c>
      <c r="T12" s="4">
        <v>0</v>
      </c>
      <c r="U12" s="4">
        <v>0</v>
      </c>
      <c r="V12" s="4">
        <f>U12*20%</f>
      </c>
      <c r="W12" s="4">
        <v>1</v>
      </c>
      <c r="X12" s="4">
        <f>Q12+T12+V12</f>
      </c>
      <c r="Y12" s="4">
        <f>L12-M12-R12-S12-T12-U12-V12-W12</f>
      </c>
      <c r="Z12" s="4">
        <f>(Y12-AF12)/J12*100</f>
      </c>
      <c r="AA12" s="4">
        <f>M12-X12</f>
      </c>
      <c r="AG12" s="4">
        <f>Y12-AF12</f>
      </c>
      <c r="AL12" t="s">
        <v>1</v>
      </c>
    </row>
    <row r="13" spans="1:38" x14ac:dyDescent="0.25">
      <c r="A13" s="8">
        <v>46213.5</v>
      </c>
      <c r="B13" t="s">
        <v>224</v>
      </c>
      <c r="C13" t="s">
        <v>153</v>
      </c>
      <c r="D13" s="9" t="s">
        <v>225</v>
      </c>
      <c r="E13" t="s">
        <v>65</v>
      </c>
      <c r="F13" t="s">
        <v>102</v>
      </c>
      <c r="G13" t="s">
        <v>72</v>
      </c>
      <c r="H13" t="s">
        <v>91</v>
      </c>
      <c r="I13">
        <v>1</v>
      </c>
      <c r="J13" s="4">
        <v>218.51</v>
      </c>
      <c r="K13" s="4">
        <v>303.91</v>
      </c>
      <c r="L13" s="4">
        <f>K13-J13</f>
      </c>
      <c r="M13" s="4">
        <f>L13*16.67%</f>
      </c>
      <c r="N13" s="4">
        <f>(K13*6.9%)-(K13*6.9%)*10%</f>
      </c>
      <c r="O13" s="4">
        <f>K13*0.35%</f>
      </c>
      <c r="P13" s="4">
        <v>0.4</v>
      </c>
      <c r="Q13" s="4">
        <f>(N13+O13+P13)*20%</f>
      </c>
      <c r="R13" s="4">
        <f>N13+O13+P13+Q13</f>
      </c>
      <c r="S13" s="4">
        <v>8</v>
      </c>
      <c r="T13" s="4">
        <v>0</v>
      </c>
      <c r="U13" s="4">
        <v>0</v>
      </c>
      <c r="V13" s="4">
        <f>U13*20%</f>
      </c>
      <c r="W13" s="4">
        <v>1</v>
      </c>
      <c r="X13" s="4">
        <f>Q13+T13+V13</f>
      </c>
      <c r="Y13" s="4">
        <f>L13-M13-R13-S13-T13-U13-V13-W13</f>
      </c>
      <c r="Z13" s="4">
        <f>(Y13-AF13)/J13*100</f>
      </c>
      <c r="AA13" s="4">
        <f>M13-X13</f>
      </c>
      <c r="AG13" s="4">
        <f>Y13-AF13</f>
      </c>
      <c r="AL13" t="s">
        <v>1</v>
      </c>
    </row>
    <row r="14" spans="1:38" x14ac:dyDescent="0.25">
      <c r="A14" s="8">
        <v>46212.5</v>
      </c>
      <c r="B14" t="s">
        <v>226</v>
      </c>
      <c r="C14" t="s">
        <v>227</v>
      </c>
      <c r="D14" s="9" t="s">
        <v>228</v>
      </c>
      <c r="E14" t="s">
        <v>65</v>
      </c>
      <c r="F14" t="s">
        <v>87</v>
      </c>
      <c r="G14" t="s">
        <v>67</v>
      </c>
      <c r="H14" t="s">
        <v>91</v>
      </c>
      <c r="I14">
        <v>1</v>
      </c>
      <c r="J14" s="4">
        <v>196.32</v>
      </c>
      <c r="K14" s="4">
        <v>281.67</v>
      </c>
      <c r="L14" s="4">
        <f>K14-J14</f>
      </c>
      <c r="M14" s="4">
        <f>L14*16.67%</f>
      </c>
      <c r="N14" s="4">
        <f>(K14*6.9%)-(K14*6.9%)*10%</f>
      </c>
      <c r="O14" s="4">
        <f>K14*0.35%</f>
      </c>
      <c r="P14" s="4">
        <v>0.4</v>
      </c>
      <c r="Q14" s="4">
        <f>(N14+O14+P14)*20%</f>
      </c>
      <c r="R14" s="4">
        <f>N14+O14+P14+Q14</f>
      </c>
      <c r="S14" s="4">
        <v>8</v>
      </c>
      <c r="T14" s="4">
        <v>0</v>
      </c>
      <c r="U14" s="4">
        <v>0</v>
      </c>
      <c r="V14" s="4">
        <f>U14*20%</f>
      </c>
      <c r="W14" s="4">
        <v>1</v>
      </c>
      <c r="X14" s="4">
        <f>Q14+T14+V14</f>
      </c>
      <c r="Y14" s="4">
        <f>L14-M14-R14-S14-T14-U14-V14-W14</f>
      </c>
      <c r="Z14" s="4">
        <f>(Y14-AF14)/J14*100</f>
      </c>
      <c r="AA14" s="4">
        <f>M14-X14</f>
      </c>
      <c r="AG14" s="4">
        <f>Y14-AF14</f>
      </c>
      <c r="AL14" t="s">
        <v>1</v>
      </c>
    </row>
    <row r="15" spans="1:38" x14ac:dyDescent="0.25">
      <c r="A15" s="8">
        <v>46211.5</v>
      </c>
      <c r="B15" t="s">
        <v>229</v>
      </c>
      <c r="C15" t="s">
        <v>230</v>
      </c>
      <c r="D15" s="9" t="s">
        <v>231</v>
      </c>
      <c r="E15" t="s">
        <v>230</v>
      </c>
      <c r="F15" t="s">
        <v>95</v>
      </c>
      <c r="G15" t="s">
        <v>72</v>
      </c>
      <c r="H15" t="s">
        <v>79</v>
      </c>
      <c r="I15">
        <v>1</v>
      </c>
      <c r="J15" s="4">
        <v>260.29</v>
      </c>
      <c r="K15" s="4">
        <v>371.44</v>
      </c>
      <c r="L15" s="4">
        <f>K15-J15</f>
      </c>
      <c r="M15" s="4">
        <f>L15*16.67%</f>
      </c>
      <c r="N15" s="4">
        <f>(K15*6.9%)-(K15*6.9%)*10%</f>
      </c>
      <c r="O15" s="4">
        <f>K15*0.35%</f>
      </c>
      <c r="P15" s="4">
        <v>0.4</v>
      </c>
      <c r="Q15" s="4">
        <f>(N15+O15+P15)*20%</f>
      </c>
      <c r="R15" s="4">
        <f>N15+O15+P15+Q15</f>
      </c>
      <c r="S15" s="4">
        <v>6.3</v>
      </c>
      <c r="T15" s="4">
        <v>0</v>
      </c>
      <c r="U15" s="4">
        <v>0</v>
      </c>
      <c r="V15" s="4">
        <f>U15*20%</f>
      </c>
      <c r="W15" s="4">
        <v>1</v>
      </c>
      <c r="X15" s="4">
        <f>Q15+T15+V15</f>
      </c>
      <c r="Y15" s="4">
        <f>L15-M15-R15-S15-T15-U15-V15-W15</f>
      </c>
      <c r="Z15" s="4">
        <f>(Y15-AF15)/J15*100</f>
      </c>
      <c r="AA15" s="4">
        <f>M15-X15</f>
      </c>
      <c r="AG15" s="4">
        <f>Y15-AF15</f>
      </c>
      <c r="AL15" t="s">
        <v>1</v>
      </c>
    </row>
    <row r="16" spans="1:38" x14ac:dyDescent="0.25">
      <c r="A16" s="8">
        <v>46209.5</v>
      </c>
      <c r="B16" t="s">
        <v>232</v>
      </c>
      <c r="C16" t="s">
        <v>107</v>
      </c>
      <c r="D16" s="9" t="s">
        <v>233</v>
      </c>
      <c r="E16" t="s">
        <v>107</v>
      </c>
      <c r="F16" t="s">
        <v>95</v>
      </c>
      <c r="G16" t="s">
        <v>72</v>
      </c>
      <c r="H16" t="s">
        <v>91</v>
      </c>
      <c r="I16">
        <v>1</v>
      </c>
      <c r="J16" s="4">
        <v>257.31</v>
      </c>
      <c r="K16" s="4">
        <v>378.96</v>
      </c>
      <c r="L16" s="4">
        <f>K16-J16</f>
      </c>
      <c r="M16" s="4">
        <f>L16*16.67%</f>
      </c>
      <c r="N16" s="4">
        <f>(K16*6.9%)-(K16*6.9%)*10%</f>
      </c>
      <c r="O16" s="4">
        <f>K16*0.35%</f>
      </c>
      <c r="P16" s="4">
        <v>0.4</v>
      </c>
      <c r="Q16" s="4">
        <f>(N16+O16+P16)*20%</f>
      </c>
      <c r="R16" s="4">
        <f>N16+O16+P16+Q16</f>
      </c>
      <c r="S16" s="4">
        <v>8</v>
      </c>
      <c r="T16" s="4">
        <v>0</v>
      </c>
      <c r="U16" s="4">
        <v>0</v>
      </c>
      <c r="V16" s="4">
        <f>U16*20%</f>
      </c>
      <c r="W16" s="4">
        <v>1</v>
      </c>
      <c r="X16" s="4">
        <f>Q16+T16+V16</f>
      </c>
      <c r="Y16" s="4">
        <f>L16-M16-R16-S16-T16-U16-V16-W16</f>
      </c>
      <c r="Z16" s="4">
        <f>(Y16-AF16)/J16*100</f>
      </c>
      <c r="AA16" s="4">
        <f>M16-X16</f>
      </c>
      <c r="AG16" s="4">
        <f>Y16-AF16</f>
      </c>
      <c r="AL16" t="s">
        <v>1</v>
      </c>
    </row>
    <row r="17" spans="1:38" x14ac:dyDescent="0.25">
      <c r="A17" s="8">
        <v>46208.5</v>
      </c>
      <c r="B17" t="s">
        <v>234</v>
      </c>
      <c r="C17" t="s">
        <v>235</v>
      </c>
      <c r="D17" s="9" t="s">
        <v>236</v>
      </c>
      <c r="E17" t="s">
        <v>65</v>
      </c>
      <c r="F17" t="s">
        <v>145</v>
      </c>
      <c r="G17" t="s">
        <v>78</v>
      </c>
      <c r="H17" t="s">
        <v>73</v>
      </c>
      <c r="I17">
        <v>1</v>
      </c>
      <c r="J17" s="4">
        <v>497.17</v>
      </c>
      <c r="K17" s="4">
        <v>654.36</v>
      </c>
      <c r="L17" s="4">
        <f>K17-J17</f>
      </c>
      <c r="M17" s="4">
        <f>L17*16.67%</f>
      </c>
      <c r="N17" s="4">
        <f>(K17*6.9%)-(K17*6.9%)*10%</f>
      </c>
      <c r="O17" s="4">
        <f>K17*0.35%</f>
      </c>
      <c r="P17" s="4">
        <v>0.4</v>
      </c>
      <c r="Q17" s="4">
        <f>(N17+O17+P17)*20%</f>
      </c>
      <c r="R17" s="4">
        <f>N17+O17+P17+Q17</f>
      </c>
      <c r="S17" s="4">
        <v>8</v>
      </c>
      <c r="T17" s="4">
        <v>0</v>
      </c>
      <c r="U17" s="4">
        <v>0</v>
      </c>
      <c r="V17" s="4">
        <f>U17*20%</f>
      </c>
      <c r="W17" s="4">
        <v>1</v>
      </c>
      <c r="X17" s="4">
        <f>Q17+T17+V17</f>
      </c>
      <c r="Y17" s="4">
        <f>L17-M17-R17-S17-T17-U17-V17-W17</f>
      </c>
      <c r="Z17" s="4">
        <f>(Y17-AF17)/J17*100</f>
      </c>
      <c r="AA17" s="4">
        <f>M17-X17</f>
      </c>
      <c r="AG17" s="4">
        <f>Y17-AF17</f>
      </c>
      <c r="AL17" t="s">
        <v>1</v>
      </c>
    </row>
    <row r="18" spans="1:38" x14ac:dyDescent="0.25">
      <c r="A18" s="8">
        <v>46207.5</v>
      </c>
      <c r="B18" t="s">
        <v>237</v>
      </c>
      <c r="C18" t="s">
        <v>238</v>
      </c>
      <c r="D18" s="9" t="s">
        <v>239</v>
      </c>
      <c r="E18" t="s">
        <v>65</v>
      </c>
      <c r="F18" t="s">
        <v>83</v>
      </c>
      <c r="G18" t="s">
        <v>78</v>
      </c>
      <c r="H18" t="s">
        <v>91</v>
      </c>
      <c r="I18">
        <v>1</v>
      </c>
      <c r="J18" s="4">
        <v>499.91</v>
      </c>
      <c r="K18" s="4">
        <v>726.64</v>
      </c>
      <c r="L18" s="4">
        <f>K18-J18</f>
      </c>
      <c r="M18" s="4">
        <f>L18*16.67%</f>
      </c>
      <c r="N18" s="4">
        <f>(K18*6.9%)-(K18*6.9%)*10%</f>
      </c>
      <c r="O18" s="4">
        <f>K18*0.35%</f>
      </c>
      <c r="P18" s="4">
        <v>0.4</v>
      </c>
      <c r="Q18" s="4">
        <f>(N18+O18+P18)*20%</f>
      </c>
      <c r="R18" s="4">
        <f>N18+O18+P18+Q18</f>
      </c>
      <c r="S18" s="4">
        <v>8</v>
      </c>
      <c r="T18" s="4">
        <v>0</v>
      </c>
      <c r="U18" s="4">
        <v>0</v>
      </c>
      <c r="V18" s="4">
        <f>U18*20%</f>
      </c>
      <c r="W18" s="4">
        <v>1</v>
      </c>
      <c r="X18" s="4">
        <f>Q18+T18+V18</f>
      </c>
      <c r="Y18" s="4">
        <f>L18-M18-R18-S18-T18-U18-V18-W18</f>
      </c>
      <c r="Z18" s="4">
        <f>(Y18-AF18)/J18*100</f>
      </c>
      <c r="AA18" s="4">
        <f>M18-X18</f>
      </c>
      <c r="AG18" s="4">
        <f>Y18-AF18</f>
      </c>
      <c r="AL18" t="s">
        <v>1</v>
      </c>
    </row>
    <row r="19" spans="1:38" x14ac:dyDescent="0.25">
      <c r="A19" s="8">
        <v>46206.5</v>
      </c>
      <c r="B19" t="s">
        <v>240</v>
      </c>
      <c r="C19" t="s">
        <v>131</v>
      </c>
      <c r="D19" s="9" t="s">
        <v>241</v>
      </c>
      <c r="E19" t="s">
        <v>65</v>
      </c>
      <c r="F19" t="s">
        <v>133</v>
      </c>
      <c r="G19" t="s">
        <v>72</v>
      </c>
      <c r="H19" t="s">
        <v>73</v>
      </c>
      <c r="I19">
        <v>1</v>
      </c>
      <c r="J19" s="4">
        <v>322.25</v>
      </c>
      <c r="K19" s="4">
        <v>446.88</v>
      </c>
      <c r="L19" s="4">
        <f>K19-J19</f>
      </c>
      <c r="M19" s="4">
        <f>L19*16.67%</f>
      </c>
      <c r="N19" s="4">
        <f>(K19*6.9%)-(K19*6.9%)*10%</f>
      </c>
      <c r="O19" s="4">
        <f>K19*0.35%</f>
      </c>
      <c r="P19" s="4">
        <v>0.4</v>
      </c>
      <c r="Q19" s="4">
        <f>(N19+O19+P19)*20%</f>
      </c>
      <c r="R19" s="4">
        <f>N19+O19+P19+Q19</f>
      </c>
      <c r="S19" s="4">
        <v>8</v>
      </c>
      <c r="T19" s="4">
        <v>0</v>
      </c>
      <c r="U19" s="4">
        <v>0</v>
      </c>
      <c r="V19" s="4">
        <f>U19*20%</f>
      </c>
      <c r="W19" s="4">
        <v>1</v>
      </c>
      <c r="X19" s="4">
        <f>Q19+T19+V19</f>
      </c>
      <c r="Y19" s="4">
        <f>L19-M19-R19-S19-T19-U19-V19-W19</f>
      </c>
      <c r="Z19" s="4">
        <f>(Y19-AF19)/J19*100</f>
      </c>
      <c r="AA19" s="4">
        <f>M19-X19</f>
      </c>
      <c r="AG19" s="4">
        <f>Y19-AF19</f>
      </c>
      <c r="AL19" t="s">
        <v>1</v>
      </c>
    </row>
    <row r="20" spans="1:38" x14ac:dyDescent="0.25">
      <c r="A20" s="8">
        <v>46205.5</v>
      </c>
      <c r="B20" t="s">
        <v>242</v>
      </c>
      <c r="C20" t="s">
        <v>89</v>
      </c>
      <c r="D20" s="9" t="s">
        <v>243</v>
      </c>
      <c r="E20" t="s">
        <v>65</v>
      </c>
      <c r="F20" t="s">
        <v>66</v>
      </c>
      <c r="G20" t="s">
        <v>72</v>
      </c>
      <c r="H20" t="s">
        <v>91</v>
      </c>
      <c r="I20">
        <v>1</v>
      </c>
      <c r="J20" s="4">
        <v>223.04</v>
      </c>
      <c r="K20" s="4">
        <v>305.42</v>
      </c>
      <c r="L20" s="4">
        <f>K20-J20</f>
      </c>
      <c r="M20" s="4">
        <f>L20*16.67%</f>
      </c>
      <c r="N20" s="4">
        <f>(K20*6.9%)-(K20*6.9%)*10%</f>
      </c>
      <c r="O20" s="4">
        <f>K20*0.35%</f>
      </c>
      <c r="P20" s="4">
        <v>0.4</v>
      </c>
      <c r="Q20" s="4">
        <f>(N20+O20+P20)*20%</f>
      </c>
      <c r="R20" s="4">
        <f>N20+O20+P20+Q20</f>
      </c>
      <c r="S20" s="4">
        <v>2</v>
      </c>
      <c r="T20" s="4">
        <v>0</v>
      </c>
      <c r="U20" s="4">
        <v>0</v>
      </c>
      <c r="V20" s="4">
        <f>U20*20%</f>
      </c>
      <c r="W20" s="4">
        <v>1</v>
      </c>
      <c r="X20" s="4">
        <f>Q20+T20+V20</f>
      </c>
      <c r="Y20" s="4">
        <f>L20-M20-R20-S20-T20-U20-V20-W20</f>
      </c>
      <c r="Z20" s="4">
        <f>(Y20-AF20)/J20*100</f>
      </c>
      <c r="AA20" s="4">
        <f>M20-X20</f>
      </c>
      <c r="AG20" s="4">
        <f>Y20-AF20</f>
      </c>
      <c r="AL20" t="s">
        <v>1</v>
      </c>
    </row>
    <row r="21" spans="1:38" x14ac:dyDescent="0.25">
      <c r="A21" s="8">
        <v>46204.5</v>
      </c>
      <c r="B21" t="s">
        <v>244</v>
      </c>
      <c r="C21" t="s">
        <v>157</v>
      </c>
      <c r="D21" s="9" t="s">
        <v>245</v>
      </c>
      <c r="E21" t="s">
        <v>65</v>
      </c>
      <c r="F21" t="s">
        <v>83</v>
      </c>
      <c r="G21" t="s">
        <v>72</v>
      </c>
      <c r="H21" t="s">
        <v>68</v>
      </c>
      <c r="I21">
        <v>1</v>
      </c>
      <c r="J21" s="4">
        <v>222.91</v>
      </c>
      <c r="K21" s="4">
        <v>314.64</v>
      </c>
      <c r="L21" s="4">
        <f>K21-J21</f>
      </c>
      <c r="M21" s="4">
        <f>L21*16.67%</f>
      </c>
      <c r="N21" s="4">
        <f>(K21*6.9%)-(K21*6.9%)*10%</f>
      </c>
      <c r="O21" s="4">
        <f>K21*0.35%</f>
      </c>
      <c r="P21" s="4">
        <v>0.4</v>
      </c>
      <c r="Q21" s="4">
        <f>(N21+O21+P21)*20%</f>
      </c>
      <c r="R21" s="4">
        <f>N21+O21+P21+Q21</f>
      </c>
      <c r="S21" s="4">
        <v>6.3</v>
      </c>
      <c r="T21" s="4">
        <v>0</v>
      </c>
      <c r="U21" s="4">
        <v>0</v>
      </c>
      <c r="V21" s="4">
        <f>U21*20%</f>
      </c>
      <c r="W21" s="4">
        <v>1</v>
      </c>
      <c r="X21" s="4">
        <f>Q21+T21+V21</f>
      </c>
      <c r="Y21" s="4">
        <f>L21-M21-R21-S21-T21-U21-V21-W21</f>
      </c>
      <c r="Z21" s="4">
        <f>(Y21-AF21)/J21*100</f>
      </c>
      <c r="AA21" s="4">
        <f>M21-X21</f>
      </c>
      <c r="AG21" s="4">
        <f>Y21-AF21</f>
      </c>
      <c r="AL21" t="s">
        <v>1</v>
      </c>
    </row>
    <row r="22" spans="1:38" x14ac:dyDescent="0.25">
      <c r="A22" s="8"/>
      <c r="D22" s="9"/>
      <c r="J22" s="4"/>
      <c r="K22" s="4"/>
      <c r="L22" s="4">
        <f>IF($K22="","",K22-J22)</f>
      </c>
      <c r="M22" s="4">
        <f>IF($K22="","",L22*16.67%)</f>
      </c>
      <c r="N22" s="4">
        <f>IF($K22="","",(K22*6.9%)-(K22*6.9%)*10%)</f>
      </c>
      <c r="O22" s="4">
        <f>IF($K22="","",K22*0.35%)</f>
      </c>
      <c r="P22" s="4">
        <v>0.4</v>
      </c>
      <c r="Q22" s="4">
        <f>IF($K22="","",(N22+O22+P22)*20%)</f>
      </c>
      <c r="R22" s="4">
        <f>IF($K22="","",N22+O22+P22+Q22)</f>
      </c>
      <c r="S22" s="4"/>
      <c r="T22" s="4"/>
      <c r="U22" s="4"/>
      <c r="V22" s="4">
        <f>IF($K22="","",U22*20%)</f>
      </c>
      <c r="W22" s="4">
        <v>1</v>
      </c>
      <c r="X22" s="4">
        <f>IF($K22="","",Q22+T22+V22)</f>
      </c>
      <c r="Y22" s="4">
        <f>IF($K22="","",L22-M22-R22-S22-T22-U22-V22-W22)</f>
      </c>
      <c r="Z22" s="4">
        <f>IF($K22="","",(Y22-AF22)/J22*100)</f>
      </c>
      <c r="AA22" s="4">
        <f>IF($K22="","",M22-X22)</f>
      </c>
      <c r="AG22" s="4">
        <f>IF($K22="","",Y22-AF22)</f>
      </c>
    </row>
    <row r="23" spans="1:38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IF($K23="","",(K23*6.9%)-(K23*6.9%)*10%)</f>
      </c>
      <c r="O23" s="4">
        <f>IF($K23="","",K23*0.35%)</f>
      </c>
      <c r="P23" s="4">
        <v>0.4</v>
      </c>
      <c r="Q23" s="4">
        <f>IF($K23="","",(N23+O23+P23)*20%)</f>
      </c>
      <c r="R23" s="4">
        <f>IF($K23="","",N23+O23+P23+Q23)</f>
      </c>
      <c r="S23" s="4"/>
      <c r="T23" s="4"/>
      <c r="U23" s="4"/>
      <c r="V23" s="4">
        <f>IF($K23="","",U23*20%)</f>
      </c>
      <c r="W23" s="4">
        <v>1</v>
      </c>
      <c r="X23" s="4">
        <f>IF($K23="","",Q23+T23+V23)</f>
      </c>
      <c r="Y23" s="4">
        <f>IF($K23="","",L23-M23-R23-S23-T23-U23-V23-W23)</f>
      </c>
      <c r="Z23" s="4">
        <f>IF($K23="","",(Y23-AF23)/J23*100)</f>
      </c>
      <c r="AA23" s="4">
        <f>IF($K23="","",M23-X23)</f>
      </c>
      <c r="AG23" s="4">
        <f>IF($K23="","",Y23-AF23)</f>
      </c>
    </row>
    <row r="24" spans="1:38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IF($K24="","",(K24*6.9%)-(K24*6.9%)*10%)</f>
      </c>
      <c r="O24" s="4">
        <f>IF($K24="","",K24*0.35%)</f>
      </c>
      <c r="P24" s="4">
        <v>0.4</v>
      </c>
      <c r="Q24" s="4">
        <f>IF($K24="","",(N24+O24+P24)*20%)</f>
      </c>
      <c r="R24" s="4">
        <f>IF($K24="","",N24+O24+P24+Q24)</f>
      </c>
      <c r="S24" s="4"/>
      <c r="T24" s="4"/>
      <c r="U24" s="4"/>
      <c r="V24" s="4">
        <f>IF($K24="","",U24*20%)</f>
      </c>
      <c r="W24" s="4">
        <v>1</v>
      </c>
      <c r="X24" s="4">
        <f>IF($K24="","",Q24+T24+V24)</f>
      </c>
      <c r="Y24" s="4">
        <f>IF($K24="","",L24-M24-R24-S24-T24-U24-V24-W24)</f>
      </c>
      <c r="Z24" s="4">
        <f>IF($K24="","",(Y24-AF24)/J24*100)</f>
      </c>
      <c r="AA24" s="4">
        <f>IF($K24="","",M24-X24)</f>
      </c>
      <c r="AG24" s="4">
        <f>IF($K24="","",Y24-AF24)</f>
      </c>
    </row>
    <row r="25" spans="1:38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IF($K25="","",(K25*6.9%)-(K25*6.9%)*10%)</f>
      </c>
      <c r="O25" s="4">
        <f>IF($K25="","",K25*0.35%)</f>
      </c>
      <c r="P25" s="4">
        <v>0.4</v>
      </c>
      <c r="Q25" s="4">
        <f>IF($K25="","",(N25+O25+P25)*20%)</f>
      </c>
      <c r="R25" s="4">
        <f>IF($K25="","",N25+O25+P25+Q25)</f>
      </c>
      <c r="S25" s="4"/>
      <c r="T25" s="4"/>
      <c r="U25" s="4"/>
      <c r="V25" s="4">
        <f>IF($K25="","",U25*20%)</f>
      </c>
      <c r="W25" s="4">
        <v>1</v>
      </c>
      <c r="X25" s="4">
        <f>IF($K25="","",Q25+T25+V25)</f>
      </c>
      <c r="Y25" s="4">
        <f>IF($K25="","",L25-M25-R25-S25-T25-U25-V25-W25)</f>
      </c>
      <c r="Z25" s="4">
        <f>IF($K25="","",(Y25-AF25)/J25*100)</f>
      </c>
      <c r="AA25" s="4">
        <f>IF($K25="","",M25-X25)</f>
      </c>
      <c r="AG25" s="4">
        <f>IF($K25="","",Y25-AF25)</f>
      </c>
    </row>
    <row r="26" spans="1:38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IF($K26="","",(K26*6.9%)-(K26*6.9%)*10%)</f>
      </c>
      <c r="O26" s="4">
        <f>IF($K26="","",K26*0.35%)</f>
      </c>
      <c r="P26" s="4">
        <v>0.4</v>
      </c>
      <c r="Q26" s="4">
        <f>IF($K26="","",(N26+O26+P26)*20%)</f>
      </c>
      <c r="R26" s="4">
        <f>IF($K26="","",N26+O26+P26+Q26)</f>
      </c>
      <c r="S26" s="4"/>
      <c r="T26" s="4"/>
      <c r="U26" s="4"/>
      <c r="V26" s="4">
        <f>IF($K26="","",U26*20%)</f>
      </c>
      <c r="W26" s="4">
        <v>1</v>
      </c>
      <c r="X26" s="4">
        <f>IF($K26="","",Q26+T26+V26)</f>
      </c>
      <c r="Y26" s="4">
        <f>IF($K26="","",L26-M26-R26-S26-T26-U26-V26-W26)</f>
      </c>
      <c r="Z26" s="4">
        <f>IF($K26="","",(Y26-AF26)/J26*100)</f>
      </c>
      <c r="AA26" s="4">
        <f>IF($K26="","",M26-X26)</f>
      </c>
      <c r="AG26" s="4">
        <f>IF($K26="","",Y26-AF26)</f>
      </c>
    </row>
    <row r="27" spans="1:38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IF($K27="","",(K27*6.9%)-(K27*6.9%)*10%)</f>
      </c>
      <c r="O27" s="4">
        <f>IF($K27="","",K27*0.35%)</f>
      </c>
      <c r="P27" s="4">
        <v>0.4</v>
      </c>
      <c r="Q27" s="4">
        <f>IF($K27="","",(N27+O27+P27)*20%)</f>
      </c>
      <c r="R27" s="4">
        <f>IF($K27="","",N27+O27+P27+Q27)</f>
      </c>
      <c r="S27" s="4"/>
      <c r="T27" s="4"/>
      <c r="U27" s="4"/>
      <c r="V27" s="4">
        <f>IF($K27="","",U27*20%)</f>
      </c>
      <c r="W27" s="4">
        <v>1</v>
      </c>
      <c r="X27" s="4">
        <f>IF($K27="","",Q27+T27+V27)</f>
      </c>
      <c r="Y27" s="4">
        <f>IF($K27="","",L27-M27-R27-S27-T27-U27-V27-W27)</f>
      </c>
      <c r="Z27" s="4">
        <f>IF($K27="","",(Y27-AF27)/J27*100)</f>
      </c>
      <c r="AA27" s="4">
        <f>IF($K27="","",M27-X27)</f>
      </c>
      <c r="AG27" s="4">
        <f>IF($K27="","",Y27-AF27)</f>
      </c>
    </row>
    <row r="28" spans="1:38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IF($K28="","",(K28*6.9%)-(K28*6.9%)*10%)</f>
      </c>
      <c r="O28" s="4">
        <f>IF($K28="","",K28*0.35%)</f>
      </c>
      <c r="P28" s="4">
        <v>0.4</v>
      </c>
      <c r="Q28" s="4">
        <f>IF($K28="","",(N28+O28+P28)*20%)</f>
      </c>
      <c r="R28" s="4">
        <f>IF($K28="","",N28+O28+P28+Q28)</f>
      </c>
      <c r="S28" s="4"/>
      <c r="T28" s="4"/>
      <c r="U28" s="4"/>
      <c r="V28" s="4">
        <f>IF($K28="","",U28*20%)</f>
      </c>
      <c r="W28" s="4">
        <v>1</v>
      </c>
      <c r="X28" s="4">
        <f>IF($K28="","",Q28+T28+V28)</f>
      </c>
      <c r="Y28" s="4">
        <f>IF($K28="","",L28-M28-R28-S28-T28-U28-V28-W28)</f>
      </c>
      <c r="Z28" s="4">
        <f>IF($K28="","",(Y28-AF28)/J28*100)</f>
      </c>
      <c r="AA28" s="4">
        <f>IF($K28="","",M28-X28)</f>
      </c>
      <c r="AG28" s="4">
        <f>IF($K28="","",Y28-AF28)</f>
      </c>
    </row>
    <row r="29" spans="1:38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IF($K29="","",(K29*6.9%)-(K29*6.9%)*10%)</f>
      </c>
      <c r="O29" s="4">
        <f>IF($K29="","",K29*0.35%)</f>
      </c>
      <c r="P29" s="4">
        <v>0.4</v>
      </c>
      <c r="Q29" s="4">
        <f>IF($K29="","",(N29+O29+P29)*20%)</f>
      </c>
      <c r="R29" s="4">
        <f>IF($K29="","",N29+O29+P29+Q29)</f>
      </c>
      <c r="S29" s="4"/>
      <c r="T29" s="4"/>
      <c r="U29" s="4"/>
      <c r="V29" s="4">
        <f>IF($K29="","",U29*20%)</f>
      </c>
      <c r="W29" s="4">
        <v>1</v>
      </c>
      <c r="X29" s="4">
        <f>IF($K29="","",Q29+T29+V29)</f>
      </c>
      <c r="Y29" s="4">
        <f>IF($K29="","",L29-M29-R29-S29-T29-U29-V29-W29)</f>
      </c>
      <c r="Z29" s="4">
        <f>IF($K29="","",(Y29-AF29)/J29*100)</f>
      </c>
      <c r="AA29" s="4">
        <f>IF($K29="","",M29-X29)</f>
      </c>
      <c r="AG29" s="4">
        <f>IF($K29="","",Y29-AF29)</f>
      </c>
    </row>
    <row r="30" spans="1:38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IF($K30="","",(K30*6.9%)-(K30*6.9%)*10%)</f>
      </c>
      <c r="O30" s="4">
        <f>IF($K30="","",K30*0.35%)</f>
      </c>
      <c r="P30" s="4">
        <v>0.4</v>
      </c>
      <c r="Q30" s="4">
        <f>IF($K30="","",(N30+O30+P30)*20%)</f>
      </c>
      <c r="R30" s="4">
        <f>IF($K30="","",N30+O30+P30+Q30)</f>
      </c>
      <c r="S30" s="4"/>
      <c r="T30" s="4"/>
      <c r="U30" s="4"/>
      <c r="V30" s="4">
        <f>IF($K30="","",U30*20%)</f>
      </c>
      <c r="W30" s="4">
        <v>1</v>
      </c>
      <c r="X30" s="4">
        <f>IF($K30="","",Q30+T30+V30)</f>
      </c>
      <c r="Y30" s="4">
        <f>IF($K30="","",L30-M30-R30-S30-T30-U30-V30-W30)</f>
      </c>
      <c r="Z30" s="4">
        <f>IF($K30="","",(Y30-AF30)/J30*100)</f>
      </c>
      <c r="AA30" s="4">
        <f>IF($K30="","",M30-X30)</f>
      </c>
      <c r="AG30" s="4">
        <f>IF($K30="","",Y30-AF30)</f>
      </c>
    </row>
    <row r="31" spans="1:38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IF($K31="","",(K31*6.9%)-(K31*6.9%)*10%)</f>
      </c>
      <c r="O31" s="4">
        <f>IF($K31="","",K31*0.35%)</f>
      </c>
      <c r="P31" s="4">
        <v>0.4</v>
      </c>
      <c r="Q31" s="4">
        <f>IF($K31="","",(N31+O31+P31)*20%)</f>
      </c>
      <c r="R31" s="4">
        <f>IF($K31="","",N31+O31+P31+Q31)</f>
      </c>
      <c r="S31" s="4"/>
      <c r="T31" s="4"/>
      <c r="U31" s="4"/>
      <c r="V31" s="4">
        <f>IF($K31="","",U31*20%)</f>
      </c>
      <c r="W31" s="4">
        <v>1</v>
      </c>
      <c r="X31" s="4">
        <f>IF($K31="","",Q31+T31+V31)</f>
      </c>
      <c r="Y31" s="4">
        <f>IF($K31="","",L31-M31-R31-S31-T31-U31-V31-W31)</f>
      </c>
      <c r="Z31" s="4">
        <f>IF($K31="","",(Y31-AF31)/J31*100)</f>
      </c>
      <c r="AA31" s="4">
        <f>IF($K31="","",M31-X31)</f>
      </c>
      <c r="AG31" s="4">
        <f>IF($K31="","",Y31-AF31)</f>
      </c>
    </row>
    <row r="32" spans="1:38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IF($K32="","",(K32*6.9%)-(K32*6.9%)*10%)</f>
      </c>
      <c r="O32" s="4">
        <f>IF($K32="","",K32*0.35%)</f>
      </c>
      <c r="P32" s="4">
        <v>0.4</v>
      </c>
      <c r="Q32" s="4">
        <f>IF($K32="","",(N32+O32+P32)*20%)</f>
      </c>
      <c r="R32" s="4">
        <f>IF($K32="","",N32+O32+P32+Q32)</f>
      </c>
      <c r="S32" s="4"/>
      <c r="T32" s="4"/>
      <c r="U32" s="4"/>
      <c r="V32" s="4">
        <f>IF($K32="","",U32*20%)</f>
      </c>
      <c r="W32" s="4">
        <v>1</v>
      </c>
      <c r="X32" s="4">
        <f>IF($K32="","",Q32+T32+V32)</f>
      </c>
      <c r="Y32" s="4">
        <f>IF($K32="","",L32-M32-R32-S32-T32-U32-V32-W32)</f>
      </c>
      <c r="Z32" s="4">
        <f>IF($K32="","",(Y32-AF32)/J32*100)</f>
      </c>
      <c r="AA32" s="4">
        <f>IF($K32="","",M32-X32)</f>
      </c>
      <c r="AG32" s="4">
        <f>IF($K32="","",Y32-AF32)</f>
      </c>
    </row>
    <row r="33" spans="1:38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IF($K33="","",(K33*6.9%)-(K33*6.9%)*10%)</f>
      </c>
      <c r="O33" s="4">
        <f>IF($K33="","",K33*0.35%)</f>
      </c>
      <c r="P33" s="4">
        <v>0.4</v>
      </c>
      <c r="Q33" s="4">
        <f>IF($K33="","",(N33+O33+P33)*20%)</f>
      </c>
      <c r="R33" s="4">
        <f>IF($K33="","",N33+O33+P33+Q33)</f>
      </c>
      <c r="S33" s="4"/>
      <c r="T33" s="4"/>
      <c r="U33" s="4"/>
      <c r="V33" s="4">
        <f>IF($K33="","",U33*20%)</f>
      </c>
      <c r="W33" s="4">
        <v>1</v>
      </c>
      <c r="X33" s="4">
        <f>IF($K33="","",Q33+T33+V33)</f>
      </c>
      <c r="Y33" s="4">
        <f>IF($K33="","",L33-M33-R33-S33-T33-U33-V33-W33)</f>
      </c>
      <c r="Z33" s="4">
        <f>IF($K33="","",(Y33-AF33)/J33*100)</f>
      </c>
      <c r="AA33" s="4">
        <f>IF($K33="","",M33-X33)</f>
      </c>
      <c r="AG33" s="4">
        <f>IF($K33="","",Y33-AF33)</f>
      </c>
    </row>
    <row r="34" spans="1:38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IF($K34="","",(K34*6.9%)-(K34*6.9%)*10%)</f>
      </c>
      <c r="O34" s="4">
        <f>IF($K34="","",K34*0.35%)</f>
      </c>
      <c r="P34" s="4">
        <v>0.4</v>
      </c>
      <c r="Q34" s="4">
        <f>IF($K34="","",(N34+O34+P34)*20%)</f>
      </c>
      <c r="R34" s="4">
        <f>IF($K34="","",N34+O34+P34+Q34)</f>
      </c>
      <c r="S34" s="4"/>
      <c r="T34" s="4"/>
      <c r="U34" s="4"/>
      <c r="V34" s="4">
        <f>IF($K34="","",U34*20%)</f>
      </c>
      <c r="W34" s="4">
        <v>1</v>
      </c>
      <c r="X34" s="4">
        <f>IF($K34="","",Q34+T34+V34)</f>
      </c>
      <c r="Y34" s="4">
        <f>IF($K34="","",L34-M34-R34-S34-T34-U34-V34-W34)</f>
      </c>
      <c r="Z34" s="4">
        <f>IF($K34="","",(Y34-AF34)/J34*100)</f>
      </c>
      <c r="AA34" s="4">
        <f>IF($K34="","",M34-X34)</f>
      </c>
      <c r="AG34" s="4">
        <f>IF($K34="","",Y34-AF34)</f>
      </c>
    </row>
    <row r="35" spans="1:38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IF($K35="","",(K35*6.9%)-(K35*6.9%)*10%)</f>
      </c>
      <c r="O35" s="4">
        <f>IF($K35="","",K35*0.35%)</f>
      </c>
      <c r="P35" s="4">
        <v>0.4</v>
      </c>
      <c r="Q35" s="4">
        <f>IF($K35="","",(N35+O35+P35)*20%)</f>
      </c>
      <c r="R35" s="4">
        <f>IF($K35="","",N35+O35+P35+Q35)</f>
      </c>
      <c r="S35" s="4"/>
      <c r="T35" s="4"/>
      <c r="U35" s="4"/>
      <c r="V35" s="4">
        <f>IF($K35="","",U35*20%)</f>
      </c>
      <c r="W35" s="4">
        <v>1</v>
      </c>
      <c r="X35" s="4">
        <f>IF($K35="","",Q35+T35+V35)</f>
      </c>
      <c r="Y35" s="4">
        <f>IF($K35="","",L35-M35-R35-S35-T35-U35-V35-W35)</f>
      </c>
      <c r="Z35" s="4">
        <f>IF($K35="","",(Y35-AF35)/J35*100)</f>
      </c>
      <c r="AA35" s="4">
        <f>IF($K35="","",M35-X35)</f>
      </c>
      <c r="AG35" s="4">
        <f>IF($K35="","",Y35-AF35)</f>
      </c>
    </row>
    <row r="36" spans="1:38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IF($K36="","",(K36*6.9%)-(K36*6.9%)*10%)</f>
      </c>
      <c r="O36" s="4">
        <f>IF($K36="","",K36*0.35%)</f>
      </c>
      <c r="P36" s="4">
        <v>0.4</v>
      </c>
      <c r="Q36" s="4">
        <f>IF($K36="","",(N36+O36+P36)*20%)</f>
      </c>
      <c r="R36" s="4">
        <f>IF($K36="","",N36+O36+P36+Q36)</f>
      </c>
      <c r="S36" s="4"/>
      <c r="T36" s="4"/>
      <c r="U36" s="4"/>
      <c r="V36" s="4">
        <f>IF($K36="","",U36*20%)</f>
      </c>
      <c r="W36" s="4">
        <v>1</v>
      </c>
      <c r="X36" s="4">
        <f>IF($K36="","",Q36+T36+V36)</f>
      </c>
      <c r="Y36" s="4">
        <f>IF($K36="","",L36-M36-R36-S36-T36-U36-V36-W36)</f>
      </c>
      <c r="Z36" s="4">
        <f>IF($K36="","",(Y36-AF36)/J36*100)</f>
      </c>
      <c r="AA36" s="4">
        <f>IF($K36="","",M36-X36)</f>
      </c>
      <c r="AG36" s="4">
        <f>IF($K36="","",Y36-AF36)</f>
      </c>
    </row>
    <row r="37" spans="1:38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IF($K37="","",(K37*6.9%)-(K37*6.9%)*10%)</f>
      </c>
      <c r="O37" s="4">
        <f>IF($K37="","",K37*0.35%)</f>
      </c>
      <c r="P37" s="4">
        <v>0.4</v>
      </c>
      <c r="Q37" s="4">
        <f>IF($K37="","",(N37+O37+P37)*20%)</f>
      </c>
      <c r="R37" s="4">
        <f>IF($K37="","",N37+O37+P37+Q37)</f>
      </c>
      <c r="S37" s="4"/>
      <c r="T37" s="4"/>
      <c r="U37" s="4"/>
      <c r="V37" s="4">
        <f>IF($K37="","",U37*20%)</f>
      </c>
      <c r="W37" s="4">
        <v>1</v>
      </c>
      <c r="X37" s="4">
        <f>IF($K37="","",Q37+T37+V37)</f>
      </c>
      <c r="Y37" s="4">
        <f>IF($K37="","",L37-M37-R37-S37-T37-U37-V37-W37)</f>
      </c>
      <c r="Z37" s="4">
        <f>IF($K37="","",(Y37-AF37)/J37*100)</f>
      </c>
      <c r="AA37" s="4">
        <f>IF($K37="","",M37-X37)</f>
      </c>
      <c r="AG37" s="4">
        <f>IF($K37="","",Y37-AF37)</f>
      </c>
    </row>
    <row r="38" spans="1:38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IF($K38="","",(K38*6.9%)-(K38*6.9%)*10%)</f>
      </c>
      <c r="O38" s="4">
        <f>IF($K38="","",K38*0.35%)</f>
      </c>
      <c r="P38" s="4">
        <v>0.4</v>
      </c>
      <c r="Q38" s="4">
        <f>IF($K38="","",(N38+O38+P38)*20%)</f>
      </c>
      <c r="R38" s="4">
        <f>IF($K38="","",N38+O38+P38+Q38)</f>
      </c>
      <c r="S38" s="4"/>
      <c r="T38" s="4"/>
      <c r="U38" s="4"/>
      <c r="V38" s="4">
        <f>IF($K38="","",U38*20%)</f>
      </c>
      <c r="W38" s="4">
        <v>1</v>
      </c>
      <c r="X38" s="4">
        <f>IF($K38="","",Q38+T38+V38)</f>
      </c>
      <c r="Y38" s="4">
        <f>IF($K38="","",L38-M38-R38-S38-T38-U38-V38-W38)</f>
      </c>
      <c r="Z38" s="4">
        <f>IF($K38="","",(Y38-AF38)/J38*100)</f>
      </c>
      <c r="AA38" s="4">
        <f>IF($K38="","",M38-X38)</f>
      </c>
      <c r="AG38" s="4">
        <f>IF($K38="","",Y38-AF38)</f>
      </c>
    </row>
    <row r="39" spans="1:38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IF($K39="","",(K39*6.9%)-(K39*6.9%)*10%)</f>
      </c>
      <c r="O39" s="4">
        <f>IF($K39="","",K39*0.35%)</f>
      </c>
      <c r="P39" s="4">
        <v>0.4</v>
      </c>
      <c r="Q39" s="4">
        <f>IF($K39="","",(N39+O39+P39)*20%)</f>
      </c>
      <c r="R39" s="4">
        <f>IF($K39="","",N39+O39+P39+Q39)</f>
      </c>
      <c r="S39" s="4"/>
      <c r="T39" s="4"/>
      <c r="U39" s="4"/>
      <c r="V39" s="4">
        <f>IF($K39="","",U39*20%)</f>
      </c>
      <c r="W39" s="4">
        <v>1</v>
      </c>
      <c r="X39" s="4">
        <f>IF($K39="","",Q39+T39+V39)</f>
      </c>
      <c r="Y39" s="4">
        <f>IF($K39="","",L39-M39-R39-S39-T39-U39-V39-W39)</f>
      </c>
      <c r="Z39" s="4">
        <f>IF($K39="","",(Y39-AF39)/J39*100)</f>
      </c>
      <c r="AA39" s="4">
        <f>IF($K39="","",M39-X39)</f>
      </c>
      <c r="AG39" s="4">
        <f>IF($K39="","",Y39-AF39)</f>
      </c>
    </row>
    <row r="40" spans="1:38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IF($K40="","",(K40*6.9%)-(K40*6.9%)*10%)</f>
      </c>
      <c r="O40" s="4">
        <f>IF($K40="","",K40*0.35%)</f>
      </c>
      <c r="P40" s="4">
        <v>0.4</v>
      </c>
      <c r="Q40" s="4">
        <f>IF($K40="","",(N40+O40+P40)*20%)</f>
      </c>
      <c r="R40" s="4">
        <f>IF($K40="","",N40+O40+P40+Q40)</f>
      </c>
      <c r="S40" s="4"/>
      <c r="T40" s="4"/>
      <c r="U40" s="4"/>
      <c r="V40" s="4">
        <f>IF($K40="","",U40*20%)</f>
      </c>
      <c r="W40" s="4">
        <v>1</v>
      </c>
      <c r="X40" s="4">
        <f>IF($K40="","",Q40+T40+V40)</f>
      </c>
      <c r="Y40" s="4">
        <f>IF($K40="","",L40-M40-R40-S40-T40-U40-V40-W40)</f>
      </c>
      <c r="Z40" s="4">
        <f>IF($K40="","",(Y40-AF40)/J40*100)</f>
      </c>
      <c r="AA40" s="4">
        <f>IF($K40="","",M40-X40)</f>
      </c>
      <c r="AG40" s="4">
        <f>IF($K40="","",Y40-AF40)</f>
      </c>
    </row>
    <row r="41" spans="1:38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IF($K41="","",(K41*6.9%)-(K41*6.9%)*10%)</f>
      </c>
      <c r="O41" s="4">
        <f>IF($K41="","",K41*0.35%)</f>
      </c>
      <c r="P41" s="4">
        <v>0.4</v>
      </c>
      <c r="Q41" s="4">
        <f>IF($K41="","",(N41+O41+P41)*20%)</f>
      </c>
      <c r="R41" s="4">
        <f>IF($K41="","",N41+O41+P41+Q41)</f>
      </c>
      <c r="S41" s="4"/>
      <c r="T41" s="4"/>
      <c r="U41" s="4"/>
      <c r="V41" s="4">
        <f>IF($K41="","",U41*20%)</f>
      </c>
      <c r="W41" s="4">
        <v>1</v>
      </c>
      <c r="X41" s="4">
        <f>IF($K41="","",Q41+T41+V41)</f>
      </c>
      <c r="Y41" s="4">
        <f>IF($K41="","",L41-M41-R41-S41-T41-U41-V41-W41)</f>
      </c>
      <c r="Z41" s="4">
        <f>IF($K41="","",(Y41-AF41)/J41*100)</f>
      </c>
      <c r="AA41" s="4">
        <f>IF($K41="","",M41-X41)</f>
      </c>
      <c r="AG41" s="4">
        <f>IF($K41="","",Y41-AF41)</f>
      </c>
    </row>
    <row r="42" spans="1:38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IF($K42="","",(K42*6.9%)-(K42*6.9%)*10%)</f>
      </c>
      <c r="O42" s="4">
        <f>IF($K42="","",K42*0.35%)</f>
      </c>
      <c r="P42" s="4">
        <v>0.4</v>
      </c>
      <c r="Q42" s="4">
        <f>IF($K42="","",(N42+O42+P42)*20%)</f>
      </c>
      <c r="R42" s="4">
        <f>IF($K42="","",N42+O42+P42+Q42)</f>
      </c>
      <c r="S42" s="4"/>
      <c r="T42" s="4"/>
      <c r="U42" s="4"/>
      <c r="V42" s="4">
        <f>IF($K42="","",U42*20%)</f>
      </c>
      <c r="W42" s="4">
        <v>1</v>
      </c>
      <c r="X42" s="4">
        <f>IF($K42="","",Q42+T42+V42)</f>
      </c>
      <c r="Y42" s="4">
        <f>IF($K42="","",L42-M42-R42-S42-T42-U42-V42-W42)</f>
      </c>
      <c r="Z42" s="4">
        <f>IF($K42="","",(Y42-AF42)/J42*100)</f>
      </c>
      <c r="AA42" s="4">
        <f>IF($K42="","",M42-X42)</f>
      </c>
      <c r="AG42" s="4">
        <f>IF($K42="","",Y42-AF42)</f>
      </c>
    </row>
    <row r="43" spans="1:38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IF($K43="","",(K43*6.9%)-(K43*6.9%)*10%)</f>
      </c>
      <c r="O43" s="4">
        <f>IF($K43="","",K43*0.35%)</f>
      </c>
      <c r="P43" s="4">
        <v>0.4</v>
      </c>
      <c r="Q43" s="4">
        <f>IF($K43="","",(N43+O43+P43)*20%)</f>
      </c>
      <c r="R43" s="4">
        <f>IF($K43="","",N43+O43+P43+Q43)</f>
      </c>
      <c r="S43" s="4"/>
      <c r="T43" s="4"/>
      <c r="U43" s="4"/>
      <c r="V43" s="4">
        <f>IF($K43="","",U43*20%)</f>
      </c>
      <c r="W43" s="4">
        <v>1</v>
      </c>
      <c r="X43" s="4">
        <f>IF($K43="","",Q43+T43+V43)</f>
      </c>
      <c r="Y43" s="4">
        <f>IF($K43="","",L43-M43-R43-S43-T43-U43-V43-W43)</f>
      </c>
      <c r="Z43" s="4">
        <f>IF($K43="","",(Y43-AF43)/J43*100)</f>
      </c>
      <c r="AA43" s="4">
        <f>IF($K43="","",M43-X43)</f>
      </c>
      <c r="AG43" s="4">
        <f>IF($K43="","",Y43-AF43)</f>
      </c>
    </row>
    <row r="44" spans="1:38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IF($K44="","",(K44*6.9%)-(K44*6.9%)*10%)</f>
      </c>
      <c r="O44" s="4">
        <f>IF($K44="","",K44*0.35%)</f>
      </c>
      <c r="P44" s="4">
        <v>0.4</v>
      </c>
      <c r="Q44" s="4">
        <f>IF($K44="","",(N44+O44+P44)*20%)</f>
      </c>
      <c r="R44" s="4">
        <f>IF($K44="","",N44+O44+P44+Q44)</f>
      </c>
      <c r="S44" s="4"/>
      <c r="T44" s="4"/>
      <c r="U44" s="4"/>
      <c r="V44" s="4">
        <f>IF($K44="","",U44*20%)</f>
      </c>
      <c r="W44" s="4">
        <v>1</v>
      </c>
      <c r="X44" s="4">
        <f>IF($K44="","",Q44+T44+V44)</f>
      </c>
      <c r="Y44" s="4">
        <f>IF($K44="","",L44-M44-R44-S44-T44-U44-V44-W44)</f>
      </c>
      <c r="Z44" s="4">
        <f>IF($K44="","",(Y44-AF44)/J44*100)</f>
      </c>
      <c r="AA44" s="4">
        <f>IF($K44="","",M44-X44)</f>
      </c>
      <c r="AG44" s="4">
        <f>IF($K44="","",Y44-AF44)</f>
      </c>
    </row>
    <row r="45" spans="1:38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IF($K45="","",(K45*6.9%)-(K45*6.9%)*10%)</f>
      </c>
      <c r="O45" s="4">
        <f>IF($K45="","",K45*0.35%)</f>
      </c>
      <c r="P45" s="4">
        <v>0.4</v>
      </c>
      <c r="Q45" s="4">
        <f>IF($K45="","",(N45+O45+P45)*20%)</f>
      </c>
      <c r="R45" s="4">
        <f>IF($K45="","",N45+O45+P45+Q45)</f>
      </c>
      <c r="S45" s="4"/>
      <c r="T45" s="4"/>
      <c r="U45" s="4"/>
      <c r="V45" s="4">
        <f>IF($K45="","",U45*20%)</f>
      </c>
      <c r="W45" s="4">
        <v>1</v>
      </c>
      <c r="X45" s="4">
        <f>IF($K45="","",Q45+T45+V45)</f>
      </c>
      <c r="Y45" s="4">
        <f>IF($K45="","",L45-M45-R45-S45-T45-U45-V45-W45)</f>
      </c>
      <c r="Z45" s="4">
        <f>IF($K45="","",(Y45-AF45)/J45*100)</f>
      </c>
      <c r="AA45" s="4">
        <f>IF($K45="","",M45-X45)</f>
      </c>
      <c r="AG45" s="4">
        <f>IF($K45="","",Y45-AF45)</f>
      </c>
    </row>
    <row r="46" spans="1:38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IF($K46="","",(K46*6.9%)-(K46*6.9%)*10%)</f>
      </c>
      <c r="O46" s="4">
        <f>IF($K46="","",K46*0.35%)</f>
      </c>
      <c r="P46" s="4">
        <v>0.4</v>
      </c>
      <c r="Q46" s="4">
        <f>IF($K46="","",(N46+O46+P46)*20%)</f>
      </c>
      <c r="R46" s="4">
        <f>IF($K46="","",N46+O46+P46+Q46)</f>
      </c>
      <c r="S46" s="4"/>
      <c r="T46" s="4"/>
      <c r="U46" s="4"/>
      <c r="V46" s="4">
        <f>IF($K46="","",U46*20%)</f>
      </c>
      <c r="W46" s="4">
        <v>1</v>
      </c>
      <c r="X46" s="4">
        <f>IF($K46="","",Q46+T46+V46)</f>
      </c>
      <c r="Y46" s="4">
        <f>IF($K46="","",L46-M46-R46-S46-T46-U46-V46-W46)</f>
      </c>
      <c r="Z46" s="4">
        <f>IF($K46="","",(Y46-AF46)/J46*100)</f>
      </c>
      <c r="AA46" s="4">
        <f>IF($K46="","",M46-X46)</f>
      </c>
      <c r="AG46" s="4">
        <f>IF($K46="","",Y46-AF46)</f>
      </c>
    </row>
    <row r="47" spans="1:38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IF($K47="","",(K47*6.9%)-(K47*6.9%)*10%)</f>
      </c>
      <c r="O47" s="4">
        <f>IF($K47="","",K47*0.35%)</f>
      </c>
      <c r="P47" s="4">
        <v>0.4</v>
      </c>
      <c r="Q47" s="4">
        <f>IF($K47="","",(N47+O47+P47)*20%)</f>
      </c>
      <c r="R47" s="4">
        <f>IF($K47="","",N47+O47+P47+Q47)</f>
      </c>
      <c r="S47" s="4"/>
      <c r="T47" s="4"/>
      <c r="U47" s="4"/>
      <c r="V47" s="4">
        <f>IF($K47="","",U47*20%)</f>
      </c>
      <c r="W47" s="4">
        <v>1</v>
      </c>
      <c r="X47" s="4">
        <f>IF($K47="","",Q47+T47+V47)</f>
      </c>
      <c r="Y47" s="4">
        <f>IF($K47="","",L47-M47-R47-S47-T47-U47-V47-W47)</f>
      </c>
      <c r="Z47" s="4">
        <f>IF($K47="","",(Y47-AF47)/J47*100)</f>
      </c>
      <c r="AA47" s="4">
        <f>IF($K47="","",M47-X47)</f>
      </c>
      <c r="AG47" s="4">
        <f>IF($K47="","",Y47-AF47)</f>
      </c>
    </row>
    <row r="48" spans="1:38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IF($K48="","",(K48*6.9%)-(K48*6.9%)*10%)</f>
      </c>
      <c r="O48" s="4">
        <f>IF($K48="","",K48*0.35%)</f>
      </c>
      <c r="P48" s="4">
        <v>0.4</v>
      </c>
      <c r="Q48" s="4">
        <f>IF($K48="","",(N48+O48+P48)*20%)</f>
      </c>
      <c r="R48" s="4">
        <f>IF($K48="","",N48+O48+P48+Q48)</f>
      </c>
      <c r="S48" s="4"/>
      <c r="T48" s="4"/>
      <c r="U48" s="4"/>
      <c r="V48" s="4">
        <f>IF($K48="","",U48*20%)</f>
      </c>
      <c r="W48" s="4">
        <v>1</v>
      </c>
      <c r="X48" s="4">
        <f>IF($K48="","",Q48+T48+V48)</f>
      </c>
      <c r="Y48" s="4">
        <f>IF($K48="","",L48-M48-R48-S48-T48-U48-V48-W48)</f>
      </c>
      <c r="Z48" s="4">
        <f>IF($K48="","",(Y48-AF48)/J48*100)</f>
      </c>
      <c r="AA48" s="4">
        <f>IF($K48="","",M48-X48)</f>
      </c>
      <c r="AG48" s="4">
        <f>IF($K48="","",Y48-AF48)</f>
      </c>
    </row>
    <row r="49" spans="1:38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IF($K49="","",(K49*6.9%)-(K49*6.9%)*10%)</f>
      </c>
      <c r="O49" s="4">
        <f>IF($K49="","",K49*0.35%)</f>
      </c>
      <c r="P49" s="4">
        <v>0.4</v>
      </c>
      <c r="Q49" s="4">
        <f>IF($K49="","",(N49+O49+P49)*20%)</f>
      </c>
      <c r="R49" s="4">
        <f>IF($K49="","",N49+O49+P49+Q49)</f>
      </c>
      <c r="S49" s="4"/>
      <c r="T49" s="4"/>
      <c r="U49" s="4"/>
      <c r="V49" s="4">
        <f>IF($K49="","",U49*20%)</f>
      </c>
      <c r="W49" s="4">
        <v>1</v>
      </c>
      <c r="X49" s="4">
        <f>IF($K49="","",Q49+T49+V49)</f>
      </c>
      <c r="Y49" s="4">
        <f>IF($K49="","",L49-M49-R49-S49-T49-U49-V49-W49)</f>
      </c>
      <c r="Z49" s="4">
        <f>IF($K49="","",(Y49-AF49)/J49*100)</f>
      </c>
      <c r="AA49" s="4">
        <f>IF($K49="","",M49-X49)</f>
      </c>
      <c r="AG49" s="4">
        <f>IF($K49="","",Y49-AF49)</f>
      </c>
    </row>
    <row r="50" spans="1:38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IF($K50="","",(K50*6.9%)-(K50*6.9%)*10%)</f>
      </c>
      <c r="O50" s="4">
        <f>IF($K50="","",K50*0.35%)</f>
      </c>
      <c r="P50" s="4">
        <v>0.4</v>
      </c>
      <c r="Q50" s="4">
        <f>IF($K50="","",(N50+O50+P50)*20%)</f>
      </c>
      <c r="R50" s="4">
        <f>IF($K50="","",N50+O50+P50+Q50)</f>
      </c>
      <c r="S50" s="4"/>
      <c r="T50" s="4"/>
      <c r="U50" s="4"/>
      <c r="V50" s="4">
        <f>IF($K50="","",U50*20%)</f>
      </c>
      <c r="W50" s="4">
        <v>1</v>
      </c>
      <c r="X50" s="4">
        <f>IF($K50="","",Q50+T50+V50)</f>
      </c>
      <c r="Y50" s="4">
        <f>IF($K50="","",L50-M50-R50-S50-T50-U50-V50-W50)</f>
      </c>
      <c r="Z50" s="4">
        <f>IF($K50="","",(Y50-AF50)/J50*100)</f>
      </c>
      <c r="AA50" s="4">
        <f>IF($K50="","",M50-X50)</f>
      </c>
      <c r="AG50" s="4">
        <f>IF($K50="","",Y50-AF50)</f>
      </c>
    </row>
    <row r="51" spans="1:38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IF($K51="","",(K51*6.9%)-(K51*6.9%)*10%)</f>
      </c>
      <c r="O51" s="4">
        <f>IF($K51="","",K51*0.35%)</f>
      </c>
      <c r="P51" s="4">
        <v>0.4</v>
      </c>
      <c r="Q51" s="4">
        <f>IF($K51="","",(N51+O51+P51)*20%)</f>
      </c>
      <c r="R51" s="4">
        <f>IF($K51="","",N51+O51+P51+Q51)</f>
      </c>
      <c r="S51" s="4"/>
      <c r="T51" s="4"/>
      <c r="U51" s="4"/>
      <c r="V51" s="4">
        <f>IF($K51="","",U51*20%)</f>
      </c>
      <c r="W51" s="4">
        <v>1</v>
      </c>
      <c r="X51" s="4">
        <f>IF($K51="","",Q51+T51+V51)</f>
      </c>
      <c r="Y51" s="4">
        <f>IF($K51="","",L51-M51-R51-S51-T51-U51-V51-W51)</f>
      </c>
      <c r="Z51" s="4">
        <f>IF($K51="","",(Y51-AF51)/J51*100)</f>
      </c>
      <c r="AA51" s="4">
        <f>IF($K51="","",M51-X51)</f>
      </c>
      <c r="AG51" s="4">
        <f>IF($K51="","",Y51-AF51)</f>
      </c>
    </row>
    <row r="52" spans="1:38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IF($K52="","",(K52*6.9%)-(K52*6.9%)*10%)</f>
      </c>
      <c r="O52" s="4">
        <f>IF($K52="","",K52*0.35%)</f>
      </c>
      <c r="P52" s="4">
        <v>0.4</v>
      </c>
      <c r="Q52" s="4">
        <f>IF($K52="","",(N52+O52+P52)*20%)</f>
      </c>
      <c r="R52" s="4">
        <f>IF($K52="","",N52+O52+P52+Q52)</f>
      </c>
      <c r="S52" s="4"/>
      <c r="T52" s="4"/>
      <c r="U52" s="4"/>
      <c r="V52" s="4">
        <f>IF($K52="","",U52*20%)</f>
      </c>
      <c r="W52" s="4">
        <v>1</v>
      </c>
      <c r="X52" s="4">
        <f>IF($K52="","",Q52+T52+V52)</f>
      </c>
      <c r="Y52" s="4">
        <f>IF($K52="","",L52-M52-R52-S52-T52-U52-V52-W52)</f>
      </c>
      <c r="Z52" s="4">
        <f>IF($K52="","",(Y52-AF52)/J52*100)</f>
      </c>
      <c r="AA52" s="4">
        <f>IF($K52="","",M52-X52)</f>
      </c>
      <c r="AG52" s="4">
        <f>IF($K52="","",Y52-AF52)</f>
      </c>
    </row>
    <row r="53" spans="1:38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IF($K53="","",(K53*6.9%)-(K53*6.9%)*10%)</f>
      </c>
      <c r="O53" s="4">
        <f>IF($K53="","",K53*0.35%)</f>
      </c>
      <c r="P53" s="4">
        <v>0.4</v>
      </c>
      <c r="Q53" s="4">
        <f>IF($K53="","",(N53+O53+P53)*20%)</f>
      </c>
      <c r="R53" s="4">
        <f>IF($K53="","",N53+O53+P53+Q53)</f>
      </c>
      <c r="S53" s="4"/>
      <c r="T53" s="4"/>
      <c r="U53" s="4"/>
      <c r="V53" s="4">
        <f>IF($K53="","",U53*20%)</f>
      </c>
      <c r="W53" s="4">
        <v>1</v>
      </c>
      <c r="X53" s="4">
        <f>IF($K53="","",Q53+T53+V53)</f>
      </c>
      <c r="Y53" s="4">
        <f>IF($K53="","",L53-M53-R53-S53-T53-U53-V53-W53)</f>
      </c>
      <c r="Z53" s="4">
        <f>IF($K53="","",(Y53-AF53)/J53*100)</f>
      </c>
      <c r="AA53" s="4">
        <f>IF($K53="","",M53-X53)</f>
      </c>
      <c r="AG53" s="4">
        <f>IF($K53="","",Y53-AF53)</f>
      </c>
    </row>
    <row r="54" spans="1:38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IF($K54="","",(K54*6.9%)-(K54*6.9%)*10%)</f>
      </c>
      <c r="O54" s="4">
        <f>IF($K54="","",K54*0.35%)</f>
      </c>
      <c r="P54" s="4">
        <v>0.4</v>
      </c>
      <c r="Q54" s="4">
        <f>IF($K54="","",(N54+O54+P54)*20%)</f>
      </c>
      <c r="R54" s="4">
        <f>IF($K54="","",N54+O54+P54+Q54)</f>
      </c>
      <c r="S54" s="4"/>
      <c r="T54" s="4"/>
      <c r="U54" s="4"/>
      <c r="V54" s="4">
        <f>IF($K54="","",U54*20%)</f>
      </c>
      <c r="W54" s="4">
        <v>1</v>
      </c>
      <c r="X54" s="4">
        <f>IF($K54="","",Q54+T54+V54)</f>
      </c>
      <c r="Y54" s="4">
        <f>IF($K54="","",L54-M54-R54-S54-T54-U54-V54-W54)</f>
      </c>
      <c r="Z54" s="4">
        <f>IF($K54="","",(Y54-AF54)/J54*100)</f>
      </c>
      <c r="AA54" s="4">
        <f>IF($K54="","",M54-X54)</f>
      </c>
      <c r="AG54" s="4">
        <f>IF($K54="","",Y54-AF54)</f>
      </c>
    </row>
    <row r="55" spans="1:38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IF($K55="","",(K55*6.9%)-(K55*6.9%)*10%)</f>
      </c>
      <c r="O55" s="4">
        <f>IF($K55="","",K55*0.35%)</f>
      </c>
      <c r="P55" s="4">
        <v>0.4</v>
      </c>
      <c r="Q55" s="4">
        <f>IF($K55="","",(N55+O55+P55)*20%)</f>
      </c>
      <c r="R55" s="4">
        <f>IF($K55="","",N55+O55+P55+Q55)</f>
      </c>
      <c r="S55" s="4"/>
      <c r="T55" s="4"/>
      <c r="U55" s="4"/>
      <c r="V55" s="4">
        <f>IF($K55="","",U55*20%)</f>
      </c>
      <c r="W55" s="4">
        <v>1</v>
      </c>
      <c r="X55" s="4">
        <f>IF($K55="","",Q55+T55+V55)</f>
      </c>
      <c r="Y55" s="4">
        <f>IF($K55="","",L55-M55-R55-S55-T55-U55-V55-W55)</f>
      </c>
      <c r="Z55" s="4">
        <f>IF($K55="","",(Y55-AF55)/J55*100)</f>
      </c>
      <c r="AA55" s="4">
        <f>IF($K55="","",M55-X55)</f>
      </c>
      <c r="AG55" s="4">
        <f>IF($K55="","",Y55-AF55)</f>
      </c>
    </row>
    <row r="56" spans="1:38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IF($K56="","",(K56*6.9%)-(K56*6.9%)*10%)</f>
      </c>
      <c r="O56" s="4">
        <f>IF($K56="","",K56*0.35%)</f>
      </c>
      <c r="P56" s="4">
        <v>0.4</v>
      </c>
      <c r="Q56" s="4">
        <f>IF($K56="","",(N56+O56+P56)*20%)</f>
      </c>
      <c r="R56" s="4">
        <f>IF($K56="","",N56+O56+P56+Q56)</f>
      </c>
      <c r="S56" s="4"/>
      <c r="T56" s="4"/>
      <c r="U56" s="4"/>
      <c r="V56" s="4">
        <f>IF($K56="","",U56*20%)</f>
      </c>
      <c r="W56" s="4">
        <v>1</v>
      </c>
      <c r="X56" s="4">
        <f>IF($K56="","",Q56+T56+V56)</f>
      </c>
      <c r="Y56" s="4">
        <f>IF($K56="","",L56-M56-R56-S56-T56-U56-V56-W56)</f>
      </c>
      <c r="Z56" s="4">
        <f>IF($K56="","",(Y56-AF56)/J56*100)</f>
      </c>
      <c r="AA56" s="4">
        <f>IF($K56="","",M56-X56)</f>
      </c>
      <c r="AG56" s="4">
        <f>IF($K56="","",Y56-AF56)</f>
      </c>
    </row>
    <row r="57" spans="1:38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IF($K57="","",(K57*6.9%)-(K57*6.9%)*10%)</f>
      </c>
      <c r="O57" s="4">
        <f>IF($K57="","",K57*0.35%)</f>
      </c>
      <c r="P57" s="4">
        <v>0.4</v>
      </c>
      <c r="Q57" s="4">
        <f>IF($K57="","",(N57+O57+P57)*20%)</f>
      </c>
      <c r="R57" s="4">
        <f>IF($K57="","",N57+O57+P57+Q57)</f>
      </c>
      <c r="S57" s="4"/>
      <c r="T57" s="4"/>
      <c r="U57" s="4"/>
      <c r="V57" s="4">
        <f>IF($K57="","",U57*20%)</f>
      </c>
      <c r="W57" s="4">
        <v>1</v>
      </c>
      <c r="X57" s="4">
        <f>IF($K57="","",Q57+T57+V57)</f>
      </c>
      <c r="Y57" s="4">
        <f>IF($K57="","",L57-M57-R57-S57-T57-U57-V57-W57)</f>
      </c>
      <c r="Z57" s="4">
        <f>IF($K57="","",(Y57-AF57)/J57*100)</f>
      </c>
      <c r="AA57" s="4">
        <f>IF($K57="","",M57-X57)</f>
      </c>
      <c r="AG57" s="4">
        <f>IF($K57="","",Y57-AF57)</f>
      </c>
    </row>
    <row r="58" spans="1:38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IF($K58="","",(K58*6.9%)-(K58*6.9%)*10%)</f>
      </c>
      <c r="O58" s="4">
        <f>IF($K58="","",K58*0.35%)</f>
      </c>
      <c r="P58" s="4">
        <v>0.4</v>
      </c>
      <c r="Q58" s="4">
        <f>IF($K58="","",(N58+O58+P58)*20%)</f>
      </c>
      <c r="R58" s="4">
        <f>IF($K58="","",N58+O58+P58+Q58)</f>
      </c>
      <c r="S58" s="4"/>
      <c r="T58" s="4"/>
      <c r="U58" s="4"/>
      <c r="V58" s="4">
        <f>IF($K58="","",U58*20%)</f>
      </c>
      <c r="W58" s="4">
        <v>1</v>
      </c>
      <c r="X58" s="4">
        <f>IF($K58="","",Q58+T58+V58)</f>
      </c>
      <c r="Y58" s="4">
        <f>IF($K58="","",L58-M58-R58-S58-T58-U58-V58-W58)</f>
      </c>
      <c r="Z58" s="4">
        <f>IF($K58="","",(Y58-AF58)/J58*100)</f>
      </c>
      <c r="AA58" s="4">
        <f>IF($K58="","",M58-X58)</f>
      </c>
      <c r="AG58" s="4">
        <f>IF($K58="","",Y58-AF58)</f>
      </c>
    </row>
    <row r="59" spans="1:38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IF($K59="","",(K59*6.9%)-(K59*6.9%)*10%)</f>
      </c>
      <c r="O59" s="4">
        <f>IF($K59="","",K59*0.35%)</f>
      </c>
      <c r="P59" s="4">
        <v>0.4</v>
      </c>
      <c r="Q59" s="4">
        <f>IF($K59="","",(N59+O59+P59)*20%)</f>
      </c>
      <c r="R59" s="4">
        <f>IF($K59="","",N59+O59+P59+Q59)</f>
      </c>
      <c r="S59" s="4"/>
      <c r="T59" s="4"/>
      <c r="U59" s="4"/>
      <c r="V59" s="4">
        <f>IF($K59="","",U59*20%)</f>
      </c>
      <c r="W59" s="4">
        <v>1</v>
      </c>
      <c r="X59" s="4">
        <f>IF($K59="","",Q59+T59+V59)</f>
      </c>
      <c r="Y59" s="4">
        <f>IF($K59="","",L59-M59-R59-S59-T59-U59-V59-W59)</f>
      </c>
      <c r="Z59" s="4">
        <f>IF($K59="","",(Y59-AF59)/J59*100)</f>
      </c>
      <c r="AA59" s="4">
        <f>IF($K59="","",M59-X59)</f>
      </c>
      <c r="AG59" s="4">
        <f>IF($K59="","",Y59-AF59)</f>
      </c>
    </row>
    <row r="60" spans="1:38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IF($K60="","",(K60*6.9%)-(K60*6.9%)*10%)</f>
      </c>
      <c r="O60" s="4">
        <f>IF($K60="","",K60*0.35%)</f>
      </c>
      <c r="P60" s="4">
        <v>0.4</v>
      </c>
      <c r="Q60" s="4">
        <f>IF($K60="","",(N60+O60+P60)*20%)</f>
      </c>
      <c r="R60" s="4">
        <f>IF($K60="","",N60+O60+P60+Q60)</f>
      </c>
      <c r="S60" s="4"/>
      <c r="T60" s="4"/>
      <c r="U60" s="4"/>
      <c r="V60" s="4">
        <f>IF($K60="","",U60*20%)</f>
      </c>
      <c r="W60" s="4">
        <v>1</v>
      </c>
      <c r="X60" s="4">
        <f>IF($K60="","",Q60+T60+V60)</f>
      </c>
      <c r="Y60" s="4">
        <f>IF($K60="","",L60-M60-R60-S60-T60-U60-V60-W60)</f>
      </c>
      <c r="Z60" s="4">
        <f>IF($K60="","",(Y60-AF60)/J60*100)</f>
      </c>
      <c r="AA60" s="4">
        <f>IF($K60="","",M60-X60)</f>
      </c>
      <c r="AG60" s="4">
        <f>IF($K60="","",Y60-AF60)</f>
      </c>
    </row>
    <row r="61" spans="1:38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IF($K61="","",(K61*6.9%)-(K61*6.9%)*10%)</f>
      </c>
      <c r="O61" s="4">
        <f>IF($K61="","",K61*0.35%)</f>
      </c>
      <c r="P61" s="4">
        <v>0.4</v>
      </c>
      <c r="Q61" s="4">
        <f>IF($K61="","",(N61+O61+P61)*20%)</f>
      </c>
      <c r="R61" s="4">
        <f>IF($K61="","",N61+O61+P61+Q61)</f>
      </c>
      <c r="S61" s="4"/>
      <c r="T61" s="4"/>
      <c r="U61" s="4"/>
      <c r="V61" s="4">
        <f>IF($K61="","",U61*20%)</f>
      </c>
      <c r="W61" s="4">
        <v>1</v>
      </c>
      <c r="X61" s="4">
        <f>IF($K61="","",Q61+T61+V61)</f>
      </c>
      <c r="Y61" s="4">
        <f>IF($K61="","",L61-M61-R61-S61-T61-U61-V61-W61)</f>
      </c>
      <c r="Z61" s="4">
        <f>IF($K61="","",(Y61-AF61)/J61*100)</f>
      </c>
      <c r="AA61" s="4">
        <f>IF($K61="","",M61-X61)</f>
      </c>
      <c r="AG61" s="4">
        <f>IF($K61="","",Y61-AF61)</f>
      </c>
    </row>
    <row r="62" spans="1:38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IF($K62="","",(K62*6.9%)-(K62*6.9%)*10%)</f>
      </c>
      <c r="O62" s="4">
        <f>IF($K62="","",K62*0.35%)</f>
      </c>
      <c r="P62" s="4">
        <v>0.4</v>
      </c>
      <c r="Q62" s="4">
        <f>IF($K62="","",(N62+O62+P62)*20%)</f>
      </c>
      <c r="R62" s="4">
        <f>IF($K62="","",N62+O62+P62+Q62)</f>
      </c>
      <c r="S62" s="4"/>
      <c r="T62" s="4"/>
      <c r="U62" s="4"/>
      <c r="V62" s="4">
        <f>IF($K62="","",U62*20%)</f>
      </c>
      <c r="W62" s="4">
        <v>1</v>
      </c>
      <c r="X62" s="4">
        <f>IF($K62="","",Q62+T62+V62)</f>
      </c>
      <c r="Y62" s="4">
        <f>IF($K62="","",L62-M62-R62-S62-T62-U62-V62-W62)</f>
      </c>
      <c r="Z62" s="4">
        <f>IF($K62="","",(Y62-AF62)/J62*100)</f>
      </c>
      <c r="AA62" s="4">
        <f>IF($K62="","",M62-X62)</f>
      </c>
      <c r="AG62" s="4">
        <f>IF($K62="","",Y62-AF62)</f>
      </c>
    </row>
    <row r="63" spans="1:38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IF($K63="","",(K63*6.9%)-(K63*6.9%)*10%)</f>
      </c>
      <c r="O63" s="4">
        <f>IF($K63="","",K63*0.35%)</f>
      </c>
      <c r="P63" s="4">
        <v>0.4</v>
      </c>
      <c r="Q63" s="4">
        <f>IF($K63="","",(N63+O63+P63)*20%)</f>
      </c>
      <c r="R63" s="4">
        <f>IF($K63="","",N63+O63+P63+Q63)</f>
      </c>
      <c r="S63" s="4"/>
      <c r="T63" s="4"/>
      <c r="U63" s="4"/>
      <c r="V63" s="4">
        <f>IF($K63="","",U63*20%)</f>
      </c>
      <c r="W63" s="4">
        <v>1</v>
      </c>
      <c r="X63" s="4">
        <f>IF($K63="","",Q63+T63+V63)</f>
      </c>
      <c r="Y63" s="4">
        <f>IF($K63="","",L63-M63-R63-S63-T63-U63-V63-W63)</f>
      </c>
      <c r="Z63" s="4">
        <f>IF($K63="","",(Y63-AF63)/J63*100)</f>
      </c>
      <c r="AA63" s="4">
        <f>IF($K63="","",M63-X63)</f>
      </c>
      <c r="AG63" s="4">
        <f>IF($K63="","",Y63-AF63)</f>
      </c>
    </row>
    <row r="64" spans="1:38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IF($K64="","",(K64*6.9%)-(K64*6.9%)*10%)</f>
      </c>
      <c r="O64" s="4">
        <f>IF($K64="","",K64*0.35%)</f>
      </c>
      <c r="P64" s="4">
        <v>0.4</v>
      </c>
      <c r="Q64" s="4">
        <f>IF($K64="","",(N64+O64+P64)*20%)</f>
      </c>
      <c r="R64" s="4">
        <f>IF($K64="","",N64+O64+P64+Q64)</f>
      </c>
      <c r="S64" s="4"/>
      <c r="T64" s="4"/>
      <c r="U64" s="4"/>
      <c r="V64" s="4">
        <f>IF($K64="","",U64*20%)</f>
      </c>
      <c r="W64" s="4">
        <v>1</v>
      </c>
      <c r="X64" s="4">
        <f>IF($K64="","",Q64+T64+V64)</f>
      </c>
      <c r="Y64" s="4">
        <f>IF($K64="","",L64-M64-R64-S64-T64-U64-V64-W64)</f>
      </c>
      <c r="Z64" s="4">
        <f>IF($K64="","",(Y64-AF64)/J64*100)</f>
      </c>
      <c r="AA64" s="4">
        <f>IF($K64="","",M64-X64)</f>
      </c>
      <c r="AG64" s="4">
        <f>IF($K64="","",Y64-AF64)</f>
      </c>
    </row>
    <row r="65" spans="1:38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IF($K65="","",(K65*6.9%)-(K65*6.9%)*10%)</f>
      </c>
      <c r="O65" s="4">
        <f>IF($K65="","",K65*0.35%)</f>
      </c>
      <c r="P65" s="4">
        <v>0.4</v>
      </c>
      <c r="Q65" s="4">
        <f>IF($K65="","",(N65+O65+P65)*20%)</f>
      </c>
      <c r="R65" s="4">
        <f>IF($K65="","",N65+O65+P65+Q65)</f>
      </c>
      <c r="S65" s="4"/>
      <c r="T65" s="4"/>
      <c r="U65" s="4"/>
      <c r="V65" s="4">
        <f>IF($K65="","",U65*20%)</f>
      </c>
      <c r="W65" s="4">
        <v>1</v>
      </c>
      <c r="X65" s="4">
        <f>IF($K65="","",Q65+T65+V65)</f>
      </c>
      <c r="Y65" s="4">
        <f>IF($K65="","",L65-M65-R65-S65-T65-U65-V65-W65)</f>
      </c>
      <c r="Z65" s="4">
        <f>IF($K65="","",(Y65-AF65)/J65*100)</f>
      </c>
      <c r="AA65" s="4">
        <f>IF($K65="","",M65-X65)</f>
      </c>
      <c r="AG65" s="4">
        <f>IF($K65="","",Y65-AF65)</f>
      </c>
    </row>
    <row r="66" spans="1:38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IF($K66="","",(K66*6.9%)-(K66*6.9%)*10%)</f>
      </c>
      <c r="O66" s="4">
        <f>IF($K66="","",K66*0.35%)</f>
      </c>
      <c r="P66" s="4">
        <v>0.4</v>
      </c>
      <c r="Q66" s="4">
        <f>IF($K66="","",(N66+O66+P66)*20%)</f>
      </c>
      <c r="R66" s="4">
        <f>IF($K66="","",N66+O66+P66+Q66)</f>
      </c>
      <c r="S66" s="4"/>
      <c r="T66" s="4"/>
      <c r="U66" s="4"/>
      <c r="V66" s="4">
        <f>IF($K66="","",U66*20%)</f>
      </c>
      <c r="W66" s="4">
        <v>1</v>
      </c>
      <c r="X66" s="4">
        <f>IF($K66="","",Q66+T66+V66)</f>
      </c>
      <c r="Y66" s="4">
        <f>IF($K66="","",L66-M66-R66-S66-T66-U66-V66-W66)</f>
      </c>
      <c r="Z66" s="4">
        <f>IF($K66="","",(Y66-AF66)/J66*100)</f>
      </c>
      <c r="AA66" s="4">
        <f>IF($K66="","",M66-X66)</f>
      </c>
      <c r="AG66" s="4">
        <f>IF($K66="","",Y66-AF66)</f>
      </c>
    </row>
    <row r="67" spans="1:38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IF($K67="","",(K67*6.9%)-(K67*6.9%)*10%)</f>
      </c>
      <c r="O67" s="4">
        <f>IF($K67="","",K67*0.35%)</f>
      </c>
      <c r="P67" s="4">
        <v>0.4</v>
      </c>
      <c r="Q67" s="4">
        <f>IF($K67="","",(N67+O67+P67)*20%)</f>
      </c>
      <c r="R67" s="4">
        <f>IF($K67="","",N67+O67+P67+Q67)</f>
      </c>
      <c r="S67" s="4"/>
      <c r="T67" s="4"/>
      <c r="U67" s="4"/>
      <c r="V67" s="4">
        <f>IF($K67="","",U67*20%)</f>
      </c>
      <c r="W67" s="4">
        <v>1</v>
      </c>
      <c r="X67" s="4">
        <f>IF($K67="","",Q67+T67+V67)</f>
      </c>
      <c r="Y67" s="4">
        <f>IF($K67="","",L67-M67-R67-S67-T67-U67-V67-W67)</f>
      </c>
      <c r="Z67" s="4">
        <f>IF($K67="","",(Y67-AF67)/J67*100)</f>
      </c>
      <c r="AA67" s="4">
        <f>IF($K67="","",M67-X67)</f>
      </c>
      <c r="AG67" s="4">
        <f>IF($K67="","",Y67-AF67)</f>
      </c>
    </row>
    <row r="68" spans="1:38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IF($K68="","",(K68*6.9%)-(K68*6.9%)*10%)</f>
      </c>
      <c r="O68" s="4">
        <f>IF($K68="","",K68*0.35%)</f>
      </c>
      <c r="P68" s="4">
        <v>0.4</v>
      </c>
      <c r="Q68" s="4">
        <f>IF($K68="","",(N68+O68+P68)*20%)</f>
      </c>
      <c r="R68" s="4">
        <f>IF($K68="","",N68+O68+P68+Q68)</f>
      </c>
      <c r="S68" s="4"/>
      <c r="T68" s="4"/>
      <c r="U68" s="4"/>
      <c r="V68" s="4">
        <f>IF($K68="","",U68*20%)</f>
      </c>
      <c r="W68" s="4">
        <v>1</v>
      </c>
      <c r="X68" s="4">
        <f>IF($K68="","",Q68+T68+V68)</f>
      </c>
      <c r="Y68" s="4">
        <f>IF($K68="","",L68-M68-R68-S68-T68-U68-V68-W68)</f>
      </c>
      <c r="Z68" s="4">
        <f>IF($K68="","",(Y68-AF68)/J68*100)</f>
      </c>
      <c r="AA68" s="4">
        <f>IF($K68="","",M68-X68)</f>
      </c>
      <c r="AG68" s="4">
        <f>IF($K68="","",Y68-AF68)</f>
      </c>
    </row>
    <row r="69" spans="1:38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IF($K69="","",(K69*6.9%)-(K69*6.9%)*10%)</f>
      </c>
      <c r="O69" s="4">
        <f>IF($K69="","",K69*0.35%)</f>
      </c>
      <c r="P69" s="4">
        <v>0.4</v>
      </c>
      <c r="Q69" s="4">
        <f>IF($K69="","",(N69+O69+P69)*20%)</f>
      </c>
      <c r="R69" s="4">
        <f>IF($K69="","",N69+O69+P69+Q69)</f>
      </c>
      <c r="S69" s="4"/>
      <c r="T69" s="4"/>
      <c r="U69" s="4"/>
      <c r="V69" s="4">
        <f>IF($K69="","",U69*20%)</f>
      </c>
      <c r="W69" s="4">
        <v>1</v>
      </c>
      <c r="X69" s="4">
        <f>IF($K69="","",Q69+T69+V69)</f>
      </c>
      <c r="Y69" s="4">
        <f>IF($K69="","",L69-M69-R69-S69-T69-U69-V69-W69)</f>
      </c>
      <c r="Z69" s="4">
        <f>IF($K69="","",(Y69-AF69)/J69*100)</f>
      </c>
      <c r="AA69" s="4">
        <f>IF($K69="","",M69-X69)</f>
      </c>
      <c r="AG69" s="4">
        <f>IF($K69="","",Y69-AF69)</f>
      </c>
    </row>
    <row r="70" spans="1:38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IF($K70="","",(K70*6.9%)-(K70*6.9%)*10%)</f>
      </c>
      <c r="O70" s="4">
        <f>IF($K70="","",K70*0.35%)</f>
      </c>
      <c r="P70" s="4">
        <v>0.4</v>
      </c>
      <c r="Q70" s="4">
        <f>IF($K70="","",(N70+O70+P70)*20%)</f>
      </c>
      <c r="R70" s="4">
        <f>IF($K70="","",N70+O70+P70+Q70)</f>
      </c>
      <c r="S70" s="4"/>
      <c r="T70" s="4"/>
      <c r="U70" s="4"/>
      <c r="V70" s="4">
        <f>IF($K70="","",U70*20%)</f>
      </c>
      <c r="W70" s="4">
        <v>1</v>
      </c>
      <c r="X70" s="4">
        <f>IF($K70="","",Q70+T70+V70)</f>
      </c>
      <c r="Y70" s="4">
        <f>IF($K70="","",L70-M70-R70-S70-T70-U70-V70-W70)</f>
      </c>
      <c r="Z70" s="4">
        <f>IF($K70="","",(Y70-AF70)/J70*100)</f>
      </c>
      <c r="AA70" s="4">
        <f>IF($K70="","",M70-X70)</f>
      </c>
      <c r="AG70" s="4">
        <f>IF($K70="","",Y70-AF70)</f>
      </c>
    </row>
    <row r="71" spans="1:38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IF($K71="","",(K71*6.9%)-(K71*6.9%)*10%)</f>
      </c>
      <c r="O71" s="4">
        <f>IF($K71="","",K71*0.35%)</f>
      </c>
      <c r="P71" s="4">
        <v>0.4</v>
      </c>
      <c r="Q71" s="4">
        <f>IF($K71="","",(N71+O71+P71)*20%)</f>
      </c>
      <c r="R71" s="4">
        <f>IF($K71="","",N71+O71+P71+Q71)</f>
      </c>
      <c r="S71" s="4"/>
      <c r="T71" s="4"/>
      <c r="U71" s="4"/>
      <c r="V71" s="4">
        <f>IF($K71="","",U71*20%)</f>
      </c>
      <c r="W71" s="4">
        <v>1</v>
      </c>
      <c r="X71" s="4">
        <f>IF($K71="","",Q71+T71+V71)</f>
      </c>
      <c r="Y71" s="4">
        <f>IF($K71="","",L71-M71-R71-S71-T71-U71-V71-W71)</f>
      </c>
      <c r="Z71" s="4">
        <f>IF($K71="","",(Y71-AF71)/J71*100)</f>
      </c>
      <c r="AA71" s="4">
        <f>IF($K71="","",M71-X71)</f>
      </c>
      <c r="AG71" s="4">
        <f>IF($K71="","",Y71-AF71)</f>
      </c>
    </row>
    <row r="72" spans="1:38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IF($K72="","",(K72*6.9%)-(K72*6.9%)*10%)</f>
      </c>
      <c r="O72" s="4">
        <f>IF($K72="","",K72*0.35%)</f>
      </c>
      <c r="P72" s="4">
        <v>0.4</v>
      </c>
      <c r="Q72" s="4">
        <f>IF($K72="","",(N72+O72+P72)*20%)</f>
      </c>
      <c r="R72" s="4">
        <f>IF($K72="","",N72+O72+P72+Q72)</f>
      </c>
      <c r="S72" s="4"/>
      <c r="T72" s="4"/>
      <c r="U72" s="4"/>
      <c r="V72" s="4">
        <f>IF($K72="","",U72*20%)</f>
      </c>
      <c r="W72" s="4">
        <v>1</v>
      </c>
      <c r="X72" s="4">
        <f>IF($K72="","",Q72+T72+V72)</f>
      </c>
      <c r="Y72" s="4">
        <f>IF($K72="","",L72-M72-R72-S72-T72-U72-V72-W72)</f>
      </c>
      <c r="Z72" s="4">
        <f>IF($K72="","",(Y72-AF72)/J72*100)</f>
      </c>
      <c r="AA72" s="4">
        <f>IF($K72="","",M72-X72)</f>
      </c>
      <c r="AG72" s="4">
        <f>IF($K72="","",Y72-AF72)</f>
      </c>
    </row>
    <row r="73" spans="1:38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IF($K73="","",(K73*6.9%)-(K73*6.9%)*10%)</f>
      </c>
      <c r="O73" s="4">
        <f>IF($K73="","",K73*0.35%)</f>
      </c>
      <c r="P73" s="4">
        <v>0.4</v>
      </c>
      <c r="Q73" s="4">
        <f>IF($K73="","",(N73+O73+P73)*20%)</f>
      </c>
      <c r="R73" s="4">
        <f>IF($K73="","",N73+O73+P73+Q73)</f>
      </c>
      <c r="S73" s="4"/>
      <c r="T73" s="4"/>
      <c r="U73" s="4"/>
      <c r="V73" s="4">
        <f>IF($K73="","",U73*20%)</f>
      </c>
      <c r="W73" s="4">
        <v>1</v>
      </c>
      <c r="X73" s="4">
        <f>IF($K73="","",Q73+T73+V73)</f>
      </c>
      <c r="Y73" s="4">
        <f>IF($K73="","",L73-M73-R73-S73-T73-U73-V73-W73)</f>
      </c>
      <c r="Z73" s="4">
        <f>IF($K73="","",(Y73-AF73)/J73*100)</f>
      </c>
      <c r="AA73" s="4">
        <f>IF($K73="","",M73-X73)</f>
      </c>
      <c r="AG73" s="4">
        <f>IF($K73="","",Y73-AF73)</f>
      </c>
    </row>
    <row r="74" spans="1:38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IF($K74="","",(K74*6.9%)-(K74*6.9%)*10%)</f>
      </c>
      <c r="O74" s="4">
        <f>IF($K74="","",K74*0.35%)</f>
      </c>
      <c r="P74" s="4">
        <v>0.4</v>
      </c>
      <c r="Q74" s="4">
        <f>IF($K74="","",(N74+O74+P74)*20%)</f>
      </c>
      <c r="R74" s="4">
        <f>IF($K74="","",N74+O74+P74+Q74)</f>
      </c>
      <c r="S74" s="4"/>
      <c r="T74" s="4"/>
      <c r="U74" s="4"/>
      <c r="V74" s="4">
        <f>IF($K74="","",U74*20%)</f>
      </c>
      <c r="W74" s="4">
        <v>1</v>
      </c>
      <c r="X74" s="4">
        <f>IF($K74="","",Q74+T74+V74)</f>
      </c>
      <c r="Y74" s="4">
        <f>IF($K74="","",L74-M74-R74-S74-T74-U74-V74-W74)</f>
      </c>
      <c r="Z74" s="4">
        <f>IF($K74="","",(Y74-AF74)/J74*100)</f>
      </c>
      <c r="AA74" s="4">
        <f>IF($K74="","",M74-X74)</f>
      </c>
      <c r="AG74" s="4">
        <f>IF($K74="","",Y74-AF74)</f>
      </c>
    </row>
    <row r="75" spans="1:38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IF($K75="","",(K75*6.9%)-(K75*6.9%)*10%)</f>
      </c>
      <c r="O75" s="4">
        <f>IF($K75="","",K75*0.35%)</f>
      </c>
      <c r="P75" s="4">
        <v>0.4</v>
      </c>
      <c r="Q75" s="4">
        <f>IF($K75="","",(N75+O75+P75)*20%)</f>
      </c>
      <c r="R75" s="4">
        <f>IF($K75="","",N75+O75+P75+Q75)</f>
      </c>
      <c r="S75" s="4"/>
      <c r="T75" s="4"/>
      <c r="U75" s="4"/>
      <c r="V75" s="4">
        <f>IF($K75="","",U75*20%)</f>
      </c>
      <c r="W75" s="4">
        <v>1</v>
      </c>
      <c r="X75" s="4">
        <f>IF($K75="","",Q75+T75+V75)</f>
      </c>
      <c r="Y75" s="4">
        <f>IF($K75="","",L75-M75-R75-S75-T75-U75-V75-W75)</f>
      </c>
      <c r="Z75" s="4">
        <f>IF($K75="","",(Y75-AF75)/J75*100)</f>
      </c>
      <c r="AA75" s="4">
        <f>IF($K75="","",M75-X75)</f>
      </c>
      <c r="AG75" s="4">
        <f>IF($K75="","",Y75-AF75)</f>
      </c>
    </row>
    <row r="76" spans="1:38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IF($K76="","",(K76*6.9%)-(K76*6.9%)*10%)</f>
      </c>
      <c r="O76" s="4">
        <f>IF($K76="","",K76*0.35%)</f>
      </c>
      <c r="P76" s="4">
        <v>0.4</v>
      </c>
      <c r="Q76" s="4">
        <f>IF($K76="","",(N76+O76+P76)*20%)</f>
      </c>
      <c r="R76" s="4">
        <f>IF($K76="","",N76+O76+P76+Q76)</f>
      </c>
      <c r="S76" s="4"/>
      <c r="T76" s="4"/>
      <c r="U76" s="4"/>
      <c r="V76" s="4">
        <f>IF($K76="","",U76*20%)</f>
      </c>
      <c r="W76" s="4">
        <v>1</v>
      </c>
      <c r="X76" s="4">
        <f>IF($K76="","",Q76+T76+V76)</f>
      </c>
      <c r="Y76" s="4">
        <f>IF($K76="","",L76-M76-R76-S76-T76-U76-V76-W76)</f>
      </c>
      <c r="Z76" s="4">
        <f>IF($K76="","",(Y76-AF76)/J76*100)</f>
      </c>
      <c r="AA76" s="4">
        <f>IF($K76="","",M76-X76)</f>
      </c>
      <c r="AG76" s="4">
        <f>IF($K76="","",Y76-AF76)</f>
      </c>
    </row>
    <row r="77" spans="1:38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IF($K77="","",(K77*6.9%)-(K77*6.9%)*10%)</f>
      </c>
      <c r="O77" s="4">
        <f>IF($K77="","",K77*0.35%)</f>
      </c>
      <c r="P77" s="4">
        <v>0.4</v>
      </c>
      <c r="Q77" s="4">
        <f>IF($K77="","",(N77+O77+P77)*20%)</f>
      </c>
      <c r="R77" s="4">
        <f>IF($K77="","",N77+O77+P77+Q77)</f>
      </c>
      <c r="S77" s="4"/>
      <c r="T77" s="4"/>
      <c r="U77" s="4"/>
      <c r="V77" s="4">
        <f>IF($K77="","",U77*20%)</f>
      </c>
      <c r="W77" s="4">
        <v>1</v>
      </c>
      <c r="X77" s="4">
        <f>IF($K77="","",Q77+T77+V77)</f>
      </c>
      <c r="Y77" s="4">
        <f>IF($K77="","",L77-M77-R77-S77-T77-U77-V77-W77)</f>
      </c>
      <c r="Z77" s="4">
        <f>IF($K77="","",(Y77-AF77)/J77*100)</f>
      </c>
      <c r="AA77" s="4">
        <f>IF($K77="","",M77-X77)</f>
      </c>
      <c r="AG77" s="4">
        <f>IF($K77="","",Y77-AF77)</f>
      </c>
    </row>
    <row r="78" spans="1:38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IF($K78="","",(K78*6.9%)-(K78*6.9%)*10%)</f>
      </c>
      <c r="O78" s="4">
        <f>IF($K78="","",K78*0.35%)</f>
      </c>
      <c r="P78" s="4">
        <v>0.4</v>
      </c>
      <c r="Q78" s="4">
        <f>IF($K78="","",(N78+O78+P78)*20%)</f>
      </c>
      <c r="R78" s="4">
        <f>IF($K78="","",N78+O78+P78+Q78)</f>
      </c>
      <c r="S78" s="4"/>
      <c r="T78" s="4"/>
      <c r="U78" s="4"/>
      <c r="V78" s="4">
        <f>IF($K78="","",U78*20%)</f>
      </c>
      <c r="W78" s="4">
        <v>1</v>
      </c>
      <c r="X78" s="4">
        <f>IF($K78="","",Q78+T78+V78)</f>
      </c>
      <c r="Y78" s="4">
        <f>IF($K78="","",L78-M78-R78-S78-T78-U78-V78-W78)</f>
      </c>
      <c r="Z78" s="4">
        <f>IF($K78="","",(Y78-AF78)/J78*100)</f>
      </c>
      <c r="AA78" s="4">
        <f>IF($K78="","",M78-X78)</f>
      </c>
      <c r="AG78" s="4">
        <f>IF($K78="","",Y78-AF78)</f>
      </c>
    </row>
    <row r="79" spans="1:38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IF($K79="","",(K79*6.9%)-(K79*6.9%)*10%)</f>
      </c>
      <c r="O79" s="4">
        <f>IF($K79="","",K79*0.35%)</f>
      </c>
      <c r="P79" s="4">
        <v>0.4</v>
      </c>
      <c r="Q79" s="4">
        <f>IF($K79="","",(N79+O79+P79)*20%)</f>
      </c>
      <c r="R79" s="4">
        <f>IF($K79="","",N79+O79+P79+Q79)</f>
      </c>
      <c r="S79" s="4"/>
      <c r="T79" s="4"/>
      <c r="U79" s="4"/>
      <c r="V79" s="4">
        <f>IF($K79="","",U79*20%)</f>
      </c>
      <c r="W79" s="4">
        <v>1</v>
      </c>
      <c r="X79" s="4">
        <f>IF($K79="","",Q79+T79+V79)</f>
      </c>
      <c r="Y79" s="4">
        <f>IF($K79="","",L79-M79-R79-S79-T79-U79-V79-W79)</f>
      </c>
      <c r="Z79" s="4">
        <f>IF($K79="","",(Y79-AF79)/J79*100)</f>
      </c>
      <c r="AA79" s="4">
        <f>IF($K79="","",M79-X79)</f>
      </c>
      <c r="AG79" s="4">
        <f>IF($K79="","",Y79-AF79)</f>
      </c>
    </row>
    <row r="80" spans="1:38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IF($K80="","",(K80*6.9%)-(K80*6.9%)*10%)</f>
      </c>
      <c r="O80" s="4">
        <f>IF($K80="","",K80*0.35%)</f>
      </c>
      <c r="P80" s="4">
        <v>0.4</v>
      </c>
      <c r="Q80" s="4">
        <f>IF($K80="","",(N80+O80+P80)*20%)</f>
      </c>
      <c r="R80" s="4">
        <f>IF($K80="","",N80+O80+P80+Q80)</f>
      </c>
      <c r="S80" s="4"/>
      <c r="T80" s="4"/>
      <c r="U80" s="4"/>
      <c r="V80" s="4">
        <f>IF($K80="","",U80*20%)</f>
      </c>
      <c r="W80" s="4">
        <v>1</v>
      </c>
      <c r="X80" s="4">
        <f>IF($K80="","",Q80+T80+V80)</f>
      </c>
      <c r="Y80" s="4">
        <f>IF($K80="","",L80-M80-R80-S80-T80-U80-V80-W80)</f>
      </c>
      <c r="Z80" s="4">
        <f>IF($K80="","",(Y80-AF80)/J80*100)</f>
      </c>
      <c r="AA80" s="4">
        <f>IF($K80="","",M80-X80)</f>
      </c>
      <c r="AG80" s="4">
        <f>IF($K80="","",Y80-AF80)</f>
      </c>
    </row>
    <row r="81" spans="1:38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IF($K81="","",(K81*6.9%)-(K81*6.9%)*10%)</f>
      </c>
      <c r="O81" s="4">
        <f>IF($K81="","",K81*0.35%)</f>
      </c>
      <c r="P81" s="4">
        <v>0.4</v>
      </c>
      <c r="Q81" s="4">
        <f>IF($K81="","",(N81+O81+P81)*20%)</f>
      </c>
      <c r="R81" s="4">
        <f>IF($K81="","",N81+O81+P81+Q81)</f>
      </c>
      <c r="S81" s="4"/>
      <c r="T81" s="4"/>
      <c r="U81" s="4"/>
      <c r="V81" s="4">
        <f>IF($K81="","",U81*20%)</f>
      </c>
      <c r="W81" s="4">
        <v>1</v>
      </c>
      <c r="X81" s="4">
        <f>IF($K81="","",Q81+T81+V81)</f>
      </c>
      <c r="Y81" s="4">
        <f>IF($K81="","",L81-M81-R81-S81-T81-U81-V81-W81)</f>
      </c>
      <c r="Z81" s="4">
        <f>IF($K81="","",(Y81-AF81)/J81*100)</f>
      </c>
      <c r="AA81" s="4">
        <f>IF($K81="","",M81-X81)</f>
      </c>
      <c r="AG81" s="4">
        <f>IF($K81="","",Y81-AF81)</f>
      </c>
    </row>
    <row r="82" spans="1:38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IF($K82="","",(K82*6.9%)-(K82*6.9%)*10%)</f>
      </c>
      <c r="O82" s="4">
        <f>IF($K82="","",K82*0.35%)</f>
      </c>
      <c r="P82" s="4">
        <v>0.4</v>
      </c>
      <c r="Q82" s="4">
        <f>IF($K82="","",(N82+O82+P82)*20%)</f>
      </c>
      <c r="R82" s="4">
        <f>IF($K82="","",N82+O82+P82+Q82)</f>
      </c>
      <c r="S82" s="4"/>
      <c r="T82" s="4"/>
      <c r="U82" s="4"/>
      <c r="V82" s="4">
        <f>IF($K82="","",U82*20%)</f>
      </c>
      <c r="W82" s="4">
        <v>1</v>
      </c>
      <c r="X82" s="4">
        <f>IF($K82="","",Q82+T82+V82)</f>
      </c>
      <c r="Y82" s="4">
        <f>IF($K82="","",L82-M82-R82-S82-T82-U82-V82-W82)</f>
      </c>
      <c r="Z82" s="4">
        <f>IF($K82="","",(Y82-AF82)/J82*100)</f>
      </c>
      <c r="AA82" s="4">
        <f>IF($K82="","",M82-X82)</f>
      </c>
      <c r="AG82" s="4">
        <f>IF($K82="","",Y82-AF82)</f>
      </c>
    </row>
    <row r="83" spans="1:38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IF($K83="","",(K83*6.9%)-(K83*6.9%)*10%)</f>
      </c>
      <c r="O83" s="4">
        <f>IF($K83="","",K83*0.35%)</f>
      </c>
      <c r="P83" s="4">
        <v>0.4</v>
      </c>
      <c r="Q83" s="4">
        <f>IF($K83="","",(N83+O83+P83)*20%)</f>
      </c>
      <c r="R83" s="4">
        <f>IF($K83="","",N83+O83+P83+Q83)</f>
      </c>
      <c r="S83" s="4"/>
      <c r="T83" s="4"/>
      <c r="U83" s="4"/>
      <c r="V83" s="4">
        <f>IF($K83="","",U83*20%)</f>
      </c>
      <c r="W83" s="4">
        <v>1</v>
      </c>
      <c r="X83" s="4">
        <f>IF($K83="","",Q83+T83+V83)</f>
      </c>
      <c r="Y83" s="4">
        <f>IF($K83="","",L83-M83-R83-S83-T83-U83-V83-W83)</f>
      </c>
      <c r="Z83" s="4">
        <f>IF($K83="","",(Y83-AF83)/J83*100)</f>
      </c>
      <c r="AA83" s="4">
        <f>IF($K83="","",M83-X83)</f>
      </c>
      <c r="AG83" s="4">
        <f>IF($K83="","",Y83-AF83)</f>
      </c>
    </row>
    <row r="84" spans="1:38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IF($K84="","",(K84*6.9%)-(K84*6.9%)*10%)</f>
      </c>
      <c r="O84" s="4">
        <f>IF($K84="","",K84*0.35%)</f>
      </c>
      <c r="P84" s="4">
        <v>0.4</v>
      </c>
      <c r="Q84" s="4">
        <f>IF($K84="","",(N84+O84+P84)*20%)</f>
      </c>
      <c r="R84" s="4">
        <f>IF($K84="","",N84+O84+P84+Q84)</f>
      </c>
      <c r="S84" s="4"/>
      <c r="T84" s="4"/>
      <c r="U84" s="4"/>
      <c r="V84" s="4">
        <f>IF($K84="","",U84*20%)</f>
      </c>
      <c r="W84" s="4">
        <v>1</v>
      </c>
      <c r="X84" s="4">
        <f>IF($K84="","",Q84+T84+V84)</f>
      </c>
      <c r="Y84" s="4">
        <f>IF($K84="","",L84-M84-R84-S84-T84-U84-V84-W84)</f>
      </c>
      <c r="Z84" s="4">
        <f>IF($K84="","",(Y84-AF84)/J84*100)</f>
      </c>
      <c r="AA84" s="4">
        <f>IF($K84="","",M84-X84)</f>
      </c>
      <c r="AG84" s="4">
        <f>IF($K84="","",Y84-AF84)</f>
      </c>
    </row>
    <row r="85" spans="1:38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IF($K85="","",(K85*6.9%)-(K85*6.9%)*10%)</f>
      </c>
      <c r="O85" s="4">
        <f>IF($K85="","",K85*0.35%)</f>
      </c>
      <c r="P85" s="4">
        <v>0.4</v>
      </c>
      <c r="Q85" s="4">
        <f>IF($K85="","",(N85+O85+P85)*20%)</f>
      </c>
      <c r="R85" s="4">
        <f>IF($K85="","",N85+O85+P85+Q85)</f>
      </c>
      <c r="S85" s="4"/>
      <c r="T85" s="4"/>
      <c r="U85" s="4"/>
      <c r="V85" s="4">
        <f>IF($K85="","",U85*20%)</f>
      </c>
      <c r="W85" s="4">
        <v>1</v>
      </c>
      <c r="X85" s="4">
        <f>IF($K85="","",Q85+T85+V85)</f>
      </c>
      <c r="Y85" s="4">
        <f>IF($K85="","",L85-M85-R85-S85-T85-U85-V85-W85)</f>
      </c>
      <c r="Z85" s="4">
        <f>IF($K85="","",(Y85-AF85)/J85*100)</f>
      </c>
      <c r="AA85" s="4">
        <f>IF($K85="","",M85-X85)</f>
      </c>
      <c r="AG85" s="4">
        <f>IF($K85="","",Y85-AF85)</f>
      </c>
    </row>
    <row r="86" spans="1:38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IF($K86="","",(K86*6.9%)-(K86*6.9%)*10%)</f>
      </c>
      <c r="O86" s="4">
        <f>IF($K86="","",K86*0.35%)</f>
      </c>
      <c r="P86" s="4">
        <v>0.4</v>
      </c>
      <c r="Q86" s="4">
        <f>IF($K86="","",(N86+O86+P86)*20%)</f>
      </c>
      <c r="R86" s="4">
        <f>IF($K86="","",N86+O86+P86+Q86)</f>
      </c>
      <c r="S86" s="4"/>
      <c r="T86" s="4"/>
      <c r="U86" s="4"/>
      <c r="V86" s="4">
        <f>IF($K86="","",U86*20%)</f>
      </c>
      <c r="W86" s="4">
        <v>1</v>
      </c>
      <c r="X86" s="4">
        <f>IF($K86="","",Q86+T86+V86)</f>
      </c>
      <c r="Y86" s="4">
        <f>IF($K86="","",L86-M86-R86-S86-T86-U86-V86-W86)</f>
      </c>
      <c r="Z86" s="4">
        <f>IF($K86="","",(Y86-AF86)/J86*100)</f>
      </c>
      <c r="AA86" s="4">
        <f>IF($K86="","",M86-X86)</f>
      </c>
      <c r="AG86" s="4">
        <f>IF($K86="","",Y86-AF86)</f>
      </c>
    </row>
    <row r="87" spans="1:38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IF($K87="","",(K87*6.9%)-(K87*6.9%)*10%)</f>
      </c>
      <c r="O87" s="4">
        <f>IF($K87="","",K87*0.35%)</f>
      </c>
      <c r="P87" s="4">
        <v>0.4</v>
      </c>
      <c r="Q87" s="4">
        <f>IF($K87="","",(N87+O87+P87)*20%)</f>
      </c>
      <c r="R87" s="4">
        <f>IF($K87="","",N87+O87+P87+Q87)</f>
      </c>
      <c r="S87" s="4"/>
      <c r="T87" s="4"/>
      <c r="U87" s="4"/>
      <c r="V87" s="4">
        <f>IF($K87="","",U87*20%)</f>
      </c>
      <c r="W87" s="4">
        <v>1</v>
      </c>
      <c r="X87" s="4">
        <f>IF($K87="","",Q87+T87+V87)</f>
      </c>
      <c r="Y87" s="4">
        <f>IF($K87="","",L87-M87-R87-S87-T87-U87-V87-W87)</f>
      </c>
      <c r="Z87" s="4">
        <f>IF($K87="","",(Y87-AF87)/J87*100)</f>
      </c>
      <c r="AA87" s="4">
        <f>IF($K87="","",M87-X87)</f>
      </c>
      <c r="AG87" s="4">
        <f>IF($K87="","",Y87-AF87)</f>
      </c>
    </row>
    <row r="88" spans="1:38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IF($K88="","",(K88*6.9%)-(K88*6.9%)*10%)</f>
      </c>
      <c r="O88" s="4">
        <f>IF($K88="","",K88*0.35%)</f>
      </c>
      <c r="P88" s="4">
        <v>0.4</v>
      </c>
      <c r="Q88" s="4">
        <f>IF($K88="","",(N88+O88+P88)*20%)</f>
      </c>
      <c r="R88" s="4">
        <f>IF($K88="","",N88+O88+P88+Q88)</f>
      </c>
      <c r="S88" s="4"/>
      <c r="T88" s="4"/>
      <c r="U88" s="4"/>
      <c r="V88" s="4">
        <f>IF($K88="","",U88*20%)</f>
      </c>
      <c r="W88" s="4">
        <v>1</v>
      </c>
      <c r="X88" s="4">
        <f>IF($K88="","",Q88+T88+V88)</f>
      </c>
      <c r="Y88" s="4">
        <f>IF($K88="","",L88-M88-R88-S88-T88-U88-V88-W88)</f>
      </c>
      <c r="Z88" s="4">
        <f>IF($K88="","",(Y88-AF88)/J88*100)</f>
      </c>
      <c r="AA88" s="4">
        <f>IF($K88="","",M88-X88)</f>
      </c>
      <c r="AG88" s="4">
        <f>IF($K88="","",Y88-AF88)</f>
      </c>
    </row>
    <row r="89" spans="1:38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IF($K89="","",(K89*6.9%)-(K89*6.9%)*10%)</f>
      </c>
      <c r="O89" s="4">
        <f>IF($K89="","",K89*0.35%)</f>
      </c>
      <c r="P89" s="4">
        <v>0.4</v>
      </c>
      <c r="Q89" s="4">
        <f>IF($K89="","",(N89+O89+P89)*20%)</f>
      </c>
      <c r="R89" s="4">
        <f>IF($K89="","",N89+O89+P89+Q89)</f>
      </c>
      <c r="S89" s="4"/>
      <c r="T89" s="4"/>
      <c r="U89" s="4"/>
      <c r="V89" s="4">
        <f>IF($K89="","",U89*20%)</f>
      </c>
      <c r="W89" s="4">
        <v>1</v>
      </c>
      <c r="X89" s="4">
        <f>IF($K89="","",Q89+T89+V89)</f>
      </c>
      <c r="Y89" s="4">
        <f>IF($K89="","",L89-M89-R89-S89-T89-U89-V89-W89)</f>
      </c>
      <c r="Z89" s="4">
        <f>IF($K89="","",(Y89-AF89)/J89*100)</f>
      </c>
      <c r="AA89" s="4">
        <f>IF($K89="","",M89-X89)</f>
      </c>
      <c r="AG89" s="4">
        <f>IF($K89="","",Y89-AF89)</f>
      </c>
    </row>
    <row r="90" spans="1:38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IF($K90="","",(K90*6.9%)-(K90*6.9%)*10%)</f>
      </c>
      <c r="O90" s="4">
        <f>IF($K90="","",K90*0.35%)</f>
      </c>
      <c r="P90" s="4">
        <v>0.4</v>
      </c>
      <c r="Q90" s="4">
        <f>IF($K90="","",(N90+O90+P90)*20%)</f>
      </c>
      <c r="R90" s="4">
        <f>IF($K90="","",N90+O90+P90+Q90)</f>
      </c>
      <c r="S90" s="4"/>
      <c r="T90" s="4"/>
      <c r="U90" s="4"/>
      <c r="V90" s="4">
        <f>IF($K90="","",U90*20%)</f>
      </c>
      <c r="W90" s="4">
        <v>1</v>
      </c>
      <c r="X90" s="4">
        <f>IF($K90="","",Q90+T90+V90)</f>
      </c>
      <c r="Y90" s="4">
        <f>IF($K90="","",L90-M90-R90-S90-T90-U90-V90-W90)</f>
      </c>
      <c r="Z90" s="4">
        <f>IF($K90="","",(Y90-AF90)/J90*100)</f>
      </c>
      <c r="AA90" s="4">
        <f>IF($K90="","",M90-X90)</f>
      </c>
      <c r="AG90" s="4">
        <f>IF($K90="","",Y90-AF90)</f>
      </c>
    </row>
    <row r="91" spans="1:38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IF($K91="","",(K91*6.9%)-(K91*6.9%)*10%)</f>
      </c>
      <c r="O91" s="4">
        <f>IF($K91="","",K91*0.35%)</f>
      </c>
      <c r="P91" s="4">
        <v>0.4</v>
      </c>
      <c r="Q91" s="4">
        <f>IF($K91="","",(N91+O91+P91)*20%)</f>
      </c>
      <c r="R91" s="4">
        <f>IF($K91="","",N91+O91+P91+Q91)</f>
      </c>
      <c r="S91" s="4"/>
      <c r="T91" s="4"/>
      <c r="U91" s="4"/>
      <c r="V91" s="4">
        <f>IF($K91="","",U91*20%)</f>
      </c>
      <c r="W91" s="4">
        <v>1</v>
      </c>
      <c r="X91" s="4">
        <f>IF($K91="","",Q91+T91+V91)</f>
      </c>
      <c r="Y91" s="4">
        <f>IF($K91="","",L91-M91-R91-S91-T91-U91-V91-W91)</f>
      </c>
      <c r="Z91" s="4">
        <f>IF($K91="","",(Y91-AF91)/J91*100)</f>
      </c>
      <c r="AA91" s="4">
        <f>IF($K91="","",M91-X91)</f>
      </c>
      <c r="AG91" s="4">
        <f>IF($K91="","",Y91-AF91)</f>
      </c>
    </row>
    <row r="92" spans="1:38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IF($K92="","",(K92*6.9%)-(K92*6.9%)*10%)</f>
      </c>
      <c r="O92" s="4">
        <f>IF($K92="","",K92*0.35%)</f>
      </c>
      <c r="P92" s="4">
        <v>0.4</v>
      </c>
      <c r="Q92" s="4">
        <f>IF($K92="","",(N92+O92+P92)*20%)</f>
      </c>
      <c r="R92" s="4">
        <f>IF($K92="","",N92+O92+P92+Q92)</f>
      </c>
      <c r="S92" s="4"/>
      <c r="T92" s="4"/>
      <c r="U92" s="4"/>
      <c r="V92" s="4">
        <f>IF($K92="","",U92*20%)</f>
      </c>
      <c r="W92" s="4">
        <v>1</v>
      </c>
      <c r="X92" s="4">
        <f>IF($K92="","",Q92+T92+V92)</f>
      </c>
      <c r="Y92" s="4">
        <f>IF($K92="","",L92-M92-R92-S92-T92-U92-V92-W92)</f>
      </c>
      <c r="Z92" s="4">
        <f>IF($K92="","",(Y92-AF92)/J92*100)</f>
      </c>
      <c r="AA92" s="4">
        <f>IF($K92="","",M92-X92)</f>
      </c>
      <c r="AG92" s="4">
        <f>IF($K92="","",Y92-AF92)</f>
      </c>
    </row>
    <row r="93" spans="1:38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IF($K93="","",(K93*6.9%)-(K93*6.9%)*10%)</f>
      </c>
      <c r="O93" s="4">
        <f>IF($K93="","",K93*0.35%)</f>
      </c>
      <c r="P93" s="4">
        <v>0.4</v>
      </c>
      <c r="Q93" s="4">
        <f>IF($K93="","",(N93+O93+P93)*20%)</f>
      </c>
      <c r="R93" s="4">
        <f>IF($K93="","",N93+O93+P93+Q93)</f>
      </c>
      <c r="S93" s="4"/>
      <c r="T93" s="4"/>
      <c r="U93" s="4"/>
      <c r="V93" s="4">
        <f>IF($K93="","",U93*20%)</f>
      </c>
      <c r="W93" s="4">
        <v>1</v>
      </c>
      <c r="X93" s="4">
        <f>IF($K93="","",Q93+T93+V93)</f>
      </c>
      <c r="Y93" s="4">
        <f>IF($K93="","",L93-M93-R93-S93-T93-U93-V93-W93)</f>
      </c>
      <c r="Z93" s="4">
        <f>IF($K93="","",(Y93-AF93)/J93*100)</f>
      </c>
      <c r="AA93" s="4">
        <f>IF($K93="","",M93-X93)</f>
      </c>
      <c r="AG93" s="4">
        <f>IF($K93="","",Y93-AF93)</f>
      </c>
    </row>
    <row r="94" spans="1:38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IF($K94="","",(K94*6.9%)-(K94*6.9%)*10%)</f>
      </c>
      <c r="O94" s="4">
        <f>IF($K94="","",K94*0.35%)</f>
      </c>
      <c r="P94" s="4">
        <v>0.4</v>
      </c>
      <c r="Q94" s="4">
        <f>IF($K94="","",(N94+O94+P94)*20%)</f>
      </c>
      <c r="R94" s="4">
        <f>IF($K94="","",N94+O94+P94+Q94)</f>
      </c>
      <c r="S94" s="4"/>
      <c r="T94" s="4"/>
      <c r="U94" s="4"/>
      <c r="V94" s="4">
        <f>IF($K94="","",U94*20%)</f>
      </c>
      <c r="W94" s="4">
        <v>1</v>
      </c>
      <c r="X94" s="4">
        <f>IF($K94="","",Q94+T94+V94)</f>
      </c>
      <c r="Y94" s="4">
        <f>IF($K94="","",L94-M94-R94-S94-T94-U94-V94-W94)</f>
      </c>
      <c r="Z94" s="4">
        <f>IF($K94="","",(Y94-AF94)/J94*100)</f>
      </c>
      <c r="AA94" s="4">
        <f>IF($K94="","",M94-X94)</f>
      </c>
      <c r="AG94" s="4">
        <f>IF($K94="","",Y94-AF94)</f>
      </c>
    </row>
    <row r="95" spans="1:38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IF($K95="","",(K95*6.9%)-(K95*6.9%)*10%)</f>
      </c>
      <c r="O95" s="4">
        <f>IF($K95="","",K95*0.35%)</f>
      </c>
      <c r="P95" s="4">
        <v>0.4</v>
      </c>
      <c r="Q95" s="4">
        <f>IF($K95="","",(N95+O95+P95)*20%)</f>
      </c>
      <c r="R95" s="4">
        <f>IF($K95="","",N95+O95+P95+Q95)</f>
      </c>
      <c r="S95" s="4"/>
      <c r="T95" s="4"/>
      <c r="U95" s="4"/>
      <c r="V95" s="4">
        <f>IF($K95="","",U95*20%)</f>
      </c>
      <c r="W95" s="4">
        <v>1</v>
      </c>
      <c r="X95" s="4">
        <f>IF($K95="","",Q95+T95+V95)</f>
      </c>
      <c r="Y95" s="4">
        <f>IF($K95="","",L95-M95-R95-S95-T95-U95-V95-W95)</f>
      </c>
      <c r="Z95" s="4">
        <f>IF($K95="","",(Y95-AF95)/J95*100)</f>
      </c>
      <c r="AA95" s="4">
        <f>IF($K95="","",M95-X95)</f>
      </c>
      <c r="AG95" s="4">
        <f>IF($K95="","",Y95-AF95)</f>
      </c>
    </row>
    <row r="96" spans="1:38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IF($K96="","",(K96*6.9%)-(K96*6.9%)*10%)</f>
      </c>
      <c r="O96" s="4">
        <f>IF($K96="","",K96*0.35%)</f>
      </c>
      <c r="P96" s="4">
        <v>0.4</v>
      </c>
      <c r="Q96" s="4">
        <f>IF($K96="","",(N96+O96+P96)*20%)</f>
      </c>
      <c r="R96" s="4">
        <f>IF($K96="","",N96+O96+P96+Q96)</f>
      </c>
      <c r="S96" s="4"/>
      <c r="T96" s="4"/>
      <c r="U96" s="4"/>
      <c r="V96" s="4">
        <f>IF($K96="","",U96*20%)</f>
      </c>
      <c r="W96" s="4">
        <v>1</v>
      </c>
      <c r="X96" s="4">
        <f>IF($K96="","",Q96+T96+V96)</f>
      </c>
      <c r="Y96" s="4">
        <f>IF($K96="","",L96-M96-R96-S96-T96-U96-V96-W96)</f>
      </c>
      <c r="Z96" s="4">
        <f>IF($K96="","",(Y96-AF96)/J96*100)</f>
      </c>
      <c r="AA96" s="4">
        <f>IF($K96="","",M96-X96)</f>
      </c>
      <c r="AG96" s="4">
        <f>IF($K96="","",Y96-AF96)</f>
      </c>
    </row>
    <row r="97" spans="1:38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IF($K97="","",(K97*6.9%)-(K97*6.9%)*10%)</f>
      </c>
      <c r="O97" s="4">
        <f>IF($K97="","",K97*0.35%)</f>
      </c>
      <c r="P97" s="4">
        <v>0.4</v>
      </c>
      <c r="Q97" s="4">
        <f>IF($K97="","",(N97+O97+P97)*20%)</f>
      </c>
      <c r="R97" s="4">
        <f>IF($K97="","",N97+O97+P97+Q97)</f>
      </c>
      <c r="S97" s="4"/>
      <c r="T97" s="4"/>
      <c r="U97" s="4"/>
      <c r="V97" s="4">
        <f>IF($K97="","",U97*20%)</f>
      </c>
      <c r="W97" s="4">
        <v>1</v>
      </c>
      <c r="X97" s="4">
        <f>IF($K97="","",Q97+T97+V97)</f>
      </c>
      <c r="Y97" s="4">
        <f>IF($K97="","",L97-M97-R97-S97-T97-U97-V97-W97)</f>
      </c>
      <c r="Z97" s="4">
        <f>IF($K97="","",(Y97-AF97)/J97*100)</f>
      </c>
      <c r="AA97" s="4">
        <f>IF($K97="","",M97-X97)</f>
      </c>
      <c r="AG97" s="4">
        <f>IF($K97="","",Y97-AF97)</f>
      </c>
    </row>
    <row r="98" spans="1:38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IF($K98="","",(K98*6.9%)-(K98*6.9%)*10%)</f>
      </c>
      <c r="O98" s="4">
        <f>IF($K98="","",K98*0.35%)</f>
      </c>
      <c r="P98" s="4">
        <v>0.4</v>
      </c>
      <c r="Q98" s="4">
        <f>IF($K98="","",(N98+O98+P98)*20%)</f>
      </c>
      <c r="R98" s="4">
        <f>IF($K98="","",N98+O98+P98+Q98)</f>
      </c>
      <c r="S98" s="4"/>
      <c r="T98" s="4"/>
      <c r="U98" s="4"/>
      <c r="V98" s="4">
        <f>IF($K98="","",U98*20%)</f>
      </c>
      <c r="W98" s="4">
        <v>1</v>
      </c>
      <c r="X98" s="4">
        <f>IF($K98="","",Q98+T98+V98)</f>
      </c>
      <c r="Y98" s="4">
        <f>IF($K98="","",L98-M98-R98-S98-T98-U98-V98-W98)</f>
      </c>
      <c r="Z98" s="4">
        <f>IF($K98="","",(Y98-AF98)/J98*100)</f>
      </c>
      <c r="AA98" s="4">
        <f>IF($K98="","",M98-X98)</f>
      </c>
      <c r="AG98" s="4">
        <f>IF($K98="","",Y98-AF98)</f>
      </c>
    </row>
    <row r="99" spans="1:38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IF($K99="","",(K99*6.9%)-(K99*6.9%)*10%)</f>
      </c>
      <c r="O99" s="4">
        <f>IF($K99="","",K99*0.35%)</f>
      </c>
      <c r="P99" s="4">
        <v>0.4</v>
      </c>
      <c r="Q99" s="4">
        <f>IF($K99="","",(N99+O99+P99)*20%)</f>
      </c>
      <c r="R99" s="4">
        <f>IF($K99="","",N99+O99+P99+Q99)</f>
      </c>
      <c r="S99" s="4"/>
      <c r="T99" s="4"/>
      <c r="U99" s="4"/>
      <c r="V99" s="4">
        <f>IF($K99="","",U99*20%)</f>
      </c>
      <c r="W99" s="4">
        <v>1</v>
      </c>
      <c r="X99" s="4">
        <f>IF($K99="","",Q99+T99+V99)</f>
      </c>
      <c r="Y99" s="4">
        <f>IF($K99="","",L99-M99-R99-S99-T99-U99-V99-W99)</f>
      </c>
      <c r="Z99" s="4">
        <f>IF($K99="","",(Y99-AF99)/J99*100)</f>
      </c>
      <c r="AA99" s="4">
        <f>IF($K99="","",M99-X99)</f>
      </c>
      <c r="AG99" s="4">
        <f>IF($K99="","",Y99-AF99)</f>
      </c>
    </row>
    <row r="100" spans="1:38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IF($K100="","",(K100*6.9%)-(K100*6.9%)*10%)</f>
      </c>
      <c r="O100" s="4">
        <f>IF($K100="","",K100*0.35%)</f>
      </c>
      <c r="P100" s="4">
        <v>0.4</v>
      </c>
      <c r="Q100" s="4">
        <f>IF($K100="","",(N100+O100+P100)*20%)</f>
      </c>
      <c r="R100" s="4">
        <f>IF($K100="","",N100+O100+P100+Q100)</f>
      </c>
      <c r="S100" s="4"/>
      <c r="T100" s="4"/>
      <c r="U100" s="4"/>
      <c r="V100" s="4">
        <f>IF($K100="","",U100*20%)</f>
      </c>
      <c r="W100" s="4">
        <v>1</v>
      </c>
      <c r="X100" s="4">
        <f>IF($K100="","",Q100+T100+V100)</f>
      </c>
      <c r="Y100" s="4">
        <f>IF($K100="","",L100-M100-R100-S100-T100-U100-V100-W100)</f>
      </c>
      <c r="Z100" s="4">
        <f>IF($K100="","",(Y100-AF100)/J100*100)</f>
      </c>
      <c r="AA100" s="4">
        <f>IF($K100="","",M100-X100)</f>
      </c>
      <c r="AG100" s="4">
        <f>IF($K100="","",Y100-AF100)</f>
      </c>
    </row>
    <row r="101" spans="1:38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IF($K101="","",(K101*6.9%)-(K101*6.9%)*10%)</f>
      </c>
      <c r="O101" s="4">
        <f>IF($K101="","",K101*0.35%)</f>
      </c>
      <c r="P101" s="4">
        <v>0.4</v>
      </c>
      <c r="Q101" s="4">
        <f>IF($K101="","",(N101+O101+P101)*20%)</f>
      </c>
      <c r="R101" s="4">
        <f>IF($K101="","",N101+O101+P101+Q101)</f>
      </c>
      <c r="S101" s="4"/>
      <c r="T101" s="4"/>
      <c r="U101" s="4"/>
      <c r="V101" s="4">
        <f>IF($K101="","",U101*20%)</f>
      </c>
      <c r="W101" s="4">
        <v>1</v>
      </c>
      <c r="X101" s="4">
        <f>IF($K101="","",Q101+T101+V101)</f>
      </c>
      <c r="Y101" s="4">
        <f>IF($K101="","",L101-M101-R101-S101-T101-U101-V101-W101)</f>
      </c>
      <c r="Z101" s="4">
        <f>IF($K101="","",(Y101-AF101)/J101*100)</f>
      </c>
      <c r="AA101" s="4">
        <f>IF($K101="","",M101-X101)</f>
      </c>
      <c r="AG101" s="4">
        <f>IF($K101="","",Y101-AF101)</f>
      </c>
    </row>
    <row r="102" spans="1:38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IF($K102="","",(K102*6.9%)-(K102*6.9%)*10%)</f>
      </c>
      <c r="O102" s="4">
        <f>IF($K102="","",K102*0.35%)</f>
      </c>
      <c r="P102" s="4">
        <v>0.4</v>
      </c>
      <c r="Q102" s="4">
        <f>IF($K102="","",(N102+O102+P102)*20%)</f>
      </c>
      <c r="R102" s="4">
        <f>IF($K102="","",N102+O102+P102+Q102)</f>
      </c>
      <c r="S102" s="4"/>
      <c r="T102" s="4"/>
      <c r="U102" s="4"/>
      <c r="V102" s="4">
        <f>IF($K102="","",U102*20%)</f>
      </c>
      <c r="W102" s="4">
        <v>1</v>
      </c>
      <c r="X102" s="4">
        <f>IF($K102="","",Q102+T102+V102)</f>
      </c>
      <c r="Y102" s="4">
        <f>IF($K102="","",L102-M102-R102-S102-T102-U102-V102-W102)</f>
      </c>
      <c r="Z102" s="4">
        <f>IF($K102="","",(Y102-AF102)/J102*100)</f>
      </c>
      <c r="AA102" s="4">
        <f>IF($K102="","",M102-X102)</f>
      </c>
      <c r="AG102" s="4">
        <f>IF($K102="","",Y102-AF102)</f>
      </c>
    </row>
    <row r="103" spans="1:38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IF($K103="","",(K103*6.9%)-(K103*6.9%)*10%)</f>
      </c>
      <c r="O103" s="4">
        <f>IF($K103="","",K103*0.35%)</f>
      </c>
      <c r="P103" s="4">
        <v>0.4</v>
      </c>
      <c r="Q103" s="4">
        <f>IF($K103="","",(N103+O103+P103)*20%)</f>
      </c>
      <c r="R103" s="4">
        <f>IF($K103="","",N103+O103+P103+Q103)</f>
      </c>
      <c r="S103" s="4"/>
      <c r="T103" s="4"/>
      <c r="U103" s="4"/>
      <c r="V103" s="4">
        <f>IF($K103="","",U103*20%)</f>
      </c>
      <c r="W103" s="4">
        <v>1</v>
      </c>
      <c r="X103" s="4">
        <f>IF($K103="","",Q103+T103+V103)</f>
      </c>
      <c r="Y103" s="4">
        <f>IF($K103="","",L103-M103-R103-S103-T103-U103-V103-W103)</f>
      </c>
      <c r="Z103" s="4">
        <f>IF($K103="","",(Y103-AF103)/J103*100)</f>
      </c>
      <c r="AA103" s="4">
        <f>IF($K103="","",M103-X103)</f>
      </c>
      <c r="AG103" s="4">
        <f>IF($K103="","",Y103-AF103)</f>
      </c>
    </row>
    <row r="104" spans="1:38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IF($K104="","",(K104*6.9%)-(K104*6.9%)*10%)</f>
      </c>
      <c r="O104" s="4">
        <f>IF($K104="","",K104*0.35%)</f>
      </c>
      <c r="P104" s="4">
        <v>0.4</v>
      </c>
      <c r="Q104" s="4">
        <f>IF($K104="","",(N104+O104+P104)*20%)</f>
      </c>
      <c r="R104" s="4">
        <f>IF($K104="","",N104+O104+P104+Q104)</f>
      </c>
      <c r="S104" s="4"/>
      <c r="T104" s="4"/>
      <c r="U104" s="4"/>
      <c r="V104" s="4">
        <f>IF($K104="","",U104*20%)</f>
      </c>
      <c r="W104" s="4">
        <v>1</v>
      </c>
      <c r="X104" s="4">
        <f>IF($K104="","",Q104+T104+V104)</f>
      </c>
      <c r="Y104" s="4">
        <f>IF($K104="","",L104-M104-R104-S104-T104-U104-V104-W104)</f>
      </c>
      <c r="Z104" s="4">
        <f>IF($K104="","",(Y104-AF104)/J104*100)</f>
      </c>
      <c r="AA104" s="4">
        <f>IF($K104="","",M104-X104)</f>
      </c>
      <c r="AG104" s="4">
        <f>IF($K104="","",Y104-AF104)</f>
      </c>
    </row>
    <row r="105" spans="1:38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IF($K105="","",(K105*6.9%)-(K105*6.9%)*10%)</f>
      </c>
      <c r="O105" s="4">
        <f>IF($K105="","",K105*0.35%)</f>
      </c>
      <c r="P105" s="4">
        <v>0.4</v>
      </c>
      <c r="Q105" s="4">
        <f>IF($K105="","",(N105+O105+P105)*20%)</f>
      </c>
      <c r="R105" s="4">
        <f>IF($K105="","",N105+O105+P105+Q105)</f>
      </c>
      <c r="S105" s="4"/>
      <c r="T105" s="4"/>
      <c r="U105" s="4"/>
      <c r="V105" s="4">
        <f>IF($K105="","",U105*20%)</f>
      </c>
      <c r="W105" s="4">
        <v>1</v>
      </c>
      <c r="X105" s="4">
        <f>IF($K105="","",Q105+T105+V105)</f>
      </c>
      <c r="Y105" s="4">
        <f>IF($K105="","",L105-M105-R105-S105-T105-U105-V105-W105)</f>
      </c>
      <c r="Z105" s="4">
        <f>IF($K105="","",(Y105-AF105)/J105*100)</f>
      </c>
      <c r="AA105" s="4">
        <f>IF($K105="","",M105-X105)</f>
      </c>
      <c r="AG105" s="4">
        <f>IF($K105="","",Y105-AF105)</f>
      </c>
    </row>
    <row r="106" spans="1:38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IF($K106="","",(K106*6.9%)-(K106*6.9%)*10%)</f>
      </c>
      <c r="O106" s="4">
        <f>IF($K106="","",K106*0.35%)</f>
      </c>
      <c r="P106" s="4">
        <v>0.4</v>
      </c>
      <c r="Q106" s="4">
        <f>IF($K106="","",(N106+O106+P106)*20%)</f>
      </c>
      <c r="R106" s="4">
        <f>IF($K106="","",N106+O106+P106+Q106)</f>
      </c>
      <c r="S106" s="4"/>
      <c r="T106" s="4"/>
      <c r="U106" s="4"/>
      <c r="V106" s="4">
        <f>IF($K106="","",U106*20%)</f>
      </c>
      <c r="W106" s="4">
        <v>1</v>
      </c>
      <c r="X106" s="4">
        <f>IF($K106="","",Q106+T106+V106)</f>
      </c>
      <c r="Y106" s="4">
        <f>IF($K106="","",L106-M106-R106-S106-T106-U106-V106-W106)</f>
      </c>
      <c r="Z106" s="4">
        <f>IF($K106="","",(Y106-AF106)/J106*100)</f>
      </c>
      <c r="AA106" s="4">
        <f>IF($K106="","",M106-X106)</f>
      </c>
      <c r="AG106" s="4">
        <f>IF($K106="","",Y106-AF106)</f>
      </c>
    </row>
    <row r="107" spans="1:38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IF($K107="","",(K107*6.9%)-(K107*6.9%)*10%)</f>
      </c>
      <c r="O107" s="4">
        <f>IF($K107="","",K107*0.35%)</f>
      </c>
      <c r="P107" s="4">
        <v>0.4</v>
      </c>
      <c r="Q107" s="4">
        <f>IF($K107="","",(N107+O107+P107)*20%)</f>
      </c>
      <c r="R107" s="4">
        <f>IF($K107="","",N107+O107+P107+Q107)</f>
      </c>
      <c r="S107" s="4"/>
      <c r="T107" s="4"/>
      <c r="U107" s="4"/>
      <c r="V107" s="4">
        <f>IF($K107="","",U107*20%)</f>
      </c>
      <c r="W107" s="4">
        <v>1</v>
      </c>
      <c r="X107" s="4">
        <f>IF($K107="","",Q107+T107+V107)</f>
      </c>
      <c r="Y107" s="4">
        <f>IF($K107="","",L107-M107-R107-S107-T107-U107-V107-W107)</f>
      </c>
      <c r="Z107" s="4">
        <f>IF($K107="","",(Y107-AF107)/J107*100)</f>
      </c>
      <c r="AA107" s="4">
        <f>IF($K107="","",M107-X107)</f>
      </c>
      <c r="AG107" s="4">
        <f>IF($K107="","",Y107-AF107)</f>
      </c>
    </row>
    <row r="108" spans="1:38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IF($K108="","",(K108*6.9%)-(K108*6.9%)*10%)</f>
      </c>
      <c r="O108" s="4">
        <f>IF($K108="","",K108*0.35%)</f>
      </c>
      <c r="P108" s="4">
        <v>0.4</v>
      </c>
      <c r="Q108" s="4">
        <f>IF($K108="","",(N108+O108+P108)*20%)</f>
      </c>
      <c r="R108" s="4">
        <f>IF($K108="","",N108+O108+P108+Q108)</f>
      </c>
      <c r="S108" s="4"/>
      <c r="T108" s="4"/>
      <c r="U108" s="4"/>
      <c r="V108" s="4">
        <f>IF($K108="","",U108*20%)</f>
      </c>
      <c r="W108" s="4">
        <v>1</v>
      </c>
      <c r="X108" s="4">
        <f>IF($K108="","",Q108+T108+V108)</f>
      </c>
      <c r="Y108" s="4">
        <f>IF($K108="","",L108-M108-R108-S108-T108-U108-V108-W108)</f>
      </c>
      <c r="Z108" s="4">
        <f>IF($K108="","",(Y108-AF108)/J108*100)</f>
      </c>
      <c r="AA108" s="4">
        <f>IF($K108="","",M108-X108)</f>
      </c>
      <c r="AG108" s="4">
        <f>IF($K108="","",Y108-AF108)</f>
      </c>
    </row>
    <row r="109" spans="1:38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IF($K109="","",(K109*6.9%)-(K109*6.9%)*10%)</f>
      </c>
      <c r="O109" s="4">
        <f>IF($K109="","",K109*0.35%)</f>
      </c>
      <c r="P109" s="4">
        <v>0.4</v>
      </c>
      <c r="Q109" s="4">
        <f>IF($K109="","",(N109+O109+P109)*20%)</f>
      </c>
      <c r="R109" s="4">
        <f>IF($K109="","",N109+O109+P109+Q109)</f>
      </c>
      <c r="S109" s="4"/>
      <c r="T109" s="4"/>
      <c r="U109" s="4"/>
      <c r="V109" s="4">
        <f>IF($K109="","",U109*20%)</f>
      </c>
      <c r="W109" s="4">
        <v>1</v>
      </c>
      <c r="X109" s="4">
        <f>IF($K109="","",Q109+T109+V109)</f>
      </c>
      <c r="Y109" s="4">
        <f>IF($K109="","",L109-M109-R109-S109-T109-U109-V109-W109)</f>
      </c>
      <c r="Z109" s="4">
        <f>IF($K109="","",(Y109-AF109)/J109*100)</f>
      </c>
      <c r="AA109" s="4">
        <f>IF($K109="","",M109-X109)</f>
      </c>
      <c r="AG109" s="4">
        <f>IF($K109="","",Y109-AF109)</f>
      </c>
    </row>
    <row r="110" spans="1:38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IF($K110="","",(K110*6.9%)-(K110*6.9%)*10%)</f>
      </c>
      <c r="O110" s="4">
        <f>IF($K110="","",K110*0.35%)</f>
      </c>
      <c r="P110" s="4">
        <v>0.4</v>
      </c>
      <c r="Q110" s="4">
        <f>IF($K110="","",(N110+O110+P110)*20%)</f>
      </c>
      <c r="R110" s="4">
        <f>IF($K110="","",N110+O110+P110+Q110)</f>
      </c>
      <c r="S110" s="4"/>
      <c r="T110" s="4"/>
      <c r="U110" s="4"/>
      <c r="V110" s="4">
        <f>IF($K110="","",U110*20%)</f>
      </c>
      <c r="W110" s="4">
        <v>1</v>
      </c>
      <c r="X110" s="4">
        <f>IF($K110="","",Q110+T110+V110)</f>
      </c>
      <c r="Y110" s="4">
        <f>IF($K110="","",L110-M110-R110-S110-T110-U110-V110-W110)</f>
      </c>
      <c r="Z110" s="4">
        <f>IF($K110="","",(Y110-AF110)/J110*100)</f>
      </c>
      <c r="AA110" s="4">
        <f>IF($K110="","",M110-X110)</f>
      </c>
      <c r="AG110" s="4">
        <f>IF($K110="","",Y110-AF110)</f>
      </c>
    </row>
    <row r="111" spans="1:38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IF($K111="","",(K111*6.9%)-(K111*6.9%)*10%)</f>
      </c>
      <c r="O111" s="4">
        <f>IF($K111="","",K111*0.35%)</f>
      </c>
      <c r="P111" s="4">
        <v>0.4</v>
      </c>
      <c r="Q111" s="4">
        <f>IF($K111="","",(N111+O111+P111)*20%)</f>
      </c>
      <c r="R111" s="4">
        <f>IF($K111="","",N111+O111+P111+Q111)</f>
      </c>
      <c r="S111" s="4"/>
      <c r="T111" s="4"/>
      <c r="U111" s="4"/>
      <c r="V111" s="4">
        <f>IF($K111="","",U111*20%)</f>
      </c>
      <c r="W111" s="4">
        <v>1</v>
      </c>
      <c r="X111" s="4">
        <f>IF($K111="","",Q111+T111+V111)</f>
      </c>
      <c r="Y111" s="4">
        <f>IF($K111="","",L111-M111-R111-S111-T111-U111-V111-W111)</f>
      </c>
      <c r="Z111" s="4">
        <f>IF($K111="","",(Y111-AF111)/J111*100)</f>
      </c>
      <c r="AA111" s="4">
        <f>IF($K111="","",M111-X111)</f>
      </c>
      <c r="AG111" s="4">
        <f>IF($K111="","",Y111-AF111)</f>
      </c>
    </row>
    <row r="112" spans="1:38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IF($K112="","",(K112*6.9%)-(K112*6.9%)*10%)</f>
      </c>
      <c r="O112" s="4">
        <f>IF($K112="","",K112*0.35%)</f>
      </c>
      <c r="P112" s="4">
        <v>0.4</v>
      </c>
      <c r="Q112" s="4">
        <f>IF($K112="","",(N112+O112+P112)*20%)</f>
      </c>
      <c r="R112" s="4">
        <f>IF($K112="","",N112+O112+P112+Q112)</f>
      </c>
      <c r="S112" s="4"/>
      <c r="T112" s="4"/>
      <c r="U112" s="4"/>
      <c r="V112" s="4">
        <f>IF($K112="","",U112*20%)</f>
      </c>
      <c r="W112" s="4">
        <v>1</v>
      </c>
      <c r="X112" s="4">
        <f>IF($K112="","",Q112+T112+V112)</f>
      </c>
      <c r="Y112" s="4">
        <f>IF($K112="","",L112-M112-R112-S112-T112-U112-V112-W112)</f>
      </c>
      <c r="Z112" s="4">
        <f>IF($K112="","",(Y112-AF112)/J112*100)</f>
      </c>
      <c r="AA112" s="4">
        <f>IF($K112="","",M112-X112)</f>
      </c>
      <c r="AG112" s="4">
        <f>IF($K112="","",Y112-AF112)</f>
      </c>
    </row>
    <row r="113" spans="1:38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IF($K113="","",(K113*6.9%)-(K113*6.9%)*10%)</f>
      </c>
      <c r="O113" s="4">
        <f>IF($K113="","",K113*0.35%)</f>
      </c>
      <c r="P113" s="4">
        <v>0.4</v>
      </c>
      <c r="Q113" s="4">
        <f>IF($K113="","",(N113+O113+P113)*20%)</f>
      </c>
      <c r="R113" s="4">
        <f>IF($K113="","",N113+O113+P113+Q113)</f>
      </c>
      <c r="S113" s="4"/>
      <c r="T113" s="4"/>
      <c r="U113" s="4"/>
      <c r="V113" s="4">
        <f>IF($K113="","",U113*20%)</f>
      </c>
      <c r="W113" s="4">
        <v>1</v>
      </c>
      <c r="X113" s="4">
        <f>IF($K113="","",Q113+T113+V113)</f>
      </c>
      <c r="Y113" s="4">
        <f>IF($K113="","",L113-M113-R113-S113-T113-U113-V113-W113)</f>
      </c>
      <c r="Z113" s="4">
        <f>IF($K113="","",(Y113-AF113)/J113*100)</f>
      </c>
      <c r="AA113" s="4">
        <f>IF($K113="","",M113-X113)</f>
      </c>
      <c r="AG113" s="4">
        <f>IF($K113="","",Y113-AF113)</f>
      </c>
    </row>
    <row r="114" spans="1:38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IF($K114="","",(K114*6.9%)-(K114*6.9%)*10%)</f>
      </c>
      <c r="O114" s="4">
        <f>IF($K114="","",K114*0.35%)</f>
      </c>
      <c r="P114" s="4">
        <v>0.4</v>
      </c>
      <c r="Q114" s="4">
        <f>IF($K114="","",(N114+O114+P114)*20%)</f>
      </c>
      <c r="R114" s="4">
        <f>IF($K114="","",N114+O114+P114+Q114)</f>
      </c>
      <c r="S114" s="4"/>
      <c r="T114" s="4"/>
      <c r="U114" s="4"/>
      <c r="V114" s="4">
        <f>IF($K114="","",U114*20%)</f>
      </c>
      <c r="W114" s="4">
        <v>1</v>
      </c>
      <c r="X114" s="4">
        <f>IF($K114="","",Q114+T114+V114)</f>
      </c>
      <c r="Y114" s="4">
        <f>IF($K114="","",L114-M114-R114-S114-T114-U114-V114-W114)</f>
      </c>
      <c r="Z114" s="4">
        <f>IF($K114="","",(Y114-AF114)/J114*100)</f>
      </c>
      <c r="AA114" s="4">
        <f>IF($K114="","",M114-X114)</f>
      </c>
      <c r="AG114" s="4">
        <f>IF($K114="","",Y114-AF114)</f>
      </c>
    </row>
    <row r="115" spans="1:38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IF($K115="","",(K115*6.9%)-(K115*6.9%)*10%)</f>
      </c>
      <c r="O115" s="4">
        <f>IF($K115="","",K115*0.35%)</f>
      </c>
      <c r="P115" s="4">
        <v>0.4</v>
      </c>
      <c r="Q115" s="4">
        <f>IF($K115="","",(N115+O115+P115)*20%)</f>
      </c>
      <c r="R115" s="4">
        <f>IF($K115="","",N115+O115+P115+Q115)</f>
      </c>
      <c r="S115" s="4"/>
      <c r="T115" s="4"/>
      <c r="U115" s="4"/>
      <c r="V115" s="4">
        <f>IF($K115="","",U115*20%)</f>
      </c>
      <c r="W115" s="4">
        <v>1</v>
      </c>
      <c r="X115" s="4">
        <f>IF($K115="","",Q115+T115+V115)</f>
      </c>
      <c r="Y115" s="4">
        <f>IF($K115="","",L115-M115-R115-S115-T115-U115-V115-W115)</f>
      </c>
      <c r="Z115" s="4">
        <f>IF($K115="","",(Y115-AF115)/J115*100)</f>
      </c>
      <c r="AA115" s="4">
        <f>IF($K115="","",M115-X115)</f>
      </c>
      <c r="AG115" s="4">
        <f>IF($K115="","",Y115-AF115)</f>
      </c>
    </row>
    <row r="116" spans="1:38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IF($K116="","",(K116*6.9%)-(K116*6.9%)*10%)</f>
      </c>
      <c r="O116" s="4">
        <f>IF($K116="","",K116*0.35%)</f>
      </c>
      <c r="P116" s="4">
        <v>0.4</v>
      </c>
      <c r="Q116" s="4">
        <f>IF($K116="","",(N116+O116+P116)*20%)</f>
      </c>
      <c r="R116" s="4">
        <f>IF($K116="","",N116+O116+P116+Q116)</f>
      </c>
      <c r="S116" s="4"/>
      <c r="T116" s="4"/>
      <c r="U116" s="4"/>
      <c r="V116" s="4">
        <f>IF($K116="","",U116*20%)</f>
      </c>
      <c r="W116" s="4">
        <v>1</v>
      </c>
      <c r="X116" s="4">
        <f>IF($K116="","",Q116+T116+V116)</f>
      </c>
      <c r="Y116" s="4">
        <f>IF($K116="","",L116-M116-R116-S116-T116-U116-V116-W116)</f>
      </c>
      <c r="Z116" s="4">
        <f>IF($K116="","",(Y116-AF116)/J116*100)</f>
      </c>
      <c r="AA116" s="4">
        <f>IF($K116="","",M116-X116)</f>
      </c>
      <c r="AG116" s="4">
        <f>IF($K116="","",Y116-AF116)</f>
      </c>
    </row>
    <row r="117" spans="1:38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IF($K117="","",(K117*6.9%)-(K117*6.9%)*10%)</f>
      </c>
      <c r="O117" s="4">
        <f>IF($K117="","",K117*0.35%)</f>
      </c>
      <c r="P117" s="4">
        <v>0.4</v>
      </c>
      <c r="Q117" s="4">
        <f>IF($K117="","",(N117+O117+P117)*20%)</f>
      </c>
      <c r="R117" s="4">
        <f>IF($K117="","",N117+O117+P117+Q117)</f>
      </c>
      <c r="S117" s="4"/>
      <c r="T117" s="4"/>
      <c r="U117" s="4"/>
      <c r="V117" s="4">
        <f>IF($K117="","",U117*20%)</f>
      </c>
      <c r="W117" s="4">
        <v>1</v>
      </c>
      <c r="X117" s="4">
        <f>IF($K117="","",Q117+T117+V117)</f>
      </c>
      <c r="Y117" s="4">
        <f>IF($K117="","",L117-M117-R117-S117-T117-U117-V117-W117)</f>
      </c>
      <c r="Z117" s="4">
        <f>IF($K117="","",(Y117-AF117)/J117*100)</f>
      </c>
      <c r="AA117" s="4">
        <f>IF($K117="","",M117-X117)</f>
      </c>
      <c r="AG117" s="4">
        <f>IF($K117="","",Y117-AF117)</f>
      </c>
    </row>
    <row r="118" spans="1:38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IF($K118="","",(K118*6.9%)-(K118*6.9%)*10%)</f>
      </c>
      <c r="O118" s="4">
        <f>IF($K118="","",K118*0.35%)</f>
      </c>
      <c r="P118" s="4">
        <v>0.4</v>
      </c>
      <c r="Q118" s="4">
        <f>IF($K118="","",(N118+O118+P118)*20%)</f>
      </c>
      <c r="R118" s="4">
        <f>IF($K118="","",N118+O118+P118+Q118)</f>
      </c>
      <c r="S118" s="4"/>
      <c r="T118" s="4"/>
      <c r="U118" s="4"/>
      <c r="V118" s="4">
        <f>IF($K118="","",U118*20%)</f>
      </c>
      <c r="W118" s="4">
        <v>1</v>
      </c>
      <c r="X118" s="4">
        <f>IF($K118="","",Q118+T118+V118)</f>
      </c>
      <c r="Y118" s="4">
        <f>IF($K118="","",L118-M118-R118-S118-T118-U118-V118-W118)</f>
      </c>
      <c r="Z118" s="4">
        <f>IF($K118="","",(Y118-AF118)/J118*100)</f>
      </c>
      <c r="AA118" s="4">
        <f>IF($K118="","",M118-X118)</f>
      </c>
      <c r="AG118" s="4">
        <f>IF($K118="","",Y118-AF118)</f>
      </c>
    </row>
    <row r="119" spans="1:38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IF($K119="","",(K119*6.9%)-(K119*6.9%)*10%)</f>
      </c>
      <c r="O119" s="4">
        <f>IF($K119="","",K119*0.35%)</f>
      </c>
      <c r="P119" s="4">
        <v>0.4</v>
      </c>
      <c r="Q119" s="4">
        <f>IF($K119="","",(N119+O119+P119)*20%)</f>
      </c>
      <c r="R119" s="4">
        <f>IF($K119="","",N119+O119+P119+Q119)</f>
      </c>
      <c r="S119" s="4"/>
      <c r="T119" s="4"/>
      <c r="U119" s="4"/>
      <c r="V119" s="4">
        <f>IF($K119="","",U119*20%)</f>
      </c>
      <c r="W119" s="4">
        <v>1</v>
      </c>
      <c r="X119" s="4">
        <f>IF($K119="","",Q119+T119+V119)</f>
      </c>
      <c r="Y119" s="4">
        <f>IF($K119="","",L119-M119-R119-S119-T119-U119-V119-W119)</f>
      </c>
      <c r="Z119" s="4">
        <f>IF($K119="","",(Y119-AF119)/J119*100)</f>
      </c>
      <c r="AA119" s="4">
        <f>IF($K119="","",M119-X119)</f>
      </c>
      <c r="AG119" s="4">
        <f>IF($K119="","",Y119-AF119)</f>
      </c>
    </row>
    <row r="120" spans="1:38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IF($K120="","",(K120*6.9%)-(K120*6.9%)*10%)</f>
      </c>
      <c r="O120" s="4">
        <f>IF($K120="","",K120*0.35%)</f>
      </c>
      <c r="P120" s="4">
        <v>0.4</v>
      </c>
      <c r="Q120" s="4">
        <f>IF($K120="","",(N120+O120+P120)*20%)</f>
      </c>
      <c r="R120" s="4">
        <f>IF($K120="","",N120+O120+P120+Q120)</f>
      </c>
      <c r="S120" s="4"/>
      <c r="T120" s="4"/>
      <c r="U120" s="4"/>
      <c r="V120" s="4">
        <f>IF($K120="","",U120*20%)</f>
      </c>
      <c r="W120" s="4">
        <v>1</v>
      </c>
      <c r="X120" s="4">
        <f>IF($K120="","",Q120+T120+V120)</f>
      </c>
      <c r="Y120" s="4">
        <f>IF($K120="","",L120-M120-R120-S120-T120-U120-V120-W120)</f>
      </c>
      <c r="Z120" s="4">
        <f>IF($K120="","",(Y120-AF120)/J120*100)</f>
      </c>
      <c r="AA120" s="4">
        <f>IF($K120="","",M120-X120)</f>
      </c>
      <c r="AG120" s="4">
        <f>IF($K120="","",Y120-AF120)</f>
      </c>
    </row>
    <row r="121" spans="1:38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IF($K121="","",(K121*6.9%)-(K121*6.9%)*10%)</f>
      </c>
      <c r="O121" s="4">
        <f>IF($K121="","",K121*0.35%)</f>
      </c>
      <c r="P121" s="4">
        <v>0.4</v>
      </c>
      <c r="Q121" s="4">
        <f>IF($K121="","",(N121+O121+P121)*20%)</f>
      </c>
      <c r="R121" s="4">
        <f>IF($K121="","",N121+O121+P121+Q121)</f>
      </c>
      <c r="S121" s="4"/>
      <c r="T121" s="4"/>
      <c r="U121" s="4"/>
      <c r="V121" s="4">
        <f>IF($K121="","",U121*20%)</f>
      </c>
      <c r="W121" s="4">
        <v>1</v>
      </c>
      <c r="X121" s="4">
        <f>IF($K121="","",Q121+T121+V121)</f>
      </c>
      <c r="Y121" s="4">
        <f>IF($K121="","",L121-M121-R121-S121-T121-U121-V121-W121)</f>
      </c>
      <c r="Z121" s="4">
        <f>IF($K121="","",(Y121-AF121)/J121*100)</f>
      </c>
      <c r="AA121" s="4">
        <f>IF($K121="","",M121-X121)</f>
      </c>
      <c r="AG121" s="4">
        <f>IF($K121="","",Y121-AF121)</f>
      </c>
    </row>
    <row r="122" spans="1:38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IF($K122="","",(K122*6.9%)-(K122*6.9%)*10%)</f>
      </c>
      <c r="O122" s="4">
        <f>IF($K122="","",K122*0.35%)</f>
      </c>
      <c r="P122" s="4">
        <v>0.4</v>
      </c>
      <c r="Q122" s="4">
        <f>IF($K122="","",(N122+O122+P122)*20%)</f>
      </c>
      <c r="R122" s="4">
        <f>IF($K122="","",N122+O122+P122+Q122)</f>
      </c>
      <c r="S122" s="4"/>
      <c r="T122" s="4"/>
      <c r="U122" s="4"/>
      <c r="V122" s="4">
        <f>IF($K122="","",U122*20%)</f>
      </c>
      <c r="W122" s="4">
        <v>1</v>
      </c>
      <c r="X122" s="4">
        <f>IF($K122="","",Q122+T122+V122)</f>
      </c>
      <c r="Y122" s="4">
        <f>IF($K122="","",L122-M122-R122-S122-T122-U122-V122-W122)</f>
      </c>
      <c r="Z122" s="4">
        <f>IF($K122="","",(Y122-AF122)/J122*100)</f>
      </c>
      <c r="AA122" s="4">
        <f>IF($K122="","",M122-X122)</f>
      </c>
      <c r="AG122" s="4">
        <f>IF($K122="","",Y122-AF122)</f>
      </c>
    </row>
    <row r="123" spans="1:38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IF($K123="","",(K123*6.9%)-(K123*6.9%)*10%)</f>
      </c>
      <c r="O123" s="4">
        <f>IF($K123="","",K123*0.35%)</f>
      </c>
      <c r="P123" s="4">
        <v>0.4</v>
      </c>
      <c r="Q123" s="4">
        <f>IF($K123="","",(N123+O123+P123)*20%)</f>
      </c>
      <c r="R123" s="4">
        <f>IF($K123="","",N123+O123+P123+Q123)</f>
      </c>
      <c r="S123" s="4"/>
      <c r="T123" s="4"/>
      <c r="U123" s="4"/>
      <c r="V123" s="4">
        <f>IF($K123="","",U123*20%)</f>
      </c>
      <c r="W123" s="4">
        <v>1</v>
      </c>
      <c r="X123" s="4">
        <f>IF($K123="","",Q123+T123+V123)</f>
      </c>
      <c r="Y123" s="4">
        <f>IF($K123="","",L123-M123-R123-S123-T123-U123-V123-W123)</f>
      </c>
      <c r="Z123" s="4">
        <f>IF($K123="","",(Y123-AF123)/J123*100)</f>
      </c>
      <c r="AA123" s="4">
        <f>IF($K123="","",M123-X123)</f>
      </c>
      <c r="AG123" s="4">
        <f>IF($K123="","",Y123-AF123)</f>
      </c>
    </row>
    <row r="124" spans="1:38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IF($K124="","",(K124*6.9%)-(K124*6.9%)*10%)</f>
      </c>
      <c r="O124" s="4">
        <f>IF($K124="","",K124*0.35%)</f>
      </c>
      <c r="P124" s="4">
        <v>0.4</v>
      </c>
      <c r="Q124" s="4">
        <f>IF($K124="","",(N124+O124+P124)*20%)</f>
      </c>
      <c r="R124" s="4">
        <f>IF($K124="","",N124+O124+P124+Q124)</f>
      </c>
      <c r="S124" s="4"/>
      <c r="T124" s="4"/>
      <c r="U124" s="4"/>
      <c r="V124" s="4">
        <f>IF($K124="","",U124*20%)</f>
      </c>
      <c r="W124" s="4">
        <v>1</v>
      </c>
      <c r="X124" s="4">
        <f>IF($K124="","",Q124+T124+V124)</f>
      </c>
      <c r="Y124" s="4">
        <f>IF($K124="","",L124-M124-R124-S124-T124-U124-V124-W124)</f>
      </c>
      <c r="Z124" s="4">
        <f>IF($K124="","",(Y124-AF124)/J124*100)</f>
      </c>
      <c r="AA124" s="4">
        <f>IF($K124="","",M124-X124)</f>
      </c>
      <c r="AG124" s="4">
        <f>IF($K124="","",Y124-AF124)</f>
      </c>
    </row>
    <row r="125" spans="1:38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IF($K125="","",(K125*6.9%)-(K125*6.9%)*10%)</f>
      </c>
      <c r="O125" s="4">
        <f>IF($K125="","",K125*0.35%)</f>
      </c>
      <c r="P125" s="4">
        <v>0.4</v>
      </c>
      <c r="Q125" s="4">
        <f>IF($K125="","",(N125+O125+P125)*20%)</f>
      </c>
      <c r="R125" s="4">
        <f>IF($K125="","",N125+O125+P125+Q125)</f>
      </c>
      <c r="S125" s="4"/>
      <c r="T125" s="4"/>
      <c r="U125" s="4"/>
      <c r="V125" s="4">
        <f>IF($K125="","",U125*20%)</f>
      </c>
      <c r="W125" s="4">
        <v>1</v>
      </c>
      <c r="X125" s="4">
        <f>IF($K125="","",Q125+T125+V125)</f>
      </c>
      <c r="Y125" s="4">
        <f>IF($K125="","",L125-M125-R125-S125-T125-U125-V125-W125)</f>
      </c>
      <c r="Z125" s="4">
        <f>IF($K125="","",(Y125-AF125)/J125*100)</f>
      </c>
      <c r="AA125" s="4">
        <f>IF($K125="","",M125-X125)</f>
      </c>
      <c r="AG125" s="4">
        <f>IF($K125="","",Y125-AF125)</f>
      </c>
    </row>
    <row r="126" spans="1:38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IF($K126="","",(K126*6.9%)-(K126*6.9%)*10%)</f>
      </c>
      <c r="O126" s="4">
        <f>IF($K126="","",K126*0.35%)</f>
      </c>
      <c r="P126" s="4">
        <v>0.4</v>
      </c>
      <c r="Q126" s="4">
        <f>IF($K126="","",(N126+O126+P126)*20%)</f>
      </c>
      <c r="R126" s="4">
        <f>IF($K126="","",N126+O126+P126+Q126)</f>
      </c>
      <c r="S126" s="4"/>
      <c r="T126" s="4"/>
      <c r="U126" s="4"/>
      <c r="V126" s="4">
        <f>IF($K126="","",U126*20%)</f>
      </c>
      <c r="W126" s="4">
        <v>1</v>
      </c>
      <c r="X126" s="4">
        <f>IF($K126="","",Q126+T126+V126)</f>
      </c>
      <c r="Y126" s="4">
        <f>IF($K126="","",L126-M126-R126-S126-T126-U126-V126-W126)</f>
      </c>
      <c r="Z126" s="4">
        <f>IF($K126="","",(Y126-AF126)/J126*100)</f>
      </c>
      <c r="AA126" s="4">
        <f>IF($K126="","",M126-X126)</f>
      </c>
      <c r="AG126" s="4">
        <f>IF($K126="","",Y126-AF126)</f>
      </c>
    </row>
    <row r="127" spans="1:38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IF($K127="","",(K127*6.9%)-(K127*6.9%)*10%)</f>
      </c>
      <c r="O127" s="4">
        <f>IF($K127="","",K127*0.35%)</f>
      </c>
      <c r="P127" s="4">
        <v>0.4</v>
      </c>
      <c r="Q127" s="4">
        <f>IF($K127="","",(N127+O127+P127)*20%)</f>
      </c>
      <c r="R127" s="4">
        <f>IF($K127="","",N127+O127+P127+Q127)</f>
      </c>
      <c r="S127" s="4"/>
      <c r="T127" s="4"/>
      <c r="U127" s="4"/>
      <c r="V127" s="4">
        <f>IF($K127="","",U127*20%)</f>
      </c>
      <c r="W127" s="4">
        <v>1</v>
      </c>
      <c r="X127" s="4">
        <f>IF($K127="","",Q127+T127+V127)</f>
      </c>
      <c r="Y127" s="4">
        <f>IF($K127="","",L127-M127-R127-S127-T127-U127-V127-W127)</f>
      </c>
      <c r="Z127" s="4">
        <f>IF($K127="","",(Y127-AF127)/J127*100)</f>
      </c>
      <c r="AA127" s="4">
        <f>IF($K127="","",M127-X127)</f>
      </c>
      <c r="AG127" s="4">
        <f>IF($K127="","",Y127-AF127)</f>
      </c>
    </row>
    <row r="128" spans="1:38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IF($K128="","",(K128*6.9%)-(K128*6.9%)*10%)</f>
      </c>
      <c r="O128" s="4">
        <f>IF($K128="","",K128*0.35%)</f>
      </c>
      <c r="P128" s="4">
        <v>0.4</v>
      </c>
      <c r="Q128" s="4">
        <f>IF($K128="","",(N128+O128+P128)*20%)</f>
      </c>
      <c r="R128" s="4">
        <f>IF($K128="","",N128+O128+P128+Q128)</f>
      </c>
      <c r="S128" s="4"/>
      <c r="T128" s="4"/>
      <c r="U128" s="4"/>
      <c r="V128" s="4">
        <f>IF($K128="","",U128*20%)</f>
      </c>
      <c r="W128" s="4">
        <v>1</v>
      </c>
      <c r="X128" s="4">
        <f>IF($K128="","",Q128+T128+V128)</f>
      </c>
      <c r="Y128" s="4">
        <f>IF($K128="","",L128-M128-R128-S128-T128-U128-V128-W128)</f>
      </c>
      <c r="Z128" s="4">
        <f>IF($K128="","",(Y128-AF128)/J128*100)</f>
      </c>
      <c r="AA128" s="4">
        <f>IF($K128="","",M128-X128)</f>
      </c>
      <c r="AG128" s="4">
        <f>IF($K128="","",Y128-AF128)</f>
      </c>
    </row>
    <row r="129" spans="1:38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IF($K129="","",(K129*6.9%)-(K129*6.9%)*10%)</f>
      </c>
      <c r="O129" s="4">
        <f>IF($K129="","",K129*0.35%)</f>
      </c>
      <c r="P129" s="4">
        <v>0.4</v>
      </c>
      <c r="Q129" s="4">
        <f>IF($K129="","",(N129+O129+P129)*20%)</f>
      </c>
      <c r="R129" s="4">
        <f>IF($K129="","",N129+O129+P129+Q129)</f>
      </c>
      <c r="S129" s="4"/>
      <c r="T129" s="4"/>
      <c r="U129" s="4"/>
      <c r="V129" s="4">
        <f>IF($K129="","",U129*20%)</f>
      </c>
      <c r="W129" s="4">
        <v>1</v>
      </c>
      <c r="X129" s="4">
        <f>IF($K129="","",Q129+T129+V129)</f>
      </c>
      <c r="Y129" s="4">
        <f>IF($K129="","",L129-M129-R129-S129-T129-U129-V129-W129)</f>
      </c>
      <c r="Z129" s="4">
        <f>IF($K129="","",(Y129-AF129)/J129*100)</f>
      </c>
      <c r="AA129" s="4">
        <f>IF($K129="","",M129-X129)</f>
      </c>
      <c r="AG129" s="4">
        <f>IF($K129="","",Y129-AF129)</f>
      </c>
    </row>
    <row r="130" spans="1:38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IF($K130="","",(K130*6.9%)-(K130*6.9%)*10%)</f>
      </c>
      <c r="O130" s="4">
        <f>IF($K130="","",K130*0.35%)</f>
      </c>
      <c r="P130" s="4">
        <v>0.4</v>
      </c>
      <c r="Q130" s="4">
        <f>IF($K130="","",(N130+O130+P130)*20%)</f>
      </c>
      <c r="R130" s="4">
        <f>IF($K130="","",N130+O130+P130+Q130)</f>
      </c>
      <c r="S130" s="4"/>
      <c r="T130" s="4"/>
      <c r="U130" s="4"/>
      <c r="V130" s="4">
        <f>IF($K130="","",U130*20%)</f>
      </c>
      <c r="W130" s="4">
        <v>1</v>
      </c>
      <c r="X130" s="4">
        <f>IF($K130="","",Q130+T130+V130)</f>
      </c>
      <c r="Y130" s="4">
        <f>IF($K130="","",L130-M130-R130-S130-T130-U130-V130-W130)</f>
      </c>
      <c r="Z130" s="4">
        <f>IF($K130="","",(Y130-AF130)/J130*100)</f>
      </c>
      <c r="AA130" s="4">
        <f>IF($K130="","",M130-X130)</f>
      </c>
      <c r="AG130" s="4">
        <f>IF($K130="","",Y130-AF130)</f>
      </c>
    </row>
    <row r="131" spans="1:38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IF($K131="","",(K131*6.9%)-(K131*6.9%)*10%)</f>
      </c>
      <c r="O131" s="4">
        <f>IF($K131="","",K131*0.35%)</f>
      </c>
      <c r="P131" s="4">
        <v>0.4</v>
      </c>
      <c r="Q131" s="4">
        <f>IF($K131="","",(N131+O131+P131)*20%)</f>
      </c>
      <c r="R131" s="4">
        <f>IF($K131="","",N131+O131+P131+Q131)</f>
      </c>
      <c r="S131" s="4"/>
      <c r="T131" s="4"/>
      <c r="U131" s="4"/>
      <c r="V131" s="4">
        <f>IF($K131="","",U131*20%)</f>
      </c>
      <c r="W131" s="4">
        <v>1</v>
      </c>
      <c r="X131" s="4">
        <f>IF($K131="","",Q131+T131+V131)</f>
      </c>
      <c r="Y131" s="4">
        <f>IF($K131="","",L131-M131-R131-S131-T131-U131-V131-W131)</f>
      </c>
      <c r="Z131" s="4">
        <f>IF($K131="","",(Y131-AF131)/J131*100)</f>
      </c>
      <c r="AA131" s="4">
        <f>IF($K131="","",M131-X131)</f>
      </c>
      <c r="AG131" s="4">
        <f>IF($K131="","",Y131-AF131)</f>
      </c>
    </row>
    <row r="132" spans="1:38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IF($K132="","",(K132*6.9%)-(K132*6.9%)*10%)</f>
      </c>
      <c r="O132" s="4">
        <f>IF($K132="","",K132*0.35%)</f>
      </c>
      <c r="P132" s="4">
        <v>0.4</v>
      </c>
      <c r="Q132" s="4">
        <f>IF($K132="","",(N132+O132+P132)*20%)</f>
      </c>
      <c r="R132" s="4">
        <f>IF($K132="","",N132+O132+P132+Q132)</f>
      </c>
      <c r="S132" s="4"/>
      <c r="T132" s="4"/>
      <c r="U132" s="4"/>
      <c r="V132" s="4">
        <f>IF($K132="","",U132*20%)</f>
      </c>
      <c r="W132" s="4">
        <v>1</v>
      </c>
      <c r="X132" s="4">
        <f>IF($K132="","",Q132+T132+V132)</f>
      </c>
      <c r="Y132" s="4">
        <f>IF($K132="","",L132-M132-R132-S132-T132-U132-V132-W132)</f>
      </c>
      <c r="Z132" s="4">
        <f>IF($K132="","",(Y132-AF132)/J132*100)</f>
      </c>
      <c r="AA132" s="4">
        <f>IF($K132="","",M132-X132)</f>
      </c>
      <c r="AG132" s="4">
        <f>IF($K132="","",Y132-AF132)</f>
      </c>
    </row>
    <row r="133" spans="1:38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IF($K133="","",(K133*6.9%)-(K133*6.9%)*10%)</f>
      </c>
      <c r="O133" s="4">
        <f>IF($K133="","",K133*0.35%)</f>
      </c>
      <c r="P133" s="4">
        <v>0.4</v>
      </c>
      <c r="Q133" s="4">
        <f>IF($K133="","",(N133+O133+P133)*20%)</f>
      </c>
      <c r="R133" s="4">
        <f>IF($K133="","",N133+O133+P133+Q133)</f>
      </c>
      <c r="S133" s="4"/>
      <c r="T133" s="4"/>
      <c r="U133" s="4"/>
      <c r="V133" s="4">
        <f>IF($K133="","",U133*20%)</f>
      </c>
      <c r="W133" s="4">
        <v>1</v>
      </c>
      <c r="X133" s="4">
        <f>IF($K133="","",Q133+T133+V133)</f>
      </c>
      <c r="Y133" s="4">
        <f>IF($K133="","",L133-M133-R133-S133-T133-U133-V133-W133)</f>
      </c>
      <c r="Z133" s="4">
        <f>IF($K133="","",(Y133-AF133)/J133*100)</f>
      </c>
      <c r="AA133" s="4">
        <f>IF($K133="","",M133-X133)</f>
      </c>
      <c r="AG133" s="4">
        <f>IF($K133="","",Y133-AF133)</f>
      </c>
    </row>
    <row r="134" spans="1:38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IF($K134="","",(K134*6.9%)-(K134*6.9%)*10%)</f>
      </c>
      <c r="O134" s="4">
        <f>IF($K134="","",K134*0.35%)</f>
      </c>
      <c r="P134" s="4">
        <v>0.4</v>
      </c>
      <c r="Q134" s="4">
        <f>IF($K134="","",(N134+O134+P134)*20%)</f>
      </c>
      <c r="R134" s="4">
        <f>IF($K134="","",N134+O134+P134+Q134)</f>
      </c>
      <c r="S134" s="4"/>
      <c r="T134" s="4"/>
      <c r="U134" s="4"/>
      <c r="V134" s="4">
        <f>IF($K134="","",U134*20%)</f>
      </c>
      <c r="W134" s="4">
        <v>1</v>
      </c>
      <c r="X134" s="4">
        <f>IF($K134="","",Q134+T134+V134)</f>
      </c>
      <c r="Y134" s="4">
        <f>IF($K134="","",L134-M134-R134-S134-T134-U134-V134-W134)</f>
      </c>
      <c r="Z134" s="4">
        <f>IF($K134="","",(Y134-AF134)/J134*100)</f>
      </c>
      <c r="AA134" s="4">
        <f>IF($K134="","",M134-X134)</f>
      </c>
      <c r="AG134" s="4">
        <f>IF($K134="","",Y134-AF134)</f>
      </c>
    </row>
    <row r="135" spans="1:38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IF($K135="","",(K135*6.9%)-(K135*6.9%)*10%)</f>
      </c>
      <c r="O135" s="4">
        <f>IF($K135="","",K135*0.35%)</f>
      </c>
      <c r="P135" s="4">
        <v>0.4</v>
      </c>
      <c r="Q135" s="4">
        <f>IF($K135="","",(N135+O135+P135)*20%)</f>
      </c>
      <c r="R135" s="4">
        <f>IF($K135="","",N135+O135+P135+Q135)</f>
      </c>
      <c r="S135" s="4"/>
      <c r="T135" s="4"/>
      <c r="U135" s="4"/>
      <c r="V135" s="4">
        <f>IF($K135="","",U135*20%)</f>
      </c>
      <c r="W135" s="4">
        <v>1</v>
      </c>
      <c r="X135" s="4">
        <f>IF($K135="","",Q135+T135+V135)</f>
      </c>
      <c r="Y135" s="4">
        <f>IF($K135="","",L135-M135-R135-S135-T135-U135-V135-W135)</f>
      </c>
      <c r="Z135" s="4">
        <f>IF($K135="","",(Y135-AF135)/J135*100)</f>
      </c>
      <c r="AA135" s="4">
        <f>IF($K135="","",M135-X135)</f>
      </c>
      <c r="AG135" s="4">
        <f>IF($K135="","",Y135-AF135)</f>
      </c>
    </row>
    <row r="136" spans="1:38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IF($K136="","",(K136*6.9%)-(K136*6.9%)*10%)</f>
      </c>
      <c r="O136" s="4">
        <f>IF($K136="","",K136*0.35%)</f>
      </c>
      <c r="P136" s="4">
        <v>0.4</v>
      </c>
      <c r="Q136" s="4">
        <f>IF($K136="","",(N136+O136+P136)*20%)</f>
      </c>
      <c r="R136" s="4">
        <f>IF($K136="","",N136+O136+P136+Q136)</f>
      </c>
      <c r="S136" s="4"/>
      <c r="T136" s="4"/>
      <c r="U136" s="4"/>
      <c r="V136" s="4">
        <f>IF($K136="","",U136*20%)</f>
      </c>
      <c r="W136" s="4">
        <v>1</v>
      </c>
      <c r="X136" s="4">
        <f>IF($K136="","",Q136+T136+V136)</f>
      </c>
      <c r="Y136" s="4">
        <f>IF($K136="","",L136-M136-R136-S136-T136-U136-V136-W136)</f>
      </c>
      <c r="Z136" s="4">
        <f>IF($K136="","",(Y136-AF136)/J136*100)</f>
      </c>
      <c r="AA136" s="4">
        <f>IF($K136="","",M136-X136)</f>
      </c>
      <c r="AG136" s="4">
        <f>IF($K136="","",Y136-AF136)</f>
      </c>
    </row>
    <row r="137" spans="1:38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IF($K137="","",(K137*6.9%)-(K137*6.9%)*10%)</f>
      </c>
      <c r="O137" s="4">
        <f>IF($K137="","",K137*0.35%)</f>
      </c>
      <c r="P137" s="4">
        <v>0.4</v>
      </c>
      <c r="Q137" s="4">
        <f>IF($K137="","",(N137+O137+P137)*20%)</f>
      </c>
      <c r="R137" s="4">
        <f>IF($K137="","",N137+O137+P137+Q137)</f>
      </c>
      <c r="S137" s="4"/>
      <c r="T137" s="4"/>
      <c r="U137" s="4"/>
      <c r="V137" s="4">
        <f>IF($K137="","",U137*20%)</f>
      </c>
      <c r="W137" s="4">
        <v>1</v>
      </c>
      <c r="X137" s="4">
        <f>IF($K137="","",Q137+T137+V137)</f>
      </c>
      <c r="Y137" s="4">
        <f>IF($K137="","",L137-M137-R137-S137-T137-U137-V137-W137)</f>
      </c>
      <c r="Z137" s="4">
        <f>IF($K137="","",(Y137-AF137)/J137*100)</f>
      </c>
      <c r="AA137" s="4">
        <f>IF($K137="","",M137-X137)</f>
      </c>
      <c r="AG137" s="4">
        <f>IF($K137="","",Y137-AF137)</f>
      </c>
    </row>
    <row r="138" spans="1:38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IF($K138="","",(K138*6.9%)-(K138*6.9%)*10%)</f>
      </c>
      <c r="O138" s="4">
        <f>IF($K138="","",K138*0.35%)</f>
      </c>
      <c r="P138" s="4">
        <v>0.4</v>
      </c>
      <c r="Q138" s="4">
        <f>IF($K138="","",(N138+O138+P138)*20%)</f>
      </c>
      <c r="R138" s="4">
        <f>IF($K138="","",N138+O138+P138+Q138)</f>
      </c>
      <c r="S138" s="4"/>
      <c r="T138" s="4"/>
      <c r="U138" s="4"/>
      <c r="V138" s="4">
        <f>IF($K138="","",U138*20%)</f>
      </c>
      <c r="W138" s="4">
        <v>1</v>
      </c>
      <c r="X138" s="4">
        <f>IF($K138="","",Q138+T138+V138)</f>
      </c>
      <c r="Y138" s="4">
        <f>IF($K138="","",L138-M138-R138-S138-T138-U138-V138-W138)</f>
      </c>
      <c r="Z138" s="4">
        <f>IF($K138="","",(Y138-AF138)/J138*100)</f>
      </c>
      <c r="AA138" s="4">
        <f>IF($K138="","",M138-X138)</f>
      </c>
      <c r="AG138" s="4">
        <f>IF($K138="","",Y138-AF138)</f>
      </c>
    </row>
    <row r="139" spans="1:38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IF($K139="","",(K139*6.9%)-(K139*6.9%)*10%)</f>
      </c>
      <c r="O139" s="4">
        <f>IF($K139="","",K139*0.35%)</f>
      </c>
      <c r="P139" s="4">
        <v>0.4</v>
      </c>
      <c r="Q139" s="4">
        <f>IF($K139="","",(N139+O139+P139)*20%)</f>
      </c>
      <c r="R139" s="4">
        <f>IF($K139="","",N139+O139+P139+Q139)</f>
      </c>
      <c r="S139" s="4"/>
      <c r="T139" s="4"/>
      <c r="U139" s="4"/>
      <c r="V139" s="4">
        <f>IF($K139="","",U139*20%)</f>
      </c>
      <c r="W139" s="4">
        <v>1</v>
      </c>
      <c r="X139" s="4">
        <f>IF($K139="","",Q139+T139+V139)</f>
      </c>
      <c r="Y139" s="4">
        <f>IF($K139="","",L139-M139-R139-S139-T139-U139-V139-W139)</f>
      </c>
      <c r="Z139" s="4">
        <f>IF($K139="","",(Y139-AF139)/J139*100)</f>
      </c>
      <c r="AA139" s="4">
        <f>IF($K139="","",M139-X139)</f>
      </c>
      <c r="AG139" s="4">
        <f>IF($K139="","",Y139-AF139)</f>
      </c>
    </row>
    <row r="140" spans="1:38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IF($K140="","",(K140*6.9%)-(K140*6.9%)*10%)</f>
      </c>
      <c r="O140" s="4">
        <f>IF($K140="","",K140*0.35%)</f>
      </c>
      <c r="P140" s="4">
        <v>0.4</v>
      </c>
      <c r="Q140" s="4">
        <f>IF($K140="","",(N140+O140+P140)*20%)</f>
      </c>
      <c r="R140" s="4">
        <f>IF($K140="","",N140+O140+P140+Q140)</f>
      </c>
      <c r="S140" s="4"/>
      <c r="T140" s="4"/>
      <c r="U140" s="4"/>
      <c r="V140" s="4">
        <f>IF($K140="","",U140*20%)</f>
      </c>
      <c r="W140" s="4">
        <v>1</v>
      </c>
      <c r="X140" s="4">
        <f>IF($K140="","",Q140+T140+V140)</f>
      </c>
      <c r="Y140" s="4">
        <f>IF($K140="","",L140-M140-R140-S140-T140-U140-V140-W140)</f>
      </c>
      <c r="Z140" s="4">
        <f>IF($K140="","",(Y140-AF140)/J140*100)</f>
      </c>
      <c r="AA140" s="4">
        <f>IF($K140="","",M140-X140)</f>
      </c>
      <c r="AG140" s="4">
        <f>IF($K140="","",Y140-AF140)</f>
      </c>
    </row>
    <row r="141" spans="1:38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IF($K141="","",(K141*6.9%)-(K141*6.9%)*10%)</f>
      </c>
      <c r="O141" s="4">
        <f>IF($K141="","",K141*0.35%)</f>
      </c>
      <c r="P141" s="4">
        <v>0.4</v>
      </c>
      <c r="Q141" s="4">
        <f>IF($K141="","",(N141+O141+P141)*20%)</f>
      </c>
      <c r="R141" s="4">
        <f>IF($K141="","",N141+O141+P141+Q141)</f>
      </c>
      <c r="S141" s="4"/>
      <c r="T141" s="4"/>
      <c r="U141" s="4"/>
      <c r="V141" s="4">
        <f>IF($K141="","",U141*20%)</f>
      </c>
      <c r="W141" s="4">
        <v>1</v>
      </c>
      <c r="X141" s="4">
        <f>IF($K141="","",Q141+T141+V141)</f>
      </c>
      <c r="Y141" s="4">
        <f>IF($K141="","",L141-M141-R141-S141-T141-U141-V141-W141)</f>
      </c>
      <c r="Z141" s="4">
        <f>IF($K141="","",(Y141-AF141)/J141*100)</f>
      </c>
      <c r="AA141" s="4">
        <f>IF($K141="","",M141-X141)</f>
      </c>
      <c r="AG141" s="4">
        <f>IF($K141="","",Y141-AF141)</f>
      </c>
    </row>
    <row r="142" spans="1:38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IF($K142="","",(K142*6.9%)-(K142*6.9%)*10%)</f>
      </c>
      <c r="O142" s="4">
        <f>IF($K142="","",K142*0.35%)</f>
      </c>
      <c r="P142" s="4">
        <v>0.4</v>
      </c>
      <c r="Q142" s="4">
        <f>IF($K142="","",(N142+O142+P142)*20%)</f>
      </c>
      <c r="R142" s="4">
        <f>IF($K142="","",N142+O142+P142+Q142)</f>
      </c>
      <c r="S142" s="4"/>
      <c r="T142" s="4"/>
      <c r="U142" s="4"/>
      <c r="V142" s="4">
        <f>IF($K142="","",U142*20%)</f>
      </c>
      <c r="W142" s="4">
        <v>1</v>
      </c>
      <c r="X142" s="4">
        <f>IF($K142="","",Q142+T142+V142)</f>
      </c>
      <c r="Y142" s="4">
        <f>IF($K142="","",L142-M142-R142-S142-T142-U142-V142-W142)</f>
      </c>
      <c r="Z142" s="4">
        <f>IF($K142="","",(Y142-AF142)/J142*100)</f>
      </c>
      <c r="AA142" s="4">
        <f>IF($K142="","",M142-X142)</f>
      </c>
      <c r="AG142" s="4">
        <f>IF($K142="","",Y142-AF142)</f>
      </c>
    </row>
    <row r="143" spans="1:38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IF($K143="","",(K143*6.9%)-(K143*6.9%)*10%)</f>
      </c>
      <c r="O143" s="4">
        <f>IF($K143="","",K143*0.35%)</f>
      </c>
      <c r="P143" s="4">
        <v>0.4</v>
      </c>
      <c r="Q143" s="4">
        <f>IF($K143="","",(N143+O143+P143)*20%)</f>
      </c>
      <c r="R143" s="4">
        <f>IF($K143="","",N143+O143+P143+Q143)</f>
      </c>
      <c r="S143" s="4"/>
      <c r="T143" s="4"/>
      <c r="U143" s="4"/>
      <c r="V143" s="4">
        <f>IF($K143="","",U143*20%)</f>
      </c>
      <c r="W143" s="4">
        <v>1</v>
      </c>
      <c r="X143" s="4">
        <f>IF($K143="","",Q143+T143+V143)</f>
      </c>
      <c r="Y143" s="4">
        <f>IF($K143="","",L143-M143-R143-S143-T143-U143-V143-W143)</f>
      </c>
      <c r="Z143" s="4">
        <f>IF($K143="","",(Y143-AF143)/J143*100)</f>
      </c>
      <c r="AA143" s="4">
        <f>IF($K143="","",M143-X143)</f>
      </c>
      <c r="AG143" s="4">
        <f>IF($K143="","",Y143-AF143)</f>
      </c>
    </row>
    <row r="144" spans="1:38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IF($K144="","",(K144*6.9%)-(K144*6.9%)*10%)</f>
      </c>
      <c r="O144" s="4">
        <f>IF($K144="","",K144*0.35%)</f>
      </c>
      <c r="P144" s="4">
        <v>0.4</v>
      </c>
      <c r="Q144" s="4">
        <f>IF($K144="","",(N144+O144+P144)*20%)</f>
      </c>
      <c r="R144" s="4">
        <f>IF($K144="","",N144+O144+P144+Q144)</f>
      </c>
      <c r="S144" s="4"/>
      <c r="T144" s="4"/>
      <c r="U144" s="4"/>
      <c r="V144" s="4">
        <f>IF($K144="","",U144*20%)</f>
      </c>
      <c r="W144" s="4">
        <v>1</v>
      </c>
      <c r="X144" s="4">
        <f>IF($K144="","",Q144+T144+V144)</f>
      </c>
      <c r="Y144" s="4">
        <f>IF($K144="","",L144-M144-R144-S144-T144-U144-V144-W144)</f>
      </c>
      <c r="Z144" s="4">
        <f>IF($K144="","",(Y144-AF144)/J144*100)</f>
      </c>
      <c r="AA144" s="4">
        <f>IF($K144="","",M144-X144)</f>
      </c>
      <c r="AG144" s="4">
        <f>IF($K144="","",Y144-AF144)</f>
      </c>
    </row>
    <row r="145" spans="1:38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IF($K145="","",(K145*6.9%)-(K145*6.9%)*10%)</f>
      </c>
      <c r="O145" s="4">
        <f>IF($K145="","",K145*0.35%)</f>
      </c>
      <c r="P145" s="4">
        <v>0.4</v>
      </c>
      <c r="Q145" s="4">
        <f>IF($K145="","",(N145+O145+P145)*20%)</f>
      </c>
      <c r="R145" s="4">
        <f>IF($K145="","",N145+O145+P145+Q145)</f>
      </c>
      <c r="S145" s="4"/>
      <c r="T145" s="4"/>
      <c r="U145" s="4"/>
      <c r="V145" s="4">
        <f>IF($K145="","",U145*20%)</f>
      </c>
      <c r="W145" s="4">
        <v>1</v>
      </c>
      <c r="X145" s="4">
        <f>IF($K145="","",Q145+T145+V145)</f>
      </c>
      <c r="Y145" s="4">
        <f>IF($K145="","",L145-M145-R145-S145-T145-U145-V145-W145)</f>
      </c>
      <c r="Z145" s="4">
        <f>IF($K145="","",(Y145-AF145)/J145*100)</f>
      </c>
      <c r="AA145" s="4">
        <f>IF($K145="","",M145-X145)</f>
      </c>
      <c r="AG145" s="4">
        <f>IF($K145="","",Y145-AF145)</f>
      </c>
    </row>
    <row r="146" spans="1:38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IF($K146="","",(K146*6.9%)-(K146*6.9%)*10%)</f>
      </c>
      <c r="O146" s="4">
        <f>IF($K146="","",K146*0.35%)</f>
      </c>
      <c r="P146" s="4">
        <v>0.4</v>
      </c>
      <c r="Q146" s="4">
        <f>IF($K146="","",(N146+O146+P146)*20%)</f>
      </c>
      <c r="R146" s="4">
        <f>IF($K146="","",N146+O146+P146+Q146)</f>
      </c>
      <c r="S146" s="4"/>
      <c r="T146" s="4"/>
      <c r="U146" s="4"/>
      <c r="V146" s="4">
        <f>IF($K146="","",U146*20%)</f>
      </c>
      <c r="W146" s="4">
        <v>1</v>
      </c>
      <c r="X146" s="4">
        <f>IF($K146="","",Q146+T146+V146)</f>
      </c>
      <c r="Y146" s="4">
        <f>IF($K146="","",L146-M146-R146-S146-T146-U146-V146-W146)</f>
      </c>
      <c r="Z146" s="4">
        <f>IF($K146="","",(Y146-AF146)/J146*100)</f>
      </c>
      <c r="AA146" s="4">
        <f>IF($K146="","",M146-X146)</f>
      </c>
      <c r="AG146" s="4">
        <f>IF($K146="","",Y146-AF146)</f>
      </c>
    </row>
    <row r="147" spans="1:38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IF($K147="","",(K147*6.9%)-(K147*6.9%)*10%)</f>
      </c>
      <c r="O147" s="4">
        <f>IF($K147="","",K147*0.35%)</f>
      </c>
      <c r="P147" s="4">
        <v>0.4</v>
      </c>
      <c r="Q147" s="4">
        <f>IF($K147="","",(N147+O147+P147)*20%)</f>
      </c>
      <c r="R147" s="4">
        <f>IF($K147="","",N147+O147+P147+Q147)</f>
      </c>
      <c r="S147" s="4"/>
      <c r="T147" s="4"/>
      <c r="U147" s="4"/>
      <c r="V147" s="4">
        <f>IF($K147="","",U147*20%)</f>
      </c>
      <c r="W147" s="4">
        <v>1</v>
      </c>
      <c r="X147" s="4">
        <f>IF($K147="","",Q147+T147+V147)</f>
      </c>
      <c r="Y147" s="4">
        <f>IF($K147="","",L147-M147-R147-S147-T147-U147-V147-W147)</f>
      </c>
      <c r="Z147" s="4">
        <f>IF($K147="","",(Y147-AF147)/J147*100)</f>
      </c>
      <c r="AA147" s="4">
        <f>IF($K147="","",M147-X147)</f>
      </c>
      <c r="AG147" s="4">
        <f>IF($K147="","",Y147-AF147)</f>
      </c>
    </row>
    <row r="148" spans="1:38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IF($K148="","",(K148*6.9%)-(K148*6.9%)*10%)</f>
      </c>
      <c r="O148" s="4">
        <f>IF($K148="","",K148*0.35%)</f>
      </c>
      <c r="P148" s="4">
        <v>0.4</v>
      </c>
      <c r="Q148" s="4">
        <f>IF($K148="","",(N148+O148+P148)*20%)</f>
      </c>
      <c r="R148" s="4">
        <f>IF($K148="","",N148+O148+P148+Q148)</f>
      </c>
      <c r="S148" s="4"/>
      <c r="T148" s="4"/>
      <c r="U148" s="4"/>
      <c r="V148" s="4">
        <f>IF($K148="","",U148*20%)</f>
      </c>
      <c r="W148" s="4">
        <v>1</v>
      </c>
      <c r="X148" s="4">
        <f>IF($K148="","",Q148+T148+V148)</f>
      </c>
      <c r="Y148" s="4">
        <f>IF($K148="","",L148-M148-R148-S148-T148-U148-V148-W148)</f>
      </c>
      <c r="Z148" s="4">
        <f>IF($K148="","",(Y148-AF148)/J148*100)</f>
      </c>
      <c r="AA148" s="4">
        <f>IF($K148="","",M148-X148)</f>
      </c>
      <c r="AG148" s="4">
        <f>IF($K148="","",Y148-AF148)</f>
      </c>
    </row>
    <row r="149" spans="1:38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IF($K149="","",(K149*6.9%)-(K149*6.9%)*10%)</f>
      </c>
      <c r="O149" s="4">
        <f>IF($K149="","",K149*0.35%)</f>
      </c>
      <c r="P149" s="4">
        <v>0.4</v>
      </c>
      <c r="Q149" s="4">
        <f>IF($K149="","",(N149+O149+P149)*20%)</f>
      </c>
      <c r="R149" s="4">
        <f>IF($K149="","",N149+O149+P149+Q149)</f>
      </c>
      <c r="S149" s="4"/>
      <c r="T149" s="4"/>
      <c r="U149" s="4"/>
      <c r="V149" s="4">
        <f>IF($K149="","",U149*20%)</f>
      </c>
      <c r="W149" s="4">
        <v>1</v>
      </c>
      <c r="X149" s="4">
        <f>IF($K149="","",Q149+T149+V149)</f>
      </c>
      <c r="Y149" s="4">
        <f>IF($K149="","",L149-M149-R149-S149-T149-U149-V149-W149)</f>
      </c>
      <c r="Z149" s="4">
        <f>IF($K149="","",(Y149-AF149)/J149*100)</f>
      </c>
      <c r="AA149" s="4">
        <f>IF($K149="","",M149-X149)</f>
      </c>
      <c r="AG149" s="4">
        <f>IF($K149="","",Y149-AF149)</f>
      </c>
    </row>
    <row r="150" spans="1:38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IF($K150="","",(K150*6.9%)-(K150*6.9%)*10%)</f>
      </c>
      <c r="O150" s="4">
        <f>IF($K150="","",K150*0.35%)</f>
      </c>
      <c r="P150" s="4">
        <v>0.4</v>
      </c>
      <c r="Q150" s="4">
        <f>IF($K150="","",(N150+O150+P150)*20%)</f>
      </c>
      <c r="R150" s="4">
        <f>IF($K150="","",N150+O150+P150+Q150)</f>
      </c>
      <c r="S150" s="4"/>
      <c r="T150" s="4"/>
      <c r="U150" s="4"/>
      <c r="V150" s="4">
        <f>IF($K150="","",U150*20%)</f>
      </c>
      <c r="W150" s="4">
        <v>1</v>
      </c>
      <c r="X150" s="4">
        <f>IF($K150="","",Q150+T150+V150)</f>
      </c>
      <c r="Y150" s="4">
        <f>IF($K150="","",L150-M150-R150-S150-T150-U150-V150-W150)</f>
      </c>
      <c r="Z150" s="4">
        <f>IF($K150="","",(Y150-AF150)/J150*100)</f>
      </c>
      <c r="AA150" s="4">
        <f>IF($K150="","",M150-X150)</f>
      </c>
      <c r="AG150" s="4">
        <f>IF($K150="","",Y150-AF150)</f>
      </c>
    </row>
    <row r="151" spans="1:38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IF($K151="","",(K151*6.9%)-(K151*6.9%)*10%)</f>
      </c>
      <c r="O151" s="4">
        <f>IF($K151="","",K151*0.35%)</f>
      </c>
      <c r="P151" s="4">
        <v>0.4</v>
      </c>
      <c r="Q151" s="4">
        <f>IF($K151="","",(N151+O151+P151)*20%)</f>
      </c>
      <c r="R151" s="4">
        <f>IF($K151="","",N151+O151+P151+Q151)</f>
      </c>
      <c r="S151" s="4"/>
      <c r="T151" s="4"/>
      <c r="U151" s="4"/>
      <c r="V151" s="4">
        <f>IF($K151="","",U151*20%)</f>
      </c>
      <c r="W151" s="4">
        <v>1</v>
      </c>
      <c r="X151" s="4">
        <f>IF($K151="","",Q151+T151+V151)</f>
      </c>
      <c r="Y151" s="4">
        <f>IF($K151="","",L151-M151-R151-S151-T151-U151-V151-W151)</f>
      </c>
      <c r="Z151" s="4">
        <f>IF($K151="","",(Y151-AF151)/J151*100)</f>
      </c>
      <c r="AA151" s="4">
        <f>IF($K151="","",M151-X151)</f>
      </c>
      <c r="AG151" s="4">
        <f>IF($K151="","",Y151-AF151)</f>
      </c>
    </row>
    <row r="152" spans="1:38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IF($K152="","",(K152*6.9%)-(K152*6.9%)*10%)</f>
      </c>
      <c r="O152" s="4">
        <f>IF($K152="","",K152*0.35%)</f>
      </c>
      <c r="P152" s="4">
        <v>0.4</v>
      </c>
      <c r="Q152" s="4">
        <f>IF($K152="","",(N152+O152+P152)*20%)</f>
      </c>
      <c r="R152" s="4">
        <f>IF($K152="","",N152+O152+P152+Q152)</f>
      </c>
      <c r="S152" s="4"/>
      <c r="T152" s="4"/>
      <c r="U152" s="4"/>
      <c r="V152" s="4">
        <f>IF($K152="","",U152*20%)</f>
      </c>
      <c r="W152" s="4">
        <v>1</v>
      </c>
      <c r="X152" s="4">
        <f>IF($K152="","",Q152+T152+V152)</f>
      </c>
      <c r="Y152" s="4">
        <f>IF($K152="","",L152-M152-R152-S152-T152-U152-V152-W152)</f>
      </c>
      <c r="Z152" s="4">
        <f>IF($K152="","",(Y152-AF152)/J152*100)</f>
      </c>
      <c r="AA152" s="4">
        <f>IF($K152="","",M152-X152)</f>
      </c>
      <c r="AG152" s="4">
        <f>IF($K152="","",Y152-AF152)</f>
      </c>
    </row>
    <row r="153" spans="1:38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IF($K153="","",(K153*6.9%)-(K153*6.9%)*10%)</f>
      </c>
      <c r="O153" s="4">
        <f>IF($K153="","",K153*0.35%)</f>
      </c>
      <c r="P153" s="4">
        <v>0.4</v>
      </c>
      <c r="Q153" s="4">
        <f>IF($K153="","",(N153+O153+P153)*20%)</f>
      </c>
      <c r="R153" s="4">
        <f>IF($K153="","",N153+O153+P153+Q153)</f>
      </c>
      <c r="S153" s="4"/>
      <c r="T153" s="4"/>
      <c r="U153" s="4"/>
      <c r="V153" s="4">
        <f>IF($K153="","",U153*20%)</f>
      </c>
      <c r="W153" s="4">
        <v>1</v>
      </c>
      <c r="X153" s="4">
        <f>IF($K153="","",Q153+T153+V153)</f>
      </c>
      <c r="Y153" s="4">
        <f>IF($K153="","",L153-M153-R153-S153-T153-U153-V153-W153)</f>
      </c>
      <c r="Z153" s="4">
        <f>IF($K153="","",(Y153-AF153)/J153*100)</f>
      </c>
      <c r="AA153" s="4">
        <f>IF($K153="","",M153-X153)</f>
      </c>
      <c r="AG153" s="4">
        <f>IF($K153="","",Y153-AF153)</f>
      </c>
    </row>
    <row r="154" spans="1:38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IF($K154="","",(K154*6.9%)-(K154*6.9%)*10%)</f>
      </c>
      <c r="O154" s="4">
        <f>IF($K154="","",K154*0.35%)</f>
      </c>
      <c r="P154" s="4">
        <v>0.4</v>
      </c>
      <c r="Q154" s="4">
        <f>IF($K154="","",(N154+O154+P154)*20%)</f>
      </c>
      <c r="R154" s="4">
        <f>IF($K154="","",N154+O154+P154+Q154)</f>
      </c>
      <c r="S154" s="4"/>
      <c r="T154" s="4"/>
      <c r="U154" s="4"/>
      <c r="V154" s="4">
        <f>IF($K154="","",U154*20%)</f>
      </c>
      <c r="W154" s="4">
        <v>1</v>
      </c>
      <c r="X154" s="4">
        <f>IF($K154="","",Q154+T154+V154)</f>
      </c>
      <c r="Y154" s="4">
        <f>IF($K154="","",L154-M154-R154-S154-T154-U154-V154-W154)</f>
      </c>
      <c r="Z154" s="4">
        <f>IF($K154="","",(Y154-AF154)/J154*100)</f>
      </c>
      <c r="AA154" s="4">
        <f>IF($K154="","",M154-X154)</f>
      </c>
      <c r="AG154" s="4">
        <f>IF($K154="","",Y154-AF154)</f>
      </c>
    </row>
    <row r="155" spans="1:38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IF($K155="","",(K155*6.9%)-(K155*6.9%)*10%)</f>
      </c>
      <c r="O155" s="4">
        <f>IF($K155="","",K155*0.35%)</f>
      </c>
      <c r="P155" s="4">
        <v>0.4</v>
      </c>
      <c r="Q155" s="4">
        <f>IF($K155="","",(N155+O155+P155)*20%)</f>
      </c>
      <c r="R155" s="4">
        <f>IF($K155="","",N155+O155+P155+Q155)</f>
      </c>
      <c r="S155" s="4"/>
      <c r="T155" s="4"/>
      <c r="U155" s="4"/>
      <c r="V155" s="4">
        <f>IF($K155="","",U155*20%)</f>
      </c>
      <c r="W155" s="4">
        <v>1</v>
      </c>
      <c r="X155" s="4">
        <f>IF($K155="","",Q155+T155+V155)</f>
      </c>
      <c r="Y155" s="4">
        <f>IF($K155="","",L155-M155-R155-S155-T155-U155-V155-W155)</f>
      </c>
      <c r="Z155" s="4">
        <f>IF($K155="","",(Y155-AF155)/J155*100)</f>
      </c>
      <c r="AA155" s="4">
        <f>IF($K155="","",M155-X155)</f>
      </c>
      <c r="AG155" s="4">
        <f>IF($K155="","",Y155-AF155)</f>
      </c>
    </row>
    <row r="156" spans="1:38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IF($K156="","",(K156*6.9%)-(K156*6.9%)*10%)</f>
      </c>
      <c r="O156" s="4">
        <f>IF($K156="","",K156*0.35%)</f>
      </c>
      <c r="P156" s="4">
        <v>0.4</v>
      </c>
      <c r="Q156" s="4">
        <f>IF($K156="","",(N156+O156+P156)*20%)</f>
      </c>
      <c r="R156" s="4">
        <f>IF($K156="","",N156+O156+P156+Q156)</f>
      </c>
      <c r="S156" s="4"/>
      <c r="T156" s="4"/>
      <c r="U156" s="4"/>
      <c r="V156" s="4">
        <f>IF($K156="","",U156*20%)</f>
      </c>
      <c r="W156" s="4">
        <v>1</v>
      </c>
      <c r="X156" s="4">
        <f>IF($K156="","",Q156+T156+V156)</f>
      </c>
      <c r="Y156" s="4">
        <f>IF($K156="","",L156-M156-R156-S156-T156-U156-V156-W156)</f>
      </c>
      <c r="Z156" s="4">
        <f>IF($K156="","",(Y156-AF156)/J156*100)</f>
      </c>
      <c r="AA156" s="4">
        <f>IF($K156="","",M156-X156)</f>
      </c>
      <c r="AG156" s="4">
        <f>IF($K156="","",Y156-AF156)</f>
      </c>
    </row>
    <row r="157" spans="1:38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IF($K157="","",(K157*6.9%)-(K157*6.9%)*10%)</f>
      </c>
      <c r="O157" s="4">
        <f>IF($K157="","",K157*0.35%)</f>
      </c>
      <c r="P157" s="4">
        <v>0.4</v>
      </c>
      <c r="Q157" s="4">
        <f>IF($K157="","",(N157+O157+P157)*20%)</f>
      </c>
      <c r="R157" s="4">
        <f>IF($K157="","",N157+O157+P157+Q157)</f>
      </c>
      <c r="S157" s="4"/>
      <c r="T157" s="4"/>
      <c r="U157" s="4"/>
      <c r="V157" s="4">
        <f>IF($K157="","",U157*20%)</f>
      </c>
      <c r="W157" s="4">
        <v>1</v>
      </c>
      <c r="X157" s="4">
        <f>IF($K157="","",Q157+T157+V157)</f>
      </c>
      <c r="Y157" s="4">
        <f>IF($K157="","",L157-M157-R157-S157-T157-U157-V157-W157)</f>
      </c>
      <c r="Z157" s="4">
        <f>IF($K157="","",(Y157-AF157)/J157*100)</f>
      </c>
      <c r="AA157" s="4">
        <f>IF($K157="","",M157-X157)</f>
      </c>
      <c r="AG157" s="4">
        <f>IF($K157="","",Y157-AF157)</f>
      </c>
    </row>
    <row r="158" spans="1:38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IF($K158="","",(K158*6.9%)-(K158*6.9%)*10%)</f>
      </c>
      <c r="O158" s="4">
        <f>IF($K158="","",K158*0.35%)</f>
      </c>
      <c r="P158" s="4">
        <v>0.4</v>
      </c>
      <c r="Q158" s="4">
        <f>IF($K158="","",(N158+O158+P158)*20%)</f>
      </c>
      <c r="R158" s="4">
        <f>IF($K158="","",N158+O158+P158+Q158)</f>
      </c>
      <c r="S158" s="4"/>
      <c r="T158" s="4"/>
      <c r="U158" s="4"/>
      <c r="V158" s="4">
        <f>IF($K158="","",U158*20%)</f>
      </c>
      <c r="W158" s="4">
        <v>1</v>
      </c>
      <c r="X158" s="4">
        <f>IF($K158="","",Q158+T158+V158)</f>
      </c>
      <c r="Y158" s="4">
        <f>IF($K158="","",L158-M158-R158-S158-T158-U158-V158-W158)</f>
      </c>
      <c r="Z158" s="4">
        <f>IF($K158="","",(Y158-AF158)/J158*100)</f>
      </c>
      <c r="AA158" s="4">
        <f>IF($K158="","",M158-X158)</f>
      </c>
      <c r="AG158" s="4">
        <f>IF($K158="","",Y158-AF158)</f>
      </c>
    </row>
    <row r="159" spans="1:38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IF($K159="","",(K159*6.9%)-(K159*6.9%)*10%)</f>
      </c>
      <c r="O159" s="4">
        <f>IF($K159="","",K159*0.35%)</f>
      </c>
      <c r="P159" s="4">
        <v>0.4</v>
      </c>
      <c r="Q159" s="4">
        <f>IF($K159="","",(N159+O159+P159)*20%)</f>
      </c>
      <c r="R159" s="4">
        <f>IF($K159="","",N159+O159+P159+Q159)</f>
      </c>
      <c r="S159" s="4"/>
      <c r="T159" s="4"/>
      <c r="U159" s="4"/>
      <c r="V159" s="4">
        <f>IF($K159="","",U159*20%)</f>
      </c>
      <c r="W159" s="4">
        <v>1</v>
      </c>
      <c r="X159" s="4">
        <f>IF($K159="","",Q159+T159+V159)</f>
      </c>
      <c r="Y159" s="4">
        <f>IF($K159="","",L159-M159-R159-S159-T159-U159-V159-W159)</f>
      </c>
      <c r="Z159" s="4">
        <f>IF($K159="","",(Y159-AF159)/J159*100)</f>
      </c>
      <c r="AA159" s="4">
        <f>IF($K159="","",M159-X159)</f>
      </c>
      <c r="AG159" s="4">
        <f>IF($K159="","",Y159-AF159)</f>
      </c>
    </row>
    <row r="160" spans="1:38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IF($K160="","",(K160*6.9%)-(K160*6.9%)*10%)</f>
      </c>
      <c r="O160" s="4">
        <f>IF($K160="","",K160*0.35%)</f>
      </c>
      <c r="P160" s="4">
        <v>0.4</v>
      </c>
      <c r="Q160" s="4">
        <f>IF($K160="","",(N160+O160+P160)*20%)</f>
      </c>
      <c r="R160" s="4">
        <f>IF($K160="","",N160+O160+P160+Q160)</f>
      </c>
      <c r="S160" s="4"/>
      <c r="T160" s="4"/>
      <c r="U160" s="4"/>
      <c r="V160" s="4">
        <f>IF($K160="","",U160*20%)</f>
      </c>
      <c r="W160" s="4">
        <v>1</v>
      </c>
      <c r="X160" s="4">
        <f>IF($K160="","",Q160+T160+V160)</f>
      </c>
      <c r="Y160" s="4">
        <f>IF($K160="","",L160-M160-R160-S160-T160-U160-V160-W160)</f>
      </c>
      <c r="Z160" s="4">
        <f>IF($K160="","",(Y160-AF160)/J160*100)</f>
      </c>
      <c r="AA160" s="4">
        <f>IF($K160="","",M160-X160)</f>
      </c>
      <c r="AG160" s="4">
        <f>IF($K160="","",Y160-AF160)</f>
      </c>
    </row>
    <row r="161" spans="1:38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IF($K161="","",(K161*6.9%)-(K161*6.9%)*10%)</f>
      </c>
      <c r="O161" s="4">
        <f>IF($K161="","",K161*0.35%)</f>
      </c>
      <c r="P161" s="4">
        <v>0.4</v>
      </c>
      <c r="Q161" s="4">
        <f>IF($K161="","",(N161+O161+P161)*20%)</f>
      </c>
      <c r="R161" s="4">
        <f>IF($K161="","",N161+O161+P161+Q161)</f>
      </c>
      <c r="S161" s="4"/>
      <c r="T161" s="4"/>
      <c r="U161" s="4"/>
      <c r="V161" s="4">
        <f>IF($K161="","",U161*20%)</f>
      </c>
      <c r="W161" s="4">
        <v>1</v>
      </c>
      <c r="X161" s="4">
        <f>IF($K161="","",Q161+T161+V161)</f>
      </c>
      <c r="Y161" s="4">
        <f>IF($K161="","",L161-M161-R161-S161-T161-U161-V161-W161)</f>
      </c>
      <c r="Z161" s="4">
        <f>IF($K161="","",(Y161-AF161)/J161*100)</f>
      </c>
      <c r="AA161" s="4">
        <f>IF($K161="","",M161-X161)</f>
      </c>
      <c r="AG161" s="4">
        <f>IF($K161="","",Y161-AF161)</f>
      </c>
    </row>
    <row r="162" spans="1:38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IF($K162="","",(K162*6.9%)-(K162*6.9%)*10%)</f>
      </c>
      <c r="O162" s="4">
        <f>IF($K162="","",K162*0.35%)</f>
      </c>
      <c r="P162" s="4">
        <v>0.4</v>
      </c>
      <c r="Q162" s="4">
        <f>IF($K162="","",(N162+O162+P162)*20%)</f>
      </c>
      <c r="R162" s="4">
        <f>IF($K162="","",N162+O162+P162+Q162)</f>
      </c>
      <c r="S162" s="4"/>
      <c r="T162" s="4"/>
      <c r="U162" s="4"/>
      <c r="V162" s="4">
        <f>IF($K162="","",U162*20%)</f>
      </c>
      <c r="W162" s="4">
        <v>1</v>
      </c>
      <c r="X162" s="4">
        <f>IF($K162="","",Q162+T162+V162)</f>
      </c>
      <c r="Y162" s="4">
        <f>IF($K162="","",L162-M162-R162-S162-T162-U162-V162-W162)</f>
      </c>
      <c r="Z162" s="4">
        <f>IF($K162="","",(Y162-AF162)/J162*100)</f>
      </c>
      <c r="AA162" s="4">
        <f>IF($K162="","",M162-X162)</f>
      </c>
      <c r="AG162" s="4">
        <f>IF($K162="","",Y162-AF162)</f>
      </c>
    </row>
    <row r="163" spans="1:38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IF($K163="","",(K163*6.9%)-(K163*6.9%)*10%)</f>
      </c>
      <c r="O163" s="4">
        <f>IF($K163="","",K163*0.35%)</f>
      </c>
      <c r="P163" s="4">
        <v>0.4</v>
      </c>
      <c r="Q163" s="4">
        <f>IF($K163="","",(N163+O163+P163)*20%)</f>
      </c>
      <c r="R163" s="4">
        <f>IF($K163="","",N163+O163+P163+Q163)</f>
      </c>
      <c r="S163" s="4"/>
      <c r="T163" s="4"/>
      <c r="U163" s="4"/>
      <c r="V163" s="4">
        <f>IF($K163="","",U163*20%)</f>
      </c>
      <c r="W163" s="4">
        <v>1</v>
      </c>
      <c r="X163" s="4">
        <f>IF($K163="","",Q163+T163+V163)</f>
      </c>
      <c r="Y163" s="4">
        <f>IF($K163="","",L163-M163-R163-S163-T163-U163-V163-W163)</f>
      </c>
      <c r="Z163" s="4">
        <f>IF($K163="","",(Y163-AF163)/J163*100)</f>
      </c>
      <c r="AA163" s="4">
        <f>IF($K163="","",M163-X163)</f>
      </c>
      <c r="AG163" s="4">
        <f>IF($K163="","",Y163-AF163)</f>
      </c>
    </row>
    <row r="164" spans="1:38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IF($K164="","",(K164*6.9%)-(K164*6.9%)*10%)</f>
      </c>
      <c r="O164" s="4">
        <f>IF($K164="","",K164*0.35%)</f>
      </c>
      <c r="P164" s="4">
        <v>0.4</v>
      </c>
      <c r="Q164" s="4">
        <f>IF($K164="","",(N164+O164+P164)*20%)</f>
      </c>
      <c r="R164" s="4">
        <f>IF($K164="","",N164+O164+P164+Q164)</f>
      </c>
      <c r="S164" s="4"/>
      <c r="T164" s="4"/>
      <c r="U164" s="4"/>
      <c r="V164" s="4">
        <f>IF($K164="","",U164*20%)</f>
      </c>
      <c r="W164" s="4">
        <v>1</v>
      </c>
      <c r="X164" s="4">
        <f>IF($K164="","",Q164+T164+V164)</f>
      </c>
      <c r="Y164" s="4">
        <f>IF($K164="","",L164-M164-R164-S164-T164-U164-V164-W164)</f>
      </c>
      <c r="Z164" s="4">
        <f>IF($K164="","",(Y164-AF164)/J164*100)</f>
      </c>
      <c r="AA164" s="4">
        <f>IF($K164="","",M164-X164)</f>
      </c>
      <c r="AG164" s="4">
        <f>IF($K164="","",Y164-AF164)</f>
      </c>
    </row>
    <row r="165" spans="1:38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IF($K165="","",(K165*6.9%)-(K165*6.9%)*10%)</f>
      </c>
      <c r="O165" s="4">
        <f>IF($K165="","",K165*0.35%)</f>
      </c>
      <c r="P165" s="4">
        <v>0.4</v>
      </c>
      <c r="Q165" s="4">
        <f>IF($K165="","",(N165+O165+P165)*20%)</f>
      </c>
      <c r="R165" s="4">
        <f>IF($K165="","",N165+O165+P165+Q165)</f>
      </c>
      <c r="S165" s="4"/>
      <c r="T165" s="4"/>
      <c r="U165" s="4"/>
      <c r="V165" s="4">
        <f>IF($K165="","",U165*20%)</f>
      </c>
      <c r="W165" s="4">
        <v>1</v>
      </c>
      <c r="X165" s="4">
        <f>IF($K165="","",Q165+T165+V165)</f>
      </c>
      <c r="Y165" s="4">
        <f>IF($K165="","",L165-M165-R165-S165-T165-U165-V165-W165)</f>
      </c>
      <c r="Z165" s="4">
        <f>IF($K165="","",(Y165-AF165)/J165*100)</f>
      </c>
      <c r="AA165" s="4">
        <f>IF($K165="","",M165-X165)</f>
      </c>
      <c r="AG165" s="4">
        <f>IF($K165="","",Y165-AF165)</f>
      </c>
    </row>
    <row r="166" spans="1:38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IF($K166="","",(K166*6.9%)-(K166*6.9%)*10%)</f>
      </c>
      <c r="O166" s="4">
        <f>IF($K166="","",K166*0.35%)</f>
      </c>
      <c r="P166" s="4">
        <v>0.4</v>
      </c>
      <c r="Q166" s="4">
        <f>IF($K166="","",(N166+O166+P166)*20%)</f>
      </c>
      <c r="R166" s="4">
        <f>IF($K166="","",N166+O166+P166+Q166)</f>
      </c>
      <c r="S166" s="4"/>
      <c r="T166" s="4"/>
      <c r="U166" s="4"/>
      <c r="V166" s="4">
        <f>IF($K166="","",U166*20%)</f>
      </c>
      <c r="W166" s="4">
        <v>1</v>
      </c>
      <c r="X166" s="4">
        <f>IF($K166="","",Q166+T166+V166)</f>
      </c>
      <c r="Y166" s="4">
        <f>IF($K166="","",L166-M166-R166-S166-T166-U166-V166-W166)</f>
      </c>
      <c r="Z166" s="4">
        <f>IF($K166="","",(Y166-AF166)/J166*100)</f>
      </c>
      <c r="AA166" s="4">
        <f>IF($K166="","",M166-X166)</f>
      </c>
      <c r="AG166" s="4">
        <f>IF($K166="","",Y166-AF166)</f>
      </c>
    </row>
    <row r="167" spans="1:38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IF($K167="","",(K167*6.9%)-(K167*6.9%)*10%)</f>
      </c>
      <c r="O167" s="4">
        <f>IF($K167="","",K167*0.35%)</f>
      </c>
      <c r="P167" s="4">
        <v>0.4</v>
      </c>
      <c r="Q167" s="4">
        <f>IF($K167="","",(N167+O167+P167)*20%)</f>
      </c>
      <c r="R167" s="4">
        <f>IF($K167="","",N167+O167+P167+Q167)</f>
      </c>
      <c r="S167" s="4"/>
      <c r="T167" s="4"/>
      <c r="U167" s="4"/>
      <c r="V167" s="4">
        <f>IF($K167="","",U167*20%)</f>
      </c>
      <c r="W167" s="4">
        <v>1</v>
      </c>
      <c r="X167" s="4">
        <f>IF($K167="","",Q167+T167+V167)</f>
      </c>
      <c r="Y167" s="4">
        <f>IF($K167="","",L167-M167-R167-S167-T167-U167-V167-W167)</f>
      </c>
      <c r="Z167" s="4">
        <f>IF($K167="","",(Y167-AF167)/J167*100)</f>
      </c>
      <c r="AA167" s="4">
        <f>IF($K167="","",M167-X167)</f>
      </c>
      <c r="AG167" s="4">
        <f>IF($K167="","",Y167-AF167)</f>
      </c>
    </row>
    <row r="168" spans="1:38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IF($K168="","",(K168*6.9%)-(K168*6.9%)*10%)</f>
      </c>
      <c r="O168" s="4">
        <f>IF($K168="","",K168*0.35%)</f>
      </c>
      <c r="P168" s="4">
        <v>0.4</v>
      </c>
      <c r="Q168" s="4">
        <f>IF($K168="","",(N168+O168+P168)*20%)</f>
      </c>
      <c r="R168" s="4">
        <f>IF($K168="","",N168+O168+P168+Q168)</f>
      </c>
      <c r="S168" s="4"/>
      <c r="T168" s="4"/>
      <c r="U168" s="4"/>
      <c r="V168" s="4">
        <f>IF($K168="","",U168*20%)</f>
      </c>
      <c r="W168" s="4">
        <v>1</v>
      </c>
      <c r="X168" s="4">
        <f>IF($K168="","",Q168+T168+V168)</f>
      </c>
      <c r="Y168" s="4">
        <f>IF($K168="","",L168-M168-R168-S168-T168-U168-V168-W168)</f>
      </c>
      <c r="Z168" s="4">
        <f>IF($K168="","",(Y168-AF168)/J168*100)</f>
      </c>
      <c r="AA168" s="4">
        <f>IF($K168="","",M168-X168)</f>
      </c>
      <c r="AG168" s="4">
        <f>IF($K168="","",Y168-AF168)</f>
      </c>
    </row>
    <row r="169" spans="1:38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IF($K169="","",(K169*6.9%)-(K169*6.9%)*10%)</f>
      </c>
      <c r="O169" s="4">
        <f>IF($K169="","",K169*0.35%)</f>
      </c>
      <c r="P169" s="4">
        <v>0.4</v>
      </c>
      <c r="Q169" s="4">
        <f>IF($K169="","",(N169+O169+P169)*20%)</f>
      </c>
      <c r="R169" s="4">
        <f>IF($K169="","",N169+O169+P169+Q169)</f>
      </c>
      <c r="S169" s="4"/>
      <c r="T169" s="4"/>
      <c r="U169" s="4"/>
      <c r="V169" s="4">
        <f>IF($K169="","",U169*20%)</f>
      </c>
      <c r="W169" s="4">
        <v>1</v>
      </c>
      <c r="X169" s="4">
        <f>IF($K169="","",Q169+T169+V169)</f>
      </c>
      <c r="Y169" s="4">
        <f>IF($K169="","",L169-M169-R169-S169-T169-U169-V169-W169)</f>
      </c>
      <c r="Z169" s="4">
        <f>IF($K169="","",(Y169-AF169)/J169*100)</f>
      </c>
      <c r="AA169" s="4">
        <f>IF($K169="","",M169-X169)</f>
      </c>
      <c r="AG169" s="4">
        <f>IF($K169="","",Y169-AF169)</f>
      </c>
    </row>
    <row r="170" spans="1:38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IF($K170="","",(K170*6.9%)-(K170*6.9%)*10%)</f>
      </c>
      <c r="O170" s="4">
        <f>IF($K170="","",K170*0.35%)</f>
      </c>
      <c r="P170" s="4">
        <v>0.4</v>
      </c>
      <c r="Q170" s="4">
        <f>IF($K170="","",(N170+O170+P170)*20%)</f>
      </c>
      <c r="R170" s="4">
        <f>IF($K170="","",N170+O170+P170+Q170)</f>
      </c>
      <c r="S170" s="4"/>
      <c r="T170" s="4"/>
      <c r="U170" s="4"/>
      <c r="V170" s="4">
        <f>IF($K170="","",U170*20%)</f>
      </c>
      <c r="W170" s="4">
        <v>1</v>
      </c>
      <c r="X170" s="4">
        <f>IF($K170="","",Q170+T170+V170)</f>
      </c>
      <c r="Y170" s="4">
        <f>IF($K170="","",L170-M170-R170-S170-T170-U170-V170-W170)</f>
      </c>
      <c r="Z170" s="4">
        <f>IF($K170="","",(Y170-AF170)/J170*100)</f>
      </c>
      <c r="AA170" s="4">
        <f>IF($K170="","",M170-X170)</f>
      </c>
      <c r="AG170" s="4">
        <f>IF($K170="","",Y170-AF170)</f>
      </c>
    </row>
    <row r="171" spans="1:38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IF($K171="","",(K171*6.9%)-(K171*6.9%)*10%)</f>
      </c>
      <c r="O171" s="4">
        <f>IF($K171="","",K171*0.35%)</f>
      </c>
      <c r="P171" s="4">
        <v>0.4</v>
      </c>
      <c r="Q171" s="4">
        <f>IF($K171="","",(N171+O171+P171)*20%)</f>
      </c>
      <c r="R171" s="4">
        <f>IF($K171="","",N171+O171+P171+Q171)</f>
      </c>
      <c r="S171" s="4"/>
      <c r="T171" s="4"/>
      <c r="U171" s="4"/>
      <c r="V171" s="4">
        <f>IF($K171="","",U171*20%)</f>
      </c>
      <c r="W171" s="4">
        <v>1</v>
      </c>
      <c r="X171" s="4">
        <f>IF($K171="","",Q171+T171+V171)</f>
      </c>
      <c r="Y171" s="4">
        <f>IF($K171="","",L171-M171-R171-S171-T171-U171-V171-W171)</f>
      </c>
      <c r="Z171" s="4">
        <f>IF($K171="","",(Y171-AF171)/J171*100)</f>
      </c>
      <c r="AA171" s="4">
        <f>IF($K171="","",M171-X171)</f>
      </c>
      <c r="AG171" s="4">
        <f>IF($K171="","",Y171-AF171)</f>
      </c>
    </row>
    <row r="172" spans="1:38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IF($K172="","",(K172*6.9%)-(K172*6.9%)*10%)</f>
      </c>
      <c r="O172" s="4">
        <f>IF($K172="","",K172*0.35%)</f>
      </c>
      <c r="P172" s="4">
        <v>0.4</v>
      </c>
      <c r="Q172" s="4">
        <f>IF($K172="","",(N172+O172+P172)*20%)</f>
      </c>
      <c r="R172" s="4">
        <f>IF($K172="","",N172+O172+P172+Q172)</f>
      </c>
      <c r="S172" s="4"/>
      <c r="T172" s="4"/>
      <c r="U172" s="4"/>
      <c r="V172" s="4">
        <f>IF($K172="","",U172*20%)</f>
      </c>
      <c r="W172" s="4">
        <v>1</v>
      </c>
      <c r="X172" s="4">
        <f>IF($K172="","",Q172+T172+V172)</f>
      </c>
      <c r="Y172" s="4">
        <f>IF($K172="","",L172-M172-R172-S172-T172-U172-V172-W172)</f>
      </c>
      <c r="Z172" s="4">
        <f>IF($K172="","",(Y172-AF172)/J172*100)</f>
      </c>
      <c r="AA172" s="4">
        <f>IF($K172="","",M172-X172)</f>
      </c>
      <c r="AG172" s="4">
        <f>IF($K172="","",Y172-AF172)</f>
      </c>
    </row>
    <row r="173" spans="1:38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IF($K173="","",(K173*6.9%)-(K173*6.9%)*10%)</f>
      </c>
      <c r="O173" s="4">
        <f>IF($K173="","",K173*0.35%)</f>
      </c>
      <c r="P173" s="4">
        <v>0.4</v>
      </c>
      <c r="Q173" s="4">
        <f>IF($K173="","",(N173+O173+P173)*20%)</f>
      </c>
      <c r="R173" s="4">
        <f>IF($K173="","",N173+O173+P173+Q173)</f>
      </c>
      <c r="S173" s="4"/>
      <c r="T173" s="4"/>
      <c r="U173" s="4"/>
      <c r="V173" s="4">
        <f>IF($K173="","",U173*20%)</f>
      </c>
      <c r="W173" s="4">
        <v>1</v>
      </c>
      <c r="X173" s="4">
        <f>IF($K173="","",Q173+T173+V173)</f>
      </c>
      <c r="Y173" s="4">
        <f>IF($K173="","",L173-M173-R173-S173-T173-U173-V173-W173)</f>
      </c>
      <c r="Z173" s="4">
        <f>IF($K173="","",(Y173-AF173)/J173*100)</f>
      </c>
      <c r="AA173" s="4">
        <f>IF($K173="","",M173-X173)</f>
      </c>
      <c r="AG173" s="4">
        <f>IF($K173="","",Y173-AF173)</f>
      </c>
    </row>
    <row r="174" spans="1:38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IF($K174="","",(K174*6.9%)-(K174*6.9%)*10%)</f>
      </c>
      <c r="O174" s="4">
        <f>IF($K174="","",K174*0.35%)</f>
      </c>
      <c r="P174" s="4">
        <v>0.4</v>
      </c>
      <c r="Q174" s="4">
        <f>IF($K174="","",(N174+O174+P174)*20%)</f>
      </c>
      <c r="R174" s="4">
        <f>IF($K174="","",N174+O174+P174+Q174)</f>
      </c>
      <c r="S174" s="4"/>
      <c r="T174" s="4"/>
      <c r="U174" s="4"/>
      <c r="V174" s="4">
        <f>IF($K174="","",U174*20%)</f>
      </c>
      <c r="W174" s="4">
        <v>1</v>
      </c>
      <c r="X174" s="4">
        <f>IF($K174="","",Q174+T174+V174)</f>
      </c>
      <c r="Y174" s="4">
        <f>IF($K174="","",L174-M174-R174-S174-T174-U174-V174-W174)</f>
      </c>
      <c r="Z174" s="4">
        <f>IF($K174="","",(Y174-AF174)/J174*100)</f>
      </c>
      <c r="AA174" s="4">
        <f>IF($K174="","",M174-X174)</f>
      </c>
      <c r="AG174" s="4">
        <f>IF($K174="","",Y174-AF174)</f>
      </c>
    </row>
    <row r="175" spans="1:38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IF($K175="","",(K175*6.9%)-(K175*6.9%)*10%)</f>
      </c>
      <c r="O175" s="4">
        <f>IF($K175="","",K175*0.35%)</f>
      </c>
      <c r="P175" s="4">
        <v>0.4</v>
      </c>
      <c r="Q175" s="4">
        <f>IF($K175="","",(N175+O175+P175)*20%)</f>
      </c>
      <c r="R175" s="4">
        <f>IF($K175="","",N175+O175+P175+Q175)</f>
      </c>
      <c r="S175" s="4"/>
      <c r="T175" s="4"/>
      <c r="U175" s="4"/>
      <c r="V175" s="4">
        <f>IF($K175="","",U175*20%)</f>
      </c>
      <c r="W175" s="4">
        <v>1</v>
      </c>
      <c r="X175" s="4">
        <f>IF($K175="","",Q175+T175+V175)</f>
      </c>
      <c r="Y175" s="4">
        <f>IF($K175="","",L175-M175-R175-S175-T175-U175-V175-W175)</f>
      </c>
      <c r="Z175" s="4">
        <f>IF($K175="","",(Y175-AF175)/J175*100)</f>
      </c>
      <c r="AA175" s="4">
        <f>IF($K175="","",M175-X175)</f>
      </c>
      <c r="AG175" s="4">
        <f>IF($K175="","",Y175-AF175)</f>
      </c>
    </row>
    <row r="176" spans="1:38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IF($K176="","",(K176*6.9%)-(K176*6.9%)*10%)</f>
      </c>
      <c r="O176" s="4">
        <f>IF($K176="","",K176*0.35%)</f>
      </c>
      <c r="P176" s="4">
        <v>0.4</v>
      </c>
      <c r="Q176" s="4">
        <f>IF($K176="","",(N176+O176+P176)*20%)</f>
      </c>
      <c r="R176" s="4">
        <f>IF($K176="","",N176+O176+P176+Q176)</f>
      </c>
      <c r="S176" s="4"/>
      <c r="T176" s="4"/>
      <c r="U176" s="4"/>
      <c r="V176" s="4">
        <f>IF($K176="","",U176*20%)</f>
      </c>
      <c r="W176" s="4">
        <v>1</v>
      </c>
      <c r="X176" s="4">
        <f>IF($K176="","",Q176+T176+V176)</f>
      </c>
      <c r="Y176" s="4">
        <f>IF($K176="","",L176-M176-R176-S176-T176-U176-V176-W176)</f>
      </c>
      <c r="Z176" s="4">
        <f>IF($K176="","",(Y176-AF176)/J176*100)</f>
      </c>
      <c r="AA176" s="4">
        <f>IF($K176="","",M176-X176)</f>
      </c>
      <c r="AG176" s="4">
        <f>IF($K176="","",Y176-AF176)</f>
      </c>
    </row>
    <row r="177" spans="1:38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IF($K177="","",(K177*6.9%)-(K177*6.9%)*10%)</f>
      </c>
      <c r="O177" s="4">
        <f>IF($K177="","",K177*0.35%)</f>
      </c>
      <c r="P177" s="4">
        <v>0.4</v>
      </c>
      <c r="Q177" s="4">
        <f>IF($K177="","",(N177+O177+P177)*20%)</f>
      </c>
      <c r="R177" s="4">
        <f>IF($K177="","",N177+O177+P177+Q177)</f>
      </c>
      <c r="S177" s="4"/>
      <c r="T177" s="4"/>
      <c r="U177" s="4"/>
      <c r="V177" s="4">
        <f>IF($K177="","",U177*20%)</f>
      </c>
      <c r="W177" s="4">
        <v>1</v>
      </c>
      <c r="X177" s="4">
        <f>IF($K177="","",Q177+T177+V177)</f>
      </c>
      <c r="Y177" s="4">
        <f>IF($K177="","",L177-M177-R177-S177-T177-U177-V177-W177)</f>
      </c>
      <c r="Z177" s="4">
        <f>IF($K177="","",(Y177-AF177)/J177*100)</f>
      </c>
      <c r="AA177" s="4">
        <f>IF($K177="","",M177-X177)</f>
      </c>
      <c r="AG177" s="4">
        <f>IF($K177="","",Y177-AF177)</f>
      </c>
    </row>
    <row r="178" spans="1:38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IF($K178="","",(K178*6.9%)-(K178*6.9%)*10%)</f>
      </c>
      <c r="O178" s="4">
        <f>IF($K178="","",K178*0.35%)</f>
      </c>
      <c r="P178" s="4">
        <v>0.4</v>
      </c>
      <c r="Q178" s="4">
        <f>IF($K178="","",(N178+O178+P178)*20%)</f>
      </c>
      <c r="R178" s="4">
        <f>IF($K178="","",N178+O178+P178+Q178)</f>
      </c>
      <c r="S178" s="4"/>
      <c r="T178" s="4"/>
      <c r="U178" s="4"/>
      <c r="V178" s="4">
        <f>IF($K178="","",U178*20%)</f>
      </c>
      <c r="W178" s="4">
        <v>1</v>
      </c>
      <c r="X178" s="4">
        <f>IF($K178="","",Q178+T178+V178)</f>
      </c>
      <c r="Y178" s="4">
        <f>IF($K178="","",L178-M178-R178-S178-T178-U178-V178-W178)</f>
      </c>
      <c r="Z178" s="4">
        <f>IF($K178="","",(Y178-AF178)/J178*100)</f>
      </c>
      <c r="AA178" s="4">
        <f>IF($K178="","",M178-X178)</f>
      </c>
      <c r="AG178" s="4">
        <f>IF($K178="","",Y178-AF178)</f>
      </c>
    </row>
    <row r="179" spans="1:38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IF($K179="","",(K179*6.9%)-(K179*6.9%)*10%)</f>
      </c>
      <c r="O179" s="4">
        <f>IF($K179="","",K179*0.35%)</f>
      </c>
      <c r="P179" s="4">
        <v>0.4</v>
      </c>
      <c r="Q179" s="4">
        <f>IF($K179="","",(N179+O179+P179)*20%)</f>
      </c>
      <c r="R179" s="4">
        <f>IF($K179="","",N179+O179+P179+Q179)</f>
      </c>
      <c r="S179" s="4"/>
      <c r="T179" s="4"/>
      <c r="U179" s="4"/>
      <c r="V179" s="4">
        <f>IF($K179="","",U179*20%)</f>
      </c>
      <c r="W179" s="4">
        <v>1</v>
      </c>
      <c r="X179" s="4">
        <f>IF($K179="","",Q179+T179+V179)</f>
      </c>
      <c r="Y179" s="4">
        <f>IF($K179="","",L179-M179-R179-S179-T179-U179-V179-W179)</f>
      </c>
      <c r="Z179" s="4">
        <f>IF($K179="","",(Y179-AF179)/J179*100)</f>
      </c>
      <c r="AA179" s="4">
        <f>IF($K179="","",M179-X179)</f>
      </c>
      <c r="AG179" s="4">
        <f>IF($K179="","",Y179-AF179)</f>
      </c>
    </row>
    <row r="180" spans="1:38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IF($K180="","",(K180*6.9%)-(K180*6.9%)*10%)</f>
      </c>
      <c r="O180" s="4">
        <f>IF($K180="","",K180*0.35%)</f>
      </c>
      <c r="P180" s="4">
        <v>0.4</v>
      </c>
      <c r="Q180" s="4">
        <f>IF($K180="","",(N180+O180+P180)*20%)</f>
      </c>
      <c r="R180" s="4">
        <f>IF($K180="","",N180+O180+P180+Q180)</f>
      </c>
      <c r="S180" s="4"/>
      <c r="T180" s="4"/>
      <c r="U180" s="4"/>
      <c r="V180" s="4">
        <f>IF($K180="","",U180*20%)</f>
      </c>
      <c r="W180" s="4">
        <v>1</v>
      </c>
      <c r="X180" s="4">
        <f>IF($K180="","",Q180+T180+V180)</f>
      </c>
      <c r="Y180" s="4">
        <f>IF($K180="","",L180-M180-R180-S180-T180-U180-V180-W180)</f>
      </c>
      <c r="Z180" s="4">
        <f>IF($K180="","",(Y180-AF180)/J180*100)</f>
      </c>
      <c r="AA180" s="4">
        <f>IF($K180="","",M180-X180)</f>
      </c>
      <c r="AG180" s="4">
        <f>IF($K180="","",Y180-AF180)</f>
      </c>
    </row>
    <row r="181" spans="1:38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IF($K181="","",(K181*6.9%)-(K181*6.9%)*10%)</f>
      </c>
      <c r="O181" s="4">
        <f>IF($K181="","",K181*0.35%)</f>
      </c>
      <c r="P181" s="4">
        <v>0.4</v>
      </c>
      <c r="Q181" s="4">
        <f>IF($K181="","",(N181+O181+P181)*20%)</f>
      </c>
      <c r="R181" s="4">
        <f>IF($K181="","",N181+O181+P181+Q181)</f>
      </c>
      <c r="S181" s="4"/>
      <c r="T181" s="4"/>
      <c r="U181" s="4"/>
      <c r="V181" s="4">
        <f>IF($K181="","",U181*20%)</f>
      </c>
      <c r="W181" s="4">
        <v>1</v>
      </c>
      <c r="X181" s="4">
        <f>IF($K181="","",Q181+T181+V181)</f>
      </c>
      <c r="Y181" s="4">
        <f>IF($K181="","",L181-M181-R181-S181-T181-U181-V181-W181)</f>
      </c>
      <c r="Z181" s="4">
        <f>IF($K181="","",(Y181-AF181)/J181*100)</f>
      </c>
      <c r="AA181" s="4">
        <f>IF($K181="","",M181-X181)</f>
      </c>
      <c r="AG181" s="4">
        <f>IF($K181="","",Y181-AF181)</f>
      </c>
    </row>
    <row r="182" spans="1:38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IF($K182="","",(K182*6.9%)-(K182*6.9%)*10%)</f>
      </c>
      <c r="O182" s="4">
        <f>IF($K182="","",K182*0.35%)</f>
      </c>
      <c r="P182" s="4">
        <v>0.4</v>
      </c>
      <c r="Q182" s="4">
        <f>IF($K182="","",(N182+O182+P182)*20%)</f>
      </c>
      <c r="R182" s="4">
        <f>IF($K182="","",N182+O182+P182+Q182)</f>
      </c>
      <c r="S182" s="4"/>
      <c r="T182" s="4"/>
      <c r="U182" s="4"/>
      <c r="V182" s="4">
        <f>IF($K182="","",U182*20%)</f>
      </c>
      <c r="W182" s="4">
        <v>1</v>
      </c>
      <c r="X182" s="4">
        <f>IF($K182="","",Q182+T182+V182)</f>
      </c>
      <c r="Y182" s="4">
        <f>IF($K182="","",L182-M182-R182-S182-T182-U182-V182-W182)</f>
      </c>
      <c r="Z182" s="4">
        <f>IF($K182="","",(Y182-AF182)/J182*100)</f>
      </c>
      <c r="AA182" s="4">
        <f>IF($K182="","",M182-X182)</f>
      </c>
      <c r="AG182" s="4">
        <f>IF($K182="","",Y182-AF182)</f>
      </c>
    </row>
    <row r="183" spans="1:38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IF($K183="","",(K183*6.9%)-(K183*6.9%)*10%)</f>
      </c>
      <c r="O183" s="4">
        <f>IF($K183="","",K183*0.35%)</f>
      </c>
      <c r="P183" s="4">
        <v>0.4</v>
      </c>
      <c r="Q183" s="4">
        <f>IF($K183="","",(N183+O183+P183)*20%)</f>
      </c>
      <c r="R183" s="4">
        <f>IF($K183="","",N183+O183+P183+Q183)</f>
      </c>
      <c r="S183" s="4"/>
      <c r="T183" s="4"/>
      <c r="U183" s="4"/>
      <c r="V183" s="4">
        <f>IF($K183="","",U183*20%)</f>
      </c>
      <c r="W183" s="4">
        <v>1</v>
      </c>
      <c r="X183" s="4">
        <f>IF($K183="","",Q183+T183+V183)</f>
      </c>
      <c r="Y183" s="4">
        <f>IF($K183="","",L183-M183-R183-S183-T183-U183-V183-W183)</f>
      </c>
      <c r="Z183" s="4">
        <f>IF($K183="","",(Y183-AF183)/J183*100)</f>
      </c>
      <c r="AA183" s="4">
        <f>IF($K183="","",M183-X183)</f>
      </c>
      <c r="AG183" s="4">
        <f>IF($K183="","",Y183-AF183)</f>
      </c>
    </row>
    <row r="184" spans="1:38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IF($K184="","",(K184*6.9%)-(K184*6.9%)*10%)</f>
      </c>
      <c r="O184" s="4">
        <f>IF($K184="","",K184*0.35%)</f>
      </c>
      <c r="P184" s="4">
        <v>0.4</v>
      </c>
      <c r="Q184" s="4">
        <f>IF($K184="","",(N184+O184+P184)*20%)</f>
      </c>
      <c r="R184" s="4">
        <f>IF($K184="","",N184+O184+P184+Q184)</f>
      </c>
      <c r="S184" s="4"/>
      <c r="T184" s="4"/>
      <c r="U184" s="4"/>
      <c r="V184" s="4">
        <f>IF($K184="","",U184*20%)</f>
      </c>
      <c r="W184" s="4">
        <v>1</v>
      </c>
      <c r="X184" s="4">
        <f>IF($K184="","",Q184+T184+V184)</f>
      </c>
      <c r="Y184" s="4">
        <f>IF($K184="","",L184-M184-R184-S184-T184-U184-V184-W184)</f>
      </c>
      <c r="Z184" s="4">
        <f>IF($K184="","",(Y184-AF184)/J184*100)</f>
      </c>
      <c r="AA184" s="4">
        <f>IF($K184="","",M184-X184)</f>
      </c>
      <c r="AG184" s="4">
        <f>IF($K184="","",Y184-AF184)</f>
      </c>
    </row>
    <row r="185" spans="1:38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IF($K185="","",(K185*6.9%)-(K185*6.9%)*10%)</f>
      </c>
      <c r="O185" s="4">
        <f>IF($K185="","",K185*0.35%)</f>
      </c>
      <c r="P185" s="4">
        <v>0.4</v>
      </c>
      <c r="Q185" s="4">
        <f>IF($K185="","",(N185+O185+P185)*20%)</f>
      </c>
      <c r="R185" s="4">
        <f>IF($K185="","",N185+O185+P185+Q185)</f>
      </c>
      <c r="S185" s="4"/>
      <c r="T185" s="4"/>
      <c r="U185" s="4"/>
      <c r="V185" s="4">
        <f>IF($K185="","",U185*20%)</f>
      </c>
      <c r="W185" s="4">
        <v>1</v>
      </c>
      <c r="X185" s="4">
        <f>IF($K185="","",Q185+T185+V185)</f>
      </c>
      <c r="Y185" s="4">
        <f>IF($K185="","",L185-M185-R185-S185-T185-U185-V185-W185)</f>
      </c>
      <c r="Z185" s="4">
        <f>IF($K185="","",(Y185-AF185)/J185*100)</f>
      </c>
      <c r="AA185" s="4">
        <f>IF($K185="","",M185-X185)</f>
      </c>
      <c r="AG185" s="4">
        <f>IF($K185="","",Y185-AF185)</f>
      </c>
    </row>
    <row r="186" spans="1:38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IF($K186="","",(K186*6.9%)-(K186*6.9%)*10%)</f>
      </c>
      <c r="O186" s="4">
        <f>IF($K186="","",K186*0.35%)</f>
      </c>
      <c r="P186" s="4">
        <v>0.4</v>
      </c>
      <c r="Q186" s="4">
        <f>IF($K186="","",(N186+O186+P186)*20%)</f>
      </c>
      <c r="R186" s="4">
        <f>IF($K186="","",N186+O186+P186+Q186)</f>
      </c>
      <c r="S186" s="4"/>
      <c r="T186" s="4"/>
      <c r="U186" s="4"/>
      <c r="V186" s="4">
        <f>IF($K186="","",U186*20%)</f>
      </c>
      <c r="W186" s="4">
        <v>1</v>
      </c>
      <c r="X186" s="4">
        <f>IF($K186="","",Q186+T186+V186)</f>
      </c>
      <c r="Y186" s="4">
        <f>IF($K186="","",L186-M186-R186-S186-T186-U186-V186-W186)</f>
      </c>
      <c r="Z186" s="4">
        <f>IF($K186="","",(Y186-AF186)/J186*100)</f>
      </c>
      <c r="AA186" s="4">
        <f>IF($K186="","",M186-X186)</f>
      </c>
      <c r="AG186" s="4">
        <f>IF($K186="","",Y186-AF186)</f>
      </c>
    </row>
    <row r="187" spans="1:38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IF($K187="","",(K187*6.9%)-(K187*6.9%)*10%)</f>
      </c>
      <c r="O187" s="4">
        <f>IF($K187="","",K187*0.35%)</f>
      </c>
      <c r="P187" s="4">
        <v>0.4</v>
      </c>
      <c r="Q187" s="4">
        <f>IF($K187="","",(N187+O187+P187)*20%)</f>
      </c>
      <c r="R187" s="4">
        <f>IF($K187="","",N187+O187+P187+Q187)</f>
      </c>
      <c r="S187" s="4"/>
      <c r="T187" s="4"/>
      <c r="U187" s="4"/>
      <c r="V187" s="4">
        <f>IF($K187="","",U187*20%)</f>
      </c>
      <c r="W187" s="4">
        <v>1</v>
      </c>
      <c r="X187" s="4">
        <f>IF($K187="","",Q187+T187+V187)</f>
      </c>
      <c r="Y187" s="4">
        <f>IF($K187="","",L187-M187-R187-S187-T187-U187-V187-W187)</f>
      </c>
      <c r="Z187" s="4">
        <f>IF($K187="","",(Y187-AF187)/J187*100)</f>
      </c>
      <c r="AA187" s="4">
        <f>IF($K187="","",M187-X187)</f>
      </c>
      <c r="AG187" s="4">
        <f>IF($K187="","",Y187-AF187)</f>
      </c>
    </row>
    <row r="188" spans="1:38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IF($K188="","",(K188*6.9%)-(K188*6.9%)*10%)</f>
      </c>
      <c r="O188" s="4">
        <f>IF($K188="","",K188*0.35%)</f>
      </c>
      <c r="P188" s="4">
        <v>0.4</v>
      </c>
      <c r="Q188" s="4">
        <f>IF($K188="","",(N188+O188+P188)*20%)</f>
      </c>
      <c r="R188" s="4">
        <f>IF($K188="","",N188+O188+P188+Q188)</f>
      </c>
      <c r="S188" s="4"/>
      <c r="T188" s="4"/>
      <c r="U188" s="4"/>
      <c r="V188" s="4">
        <f>IF($K188="","",U188*20%)</f>
      </c>
      <c r="W188" s="4">
        <v>1</v>
      </c>
      <c r="X188" s="4">
        <f>IF($K188="","",Q188+T188+V188)</f>
      </c>
      <c r="Y188" s="4">
        <f>IF($K188="","",L188-M188-R188-S188-T188-U188-V188-W188)</f>
      </c>
      <c r="Z188" s="4">
        <f>IF($K188="","",(Y188-AF188)/J188*100)</f>
      </c>
      <c r="AA188" s="4">
        <f>IF($K188="","",M188-X188)</f>
      </c>
      <c r="AG188" s="4">
        <f>IF($K188="","",Y188-AF188)</f>
      </c>
    </row>
    <row r="189" spans="1:38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IF($K189="","",(K189*6.9%)-(K189*6.9%)*10%)</f>
      </c>
      <c r="O189" s="4">
        <f>IF($K189="","",K189*0.35%)</f>
      </c>
      <c r="P189" s="4">
        <v>0.4</v>
      </c>
      <c r="Q189" s="4">
        <f>IF($K189="","",(N189+O189+P189)*20%)</f>
      </c>
      <c r="R189" s="4">
        <f>IF($K189="","",N189+O189+P189+Q189)</f>
      </c>
      <c r="S189" s="4"/>
      <c r="T189" s="4"/>
      <c r="U189" s="4"/>
      <c r="V189" s="4">
        <f>IF($K189="","",U189*20%)</f>
      </c>
      <c r="W189" s="4">
        <v>1</v>
      </c>
      <c r="X189" s="4">
        <f>IF($K189="","",Q189+T189+V189)</f>
      </c>
      <c r="Y189" s="4">
        <f>IF($K189="","",L189-M189-R189-S189-T189-U189-V189-W189)</f>
      </c>
      <c r="Z189" s="4">
        <f>IF($K189="","",(Y189-AF189)/J189*100)</f>
      </c>
      <c r="AA189" s="4">
        <f>IF($K189="","",M189-X189)</f>
      </c>
      <c r="AG189" s="4">
        <f>IF($K189="","",Y189-AF189)</f>
      </c>
    </row>
    <row r="190" spans="1:38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IF($K190="","",(K190*6.9%)-(K190*6.9%)*10%)</f>
      </c>
      <c r="O190" s="4">
        <f>IF($K190="","",K190*0.35%)</f>
      </c>
      <c r="P190" s="4">
        <v>0.4</v>
      </c>
      <c r="Q190" s="4">
        <f>IF($K190="","",(N190+O190+P190)*20%)</f>
      </c>
      <c r="R190" s="4">
        <f>IF($K190="","",N190+O190+P190+Q190)</f>
      </c>
      <c r="S190" s="4"/>
      <c r="T190" s="4"/>
      <c r="U190" s="4"/>
      <c r="V190" s="4">
        <f>IF($K190="","",U190*20%)</f>
      </c>
      <c r="W190" s="4">
        <v>1</v>
      </c>
      <c r="X190" s="4">
        <f>IF($K190="","",Q190+T190+V190)</f>
      </c>
      <c r="Y190" s="4">
        <f>IF($K190="","",L190-M190-R190-S190-T190-U190-V190-W190)</f>
      </c>
      <c r="Z190" s="4">
        <f>IF($K190="","",(Y190-AF190)/J190*100)</f>
      </c>
      <c r="AA190" s="4">
        <f>IF($K190="","",M190-X190)</f>
      </c>
      <c r="AG190" s="4">
        <f>IF($K190="","",Y190-AF190)</f>
      </c>
    </row>
    <row r="191" spans="1:38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IF($K191="","",(K191*6.9%)-(K191*6.9%)*10%)</f>
      </c>
      <c r="O191" s="4">
        <f>IF($K191="","",K191*0.35%)</f>
      </c>
      <c r="P191" s="4">
        <v>0.4</v>
      </c>
      <c r="Q191" s="4">
        <f>IF($K191="","",(N191+O191+P191)*20%)</f>
      </c>
      <c r="R191" s="4">
        <f>IF($K191="","",N191+O191+P191+Q191)</f>
      </c>
      <c r="S191" s="4"/>
      <c r="T191" s="4"/>
      <c r="U191" s="4"/>
      <c r="V191" s="4">
        <f>IF($K191="","",U191*20%)</f>
      </c>
      <c r="W191" s="4">
        <v>1</v>
      </c>
      <c r="X191" s="4">
        <f>IF($K191="","",Q191+T191+V191)</f>
      </c>
      <c r="Y191" s="4">
        <f>IF($K191="","",L191-M191-R191-S191-T191-U191-V191-W191)</f>
      </c>
      <c r="Z191" s="4">
        <f>IF($K191="","",(Y191-AF191)/J191*100)</f>
      </c>
      <c r="AA191" s="4">
        <f>IF($K191="","",M191-X191)</f>
      </c>
      <c r="AG191" s="4">
        <f>IF($K191="","",Y191-AF191)</f>
      </c>
    </row>
    <row r="192" spans="1:38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IF($K192="","",(K192*6.9%)-(K192*6.9%)*10%)</f>
      </c>
      <c r="O192" s="4">
        <f>IF($K192="","",K192*0.35%)</f>
      </c>
      <c r="P192" s="4">
        <v>0.4</v>
      </c>
      <c r="Q192" s="4">
        <f>IF($K192="","",(N192+O192+P192)*20%)</f>
      </c>
      <c r="R192" s="4">
        <f>IF($K192="","",N192+O192+P192+Q192)</f>
      </c>
      <c r="S192" s="4"/>
      <c r="T192" s="4"/>
      <c r="U192" s="4"/>
      <c r="V192" s="4">
        <f>IF($K192="","",U192*20%)</f>
      </c>
      <c r="W192" s="4">
        <v>1</v>
      </c>
      <c r="X192" s="4">
        <f>IF($K192="","",Q192+T192+V192)</f>
      </c>
      <c r="Y192" s="4">
        <f>IF($K192="","",L192-M192-R192-S192-T192-U192-V192-W192)</f>
      </c>
      <c r="Z192" s="4">
        <f>IF($K192="","",(Y192-AF192)/J192*100)</f>
      </c>
      <c r="AA192" s="4">
        <f>IF($K192="","",M192-X192)</f>
      </c>
      <c r="AG192" s="4">
        <f>IF($K192="","",Y192-AF192)</f>
      </c>
    </row>
    <row r="193" spans="1:38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IF($K193="","",(K193*6.9%)-(K193*6.9%)*10%)</f>
      </c>
      <c r="O193" s="4">
        <f>IF($K193="","",K193*0.35%)</f>
      </c>
      <c r="P193" s="4">
        <v>0.4</v>
      </c>
      <c r="Q193" s="4">
        <f>IF($K193="","",(N193+O193+P193)*20%)</f>
      </c>
      <c r="R193" s="4">
        <f>IF($K193="","",N193+O193+P193+Q193)</f>
      </c>
      <c r="S193" s="4"/>
      <c r="T193" s="4"/>
      <c r="U193" s="4"/>
      <c r="V193" s="4">
        <f>IF($K193="","",U193*20%)</f>
      </c>
      <c r="W193" s="4">
        <v>1</v>
      </c>
      <c r="X193" s="4">
        <f>IF($K193="","",Q193+T193+V193)</f>
      </c>
      <c r="Y193" s="4">
        <f>IF($K193="","",L193-M193-R193-S193-T193-U193-V193-W193)</f>
      </c>
      <c r="Z193" s="4">
        <f>IF($K193="","",(Y193-AF193)/J193*100)</f>
      </c>
      <c r="AA193" s="4">
        <f>IF($K193="","",M193-X193)</f>
      </c>
      <c r="AG193" s="4">
        <f>IF($K193="","",Y193-AF193)</f>
      </c>
    </row>
    <row r="194" spans="1:38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IF($K194="","",(K194*6.9%)-(K194*6.9%)*10%)</f>
      </c>
      <c r="O194" s="4">
        <f>IF($K194="","",K194*0.35%)</f>
      </c>
      <c r="P194" s="4">
        <v>0.4</v>
      </c>
      <c r="Q194" s="4">
        <f>IF($K194="","",(N194+O194+P194)*20%)</f>
      </c>
      <c r="R194" s="4">
        <f>IF($K194="","",N194+O194+P194+Q194)</f>
      </c>
      <c r="S194" s="4"/>
      <c r="T194" s="4"/>
      <c r="U194" s="4"/>
      <c r="V194" s="4">
        <f>IF($K194="","",U194*20%)</f>
      </c>
      <c r="W194" s="4">
        <v>1</v>
      </c>
      <c r="X194" s="4">
        <f>IF($K194="","",Q194+T194+V194)</f>
      </c>
      <c r="Y194" s="4">
        <f>IF($K194="","",L194-M194-R194-S194-T194-U194-V194-W194)</f>
      </c>
      <c r="Z194" s="4">
        <f>IF($K194="","",(Y194-AF194)/J194*100)</f>
      </c>
      <c r="AA194" s="4">
        <f>IF($K194="","",M194-X194)</f>
      </c>
      <c r="AG194" s="4">
        <f>IF($K194="","",Y194-AF194)</f>
      </c>
    </row>
    <row r="195" spans="1:38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IF($K195="","",(K195*6.9%)-(K195*6.9%)*10%)</f>
      </c>
      <c r="O195" s="4">
        <f>IF($K195="","",K195*0.35%)</f>
      </c>
      <c r="P195" s="4">
        <v>0.4</v>
      </c>
      <c r="Q195" s="4">
        <f>IF($K195="","",(N195+O195+P195)*20%)</f>
      </c>
      <c r="R195" s="4">
        <f>IF($K195="","",N195+O195+P195+Q195)</f>
      </c>
      <c r="S195" s="4"/>
      <c r="T195" s="4"/>
      <c r="U195" s="4"/>
      <c r="V195" s="4">
        <f>IF($K195="","",U195*20%)</f>
      </c>
      <c r="W195" s="4">
        <v>1</v>
      </c>
      <c r="X195" s="4">
        <f>IF($K195="","",Q195+T195+V195)</f>
      </c>
      <c r="Y195" s="4">
        <f>IF($K195="","",L195-M195-R195-S195-T195-U195-V195-W195)</f>
      </c>
      <c r="Z195" s="4">
        <f>IF($K195="","",(Y195-AF195)/J195*100)</f>
      </c>
      <c r="AA195" s="4">
        <f>IF($K195="","",M195-X195)</f>
      </c>
      <c r="AG195" s="4">
        <f>IF($K195="","",Y195-AF195)</f>
      </c>
    </row>
    <row r="196" spans="1:38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IF($K196="","",(K196*6.9%)-(K196*6.9%)*10%)</f>
      </c>
      <c r="O196" s="4">
        <f>IF($K196="","",K196*0.35%)</f>
      </c>
      <c r="P196" s="4">
        <v>0.4</v>
      </c>
      <c r="Q196" s="4">
        <f>IF($K196="","",(N196+O196+P196)*20%)</f>
      </c>
      <c r="R196" s="4">
        <f>IF($K196="","",N196+O196+P196+Q196)</f>
      </c>
      <c r="S196" s="4"/>
      <c r="T196" s="4"/>
      <c r="U196" s="4"/>
      <c r="V196" s="4">
        <f>IF($K196="","",U196*20%)</f>
      </c>
      <c r="W196" s="4">
        <v>1</v>
      </c>
      <c r="X196" s="4">
        <f>IF($K196="","",Q196+T196+V196)</f>
      </c>
      <c r="Y196" s="4">
        <f>IF($K196="","",L196-M196-R196-S196-T196-U196-V196-W196)</f>
      </c>
      <c r="Z196" s="4">
        <f>IF($K196="","",(Y196-AF196)/J196*100)</f>
      </c>
      <c r="AA196" s="4">
        <f>IF($K196="","",M196-X196)</f>
      </c>
      <c r="AG196" s="4">
        <f>IF($K196="","",Y196-AF196)</f>
      </c>
    </row>
    <row r="197" spans="1:38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IF($K197="","",(K197*6.9%)-(K197*6.9%)*10%)</f>
      </c>
      <c r="O197" s="4">
        <f>IF($K197="","",K197*0.35%)</f>
      </c>
      <c r="P197" s="4">
        <v>0.4</v>
      </c>
      <c r="Q197" s="4">
        <f>IF($K197="","",(N197+O197+P197)*20%)</f>
      </c>
      <c r="R197" s="4">
        <f>IF($K197="","",N197+O197+P197+Q197)</f>
      </c>
      <c r="S197" s="4"/>
      <c r="T197" s="4"/>
      <c r="U197" s="4"/>
      <c r="V197" s="4">
        <f>IF($K197="","",U197*20%)</f>
      </c>
      <c r="W197" s="4">
        <v>1</v>
      </c>
      <c r="X197" s="4">
        <f>IF($K197="","",Q197+T197+V197)</f>
      </c>
      <c r="Y197" s="4">
        <f>IF($K197="","",L197-M197-R197-S197-T197-U197-V197-W197)</f>
      </c>
      <c r="Z197" s="4">
        <f>IF($K197="","",(Y197-AF197)/J197*100)</f>
      </c>
      <c r="AA197" s="4">
        <f>IF($K197="","",M197-X197)</f>
      </c>
      <c r="AG197" s="4">
        <f>IF($K197="","",Y197-AF197)</f>
      </c>
    </row>
    <row r="198" spans="1:38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IF($K198="","",(K198*6.9%)-(K198*6.9%)*10%)</f>
      </c>
      <c r="O198" s="4">
        <f>IF($K198="","",K198*0.35%)</f>
      </c>
      <c r="P198" s="4">
        <v>0.4</v>
      </c>
      <c r="Q198" s="4">
        <f>IF($K198="","",(N198+O198+P198)*20%)</f>
      </c>
      <c r="R198" s="4">
        <f>IF($K198="","",N198+O198+P198+Q198)</f>
      </c>
      <c r="S198" s="4"/>
      <c r="T198" s="4"/>
      <c r="U198" s="4"/>
      <c r="V198" s="4">
        <f>IF($K198="","",U198*20%)</f>
      </c>
      <c r="W198" s="4">
        <v>1</v>
      </c>
      <c r="X198" s="4">
        <f>IF($K198="","",Q198+T198+V198)</f>
      </c>
      <c r="Y198" s="4">
        <f>IF($K198="","",L198-M198-R198-S198-T198-U198-V198-W198)</f>
      </c>
      <c r="Z198" s="4">
        <f>IF($K198="","",(Y198-AF198)/J198*100)</f>
      </c>
      <c r="AA198" s="4">
        <f>IF($K198="","",M198-X198)</f>
      </c>
      <c r="AG198" s="4">
        <f>IF($K198="","",Y198-AF198)</f>
      </c>
    </row>
    <row r="199" spans="1:38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IF($K199="","",(K199*6.9%)-(K199*6.9%)*10%)</f>
      </c>
      <c r="O199" s="4">
        <f>IF($K199="","",K199*0.35%)</f>
      </c>
      <c r="P199" s="4">
        <v>0.4</v>
      </c>
      <c r="Q199" s="4">
        <f>IF($K199="","",(N199+O199+P199)*20%)</f>
      </c>
      <c r="R199" s="4">
        <f>IF($K199="","",N199+O199+P199+Q199)</f>
      </c>
      <c r="S199" s="4"/>
      <c r="T199" s="4"/>
      <c r="U199" s="4"/>
      <c r="V199" s="4">
        <f>IF($K199="","",U199*20%)</f>
      </c>
      <c r="W199" s="4">
        <v>1</v>
      </c>
      <c r="X199" s="4">
        <f>IF($K199="","",Q199+T199+V199)</f>
      </c>
      <c r="Y199" s="4">
        <f>IF($K199="","",L199-M199-R199-S199-T199-U199-V199-W199)</f>
      </c>
      <c r="Z199" s="4">
        <f>IF($K199="","",(Y199-AF199)/J199*100)</f>
      </c>
      <c r="AA199" s="4">
        <f>IF($K199="","",M199-X199)</f>
      </c>
      <c r="AG199" s="4">
        <f>IF($K199="","",Y199-AF199)</f>
      </c>
    </row>
    <row r="200" spans="1:38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IF($K200="","",(K200*6.9%)-(K200*6.9%)*10%)</f>
      </c>
      <c r="O200" s="4">
        <f>IF($K200="","",K200*0.35%)</f>
      </c>
      <c r="P200" s="4">
        <v>0.4</v>
      </c>
      <c r="Q200" s="4">
        <f>IF($K200="","",(N200+O200+P200)*20%)</f>
      </c>
      <c r="R200" s="4">
        <f>IF($K200="","",N200+O200+P200+Q200)</f>
      </c>
      <c r="S200" s="4"/>
      <c r="T200" s="4"/>
      <c r="U200" s="4"/>
      <c r="V200" s="4">
        <f>IF($K200="","",U200*20%)</f>
      </c>
      <c r="W200" s="4">
        <v>1</v>
      </c>
      <c r="X200" s="4">
        <f>IF($K200="","",Q200+T200+V200)</f>
      </c>
      <c r="Y200" s="4">
        <f>IF($K200="","",L200-M200-R200-S200-T200-U200-V200-W200)</f>
      </c>
      <c r="Z200" s="4">
        <f>IF($K200="","",(Y200-AF200)/J200*100)</f>
      </c>
      <c r="AA200" s="4">
        <f>IF($K200="","",M200-X200)</f>
      </c>
      <c r="AG200" s="4">
        <f>IF($K200="","",Y200-AF200)</f>
      </c>
    </row>
    <row r="201" spans="1:38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IF($K201="","",(K201*6.9%)-(K201*6.9%)*10%)</f>
      </c>
      <c r="O201" s="4">
        <f>IF($K201="","",K201*0.35%)</f>
      </c>
      <c r="P201" s="4">
        <v>0.4</v>
      </c>
      <c r="Q201" s="4">
        <f>IF($K201="","",(N201+O201+P201)*20%)</f>
      </c>
      <c r="R201" s="4">
        <f>IF($K201="","",N201+O201+P201+Q201)</f>
      </c>
      <c r="S201" s="4"/>
      <c r="T201" s="4"/>
      <c r="U201" s="4"/>
      <c r="V201" s="4">
        <f>IF($K201="","",U201*20%)</f>
      </c>
      <c r="W201" s="4">
        <v>1</v>
      </c>
      <c r="X201" s="4">
        <f>IF($K201="","",Q201+T201+V201)</f>
      </c>
      <c r="Y201" s="4">
        <f>IF($K201="","",L201-M201-R201-S201-T201-U201-V201-W201)</f>
      </c>
      <c r="Z201" s="4">
        <f>IF($K201="","",(Y201-AF201)/J201*100)</f>
      </c>
      <c r="AA201" s="4">
        <f>IF($K201="","",M201-X201)</f>
      </c>
      <c r="AG201" s="4">
        <f>IF($K201="","",Y201-AF201)</f>
      </c>
    </row>
    <row r="202" spans="1:38" x14ac:dyDescent="0.25">
      <c r="A202" s="8"/>
      <c r="D202" s="9"/>
      <c r="J202" s="4"/>
      <c r="K202" s="4"/>
      <c r="L202" s="4">
        <f>IF($K202="","",K202-J202)</f>
      </c>
      <c r="M202" s="4">
        <f>IF($K202="","",L202*16.67%)</f>
      </c>
      <c r="N202" s="4">
        <f>IF($K202="","",(K202*6.9%)-(K202*6.9%)*10%)</f>
      </c>
      <c r="O202" s="4">
        <f>IF($K202="","",K202*0.35%)</f>
      </c>
      <c r="P202" s="4">
        <v>0.4</v>
      </c>
      <c r="Q202" s="4">
        <f>IF($K202="","",(N202+O202+P202)*20%)</f>
      </c>
      <c r="R202" s="4">
        <f>IF($K202="","",N202+O202+P202+Q202)</f>
      </c>
      <c r="S202" s="4"/>
      <c r="T202" s="4"/>
      <c r="U202" s="4"/>
      <c r="V202" s="4">
        <f>IF($K202="","",U202*20%)</f>
      </c>
      <c r="W202" s="4">
        <v>1</v>
      </c>
      <c r="X202" s="4">
        <f>IF($K202="","",Q202+T202+V202)</f>
      </c>
      <c r="Y202" s="4">
        <f>IF($K202="","",L202-M202-R202-S202-T202-U202-V202-W202)</f>
      </c>
      <c r="Z202" s="4">
        <f>IF($K202="","",(Y202-AF202)/J202*100)</f>
      </c>
      <c r="AA202" s="4">
        <f>IF($K202="","",M202-X202)</f>
      </c>
      <c r="AG202" s="4">
        <f>IF($K202="","",Y202-AF202)</f>
      </c>
    </row>
    <row r="203" spans="1:38" x14ac:dyDescent="0.25">
      <c r="A203" s="8"/>
      <c r="D203" s="9"/>
      <c r="J203" s="4"/>
      <c r="K203" s="4"/>
      <c r="L203" s="4">
        <f>IF($K203="","",K203-J203)</f>
      </c>
      <c r="M203" s="4">
        <f>IF($K203="","",L203*16.67%)</f>
      </c>
      <c r="N203" s="4">
        <f>IF($K203="","",(K203*6.9%)-(K203*6.9%)*10%)</f>
      </c>
      <c r="O203" s="4">
        <f>IF($K203="","",K203*0.35%)</f>
      </c>
      <c r="P203" s="4">
        <v>0.4</v>
      </c>
      <c r="Q203" s="4">
        <f>IF($K203="","",(N203+O203+P203)*20%)</f>
      </c>
      <c r="R203" s="4">
        <f>IF($K203="","",N203+O203+P203+Q203)</f>
      </c>
      <c r="S203" s="4"/>
      <c r="T203" s="4"/>
      <c r="U203" s="4"/>
      <c r="V203" s="4">
        <f>IF($K203="","",U203*20%)</f>
      </c>
      <c r="W203" s="4">
        <v>1</v>
      </c>
      <c r="X203" s="4">
        <f>IF($K203="","",Q203+T203+V203)</f>
      </c>
      <c r="Y203" s="4">
        <f>IF($K203="","",L203-M203-R203-S203-T203-U203-V203-W203)</f>
      </c>
      <c r="Z203" s="4">
        <f>IF($K203="","",(Y203-AF203)/J203*100)</f>
      </c>
      <c r="AA203" s="4">
        <f>IF($K203="","",M203-X203)</f>
      </c>
      <c r="AG203" s="4">
        <f>IF($K203="","",Y203-AF203)</f>
      </c>
    </row>
    <row r="204" spans="1:38" x14ac:dyDescent="0.25">
      <c r="A204" s="8"/>
      <c r="D204" s="9"/>
      <c r="J204" s="4"/>
      <c r="K204" s="4"/>
      <c r="L204" s="4">
        <f>IF($K204="","",K204-J204)</f>
      </c>
      <c r="M204" s="4">
        <f>IF($K204="","",L204*16.67%)</f>
      </c>
      <c r="N204" s="4">
        <f>IF($K204="","",(K204*6.9%)-(K204*6.9%)*10%)</f>
      </c>
      <c r="O204" s="4">
        <f>IF($K204="","",K204*0.35%)</f>
      </c>
      <c r="P204" s="4">
        <v>0.4</v>
      </c>
      <c r="Q204" s="4">
        <f>IF($K204="","",(N204+O204+P204)*20%)</f>
      </c>
      <c r="R204" s="4">
        <f>IF($K204="","",N204+O204+P204+Q204)</f>
      </c>
      <c r="S204" s="4"/>
      <c r="T204" s="4"/>
      <c r="U204" s="4"/>
      <c r="V204" s="4">
        <f>IF($K204="","",U204*20%)</f>
      </c>
      <c r="W204" s="4">
        <v>1</v>
      </c>
      <c r="X204" s="4">
        <f>IF($K204="","",Q204+T204+V204)</f>
      </c>
      <c r="Y204" s="4">
        <f>IF($K204="","",L204-M204-R204-S204-T204-U204-V204-W204)</f>
      </c>
      <c r="Z204" s="4">
        <f>IF($K204="","",(Y204-AF204)/J204*100)</f>
      </c>
      <c r="AA204" s="4">
        <f>IF($K204="","",M204-X204)</f>
      </c>
      <c r="AG204" s="4">
        <f>IF($K204="","",Y204-AF204)</f>
      </c>
    </row>
    <row r="205" spans="1:38" x14ac:dyDescent="0.25">
      <c r="A205" s="8"/>
      <c r="D205" s="9"/>
      <c r="J205" s="4"/>
      <c r="K205" s="4"/>
      <c r="L205" s="4">
        <f>IF($K205="","",K205-J205)</f>
      </c>
      <c r="M205" s="4">
        <f>IF($K205="","",L205*16.67%)</f>
      </c>
      <c r="N205" s="4">
        <f>IF($K205="","",(K205*6.9%)-(K205*6.9%)*10%)</f>
      </c>
      <c r="O205" s="4">
        <f>IF($K205="","",K205*0.35%)</f>
      </c>
      <c r="P205" s="4">
        <v>0.4</v>
      </c>
      <c r="Q205" s="4">
        <f>IF($K205="","",(N205+O205+P205)*20%)</f>
      </c>
      <c r="R205" s="4">
        <f>IF($K205="","",N205+O205+P205+Q205)</f>
      </c>
      <c r="S205" s="4"/>
      <c r="T205" s="4"/>
      <c r="U205" s="4"/>
      <c r="V205" s="4">
        <f>IF($K205="","",U205*20%)</f>
      </c>
      <c r="W205" s="4">
        <v>1</v>
      </c>
      <c r="X205" s="4">
        <f>IF($K205="","",Q205+T205+V205)</f>
      </c>
      <c r="Y205" s="4">
        <f>IF($K205="","",L205-M205-R205-S205-T205-U205-V205-W205)</f>
      </c>
      <c r="Z205" s="4">
        <f>IF($K205="","",(Y205-AF205)/J205*100)</f>
      </c>
      <c r="AA205" s="4">
        <f>IF($K205="","",M205-X205)</f>
      </c>
      <c r="AG205" s="4">
        <f>IF($K205="","",Y205-AF205)</f>
      </c>
    </row>
    <row r="206" spans="1:38" x14ac:dyDescent="0.25">
      <c r="A206" s="8"/>
      <c r="D206" s="9"/>
      <c r="J206" s="4"/>
      <c r="K206" s="4"/>
      <c r="L206" s="4">
        <f>IF($K206="","",K206-J206)</f>
      </c>
      <c r="M206" s="4">
        <f>IF($K206="","",L206*16.67%)</f>
      </c>
      <c r="N206" s="4">
        <f>IF($K206="","",(K206*6.9%)-(K206*6.9%)*10%)</f>
      </c>
      <c r="O206" s="4">
        <f>IF($K206="","",K206*0.35%)</f>
      </c>
      <c r="P206" s="4">
        <v>0.4</v>
      </c>
      <c r="Q206" s="4">
        <f>IF($K206="","",(N206+O206+P206)*20%)</f>
      </c>
      <c r="R206" s="4">
        <f>IF($K206="","",N206+O206+P206+Q206)</f>
      </c>
      <c r="S206" s="4"/>
      <c r="T206" s="4"/>
      <c r="U206" s="4"/>
      <c r="V206" s="4">
        <f>IF($K206="","",U206*20%)</f>
      </c>
      <c r="W206" s="4">
        <v>1</v>
      </c>
      <c r="X206" s="4">
        <f>IF($K206="","",Q206+T206+V206)</f>
      </c>
      <c r="Y206" s="4">
        <f>IF($K206="","",L206-M206-R206-S206-T206-U206-V206-W206)</f>
      </c>
      <c r="Z206" s="4">
        <f>IF($K206="","",(Y206-AF206)/J206*100)</f>
      </c>
      <c r="AA206" s="4">
        <f>IF($K206="","",M206-X206)</f>
      </c>
      <c r="AG206" s="4">
        <f>IF($K206="","",Y206-AF206)</f>
      </c>
    </row>
    <row r="207" spans="1:38" x14ac:dyDescent="0.25">
      <c r="A207" s="8"/>
      <c r="D207" s="9"/>
      <c r="J207" s="4"/>
      <c r="K207" s="4"/>
      <c r="L207" s="4">
        <f>IF($K207="","",K207-J207)</f>
      </c>
      <c r="M207" s="4">
        <f>IF($K207="","",L207*16.67%)</f>
      </c>
      <c r="N207" s="4">
        <f>IF($K207="","",(K207*6.9%)-(K207*6.9%)*10%)</f>
      </c>
      <c r="O207" s="4">
        <f>IF($K207="","",K207*0.35%)</f>
      </c>
      <c r="P207" s="4">
        <v>0.4</v>
      </c>
      <c r="Q207" s="4">
        <f>IF($K207="","",(N207+O207+P207)*20%)</f>
      </c>
      <c r="R207" s="4">
        <f>IF($K207="","",N207+O207+P207+Q207)</f>
      </c>
      <c r="S207" s="4"/>
      <c r="T207" s="4"/>
      <c r="U207" s="4"/>
      <c r="V207" s="4">
        <f>IF($K207="","",U207*20%)</f>
      </c>
      <c r="W207" s="4">
        <v>1</v>
      </c>
      <c r="X207" s="4">
        <f>IF($K207="","",Q207+T207+V207)</f>
      </c>
      <c r="Y207" s="4">
        <f>IF($K207="","",L207-M207-R207-S207-T207-U207-V207-W207)</f>
      </c>
      <c r="Z207" s="4">
        <f>IF($K207="","",(Y207-AF207)/J207*100)</f>
      </c>
      <c r="AA207" s="4">
        <f>IF($K207="","",M207-X207)</f>
      </c>
      <c r="AG207" s="4">
        <f>IF($K207="","",Y207-AF207)</f>
      </c>
    </row>
    <row r="208" spans="1:38" x14ac:dyDescent="0.25">
      <c r="A208" s="8"/>
      <c r="D208" s="9"/>
      <c r="J208" s="4"/>
      <c r="K208" s="4"/>
      <c r="L208" s="4">
        <f>IF($K208="","",K208-J208)</f>
      </c>
      <c r="M208" s="4">
        <f>IF($K208="","",L208*16.67%)</f>
      </c>
      <c r="N208" s="4">
        <f>IF($K208="","",(K208*6.9%)-(K208*6.9%)*10%)</f>
      </c>
      <c r="O208" s="4">
        <f>IF($K208="","",K208*0.35%)</f>
      </c>
      <c r="P208" s="4">
        <v>0.4</v>
      </c>
      <c r="Q208" s="4">
        <f>IF($K208="","",(N208+O208+P208)*20%)</f>
      </c>
      <c r="R208" s="4">
        <f>IF($K208="","",N208+O208+P208+Q208)</f>
      </c>
      <c r="S208" s="4"/>
      <c r="T208" s="4"/>
      <c r="U208" s="4"/>
      <c r="V208" s="4">
        <f>IF($K208="","",U208*20%)</f>
      </c>
      <c r="W208" s="4">
        <v>1</v>
      </c>
      <c r="X208" s="4">
        <f>IF($K208="","",Q208+T208+V208)</f>
      </c>
      <c r="Y208" s="4">
        <f>IF($K208="","",L208-M208-R208-S208-T208-U208-V208-W208)</f>
      </c>
      <c r="Z208" s="4">
        <f>IF($K208="","",(Y208-AF208)/J208*100)</f>
      </c>
      <c r="AA208" s="4">
        <f>IF($K208="","",M208-X208)</f>
      </c>
      <c r="AG208" s="4">
        <f>IF($K208="","",Y208-AF208)</f>
      </c>
    </row>
    <row r="209" spans="1:38" x14ac:dyDescent="0.25">
      <c r="A209" s="8"/>
      <c r="D209" s="9"/>
      <c r="J209" s="4"/>
      <c r="K209" s="4"/>
      <c r="L209" s="4">
        <f>IF($K209="","",K209-J209)</f>
      </c>
      <c r="M209" s="4">
        <f>IF($K209="","",L209*16.67%)</f>
      </c>
      <c r="N209" s="4">
        <f>IF($K209="","",(K209*6.9%)-(K209*6.9%)*10%)</f>
      </c>
      <c r="O209" s="4">
        <f>IF($K209="","",K209*0.35%)</f>
      </c>
      <c r="P209" s="4">
        <v>0.4</v>
      </c>
      <c r="Q209" s="4">
        <f>IF($K209="","",(N209+O209+P209)*20%)</f>
      </c>
      <c r="R209" s="4">
        <f>IF($K209="","",N209+O209+P209+Q209)</f>
      </c>
      <c r="S209" s="4"/>
      <c r="T209" s="4"/>
      <c r="U209" s="4"/>
      <c r="V209" s="4">
        <f>IF($K209="","",U209*20%)</f>
      </c>
      <c r="W209" s="4">
        <v>1</v>
      </c>
      <c r="X209" s="4">
        <f>IF($K209="","",Q209+T209+V209)</f>
      </c>
      <c r="Y209" s="4">
        <f>IF($K209="","",L209-M209-R209-S209-T209-U209-V209-W209)</f>
      </c>
      <c r="Z209" s="4">
        <f>IF($K209="","",(Y209-AF209)/J209*100)</f>
      </c>
      <c r="AA209" s="4">
        <f>IF($K209="","",M209-X209)</f>
      </c>
      <c r="AG209" s="4">
        <f>IF($K209="","",Y209-AF209)</f>
      </c>
    </row>
    <row r="210" spans="1:38" x14ac:dyDescent="0.25">
      <c r="A210" s="8"/>
      <c r="D210" s="9"/>
      <c r="J210" s="4"/>
      <c r="K210" s="4"/>
      <c r="L210" s="4">
        <f>IF($K210="","",K210-J210)</f>
      </c>
      <c r="M210" s="4">
        <f>IF($K210="","",L210*16.67%)</f>
      </c>
      <c r="N210" s="4">
        <f>IF($K210="","",(K210*6.9%)-(K210*6.9%)*10%)</f>
      </c>
      <c r="O210" s="4">
        <f>IF($K210="","",K210*0.35%)</f>
      </c>
      <c r="P210" s="4">
        <v>0.4</v>
      </c>
      <c r="Q210" s="4">
        <f>IF($K210="","",(N210+O210+P210)*20%)</f>
      </c>
      <c r="R210" s="4">
        <f>IF($K210="","",N210+O210+P210+Q210)</f>
      </c>
      <c r="S210" s="4"/>
      <c r="T210" s="4"/>
      <c r="U210" s="4"/>
      <c r="V210" s="4">
        <f>IF($K210="","",U210*20%)</f>
      </c>
      <c r="W210" s="4">
        <v>1</v>
      </c>
      <c r="X210" s="4">
        <f>IF($K210="","",Q210+T210+V210)</f>
      </c>
      <c r="Y210" s="4">
        <f>IF($K210="","",L210-M210-R210-S210-T210-U210-V210-W210)</f>
      </c>
      <c r="Z210" s="4">
        <f>IF($K210="","",(Y210-AF210)/J210*100)</f>
      </c>
      <c r="AA210" s="4">
        <f>IF($K210="","",M210-X210)</f>
      </c>
      <c r="AG210" s="4">
        <f>IF($K210="","",Y210-AF210)</f>
      </c>
    </row>
    <row r="211" spans="1:38" x14ac:dyDescent="0.25">
      <c r="A211" s="8"/>
      <c r="D211" s="9"/>
      <c r="J211" s="4"/>
      <c r="K211" s="4"/>
      <c r="L211" s="4">
        <f>IF($K211="","",K211-J211)</f>
      </c>
      <c r="M211" s="4">
        <f>IF($K211="","",L211*16.67%)</f>
      </c>
      <c r="N211" s="4">
        <f>IF($K211="","",(K211*6.9%)-(K211*6.9%)*10%)</f>
      </c>
      <c r="O211" s="4">
        <f>IF($K211="","",K211*0.35%)</f>
      </c>
      <c r="P211" s="4">
        <v>0.4</v>
      </c>
      <c r="Q211" s="4">
        <f>IF($K211="","",(N211+O211+P211)*20%)</f>
      </c>
      <c r="R211" s="4">
        <f>IF($K211="","",N211+O211+P211+Q211)</f>
      </c>
      <c r="S211" s="4"/>
      <c r="T211" s="4"/>
      <c r="U211" s="4"/>
      <c r="V211" s="4">
        <f>IF($K211="","",U211*20%)</f>
      </c>
      <c r="W211" s="4">
        <v>1</v>
      </c>
      <c r="X211" s="4">
        <f>IF($K211="","",Q211+T211+V211)</f>
      </c>
      <c r="Y211" s="4">
        <f>IF($K211="","",L211-M211-R211-S211-T211-U211-V211-W211)</f>
      </c>
      <c r="Z211" s="4">
        <f>IF($K211="","",(Y211-AF211)/J211*100)</f>
      </c>
      <c r="AA211" s="4">
        <f>IF($K211="","",M211-X211)</f>
      </c>
      <c r="AG211" s="4">
        <f>IF($K211="","",Y211-AF211)</f>
      </c>
    </row>
    <row r="212" spans="1:38" x14ac:dyDescent="0.25">
      <c r="A212" s="8"/>
      <c r="D212" s="9"/>
      <c r="J212" s="4"/>
      <c r="K212" s="4"/>
      <c r="L212" s="4">
        <f>IF($K212="","",K212-J212)</f>
      </c>
      <c r="M212" s="4">
        <f>IF($K212="","",L212*16.67%)</f>
      </c>
      <c r="N212" s="4">
        <f>IF($K212="","",(K212*6.9%)-(K212*6.9%)*10%)</f>
      </c>
      <c r="O212" s="4">
        <f>IF($K212="","",K212*0.35%)</f>
      </c>
      <c r="P212" s="4">
        <v>0.4</v>
      </c>
      <c r="Q212" s="4">
        <f>IF($K212="","",(N212+O212+P212)*20%)</f>
      </c>
      <c r="R212" s="4">
        <f>IF($K212="","",N212+O212+P212+Q212)</f>
      </c>
      <c r="S212" s="4"/>
      <c r="T212" s="4"/>
      <c r="U212" s="4"/>
      <c r="V212" s="4">
        <f>IF($K212="","",U212*20%)</f>
      </c>
      <c r="W212" s="4">
        <v>1</v>
      </c>
      <c r="X212" s="4">
        <f>IF($K212="","",Q212+T212+V212)</f>
      </c>
      <c r="Y212" s="4">
        <f>IF($K212="","",L212-M212-R212-S212-T212-U212-V212-W212)</f>
      </c>
      <c r="Z212" s="4">
        <f>IF($K212="","",(Y212-AF212)/J212*100)</f>
      </c>
      <c r="AA212" s="4">
        <f>IF($K212="","",M212-X212)</f>
      </c>
      <c r="AG212" s="4">
        <f>IF($K212="","",Y212-AF212)</f>
      </c>
    </row>
    <row r="213" spans="1:38" x14ac:dyDescent="0.25">
      <c r="A213" s="8"/>
      <c r="D213" s="9"/>
      <c r="J213" s="4"/>
      <c r="K213" s="4"/>
      <c r="L213" s="4">
        <f>IF($K213="","",K213-J213)</f>
      </c>
      <c r="M213" s="4">
        <f>IF($K213="","",L213*16.67%)</f>
      </c>
      <c r="N213" s="4">
        <f>IF($K213="","",(K213*6.9%)-(K213*6.9%)*10%)</f>
      </c>
      <c r="O213" s="4">
        <f>IF($K213="","",K213*0.35%)</f>
      </c>
      <c r="P213" s="4">
        <v>0.4</v>
      </c>
      <c r="Q213" s="4">
        <f>IF($K213="","",(N213+O213+P213)*20%)</f>
      </c>
      <c r="R213" s="4">
        <f>IF($K213="","",N213+O213+P213+Q213)</f>
      </c>
      <c r="S213" s="4"/>
      <c r="T213" s="4"/>
      <c r="U213" s="4"/>
      <c r="V213" s="4">
        <f>IF($K213="","",U213*20%)</f>
      </c>
      <c r="W213" s="4">
        <v>1</v>
      </c>
      <c r="X213" s="4">
        <f>IF($K213="","",Q213+T213+V213)</f>
      </c>
      <c r="Y213" s="4">
        <f>IF($K213="","",L213-M213-R213-S213-T213-U213-V213-W213)</f>
      </c>
      <c r="Z213" s="4">
        <f>IF($K213="","",(Y213-AF213)/J213*100)</f>
      </c>
      <c r="AA213" s="4">
        <f>IF($K213="","",M213-X213)</f>
      </c>
      <c r="AG213" s="4">
        <f>IF($K213="","",Y213-AF213)</f>
      </c>
    </row>
    <row r="214" spans="1:38" x14ac:dyDescent="0.25">
      <c r="A214" s="8"/>
      <c r="D214" s="9"/>
      <c r="J214" s="4"/>
      <c r="K214" s="4"/>
      <c r="L214" s="4">
        <f>IF($K214="","",K214-J214)</f>
      </c>
      <c r="M214" s="4">
        <f>IF($K214="","",L214*16.67%)</f>
      </c>
      <c r="N214" s="4">
        <f>IF($K214="","",(K214*6.9%)-(K214*6.9%)*10%)</f>
      </c>
      <c r="O214" s="4">
        <f>IF($K214="","",K214*0.35%)</f>
      </c>
      <c r="P214" s="4">
        <v>0.4</v>
      </c>
      <c r="Q214" s="4">
        <f>IF($K214="","",(N214+O214+P214)*20%)</f>
      </c>
      <c r="R214" s="4">
        <f>IF($K214="","",N214+O214+P214+Q214)</f>
      </c>
      <c r="S214" s="4"/>
      <c r="T214" s="4"/>
      <c r="U214" s="4"/>
      <c r="V214" s="4">
        <f>IF($K214="","",U214*20%)</f>
      </c>
      <c r="W214" s="4">
        <v>1</v>
      </c>
      <c r="X214" s="4">
        <f>IF($K214="","",Q214+T214+V214)</f>
      </c>
      <c r="Y214" s="4">
        <f>IF($K214="","",L214-M214-R214-S214-T214-U214-V214-W214)</f>
      </c>
      <c r="Z214" s="4">
        <f>IF($K214="","",(Y214-AF214)/J214*100)</f>
      </c>
      <c r="AA214" s="4">
        <f>IF($K214="","",M214-X214)</f>
      </c>
      <c r="AG214" s="4">
        <f>IF($K214="","",Y214-AF214)</f>
      </c>
    </row>
    <row r="215" spans="1:38" x14ac:dyDescent="0.25">
      <c r="A215" s="8"/>
      <c r="D215" s="9"/>
      <c r="J215" s="4"/>
      <c r="K215" s="4"/>
      <c r="L215" s="4">
        <f>IF($K215="","",K215-J215)</f>
      </c>
      <c r="M215" s="4">
        <f>IF($K215="","",L215*16.67%)</f>
      </c>
      <c r="N215" s="4">
        <f>IF($K215="","",(K215*6.9%)-(K215*6.9%)*10%)</f>
      </c>
      <c r="O215" s="4">
        <f>IF($K215="","",K215*0.35%)</f>
      </c>
      <c r="P215" s="4">
        <v>0.4</v>
      </c>
      <c r="Q215" s="4">
        <f>IF($K215="","",(N215+O215+P215)*20%)</f>
      </c>
      <c r="R215" s="4">
        <f>IF($K215="","",N215+O215+P215+Q215)</f>
      </c>
      <c r="S215" s="4"/>
      <c r="T215" s="4"/>
      <c r="U215" s="4"/>
      <c r="V215" s="4">
        <f>IF($K215="","",U215*20%)</f>
      </c>
      <c r="W215" s="4">
        <v>1</v>
      </c>
      <c r="X215" s="4">
        <f>IF($K215="","",Q215+T215+V215)</f>
      </c>
      <c r="Y215" s="4">
        <f>IF($K215="","",L215-M215-R215-S215-T215-U215-V215-W215)</f>
      </c>
      <c r="Z215" s="4">
        <f>IF($K215="","",(Y215-AF215)/J215*100)</f>
      </c>
      <c r="AA215" s="4">
        <f>IF($K215="","",M215-X215)</f>
      </c>
      <c r="AG215" s="4">
        <f>IF($K215="","",Y215-AF215)</f>
      </c>
    </row>
    <row r="216" spans="1:38" x14ac:dyDescent="0.25">
      <c r="A216" s="8"/>
      <c r="D216" s="9"/>
      <c r="J216" s="4"/>
      <c r="K216" s="4"/>
      <c r="L216" s="4">
        <f>IF($K216="","",K216-J216)</f>
      </c>
      <c r="M216" s="4">
        <f>IF($K216="","",L216*16.67%)</f>
      </c>
      <c r="N216" s="4">
        <f>IF($K216="","",(K216*6.9%)-(K216*6.9%)*10%)</f>
      </c>
      <c r="O216" s="4">
        <f>IF($K216="","",K216*0.35%)</f>
      </c>
      <c r="P216" s="4">
        <v>0.4</v>
      </c>
      <c r="Q216" s="4">
        <f>IF($K216="","",(N216+O216+P216)*20%)</f>
      </c>
      <c r="R216" s="4">
        <f>IF($K216="","",N216+O216+P216+Q216)</f>
      </c>
      <c r="S216" s="4"/>
      <c r="T216" s="4"/>
      <c r="U216" s="4"/>
      <c r="V216" s="4">
        <f>IF($K216="","",U216*20%)</f>
      </c>
      <c r="W216" s="4">
        <v>1</v>
      </c>
      <c r="X216" s="4">
        <f>IF($K216="","",Q216+T216+V216)</f>
      </c>
      <c r="Y216" s="4">
        <f>IF($K216="","",L216-M216-R216-S216-T216-U216-V216-W216)</f>
      </c>
      <c r="Z216" s="4">
        <f>IF($K216="","",(Y216-AF216)/J216*100)</f>
      </c>
      <c r="AA216" s="4">
        <f>IF($K216="","",M216-X216)</f>
      </c>
      <c r="AG216" s="4">
        <f>IF($K216="","",Y216-AF216)</f>
      </c>
    </row>
    <row r="217" spans="1:38" x14ac:dyDescent="0.25">
      <c r="A217" s="8"/>
      <c r="D217" s="9"/>
      <c r="J217" s="4"/>
      <c r="K217" s="4"/>
      <c r="L217" s="4">
        <f>IF($K217="","",K217-J217)</f>
      </c>
      <c r="M217" s="4">
        <f>IF($K217="","",L217*16.67%)</f>
      </c>
      <c r="N217" s="4">
        <f>IF($K217="","",(K217*6.9%)-(K217*6.9%)*10%)</f>
      </c>
      <c r="O217" s="4">
        <f>IF($K217="","",K217*0.35%)</f>
      </c>
      <c r="P217" s="4">
        <v>0.4</v>
      </c>
      <c r="Q217" s="4">
        <f>IF($K217="","",(N217+O217+P217)*20%)</f>
      </c>
      <c r="R217" s="4">
        <f>IF($K217="","",N217+O217+P217+Q217)</f>
      </c>
      <c r="S217" s="4"/>
      <c r="T217" s="4"/>
      <c r="U217" s="4"/>
      <c r="V217" s="4">
        <f>IF($K217="","",U217*20%)</f>
      </c>
      <c r="W217" s="4">
        <v>1</v>
      </c>
      <c r="X217" s="4">
        <f>IF($K217="","",Q217+T217+V217)</f>
      </c>
      <c r="Y217" s="4">
        <f>IF($K217="","",L217-M217-R217-S217-T217-U217-V217-W217)</f>
      </c>
      <c r="Z217" s="4">
        <f>IF($K217="","",(Y217-AF217)/J217*100)</f>
      </c>
      <c r="AA217" s="4">
        <f>IF($K217="","",M217-X217)</f>
      </c>
      <c r="AG217" s="4">
        <f>IF($K217="","",Y217-AF217)</f>
      </c>
    </row>
    <row r="218" spans="1:38" x14ac:dyDescent="0.25">
      <c r="A218" s="8"/>
      <c r="D218" s="9"/>
      <c r="J218" s="4"/>
      <c r="K218" s="4"/>
      <c r="L218" s="4">
        <f>IF($K218="","",K218-J218)</f>
      </c>
      <c r="M218" s="4">
        <f>IF($K218="","",L218*16.67%)</f>
      </c>
      <c r="N218" s="4">
        <f>IF($K218="","",(K218*6.9%)-(K218*6.9%)*10%)</f>
      </c>
      <c r="O218" s="4">
        <f>IF($K218="","",K218*0.35%)</f>
      </c>
      <c r="P218" s="4">
        <v>0.4</v>
      </c>
      <c r="Q218" s="4">
        <f>IF($K218="","",(N218+O218+P218)*20%)</f>
      </c>
      <c r="R218" s="4">
        <f>IF($K218="","",N218+O218+P218+Q218)</f>
      </c>
      <c r="S218" s="4"/>
      <c r="T218" s="4"/>
      <c r="U218" s="4"/>
      <c r="V218" s="4">
        <f>IF($K218="","",U218*20%)</f>
      </c>
      <c r="W218" s="4">
        <v>1</v>
      </c>
      <c r="X218" s="4">
        <f>IF($K218="","",Q218+T218+V218)</f>
      </c>
      <c r="Y218" s="4">
        <f>IF($K218="","",L218-M218-R218-S218-T218-U218-V218-W218)</f>
      </c>
      <c r="Z218" s="4">
        <f>IF($K218="","",(Y218-AF218)/J218*100)</f>
      </c>
      <c r="AA218" s="4">
        <f>IF($K218="","",M218-X218)</f>
      </c>
      <c r="AG218" s="4">
        <f>IF($K218="","",Y218-AF218)</f>
      </c>
    </row>
    <row r="219" spans="1:38" x14ac:dyDescent="0.25">
      <c r="A219" s="8"/>
      <c r="D219" s="9"/>
      <c r="J219" s="4"/>
      <c r="K219" s="4"/>
      <c r="L219" s="4">
        <f>IF($K219="","",K219-J219)</f>
      </c>
      <c r="M219" s="4">
        <f>IF($K219="","",L219*16.67%)</f>
      </c>
      <c r="N219" s="4">
        <f>IF($K219="","",(K219*6.9%)-(K219*6.9%)*10%)</f>
      </c>
      <c r="O219" s="4">
        <f>IF($K219="","",K219*0.35%)</f>
      </c>
      <c r="P219" s="4">
        <v>0.4</v>
      </c>
      <c r="Q219" s="4">
        <f>IF($K219="","",(N219+O219+P219)*20%)</f>
      </c>
      <c r="R219" s="4">
        <f>IF($K219="","",N219+O219+P219+Q219)</f>
      </c>
      <c r="S219" s="4"/>
      <c r="T219" s="4"/>
      <c r="U219" s="4"/>
      <c r="V219" s="4">
        <f>IF($K219="","",U219*20%)</f>
      </c>
      <c r="W219" s="4">
        <v>1</v>
      </c>
      <c r="X219" s="4">
        <f>IF($K219="","",Q219+T219+V219)</f>
      </c>
      <c r="Y219" s="4">
        <f>IF($K219="","",L219-M219-R219-S219-T219-U219-V219-W219)</f>
      </c>
      <c r="Z219" s="4">
        <f>IF($K219="","",(Y219-AF219)/J219*100)</f>
      </c>
      <c r="AA219" s="4">
        <f>IF($K219="","",M219-X219)</f>
      </c>
      <c r="AG219" s="4">
        <f>IF($K219="","",Y219-AF219)</f>
      </c>
    </row>
    <row r="220" spans="1:38" x14ac:dyDescent="0.25">
      <c r="A220" s="8"/>
      <c r="D220" s="9"/>
      <c r="J220" s="4"/>
      <c r="K220" s="4"/>
      <c r="L220" s="4">
        <f>IF($K220="","",K220-J220)</f>
      </c>
      <c r="M220" s="4">
        <f>IF($K220="","",L220*16.67%)</f>
      </c>
      <c r="N220" s="4">
        <f>IF($K220="","",(K220*6.9%)-(K220*6.9%)*10%)</f>
      </c>
      <c r="O220" s="4">
        <f>IF($K220="","",K220*0.35%)</f>
      </c>
      <c r="P220" s="4">
        <v>0.4</v>
      </c>
      <c r="Q220" s="4">
        <f>IF($K220="","",(N220+O220+P220)*20%)</f>
      </c>
      <c r="R220" s="4">
        <f>IF($K220="","",N220+O220+P220+Q220)</f>
      </c>
      <c r="S220" s="4"/>
      <c r="T220" s="4"/>
      <c r="U220" s="4"/>
      <c r="V220" s="4">
        <f>IF($K220="","",U220*20%)</f>
      </c>
      <c r="W220" s="4">
        <v>1</v>
      </c>
      <c r="X220" s="4">
        <f>IF($K220="","",Q220+T220+V220)</f>
      </c>
      <c r="Y220" s="4">
        <f>IF($K220="","",L220-M220-R220-S220-T220-U220-V220-W220)</f>
      </c>
      <c r="Z220" s="4">
        <f>IF($K220="","",(Y220-AF220)/J220*100)</f>
      </c>
      <c r="AA220" s="4">
        <f>IF($K220="","",M220-X220)</f>
      </c>
      <c r="AG220" s="4">
        <f>IF($K220="","",Y220-AF220)</f>
      </c>
    </row>
    <row r="221" spans="1:38" x14ac:dyDescent="0.25">
      <c r="A221" s="8"/>
      <c r="D221" s="9"/>
      <c r="J221" s="4"/>
      <c r="K221" s="4"/>
      <c r="L221" s="4">
        <f>IF($K221="","",K221-J221)</f>
      </c>
      <c r="M221" s="4">
        <f>IF($K221="","",L221*16.67%)</f>
      </c>
      <c r="N221" s="4">
        <f>IF($K221="","",(K221*6.9%)-(K221*6.9%)*10%)</f>
      </c>
      <c r="O221" s="4">
        <f>IF($K221="","",K221*0.35%)</f>
      </c>
      <c r="P221" s="4">
        <v>0.4</v>
      </c>
      <c r="Q221" s="4">
        <f>IF($K221="","",(N221+O221+P221)*20%)</f>
      </c>
      <c r="R221" s="4">
        <f>IF($K221="","",N221+O221+P221+Q221)</f>
      </c>
      <c r="S221" s="4"/>
      <c r="T221" s="4"/>
      <c r="U221" s="4"/>
      <c r="V221" s="4">
        <f>IF($K221="","",U221*20%)</f>
      </c>
      <c r="W221" s="4">
        <v>1</v>
      </c>
      <c r="X221" s="4">
        <f>IF($K221="","",Q221+T221+V221)</f>
      </c>
      <c r="Y221" s="4">
        <f>IF($K221="","",L221-M221-R221-S221-T221-U221-V221-W221)</f>
      </c>
      <c r="Z221" s="4">
        <f>IF($K221="","",(Y221-AF221)/J221*100)</f>
      </c>
      <c r="AA221" s="4">
        <f>IF($K221="","",M221-X221)</f>
      </c>
      <c r="AG221" s="4">
        <f>IF($K221="","",Y221-AF221)</f>
      </c>
    </row>
    <row r="222" spans="1:38" s="7" customFormat="1" x14ac:dyDescent="0.25">
      <c r="A222" s="3" t="s">
        <v>18</v>
      </c>
      <c r="B222" s="7"/>
      <c r="C222" s="7"/>
      <c r="D222" s="7"/>
      <c r="E222" s="7"/>
      <c r="F222" s="7"/>
      <c r="G222" s="7"/>
      <c r="H222" s="7"/>
      <c r="I222" s="10">
        <f>SUM(I2:I221)</f>
      </c>
      <c r="J222" s="10">
        <f>SUM(J2:J221)</f>
      </c>
      <c r="K222" s="10">
        <f>SUM(K2:K221)</f>
      </c>
      <c r="L222" s="10">
        <f>SUM(L2:L221)</f>
      </c>
      <c r="M222" s="10">
        <f>SUM(M2:M221)</f>
      </c>
      <c r="N222" s="10">
        <f>SUM(N2:N221)</f>
      </c>
      <c r="O222" s="10">
        <f>SUM(O2:O221)</f>
      </c>
      <c r="P222" s="10">
        <f>SUM(P2:P221)</f>
      </c>
      <c r="Q222" s="10">
        <f>SUM(Q2:Q221)</f>
      </c>
      <c r="R222" s="10">
        <f>SUM(R2:R221)</f>
      </c>
      <c r="S222" s="10">
        <f>SUM(S2:S221)</f>
      </c>
      <c r="T222" s="10">
        <f>SUM(T2:T221)</f>
      </c>
      <c r="U222" s="10">
        <f>SUM(U2:U221)</f>
      </c>
      <c r="V222" s="10">
        <f>SUM(V2:V221)</f>
      </c>
      <c r="W222" s="10">
        <f>SUM(W2:W221)</f>
      </c>
      <c r="X222" s="10">
        <f>SUM(X2:X221)</f>
      </c>
      <c r="Y222" s="10">
        <f>SUM(Y2:Y221)</f>
      </c>
      <c r="Z222" s="10">
        <f>IFERROR((Y222-AF222)/K222*100,0)</f>
      </c>
      <c r="AA222" s="10">
        <f>SUM(AA2:AA221)</f>
      </c>
      <c r="AB222" s="10">
        <f>SUM(AB2:AB221)</f>
      </c>
      <c r="AC222" s="10">
        <f>SUM(AC2:AC221)</f>
      </c>
      <c r="AD222" s="10">
        <f>SUM(AD2:AD221)</f>
      </c>
      <c r="AE222" s="10">
        <f>SUM(AE2:AE221)</f>
      </c>
      <c r="AF222" s="10">
        <f>SUM(AF2:AF221)</f>
      </c>
      <c r="AG222" s="10">
        <f>SUM(AG2:AG221)</f>
      </c>
      <c r="AH222" s="7"/>
      <c r="AI222" s="7"/>
      <c r="AJ222" s="7"/>
      <c r="AK222" s="7"/>
      <c r="AL22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2"/>
  <sheetFormatPr defaultRowHeight="15" outlineLevelRow="0" outlineLevelCol="0" x14ac:dyDescent="55"/>
  <sheetData>
    <row r="1" spans="1:32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246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11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 spans="1:32" x14ac:dyDescent="0.25">
      <c r="A2" s="8">
        <v>46227.5</v>
      </c>
      <c r="B2" t="s">
        <v>247</v>
      </c>
      <c r="C2" t="s">
        <v>100</v>
      </c>
      <c r="D2" s="9" t="s">
        <v>248</v>
      </c>
      <c r="E2" t="s">
        <v>100</v>
      </c>
      <c r="F2" t="s">
        <v>102</v>
      </c>
      <c r="G2" t="s">
        <v>72</v>
      </c>
      <c r="H2" t="s">
        <v>79</v>
      </c>
      <c r="I2" s="4">
        <v>276.86</v>
      </c>
      <c r="J2" s="4">
        <v>347.16</v>
      </c>
      <c r="K2" s="4">
        <f>J2-I2</f>
      </c>
      <c r="L2" s="4">
        <f>K2*16.67%</f>
      </c>
      <c r="M2" s="4">
        <f>J2*7%</f>
      </c>
      <c r="N2" s="4">
        <f>M2*20%</f>
      </c>
      <c r="O2" s="4">
        <v>0</v>
      </c>
      <c r="P2" s="4">
        <f>O2*20%</f>
      </c>
      <c r="Q2" s="4">
        <v>1</v>
      </c>
      <c r="R2" s="4">
        <f>N2+P2</f>
      </c>
      <c r="S2" s="4">
        <f>K2-L2-M2-N2-O2-P2-Q2</f>
      </c>
      <c r="T2" s="4">
        <f>(S2-Z2)/I2*100</f>
      </c>
      <c r="U2" s="4">
        <f>L2-R2</f>
      </c>
      <c r="AA2" s="4">
        <f>S2-Z2</f>
      </c>
      <c r="AF2" t="s">
        <v>1</v>
      </c>
    </row>
    <row r="3" spans="1:32" x14ac:dyDescent="0.25">
      <c r="A3" s="8">
        <v>46225.5</v>
      </c>
      <c r="B3" t="s">
        <v>249</v>
      </c>
      <c r="C3" t="s">
        <v>81</v>
      </c>
      <c r="D3" s="9" t="s">
        <v>250</v>
      </c>
      <c r="E3" t="s">
        <v>81</v>
      </c>
      <c r="F3" t="s">
        <v>66</v>
      </c>
      <c r="G3" t="s">
        <v>72</v>
      </c>
      <c r="H3" t="s">
        <v>68</v>
      </c>
      <c r="I3" s="4">
        <v>242</v>
      </c>
      <c r="J3" s="4">
        <v>353.11</v>
      </c>
      <c r="K3" s="4">
        <f>J3-I3</f>
      </c>
      <c r="L3" s="4">
        <f>K3*16.67%</f>
      </c>
      <c r="M3" s="4">
        <f>J3*7%</f>
      </c>
      <c r="N3" s="4">
        <f>M3*20%</f>
      </c>
      <c r="O3" s="4">
        <v>0</v>
      </c>
      <c r="P3" s="4">
        <f>O3*20%</f>
      </c>
      <c r="Q3" s="4">
        <v>1</v>
      </c>
      <c r="R3" s="4">
        <f>N3+P3</f>
      </c>
      <c r="S3" s="4">
        <f>K3-L3-M3-N3-O3-P3-Q3</f>
      </c>
      <c r="T3" s="4">
        <f>(S3-Z3)/I3*100</f>
      </c>
      <c r="U3" s="4">
        <f>L3-R3</f>
      </c>
      <c r="AA3" s="4">
        <f>S3-Z3</f>
      </c>
      <c r="AF3" t="s">
        <v>1</v>
      </c>
    </row>
    <row r="4" spans="1:32" x14ac:dyDescent="0.25">
      <c r="A4" s="8">
        <v>46224.5</v>
      </c>
      <c r="B4" t="s">
        <v>251</v>
      </c>
      <c r="C4" t="s">
        <v>238</v>
      </c>
      <c r="D4" s="9" t="s">
        <v>252</v>
      </c>
      <c r="E4" t="s">
        <v>65</v>
      </c>
      <c r="F4" t="s">
        <v>83</v>
      </c>
      <c r="G4" t="s">
        <v>78</v>
      </c>
      <c r="H4" t="s">
        <v>73</v>
      </c>
      <c r="I4" s="4">
        <v>482.51</v>
      </c>
      <c r="J4" s="4">
        <v>628.06</v>
      </c>
      <c r="K4" s="4">
        <f>J4-I4</f>
      </c>
      <c r="L4" s="4">
        <f>K4*16.67%</f>
      </c>
      <c r="M4" s="4">
        <f>J4*7%</f>
      </c>
      <c r="N4" s="4">
        <f>M4*20%</f>
      </c>
      <c r="O4" s="4">
        <v>0</v>
      </c>
      <c r="P4" s="4">
        <f>O4*20%</f>
      </c>
      <c r="Q4" s="4">
        <v>1</v>
      </c>
      <c r="R4" s="4">
        <f>N4+P4</f>
      </c>
      <c r="S4" s="4">
        <f>K4-L4-M4-N4-O4-P4-Q4</f>
      </c>
      <c r="T4" s="4">
        <f>(S4-Z4)/I4*100</f>
      </c>
      <c r="U4" s="4">
        <f>L4-R4</f>
      </c>
      <c r="AA4" s="4">
        <f>S4-Z4</f>
      </c>
      <c r="AF4" t="s">
        <v>1</v>
      </c>
    </row>
    <row r="5" spans="1:32" x14ac:dyDescent="0.25">
      <c r="A5" s="8">
        <v>46223.5</v>
      </c>
      <c r="B5" t="s">
        <v>253</v>
      </c>
      <c r="C5" t="s">
        <v>183</v>
      </c>
      <c r="D5" s="9" t="s">
        <v>254</v>
      </c>
      <c r="E5" t="s">
        <v>65</v>
      </c>
      <c r="F5" t="s">
        <v>133</v>
      </c>
      <c r="G5" t="s">
        <v>78</v>
      </c>
      <c r="H5" t="s">
        <v>68</v>
      </c>
      <c r="I5" s="4">
        <v>500.85</v>
      </c>
      <c r="J5" s="4">
        <v>631.84</v>
      </c>
      <c r="K5" s="4">
        <f>J5-I5</f>
      </c>
      <c r="L5" s="4">
        <f>K5*16.67%</f>
      </c>
      <c r="M5" s="4">
        <f>J5*7%</f>
      </c>
      <c r="N5" s="4">
        <f>M5*20%</f>
      </c>
      <c r="O5" s="4">
        <v>0</v>
      </c>
      <c r="P5" s="4">
        <f>O5*20%</f>
      </c>
      <c r="Q5" s="4">
        <v>1</v>
      </c>
      <c r="R5" s="4">
        <f>N5+P5</f>
      </c>
      <c r="S5" s="4">
        <f>K5-L5-M5-N5-O5-P5-Q5</f>
      </c>
      <c r="T5" s="4">
        <f>(S5-Z5)/I5*100</f>
      </c>
      <c r="U5" s="4">
        <f>L5-R5</f>
      </c>
      <c r="AA5" s="4">
        <f>S5-Z5</f>
      </c>
      <c r="AF5" t="s">
        <v>1</v>
      </c>
    </row>
    <row r="6" spans="1:32" x14ac:dyDescent="0.25">
      <c r="A6" s="8">
        <v>46222.5</v>
      </c>
      <c r="B6" t="s">
        <v>255</v>
      </c>
      <c r="C6" t="s">
        <v>127</v>
      </c>
      <c r="D6" s="9" t="s">
        <v>256</v>
      </c>
      <c r="E6" t="s">
        <v>65</v>
      </c>
      <c r="F6" t="s">
        <v>129</v>
      </c>
      <c r="G6" t="s">
        <v>72</v>
      </c>
      <c r="H6" t="s">
        <v>79</v>
      </c>
      <c r="I6" s="4">
        <v>316.37</v>
      </c>
      <c r="J6" s="4">
        <v>409.99</v>
      </c>
      <c r="K6" s="4">
        <f>J6-I6</f>
      </c>
      <c r="L6" s="4">
        <f>K6*16.67%</f>
      </c>
      <c r="M6" s="4">
        <f>J6*7%</f>
      </c>
      <c r="N6" s="4">
        <f>M6*20%</f>
      </c>
      <c r="O6" s="4">
        <v>0</v>
      </c>
      <c r="P6" s="4">
        <f>O6*20%</f>
      </c>
      <c r="Q6" s="4">
        <v>1</v>
      </c>
      <c r="R6" s="4">
        <f>N6+P6</f>
      </c>
      <c r="S6" s="4">
        <f>K6-L6-M6-N6-O6-P6-Q6</f>
      </c>
      <c r="T6" s="4">
        <f>(S6-Z6)/I6*100</f>
      </c>
      <c r="U6" s="4">
        <f>L6-R6</f>
      </c>
      <c r="AA6" s="4">
        <f>S6-Z6</f>
      </c>
      <c r="AF6" t="s">
        <v>1</v>
      </c>
    </row>
    <row r="7" spans="1:32" x14ac:dyDescent="0.25">
      <c r="A7" s="8">
        <v>46220.5</v>
      </c>
      <c r="B7" t="s">
        <v>257</v>
      </c>
      <c r="C7" t="s">
        <v>258</v>
      </c>
      <c r="D7" s="9" t="s">
        <v>259</v>
      </c>
      <c r="E7" t="s">
        <v>65</v>
      </c>
      <c r="F7" t="s">
        <v>133</v>
      </c>
      <c r="G7" t="s">
        <v>67</v>
      </c>
      <c r="H7" t="s">
        <v>68</v>
      </c>
      <c r="I7" s="4">
        <v>186.57</v>
      </c>
      <c r="J7" s="4">
        <v>264.87</v>
      </c>
      <c r="K7" s="4">
        <f>J7-I7</f>
      </c>
      <c r="L7" s="4">
        <f>K7*16.67%</f>
      </c>
      <c r="M7" s="4">
        <f>J7*7%</f>
      </c>
      <c r="N7" s="4">
        <f>M7*20%</f>
      </c>
      <c r="O7" s="4">
        <v>0</v>
      </c>
      <c r="P7" s="4">
        <f>O7*20%</f>
      </c>
      <c r="Q7" s="4">
        <v>1</v>
      </c>
      <c r="R7" s="4">
        <f>N7+P7</f>
      </c>
      <c r="S7" s="4">
        <f>K7-L7-M7-N7-O7-P7-Q7</f>
      </c>
      <c r="T7" s="4">
        <f>(S7-Z7)/I7*100</f>
      </c>
      <c r="U7" s="4">
        <f>L7-R7</f>
      </c>
      <c r="AA7" s="4">
        <f>S7-Z7</f>
      </c>
      <c r="AF7" t="s">
        <v>1</v>
      </c>
    </row>
    <row r="8" spans="1:32" x14ac:dyDescent="0.25">
      <c r="A8" s="8">
        <v>46219.5</v>
      </c>
      <c r="B8" t="s">
        <v>260</v>
      </c>
      <c r="C8" t="s">
        <v>70</v>
      </c>
      <c r="D8" s="9" t="s">
        <v>261</v>
      </c>
      <c r="E8" t="s">
        <v>70</v>
      </c>
      <c r="F8" t="s">
        <v>129</v>
      </c>
      <c r="G8" t="s">
        <v>72</v>
      </c>
      <c r="H8" t="s">
        <v>79</v>
      </c>
      <c r="I8" s="4">
        <v>287.02</v>
      </c>
      <c r="J8" s="4">
        <v>379.48</v>
      </c>
      <c r="K8" s="4">
        <f>J8-I8</f>
      </c>
      <c r="L8" s="4">
        <f>K8*16.67%</f>
      </c>
      <c r="M8" s="4">
        <f>J8*7%</f>
      </c>
      <c r="N8" s="4">
        <f>M8*20%</f>
      </c>
      <c r="O8" s="4">
        <v>0</v>
      </c>
      <c r="P8" s="4">
        <f>O8*20%</f>
      </c>
      <c r="Q8" s="4">
        <v>1</v>
      </c>
      <c r="R8" s="4">
        <f>N8+P8</f>
      </c>
      <c r="S8" s="4">
        <f>K8-L8-M8-N8-O8-P8-Q8</f>
      </c>
      <c r="T8" s="4">
        <f>(S8-Z8)/I8*100</f>
      </c>
      <c r="U8" s="4">
        <f>L8-R8</f>
      </c>
      <c r="AA8" s="4">
        <f>S8-Z8</f>
      </c>
      <c r="AF8" t="s">
        <v>1</v>
      </c>
    </row>
    <row r="9" spans="1:32" x14ac:dyDescent="0.25">
      <c r="A9" s="8">
        <v>46218.5</v>
      </c>
      <c r="B9" t="s">
        <v>262</v>
      </c>
      <c r="C9" t="s">
        <v>203</v>
      </c>
      <c r="D9" s="9" t="s">
        <v>263</v>
      </c>
      <c r="E9" t="s">
        <v>203</v>
      </c>
      <c r="F9" t="s">
        <v>83</v>
      </c>
      <c r="G9" t="s">
        <v>78</v>
      </c>
      <c r="H9" t="s">
        <v>68</v>
      </c>
      <c r="I9" s="4">
        <v>422.16</v>
      </c>
      <c r="J9" s="4">
        <v>534.52</v>
      </c>
      <c r="K9" s="4">
        <f>J9-I9</f>
      </c>
      <c r="L9" s="4">
        <f>K9*16.67%</f>
      </c>
      <c r="M9" s="4">
        <f>J9*7%</f>
      </c>
      <c r="N9" s="4">
        <f>M9*20%</f>
      </c>
      <c r="O9" s="4">
        <v>0</v>
      </c>
      <c r="P9" s="4">
        <f>O9*20%</f>
      </c>
      <c r="Q9" s="4">
        <v>1</v>
      </c>
      <c r="R9" s="4">
        <f>N9+P9</f>
      </c>
      <c r="S9" s="4">
        <f>K9-L9-M9-N9-O9-P9-Q9</f>
      </c>
      <c r="T9" s="4">
        <f>(S9-Z9)/I9*100</f>
      </c>
      <c r="U9" s="4">
        <f>L9-R9</f>
      </c>
      <c r="AA9" s="4">
        <f>S9-Z9</f>
      </c>
      <c r="AF9" t="s">
        <v>1</v>
      </c>
    </row>
    <row r="10" spans="1:32" x14ac:dyDescent="0.25">
      <c r="A10" s="8">
        <v>46217.5</v>
      </c>
      <c r="B10" t="s">
        <v>264</v>
      </c>
      <c r="C10" t="s">
        <v>147</v>
      </c>
      <c r="D10" s="9" t="s">
        <v>221</v>
      </c>
      <c r="E10" t="s">
        <v>147</v>
      </c>
      <c r="F10" t="s">
        <v>129</v>
      </c>
      <c r="G10" t="s">
        <v>72</v>
      </c>
      <c r="H10" t="s">
        <v>73</v>
      </c>
      <c r="I10" s="4">
        <v>230.57</v>
      </c>
      <c r="J10" s="4">
        <v>310.06</v>
      </c>
      <c r="K10" s="4">
        <f>J10-I10</f>
      </c>
      <c r="L10" s="4">
        <f>K10*16.67%</f>
      </c>
      <c r="M10" s="4">
        <f>J10*7%</f>
      </c>
      <c r="N10" s="4">
        <f>M10*20%</f>
      </c>
      <c r="O10" s="4">
        <v>0</v>
      </c>
      <c r="P10" s="4">
        <f>O10*20%</f>
      </c>
      <c r="Q10" s="4">
        <v>1</v>
      </c>
      <c r="R10" s="4">
        <f>N10+P10</f>
      </c>
      <c r="S10" s="4">
        <f>K10-L10-M10-N10-O10-P10-Q10</f>
      </c>
      <c r="T10" s="4">
        <f>(S10-Z10)/I10*100</f>
      </c>
      <c r="U10" s="4">
        <f>L10-R10</f>
      </c>
      <c r="AA10" s="4">
        <f>S10-Z10</f>
      </c>
      <c r="AF10" t="s">
        <v>1</v>
      </c>
    </row>
    <row r="11" spans="1:32" x14ac:dyDescent="0.25">
      <c r="A11" s="8">
        <v>46215.5</v>
      </c>
      <c r="B11" t="s">
        <v>265</v>
      </c>
      <c r="C11" t="s">
        <v>235</v>
      </c>
      <c r="D11" s="9" t="s">
        <v>266</v>
      </c>
      <c r="E11" t="s">
        <v>65</v>
      </c>
      <c r="F11" t="s">
        <v>145</v>
      </c>
      <c r="G11" t="s">
        <v>78</v>
      </c>
      <c r="H11" t="s">
        <v>73</v>
      </c>
      <c r="I11" s="4">
        <v>511.35</v>
      </c>
      <c r="J11" s="4">
        <v>700.16</v>
      </c>
      <c r="K11" s="4">
        <f>J11-I11</f>
      </c>
      <c r="L11" s="4">
        <f>K11*16.67%</f>
      </c>
      <c r="M11" s="4">
        <f>J11*7%</f>
      </c>
      <c r="N11" s="4">
        <f>M11*20%</f>
      </c>
      <c r="O11" s="4">
        <v>0</v>
      </c>
      <c r="P11" s="4">
        <f>O11*20%</f>
      </c>
      <c r="Q11" s="4">
        <v>1</v>
      </c>
      <c r="R11" s="4">
        <f>N11+P11</f>
      </c>
      <c r="S11" s="4">
        <f>K11-L11-M11-N11-O11-P11-Q11</f>
      </c>
      <c r="T11" s="4">
        <f>(S11-Z11)/I11*100</f>
      </c>
      <c r="U11" s="4">
        <f>L11-R11</f>
      </c>
      <c r="AA11" s="4">
        <f>S11-Z11</f>
      </c>
      <c r="AF11" t="s">
        <v>1</v>
      </c>
    </row>
    <row r="12" spans="1:32" x14ac:dyDescent="0.25">
      <c r="A12" s="8">
        <v>46214.5</v>
      </c>
      <c r="B12" t="s">
        <v>267</v>
      </c>
      <c r="C12" t="s">
        <v>93</v>
      </c>
      <c r="D12" s="9" t="s">
        <v>268</v>
      </c>
      <c r="E12" t="s">
        <v>65</v>
      </c>
      <c r="F12" t="s">
        <v>95</v>
      </c>
      <c r="G12" t="s">
        <v>72</v>
      </c>
      <c r="H12" t="s">
        <v>91</v>
      </c>
      <c r="I12" s="4">
        <v>336.42</v>
      </c>
      <c r="J12" s="4">
        <v>468.11</v>
      </c>
      <c r="K12" s="4">
        <f>J12-I12</f>
      </c>
      <c r="L12" s="4">
        <f>K12*16.67%</f>
      </c>
      <c r="M12" s="4">
        <f>J12*7%</f>
      </c>
      <c r="N12" s="4">
        <f>M12*20%</f>
      </c>
      <c r="O12" s="4">
        <v>0</v>
      </c>
      <c r="P12" s="4">
        <f>O12*20%</f>
      </c>
      <c r="Q12" s="4">
        <v>1</v>
      </c>
      <c r="R12" s="4">
        <f>N12+P12</f>
      </c>
      <c r="S12" s="4">
        <f>K12-L12-M12-N12-O12-P12-Q12</f>
      </c>
      <c r="T12" s="4">
        <f>(S12-Z12)/I12*100</f>
      </c>
      <c r="U12" s="4">
        <f>L12-R12</f>
      </c>
      <c r="AA12" s="4">
        <f>S12-Z12</f>
      </c>
      <c r="AF12" t="s">
        <v>1</v>
      </c>
    </row>
    <row r="13" spans="1:32" x14ac:dyDescent="0.25">
      <c r="A13" s="8">
        <v>46213.5</v>
      </c>
      <c r="B13" t="s">
        <v>269</v>
      </c>
      <c r="C13" t="s">
        <v>112</v>
      </c>
      <c r="D13" s="9" t="s">
        <v>270</v>
      </c>
      <c r="E13" t="s">
        <v>65</v>
      </c>
      <c r="F13" t="s">
        <v>87</v>
      </c>
      <c r="G13" t="s">
        <v>72</v>
      </c>
      <c r="H13" t="s">
        <v>79</v>
      </c>
      <c r="I13" s="4">
        <v>209.59</v>
      </c>
      <c r="J13" s="4">
        <v>298.71</v>
      </c>
      <c r="K13" s="4">
        <f>J13-I13</f>
      </c>
      <c r="L13" s="4">
        <f>K13*16.67%</f>
      </c>
      <c r="M13" s="4">
        <f>J13*7%</f>
      </c>
      <c r="N13" s="4">
        <f>M13*20%</f>
      </c>
      <c r="O13" s="4">
        <v>0</v>
      </c>
      <c r="P13" s="4">
        <f>O13*20%</f>
      </c>
      <c r="Q13" s="4">
        <v>1</v>
      </c>
      <c r="R13" s="4">
        <f>N13+P13</f>
      </c>
      <c r="S13" s="4">
        <f>K13-L13-M13-N13-O13-P13-Q13</f>
      </c>
      <c r="T13" s="4">
        <f>(S13-Z13)/I13*100</f>
      </c>
      <c r="U13" s="4">
        <f>L13-R13</f>
      </c>
      <c r="AA13" s="4">
        <f>S13-Z13</f>
      </c>
      <c r="AF13" t="s">
        <v>1</v>
      </c>
    </row>
    <row r="14" spans="1:32" x14ac:dyDescent="0.25">
      <c r="A14" s="8">
        <v>46212.5</v>
      </c>
      <c r="B14" t="s">
        <v>271</v>
      </c>
      <c r="C14" t="s">
        <v>272</v>
      </c>
      <c r="D14" s="9" t="s">
        <v>273</v>
      </c>
      <c r="E14" t="s">
        <v>65</v>
      </c>
      <c r="F14" t="s">
        <v>145</v>
      </c>
      <c r="G14" t="s">
        <v>67</v>
      </c>
      <c r="H14" t="s">
        <v>91</v>
      </c>
      <c r="I14" s="4">
        <v>196.74</v>
      </c>
      <c r="J14" s="4">
        <v>251.83</v>
      </c>
      <c r="K14" s="4">
        <f>J14-I14</f>
      </c>
      <c r="L14" s="4">
        <f>K14*16.67%</f>
      </c>
      <c r="M14" s="4">
        <f>J14*7%</f>
      </c>
      <c r="N14" s="4">
        <f>M14*20%</f>
      </c>
      <c r="O14" s="4">
        <v>0</v>
      </c>
      <c r="P14" s="4">
        <f>O14*20%</f>
      </c>
      <c r="Q14" s="4">
        <v>1</v>
      </c>
      <c r="R14" s="4">
        <f>N14+P14</f>
      </c>
      <c r="S14" s="4">
        <f>K14-L14-M14-N14-O14-P14-Q14</f>
      </c>
      <c r="T14" s="4">
        <f>(S14-Z14)/I14*100</f>
      </c>
      <c r="U14" s="4">
        <f>L14-R14</f>
      </c>
      <c r="AA14" s="4">
        <f>S14-Z14</f>
      </c>
      <c r="AF14" t="s">
        <v>1</v>
      </c>
    </row>
    <row r="15" spans="1:32" x14ac:dyDescent="0.25">
      <c r="A15" s="8">
        <v>46210.5</v>
      </c>
      <c r="B15" t="s">
        <v>274</v>
      </c>
      <c r="C15" t="s">
        <v>275</v>
      </c>
      <c r="D15" s="9" t="s">
        <v>276</v>
      </c>
      <c r="E15" t="s">
        <v>275</v>
      </c>
      <c r="F15" t="s">
        <v>87</v>
      </c>
      <c r="G15" t="s">
        <v>78</v>
      </c>
      <c r="H15" t="s">
        <v>91</v>
      </c>
      <c r="I15" s="4">
        <v>422.7</v>
      </c>
      <c r="J15" s="4">
        <v>601.22</v>
      </c>
      <c r="K15" s="4">
        <f>J15-I15</f>
      </c>
      <c r="L15" s="4">
        <f>K15*16.67%</f>
      </c>
      <c r="M15" s="4">
        <f>J15*7%</f>
      </c>
      <c r="N15" s="4">
        <f>M15*20%</f>
      </c>
      <c r="O15" s="4">
        <v>0</v>
      </c>
      <c r="P15" s="4">
        <f>O15*20%</f>
      </c>
      <c r="Q15" s="4">
        <v>1</v>
      </c>
      <c r="R15" s="4">
        <f>N15+P15</f>
      </c>
      <c r="S15" s="4">
        <f>K15-L15-M15-N15-O15-P15-Q15</f>
      </c>
      <c r="T15" s="4">
        <f>(S15-Z15)/I15*100</f>
      </c>
      <c r="U15" s="4">
        <f>L15-R15</f>
      </c>
      <c r="AA15" s="4">
        <f>S15-Z15</f>
      </c>
      <c r="AF15" t="s">
        <v>1</v>
      </c>
    </row>
    <row r="16" spans="1:32" x14ac:dyDescent="0.25">
      <c r="A16" s="8">
        <v>46209.5</v>
      </c>
      <c r="B16" t="s">
        <v>277</v>
      </c>
      <c r="C16" t="s">
        <v>278</v>
      </c>
      <c r="D16" s="9" t="s">
        <v>279</v>
      </c>
      <c r="E16" t="s">
        <v>278</v>
      </c>
      <c r="F16" t="s">
        <v>133</v>
      </c>
      <c r="G16" t="s">
        <v>72</v>
      </c>
      <c r="H16" t="s">
        <v>73</v>
      </c>
      <c r="I16" s="4">
        <v>243.53</v>
      </c>
      <c r="J16" s="4">
        <v>336.62</v>
      </c>
      <c r="K16" s="4">
        <f>J16-I16</f>
      </c>
      <c r="L16" s="4">
        <f>K16*16.67%</f>
      </c>
      <c r="M16" s="4">
        <f>J16*7%</f>
      </c>
      <c r="N16" s="4">
        <f>M16*20%</f>
      </c>
      <c r="O16" s="4">
        <v>0</v>
      </c>
      <c r="P16" s="4">
        <f>O16*20%</f>
      </c>
      <c r="Q16" s="4">
        <v>1</v>
      </c>
      <c r="R16" s="4">
        <f>N16+P16</f>
      </c>
      <c r="S16" s="4">
        <f>K16-L16-M16-N16-O16-P16-Q16</f>
      </c>
      <c r="T16" s="4">
        <f>(S16-Z16)/I16*100</f>
      </c>
      <c r="U16" s="4">
        <f>L16-R16</f>
      </c>
      <c r="AA16" s="4">
        <f>S16-Z16</f>
      </c>
      <c r="AF16" t="s">
        <v>1</v>
      </c>
    </row>
    <row r="17" spans="1:32" x14ac:dyDescent="0.25">
      <c r="A17" s="8">
        <v>46208.5</v>
      </c>
      <c r="B17" t="s">
        <v>280</v>
      </c>
      <c r="C17" t="s">
        <v>150</v>
      </c>
      <c r="D17" s="9" t="s">
        <v>281</v>
      </c>
      <c r="E17" t="s">
        <v>65</v>
      </c>
      <c r="F17" t="s">
        <v>77</v>
      </c>
      <c r="G17" t="s">
        <v>78</v>
      </c>
      <c r="H17" t="s">
        <v>91</v>
      </c>
      <c r="I17" s="4">
        <v>499.6</v>
      </c>
      <c r="J17" s="4">
        <v>644.6</v>
      </c>
      <c r="K17" s="4">
        <f>J17-I17</f>
      </c>
      <c r="L17" s="4">
        <f>K17*16.67%</f>
      </c>
      <c r="M17" s="4">
        <f>J17*7%</f>
      </c>
      <c r="N17" s="4">
        <f>M17*20%</f>
      </c>
      <c r="O17" s="4">
        <v>0</v>
      </c>
      <c r="P17" s="4">
        <f>O17*20%</f>
      </c>
      <c r="Q17" s="4">
        <v>1</v>
      </c>
      <c r="R17" s="4">
        <f>N17+P17</f>
      </c>
      <c r="S17" s="4">
        <f>K17-L17-M17-N17-O17-P17-Q17</f>
      </c>
      <c r="T17" s="4">
        <f>(S17-Z17)/I17*100</f>
      </c>
      <c r="U17" s="4">
        <f>L17-R17</f>
      </c>
      <c r="AA17" s="4">
        <f>S17-Z17</f>
      </c>
      <c r="AF17" t="s">
        <v>1</v>
      </c>
    </row>
    <row r="18" spans="1:32" x14ac:dyDescent="0.25">
      <c r="A18" s="8">
        <v>46207.5</v>
      </c>
      <c r="B18" t="s">
        <v>282</v>
      </c>
      <c r="C18" t="s">
        <v>283</v>
      </c>
      <c r="D18" s="9" t="s">
        <v>284</v>
      </c>
      <c r="E18" t="s">
        <v>65</v>
      </c>
      <c r="F18" t="s">
        <v>129</v>
      </c>
      <c r="G18" t="s">
        <v>78</v>
      </c>
      <c r="H18" t="s">
        <v>91</v>
      </c>
      <c r="I18" s="4">
        <v>535.83</v>
      </c>
      <c r="J18" s="4">
        <v>723.07</v>
      </c>
      <c r="K18" s="4">
        <f>J18-I18</f>
      </c>
      <c r="L18" s="4">
        <f>K18*16.67%</f>
      </c>
      <c r="M18" s="4">
        <f>J18*7%</f>
      </c>
      <c r="N18" s="4">
        <f>M18*20%</f>
      </c>
      <c r="O18" s="4">
        <v>0</v>
      </c>
      <c r="P18" s="4">
        <f>O18*20%</f>
      </c>
      <c r="Q18" s="4">
        <v>1</v>
      </c>
      <c r="R18" s="4">
        <f>N18+P18</f>
      </c>
      <c r="S18" s="4">
        <f>K18-L18-M18-N18-O18-P18-Q18</f>
      </c>
      <c r="T18" s="4">
        <f>(S18-Z18)/I18*100</f>
      </c>
      <c r="U18" s="4">
        <f>L18-R18</f>
      </c>
      <c r="AA18" s="4">
        <f>S18-Z18</f>
      </c>
      <c r="AF18" t="s">
        <v>1</v>
      </c>
    </row>
    <row r="19" spans="1:32" x14ac:dyDescent="0.25">
      <c r="A19" s="8">
        <v>46206.5</v>
      </c>
      <c r="B19" t="s">
        <v>285</v>
      </c>
      <c r="C19" t="s">
        <v>153</v>
      </c>
      <c r="D19" s="9" t="s">
        <v>286</v>
      </c>
      <c r="E19" t="s">
        <v>65</v>
      </c>
      <c r="F19" t="s">
        <v>66</v>
      </c>
      <c r="G19" t="s">
        <v>72</v>
      </c>
      <c r="H19" t="s">
        <v>79</v>
      </c>
      <c r="I19" s="4">
        <v>327.58</v>
      </c>
      <c r="J19" s="4">
        <v>485.49</v>
      </c>
      <c r="K19" s="4">
        <f>J19-I19</f>
      </c>
      <c r="L19" s="4">
        <f>K19*16.67%</f>
      </c>
      <c r="M19" s="4">
        <f>J19*7%</f>
      </c>
      <c r="N19" s="4">
        <f>M19*20%</f>
      </c>
      <c r="O19" s="4">
        <v>0</v>
      </c>
      <c r="P19" s="4">
        <f>O19*20%</f>
      </c>
      <c r="Q19" s="4">
        <v>1</v>
      </c>
      <c r="R19" s="4">
        <f>N19+P19</f>
      </c>
      <c r="S19" s="4">
        <f>K19-L19-M19-N19-O19-P19-Q19</f>
      </c>
      <c r="T19" s="4">
        <f>(S19-Z19)/I19*100</f>
      </c>
      <c r="U19" s="4">
        <f>L19-R19</f>
      </c>
      <c r="AA19" s="4">
        <f>S19-Z19</f>
      </c>
      <c r="AF19" t="s">
        <v>1</v>
      </c>
    </row>
    <row r="20" spans="1:32" x14ac:dyDescent="0.25">
      <c r="A20" s="8">
        <v>46205.5</v>
      </c>
      <c r="B20" t="s">
        <v>287</v>
      </c>
      <c r="C20" t="s">
        <v>157</v>
      </c>
      <c r="D20" s="9" t="s">
        <v>245</v>
      </c>
      <c r="E20" t="s">
        <v>65</v>
      </c>
      <c r="F20" t="s">
        <v>83</v>
      </c>
      <c r="G20" t="s">
        <v>72</v>
      </c>
      <c r="H20" t="s">
        <v>68</v>
      </c>
      <c r="I20" s="4">
        <v>222.91</v>
      </c>
      <c r="J20" s="4">
        <v>305.01</v>
      </c>
      <c r="K20" s="4">
        <f>J20-I20</f>
      </c>
      <c r="L20" s="4">
        <f>K20*16.67%</f>
      </c>
      <c r="M20" s="4">
        <f>J20*7%</f>
      </c>
      <c r="N20" s="4">
        <f>M20*20%</f>
      </c>
      <c r="O20" s="4">
        <v>0</v>
      </c>
      <c r="P20" s="4">
        <f>O20*20%</f>
      </c>
      <c r="Q20" s="4">
        <v>1</v>
      </c>
      <c r="R20" s="4">
        <f>N20+P20</f>
      </c>
      <c r="S20" s="4">
        <f>K20-L20-M20-N20-O20-P20-Q20</f>
      </c>
      <c r="T20" s="4">
        <f>(S20-Z20)/I20*100</f>
      </c>
      <c r="U20" s="4">
        <f>L20-R20</f>
      </c>
      <c r="AA20" s="4">
        <f>S20-Z20</f>
      </c>
      <c r="AF20" t="s">
        <v>1</v>
      </c>
    </row>
    <row r="21" spans="1:32" x14ac:dyDescent="0.25">
      <c r="A21" s="8">
        <v>46204.5</v>
      </c>
      <c r="B21" t="s">
        <v>288</v>
      </c>
      <c r="C21" t="s">
        <v>153</v>
      </c>
      <c r="D21" s="9" t="s">
        <v>289</v>
      </c>
      <c r="E21" t="s">
        <v>65</v>
      </c>
      <c r="F21" t="s">
        <v>102</v>
      </c>
      <c r="G21" t="s">
        <v>72</v>
      </c>
      <c r="H21" t="s">
        <v>68</v>
      </c>
      <c r="I21" s="4">
        <v>232.81</v>
      </c>
      <c r="J21" s="4">
        <v>298.59</v>
      </c>
      <c r="K21" s="4">
        <f>J21-I21</f>
      </c>
      <c r="L21" s="4">
        <f>K21*16.67%</f>
      </c>
      <c r="M21" s="4">
        <f>J21*7%</f>
      </c>
      <c r="N21" s="4">
        <f>M21*20%</f>
      </c>
      <c r="O21" s="4">
        <v>0</v>
      </c>
      <c r="P21" s="4">
        <f>O21*20%</f>
      </c>
      <c r="Q21" s="4">
        <v>1</v>
      </c>
      <c r="R21" s="4">
        <f>N21+P21</f>
      </c>
      <c r="S21" s="4">
        <f>K21-L21-M21-N21-O21-P21-Q21</f>
      </c>
      <c r="T21" s="4">
        <f>(S21-Z21)/I21*100</f>
      </c>
      <c r="U21" s="4">
        <f>L21-R21</f>
      </c>
      <c r="AA21" s="4">
        <f>S21-Z21</f>
      </c>
      <c r="AF21" t="s">
        <v>1</v>
      </c>
    </row>
    <row r="22" spans="1:32" x14ac:dyDescent="0.25">
      <c r="A22" s="8"/>
      <c r="D22" s="9"/>
      <c r="I22" s="4"/>
      <c r="J22" s="4"/>
      <c r="K22" s="4">
        <f>IF($J22="","",J22-I22)</f>
      </c>
      <c r="L22" s="4">
        <f>IF($J22="","",K22*16.67%)</f>
      </c>
      <c r="M22" s="4">
        <f>IF($J22="","",J22*7%)</f>
      </c>
      <c r="N22" s="4">
        <f>IF($J22="","",M22*20%)</f>
      </c>
      <c r="O22" s="4"/>
      <c r="P22" s="4">
        <f>IF($J22="","",O22*20%)</f>
      </c>
      <c r="Q22" s="4">
        <v>1</v>
      </c>
      <c r="R22" s="4">
        <f>IF($J22="","",N22+P22)</f>
      </c>
      <c r="S22" s="4">
        <f>IF($J22="","",K22-L22-M22-N22-O22-P22-Q22)</f>
      </c>
      <c r="T22" s="4">
        <f>IF($J22="","",(S22-Z22)/I22*100)</f>
      </c>
      <c r="U22" s="4">
        <f>IF($J22="","",L22-R22)</f>
      </c>
      <c r="AA22" s="4">
        <f>IF($J22="","",S22-Z22)</f>
      </c>
    </row>
    <row r="23" spans="1:32" x14ac:dyDescent="0.25">
      <c r="A23" s="8"/>
      <c r="D23" s="9"/>
      <c r="I23" s="4"/>
      <c r="J23" s="4"/>
      <c r="K23" s="4">
        <f>IF($J23="","",J23-I23)</f>
      </c>
      <c r="L23" s="4">
        <f>IF($J23="","",K23*16.67%)</f>
      </c>
      <c r="M23" s="4">
        <f>IF($J23="","",J23*7%)</f>
      </c>
      <c r="N23" s="4">
        <f>IF($J23="","",M23*20%)</f>
      </c>
      <c r="O23" s="4"/>
      <c r="P23" s="4">
        <f>IF($J23="","",O23*20%)</f>
      </c>
      <c r="Q23" s="4">
        <v>1</v>
      </c>
      <c r="R23" s="4">
        <f>IF($J23="","",N23+P23)</f>
      </c>
      <c r="S23" s="4">
        <f>IF($J23="","",K23-L23-M23-N23-O23-P23-Q23)</f>
      </c>
      <c r="T23" s="4">
        <f>IF($J23="","",(S23-Z23)/I23*100)</f>
      </c>
      <c r="U23" s="4">
        <f>IF($J23="","",L23-R23)</f>
      </c>
      <c r="AA23" s="4">
        <f>IF($J23="","",S23-Z23)</f>
      </c>
    </row>
    <row r="24" spans="1:32" x14ac:dyDescent="0.25">
      <c r="A24" s="8"/>
      <c r="D24" s="9"/>
      <c r="I24" s="4"/>
      <c r="J24" s="4"/>
      <c r="K24" s="4">
        <f>IF($J24="","",J24-I24)</f>
      </c>
      <c r="L24" s="4">
        <f>IF($J24="","",K24*16.67%)</f>
      </c>
      <c r="M24" s="4">
        <f>IF($J24="","",J24*7%)</f>
      </c>
      <c r="N24" s="4">
        <f>IF($J24="","",M24*20%)</f>
      </c>
      <c r="O24" s="4"/>
      <c r="P24" s="4">
        <f>IF($J24="","",O24*20%)</f>
      </c>
      <c r="Q24" s="4">
        <v>1</v>
      </c>
      <c r="R24" s="4">
        <f>IF($J24="","",N24+P24)</f>
      </c>
      <c r="S24" s="4">
        <f>IF($J24="","",K24-L24-M24-N24-O24-P24-Q24)</f>
      </c>
      <c r="T24" s="4">
        <f>IF($J24="","",(S24-Z24)/I24*100)</f>
      </c>
      <c r="U24" s="4">
        <f>IF($J24="","",L24-R24)</f>
      </c>
      <c r="AA24" s="4">
        <f>IF($J24="","",S24-Z24)</f>
      </c>
    </row>
    <row r="25" spans="1:32" x14ac:dyDescent="0.25">
      <c r="A25" s="8"/>
      <c r="D25" s="9"/>
      <c r="I25" s="4"/>
      <c r="J25" s="4"/>
      <c r="K25" s="4">
        <f>IF($J25="","",J25-I25)</f>
      </c>
      <c r="L25" s="4">
        <f>IF($J25="","",K25*16.67%)</f>
      </c>
      <c r="M25" s="4">
        <f>IF($J25="","",J25*7%)</f>
      </c>
      <c r="N25" s="4">
        <f>IF($J25="","",M25*20%)</f>
      </c>
      <c r="O25" s="4"/>
      <c r="P25" s="4">
        <f>IF($J25="","",O25*20%)</f>
      </c>
      <c r="Q25" s="4">
        <v>1</v>
      </c>
      <c r="R25" s="4">
        <f>IF($J25="","",N25+P25)</f>
      </c>
      <c r="S25" s="4">
        <f>IF($J25="","",K25-L25-M25-N25-O25-P25-Q25)</f>
      </c>
      <c r="T25" s="4">
        <f>IF($J25="","",(S25-Z25)/I25*100)</f>
      </c>
      <c r="U25" s="4">
        <f>IF($J25="","",L25-R25)</f>
      </c>
      <c r="AA25" s="4">
        <f>IF($J25="","",S25-Z25)</f>
      </c>
    </row>
    <row r="26" spans="1:32" x14ac:dyDescent="0.25">
      <c r="A26" s="8"/>
      <c r="D26" s="9"/>
      <c r="I26" s="4"/>
      <c r="J26" s="4"/>
      <c r="K26" s="4">
        <f>IF($J26="","",J26-I26)</f>
      </c>
      <c r="L26" s="4">
        <f>IF($J26="","",K26*16.67%)</f>
      </c>
      <c r="M26" s="4">
        <f>IF($J26="","",J26*7%)</f>
      </c>
      <c r="N26" s="4">
        <f>IF($J26="","",M26*20%)</f>
      </c>
      <c r="O26" s="4"/>
      <c r="P26" s="4">
        <f>IF($J26="","",O26*20%)</f>
      </c>
      <c r="Q26" s="4">
        <v>1</v>
      </c>
      <c r="R26" s="4">
        <f>IF($J26="","",N26+P26)</f>
      </c>
      <c r="S26" s="4">
        <f>IF($J26="","",K26-L26-M26-N26-O26-P26-Q26)</f>
      </c>
      <c r="T26" s="4">
        <f>IF($J26="","",(S26-Z26)/I26*100)</f>
      </c>
      <c r="U26" s="4">
        <f>IF($J26="","",L26-R26)</f>
      </c>
      <c r="AA26" s="4">
        <f>IF($J26="","",S26-Z26)</f>
      </c>
    </row>
    <row r="27" spans="1:32" x14ac:dyDescent="0.25">
      <c r="A27" s="8"/>
      <c r="D27" s="9"/>
      <c r="I27" s="4"/>
      <c r="J27" s="4"/>
      <c r="K27" s="4">
        <f>IF($J27="","",J27-I27)</f>
      </c>
      <c r="L27" s="4">
        <f>IF($J27="","",K27*16.67%)</f>
      </c>
      <c r="M27" s="4">
        <f>IF($J27="","",J27*7%)</f>
      </c>
      <c r="N27" s="4">
        <f>IF($J27="","",M27*20%)</f>
      </c>
      <c r="O27" s="4"/>
      <c r="P27" s="4">
        <f>IF($J27="","",O27*20%)</f>
      </c>
      <c r="Q27" s="4">
        <v>1</v>
      </c>
      <c r="R27" s="4">
        <f>IF($J27="","",N27+P27)</f>
      </c>
      <c r="S27" s="4">
        <f>IF($J27="","",K27-L27-M27-N27-O27-P27-Q27)</f>
      </c>
      <c r="T27" s="4">
        <f>IF($J27="","",(S27-Z27)/I27*100)</f>
      </c>
      <c r="U27" s="4">
        <f>IF($J27="","",L27-R27)</f>
      </c>
      <c r="AA27" s="4">
        <f>IF($J27="","",S27-Z27)</f>
      </c>
    </row>
    <row r="28" spans="1:32" x14ac:dyDescent="0.25">
      <c r="A28" s="8"/>
      <c r="D28" s="9"/>
      <c r="I28" s="4"/>
      <c r="J28" s="4"/>
      <c r="K28" s="4">
        <f>IF($J28="","",J28-I28)</f>
      </c>
      <c r="L28" s="4">
        <f>IF($J28="","",K28*16.67%)</f>
      </c>
      <c r="M28" s="4">
        <f>IF($J28="","",J28*7%)</f>
      </c>
      <c r="N28" s="4">
        <f>IF($J28="","",M28*20%)</f>
      </c>
      <c r="O28" s="4"/>
      <c r="P28" s="4">
        <f>IF($J28="","",O28*20%)</f>
      </c>
      <c r="Q28" s="4">
        <v>1</v>
      </c>
      <c r="R28" s="4">
        <f>IF($J28="","",N28+P28)</f>
      </c>
      <c r="S28" s="4">
        <f>IF($J28="","",K28-L28-M28-N28-O28-P28-Q28)</f>
      </c>
      <c r="T28" s="4">
        <f>IF($J28="","",(S28-Z28)/I28*100)</f>
      </c>
      <c r="U28" s="4">
        <f>IF($J28="","",L28-R28)</f>
      </c>
      <c r="AA28" s="4">
        <f>IF($J28="","",S28-Z28)</f>
      </c>
    </row>
    <row r="29" spans="1:32" x14ac:dyDescent="0.25">
      <c r="A29" s="8"/>
      <c r="D29" s="9"/>
      <c r="I29" s="4"/>
      <c r="J29" s="4"/>
      <c r="K29" s="4">
        <f>IF($J29="","",J29-I29)</f>
      </c>
      <c r="L29" s="4">
        <f>IF($J29="","",K29*16.67%)</f>
      </c>
      <c r="M29" s="4">
        <f>IF($J29="","",J29*7%)</f>
      </c>
      <c r="N29" s="4">
        <f>IF($J29="","",M29*20%)</f>
      </c>
      <c r="O29" s="4"/>
      <c r="P29" s="4">
        <f>IF($J29="","",O29*20%)</f>
      </c>
      <c r="Q29" s="4">
        <v>1</v>
      </c>
      <c r="R29" s="4">
        <f>IF($J29="","",N29+P29)</f>
      </c>
      <c r="S29" s="4">
        <f>IF($J29="","",K29-L29-M29-N29-O29-P29-Q29)</f>
      </c>
      <c r="T29" s="4">
        <f>IF($J29="","",(S29-Z29)/I29*100)</f>
      </c>
      <c r="U29" s="4">
        <f>IF($J29="","",L29-R29)</f>
      </c>
      <c r="AA29" s="4">
        <f>IF($J29="","",S29-Z29)</f>
      </c>
    </row>
    <row r="30" spans="1:32" x14ac:dyDescent="0.25">
      <c r="A30" s="8"/>
      <c r="D30" s="9"/>
      <c r="I30" s="4"/>
      <c r="J30" s="4"/>
      <c r="K30" s="4">
        <f>IF($J30="","",J30-I30)</f>
      </c>
      <c r="L30" s="4">
        <f>IF($J30="","",K30*16.67%)</f>
      </c>
      <c r="M30" s="4">
        <f>IF($J30="","",J30*7%)</f>
      </c>
      <c r="N30" s="4">
        <f>IF($J30="","",M30*20%)</f>
      </c>
      <c r="O30" s="4"/>
      <c r="P30" s="4">
        <f>IF($J30="","",O30*20%)</f>
      </c>
      <c r="Q30" s="4">
        <v>1</v>
      </c>
      <c r="R30" s="4">
        <f>IF($J30="","",N30+P30)</f>
      </c>
      <c r="S30" s="4">
        <f>IF($J30="","",K30-L30-M30-N30-O30-P30-Q30)</f>
      </c>
      <c r="T30" s="4">
        <f>IF($J30="","",(S30-Z30)/I30*100)</f>
      </c>
      <c r="U30" s="4">
        <f>IF($J30="","",L30-R30)</f>
      </c>
      <c r="AA30" s="4">
        <f>IF($J30="","",S30-Z30)</f>
      </c>
    </row>
    <row r="31" spans="1:32" x14ac:dyDescent="0.25">
      <c r="A31" s="8"/>
      <c r="D31" s="9"/>
      <c r="I31" s="4"/>
      <c r="J31" s="4"/>
      <c r="K31" s="4">
        <f>IF($J31="","",J31-I31)</f>
      </c>
      <c r="L31" s="4">
        <f>IF($J31="","",K31*16.67%)</f>
      </c>
      <c r="M31" s="4">
        <f>IF($J31="","",J31*7%)</f>
      </c>
      <c r="N31" s="4">
        <f>IF($J31="","",M31*20%)</f>
      </c>
      <c r="O31" s="4"/>
      <c r="P31" s="4">
        <f>IF($J31="","",O31*20%)</f>
      </c>
      <c r="Q31" s="4">
        <v>1</v>
      </c>
      <c r="R31" s="4">
        <f>IF($J31="","",N31+P31)</f>
      </c>
      <c r="S31" s="4">
        <f>IF($J31="","",K31-L31-M31-N31-O31-P31-Q31)</f>
      </c>
      <c r="T31" s="4">
        <f>IF($J31="","",(S31-Z31)/I31*100)</f>
      </c>
      <c r="U31" s="4">
        <f>IF($J31="","",L31-R31)</f>
      </c>
      <c r="AA31" s="4">
        <f>IF($J31="","",S31-Z31)</f>
      </c>
    </row>
    <row r="32" spans="1:32" x14ac:dyDescent="0.25">
      <c r="A32" s="8"/>
      <c r="D32" s="9"/>
      <c r="I32" s="4"/>
      <c r="J32" s="4"/>
      <c r="K32" s="4">
        <f>IF($J32="","",J32-I32)</f>
      </c>
      <c r="L32" s="4">
        <f>IF($J32="","",K32*16.67%)</f>
      </c>
      <c r="M32" s="4">
        <f>IF($J32="","",J32*7%)</f>
      </c>
      <c r="N32" s="4">
        <f>IF($J32="","",M32*20%)</f>
      </c>
      <c r="O32" s="4"/>
      <c r="P32" s="4">
        <f>IF($J32="","",O32*20%)</f>
      </c>
      <c r="Q32" s="4">
        <v>1</v>
      </c>
      <c r="R32" s="4">
        <f>IF($J32="","",N32+P32)</f>
      </c>
      <c r="S32" s="4">
        <f>IF($J32="","",K32-L32-M32-N32-O32-P32-Q32)</f>
      </c>
      <c r="T32" s="4">
        <f>IF($J32="","",(S32-Z32)/I32*100)</f>
      </c>
      <c r="U32" s="4">
        <f>IF($J32="","",L32-R32)</f>
      </c>
      <c r="AA32" s="4">
        <f>IF($J32="","",S32-Z32)</f>
      </c>
    </row>
    <row r="33" spans="1:32" x14ac:dyDescent="0.25">
      <c r="A33" s="8"/>
      <c r="D33" s="9"/>
      <c r="I33" s="4"/>
      <c r="J33" s="4"/>
      <c r="K33" s="4">
        <f>IF($J33="","",J33-I33)</f>
      </c>
      <c r="L33" s="4">
        <f>IF($J33="","",K33*16.67%)</f>
      </c>
      <c r="M33" s="4">
        <f>IF($J33="","",J33*7%)</f>
      </c>
      <c r="N33" s="4">
        <f>IF($J33="","",M33*20%)</f>
      </c>
      <c r="O33" s="4"/>
      <c r="P33" s="4">
        <f>IF($J33="","",O33*20%)</f>
      </c>
      <c r="Q33" s="4">
        <v>1</v>
      </c>
      <c r="R33" s="4">
        <f>IF($J33="","",N33+P33)</f>
      </c>
      <c r="S33" s="4">
        <f>IF($J33="","",K33-L33-M33-N33-O33-P33-Q33)</f>
      </c>
      <c r="T33" s="4">
        <f>IF($J33="","",(S33-Z33)/I33*100)</f>
      </c>
      <c r="U33" s="4">
        <f>IF($J33="","",L33-R33)</f>
      </c>
      <c r="AA33" s="4">
        <f>IF($J33="","",S33-Z33)</f>
      </c>
    </row>
    <row r="34" spans="1:32" x14ac:dyDescent="0.25">
      <c r="A34" s="8"/>
      <c r="D34" s="9"/>
      <c r="I34" s="4"/>
      <c r="J34" s="4"/>
      <c r="K34" s="4">
        <f>IF($J34="","",J34-I34)</f>
      </c>
      <c r="L34" s="4">
        <f>IF($J34="","",K34*16.67%)</f>
      </c>
      <c r="M34" s="4">
        <f>IF($J34="","",J34*7%)</f>
      </c>
      <c r="N34" s="4">
        <f>IF($J34="","",M34*20%)</f>
      </c>
      <c r="O34" s="4"/>
      <c r="P34" s="4">
        <f>IF($J34="","",O34*20%)</f>
      </c>
      <c r="Q34" s="4">
        <v>1</v>
      </c>
      <c r="R34" s="4">
        <f>IF($J34="","",N34+P34)</f>
      </c>
      <c r="S34" s="4">
        <f>IF($J34="","",K34-L34-M34-N34-O34-P34-Q34)</f>
      </c>
      <c r="T34" s="4">
        <f>IF($J34="","",(S34-Z34)/I34*100)</f>
      </c>
      <c r="U34" s="4">
        <f>IF($J34="","",L34-R34)</f>
      </c>
      <c r="AA34" s="4">
        <f>IF($J34="","",S34-Z34)</f>
      </c>
    </row>
    <row r="35" spans="1:32" x14ac:dyDescent="0.25">
      <c r="A35" s="8"/>
      <c r="D35" s="9"/>
      <c r="I35" s="4"/>
      <c r="J35" s="4"/>
      <c r="K35" s="4">
        <f>IF($J35="","",J35-I35)</f>
      </c>
      <c r="L35" s="4">
        <f>IF($J35="","",K35*16.67%)</f>
      </c>
      <c r="M35" s="4">
        <f>IF($J35="","",J35*7%)</f>
      </c>
      <c r="N35" s="4">
        <f>IF($J35="","",M35*20%)</f>
      </c>
      <c r="O35" s="4"/>
      <c r="P35" s="4">
        <f>IF($J35="","",O35*20%)</f>
      </c>
      <c r="Q35" s="4">
        <v>1</v>
      </c>
      <c r="R35" s="4">
        <f>IF($J35="","",N35+P35)</f>
      </c>
      <c r="S35" s="4">
        <f>IF($J35="","",K35-L35-M35-N35-O35-P35-Q35)</f>
      </c>
      <c r="T35" s="4">
        <f>IF($J35="","",(S35-Z35)/I35*100)</f>
      </c>
      <c r="U35" s="4">
        <f>IF($J35="","",L35-R35)</f>
      </c>
      <c r="AA35" s="4">
        <f>IF($J35="","",S35-Z35)</f>
      </c>
    </row>
    <row r="36" spans="1:32" x14ac:dyDescent="0.25">
      <c r="A36" s="8"/>
      <c r="D36" s="9"/>
      <c r="I36" s="4"/>
      <c r="J36" s="4"/>
      <c r="K36" s="4">
        <f>IF($J36="","",J36-I36)</f>
      </c>
      <c r="L36" s="4">
        <f>IF($J36="","",K36*16.67%)</f>
      </c>
      <c r="M36" s="4">
        <f>IF($J36="","",J36*7%)</f>
      </c>
      <c r="N36" s="4">
        <f>IF($J36="","",M36*20%)</f>
      </c>
      <c r="O36" s="4"/>
      <c r="P36" s="4">
        <f>IF($J36="","",O36*20%)</f>
      </c>
      <c r="Q36" s="4">
        <v>1</v>
      </c>
      <c r="R36" s="4">
        <f>IF($J36="","",N36+P36)</f>
      </c>
      <c r="S36" s="4">
        <f>IF($J36="","",K36-L36-M36-N36-O36-P36-Q36)</f>
      </c>
      <c r="T36" s="4">
        <f>IF($J36="","",(S36-Z36)/I36*100)</f>
      </c>
      <c r="U36" s="4">
        <f>IF($J36="","",L36-R36)</f>
      </c>
      <c r="AA36" s="4">
        <f>IF($J36="","",S36-Z36)</f>
      </c>
    </row>
    <row r="37" spans="1:32" x14ac:dyDescent="0.25">
      <c r="A37" s="8"/>
      <c r="D37" s="9"/>
      <c r="I37" s="4"/>
      <c r="J37" s="4"/>
      <c r="K37" s="4">
        <f>IF($J37="","",J37-I37)</f>
      </c>
      <c r="L37" s="4">
        <f>IF($J37="","",K37*16.67%)</f>
      </c>
      <c r="M37" s="4">
        <f>IF($J37="","",J37*7%)</f>
      </c>
      <c r="N37" s="4">
        <f>IF($J37="","",M37*20%)</f>
      </c>
      <c r="O37" s="4"/>
      <c r="P37" s="4">
        <f>IF($J37="","",O37*20%)</f>
      </c>
      <c r="Q37" s="4">
        <v>1</v>
      </c>
      <c r="R37" s="4">
        <f>IF($J37="","",N37+P37)</f>
      </c>
      <c r="S37" s="4">
        <f>IF($J37="","",K37-L37-M37-N37-O37-P37-Q37)</f>
      </c>
      <c r="T37" s="4">
        <f>IF($J37="","",(S37-Z37)/I37*100)</f>
      </c>
      <c r="U37" s="4">
        <f>IF($J37="","",L37-R37)</f>
      </c>
      <c r="AA37" s="4">
        <f>IF($J37="","",S37-Z37)</f>
      </c>
    </row>
    <row r="38" spans="1:32" x14ac:dyDescent="0.25">
      <c r="A38" s="8"/>
      <c r="D38" s="9"/>
      <c r="I38" s="4"/>
      <c r="J38" s="4"/>
      <c r="K38" s="4">
        <f>IF($J38="","",J38-I38)</f>
      </c>
      <c r="L38" s="4">
        <f>IF($J38="","",K38*16.67%)</f>
      </c>
      <c r="M38" s="4">
        <f>IF($J38="","",J38*7%)</f>
      </c>
      <c r="N38" s="4">
        <f>IF($J38="","",M38*20%)</f>
      </c>
      <c r="O38" s="4"/>
      <c r="P38" s="4">
        <f>IF($J38="","",O38*20%)</f>
      </c>
      <c r="Q38" s="4">
        <v>1</v>
      </c>
      <c r="R38" s="4">
        <f>IF($J38="","",N38+P38)</f>
      </c>
      <c r="S38" s="4">
        <f>IF($J38="","",K38-L38-M38-N38-O38-P38-Q38)</f>
      </c>
      <c r="T38" s="4">
        <f>IF($J38="","",(S38-Z38)/I38*100)</f>
      </c>
      <c r="U38" s="4">
        <f>IF($J38="","",L38-R38)</f>
      </c>
      <c r="AA38" s="4">
        <f>IF($J38="","",S38-Z38)</f>
      </c>
    </row>
    <row r="39" spans="1:32" x14ac:dyDescent="0.25">
      <c r="A39" s="8"/>
      <c r="D39" s="9"/>
      <c r="I39" s="4"/>
      <c r="J39" s="4"/>
      <c r="K39" s="4">
        <f>IF($J39="","",J39-I39)</f>
      </c>
      <c r="L39" s="4">
        <f>IF($J39="","",K39*16.67%)</f>
      </c>
      <c r="M39" s="4">
        <f>IF($J39="","",J39*7%)</f>
      </c>
      <c r="N39" s="4">
        <f>IF($J39="","",M39*20%)</f>
      </c>
      <c r="O39" s="4"/>
      <c r="P39" s="4">
        <f>IF($J39="","",O39*20%)</f>
      </c>
      <c r="Q39" s="4">
        <v>1</v>
      </c>
      <c r="R39" s="4">
        <f>IF($J39="","",N39+P39)</f>
      </c>
      <c r="S39" s="4">
        <f>IF($J39="","",K39-L39-M39-N39-O39-P39-Q39)</f>
      </c>
      <c r="T39" s="4">
        <f>IF($J39="","",(S39-Z39)/I39*100)</f>
      </c>
      <c r="U39" s="4">
        <f>IF($J39="","",L39-R39)</f>
      </c>
      <c r="AA39" s="4">
        <f>IF($J39="","",S39-Z39)</f>
      </c>
    </row>
    <row r="40" spans="1:32" x14ac:dyDescent="0.25">
      <c r="A40" s="8"/>
      <c r="D40" s="9"/>
      <c r="I40" s="4"/>
      <c r="J40" s="4"/>
      <c r="K40" s="4">
        <f>IF($J40="","",J40-I40)</f>
      </c>
      <c r="L40" s="4">
        <f>IF($J40="","",K40*16.67%)</f>
      </c>
      <c r="M40" s="4">
        <f>IF($J40="","",J40*7%)</f>
      </c>
      <c r="N40" s="4">
        <f>IF($J40="","",M40*20%)</f>
      </c>
      <c r="O40" s="4"/>
      <c r="P40" s="4">
        <f>IF($J40="","",O40*20%)</f>
      </c>
      <c r="Q40" s="4">
        <v>1</v>
      </c>
      <c r="R40" s="4">
        <f>IF($J40="","",N40+P40)</f>
      </c>
      <c r="S40" s="4">
        <f>IF($J40="","",K40-L40-M40-N40-O40-P40-Q40)</f>
      </c>
      <c r="T40" s="4">
        <f>IF($J40="","",(S40-Z40)/I40*100)</f>
      </c>
      <c r="U40" s="4">
        <f>IF($J40="","",L40-R40)</f>
      </c>
      <c r="AA40" s="4">
        <f>IF($J40="","",S40-Z40)</f>
      </c>
    </row>
    <row r="41" spans="1:32" x14ac:dyDescent="0.25">
      <c r="A41" s="8"/>
      <c r="D41" s="9"/>
      <c r="I41" s="4"/>
      <c r="J41" s="4"/>
      <c r="K41" s="4">
        <f>IF($J41="","",J41-I41)</f>
      </c>
      <c r="L41" s="4">
        <f>IF($J41="","",K41*16.67%)</f>
      </c>
      <c r="M41" s="4">
        <f>IF($J41="","",J41*7%)</f>
      </c>
      <c r="N41" s="4">
        <f>IF($J41="","",M41*20%)</f>
      </c>
      <c r="O41" s="4"/>
      <c r="P41" s="4">
        <f>IF($J41="","",O41*20%)</f>
      </c>
      <c r="Q41" s="4">
        <v>1</v>
      </c>
      <c r="R41" s="4">
        <f>IF($J41="","",N41+P41)</f>
      </c>
      <c r="S41" s="4">
        <f>IF($J41="","",K41-L41-M41-N41-O41-P41-Q41)</f>
      </c>
      <c r="T41" s="4">
        <f>IF($J41="","",(S41-Z41)/I41*100)</f>
      </c>
      <c r="U41" s="4">
        <f>IF($J41="","",L41-R41)</f>
      </c>
      <c r="AA41" s="4">
        <f>IF($J41="","",S41-Z41)</f>
      </c>
    </row>
    <row r="42" spans="1:32" x14ac:dyDescent="0.25">
      <c r="A42" s="8"/>
      <c r="D42" s="9"/>
      <c r="I42" s="4"/>
      <c r="J42" s="4"/>
      <c r="K42" s="4">
        <f>IF($J42="","",J42-I42)</f>
      </c>
      <c r="L42" s="4">
        <f>IF($J42="","",K42*16.67%)</f>
      </c>
      <c r="M42" s="4">
        <f>IF($J42="","",J42*7%)</f>
      </c>
      <c r="N42" s="4">
        <f>IF($J42="","",M42*20%)</f>
      </c>
      <c r="O42" s="4"/>
      <c r="P42" s="4">
        <f>IF($J42="","",O42*20%)</f>
      </c>
      <c r="Q42" s="4">
        <v>1</v>
      </c>
      <c r="R42" s="4">
        <f>IF($J42="","",N42+P42)</f>
      </c>
      <c r="S42" s="4">
        <f>IF($J42="","",K42-L42-M42-N42-O42-P42-Q42)</f>
      </c>
      <c r="T42" s="4">
        <f>IF($J42="","",(S42-Z42)/I42*100)</f>
      </c>
      <c r="U42" s="4">
        <f>IF($J42="","",L42-R42)</f>
      </c>
      <c r="AA42" s="4">
        <f>IF($J42="","",S42-Z42)</f>
      </c>
    </row>
    <row r="43" spans="1:32" x14ac:dyDescent="0.25">
      <c r="A43" s="8"/>
      <c r="D43" s="9"/>
      <c r="I43" s="4"/>
      <c r="J43" s="4"/>
      <c r="K43" s="4">
        <f>IF($J43="","",J43-I43)</f>
      </c>
      <c r="L43" s="4">
        <f>IF($J43="","",K43*16.67%)</f>
      </c>
      <c r="M43" s="4">
        <f>IF($J43="","",J43*7%)</f>
      </c>
      <c r="N43" s="4">
        <f>IF($J43="","",M43*20%)</f>
      </c>
      <c r="O43" s="4"/>
      <c r="P43" s="4">
        <f>IF($J43="","",O43*20%)</f>
      </c>
      <c r="Q43" s="4">
        <v>1</v>
      </c>
      <c r="R43" s="4">
        <f>IF($J43="","",N43+P43)</f>
      </c>
      <c r="S43" s="4">
        <f>IF($J43="","",K43-L43-M43-N43-O43-P43-Q43)</f>
      </c>
      <c r="T43" s="4">
        <f>IF($J43="","",(S43-Z43)/I43*100)</f>
      </c>
      <c r="U43" s="4">
        <f>IF($J43="","",L43-R43)</f>
      </c>
      <c r="AA43" s="4">
        <f>IF($J43="","",S43-Z43)</f>
      </c>
    </row>
    <row r="44" spans="1:32" x14ac:dyDescent="0.25">
      <c r="A44" s="8"/>
      <c r="D44" s="9"/>
      <c r="I44" s="4"/>
      <c r="J44" s="4"/>
      <c r="K44" s="4">
        <f>IF($J44="","",J44-I44)</f>
      </c>
      <c r="L44" s="4">
        <f>IF($J44="","",K44*16.67%)</f>
      </c>
      <c r="M44" s="4">
        <f>IF($J44="","",J44*7%)</f>
      </c>
      <c r="N44" s="4">
        <f>IF($J44="","",M44*20%)</f>
      </c>
      <c r="O44" s="4"/>
      <c r="P44" s="4">
        <f>IF($J44="","",O44*20%)</f>
      </c>
      <c r="Q44" s="4">
        <v>1</v>
      </c>
      <c r="R44" s="4">
        <f>IF($J44="","",N44+P44)</f>
      </c>
      <c r="S44" s="4">
        <f>IF($J44="","",K44-L44-M44-N44-O44-P44-Q44)</f>
      </c>
      <c r="T44" s="4">
        <f>IF($J44="","",(S44-Z44)/I44*100)</f>
      </c>
      <c r="U44" s="4">
        <f>IF($J44="","",L44-R44)</f>
      </c>
      <c r="AA44" s="4">
        <f>IF($J44="","",S44-Z44)</f>
      </c>
    </row>
    <row r="45" spans="1:32" x14ac:dyDescent="0.25">
      <c r="A45" s="8"/>
      <c r="D45" s="9"/>
      <c r="I45" s="4"/>
      <c r="J45" s="4"/>
      <c r="K45" s="4">
        <f>IF($J45="","",J45-I45)</f>
      </c>
      <c r="L45" s="4">
        <f>IF($J45="","",K45*16.67%)</f>
      </c>
      <c r="M45" s="4">
        <f>IF($J45="","",J45*7%)</f>
      </c>
      <c r="N45" s="4">
        <f>IF($J45="","",M45*20%)</f>
      </c>
      <c r="O45" s="4"/>
      <c r="P45" s="4">
        <f>IF($J45="","",O45*20%)</f>
      </c>
      <c r="Q45" s="4">
        <v>1</v>
      </c>
      <c r="R45" s="4">
        <f>IF($J45="","",N45+P45)</f>
      </c>
      <c r="S45" s="4">
        <f>IF($J45="","",K45-L45-M45-N45-O45-P45-Q45)</f>
      </c>
      <c r="T45" s="4">
        <f>IF($J45="","",(S45-Z45)/I45*100)</f>
      </c>
      <c r="U45" s="4">
        <f>IF($J45="","",L45-R45)</f>
      </c>
      <c r="AA45" s="4">
        <f>IF($J45="","",S45-Z45)</f>
      </c>
    </row>
    <row r="46" spans="1:32" x14ac:dyDescent="0.25">
      <c r="A46" s="8"/>
      <c r="D46" s="9"/>
      <c r="I46" s="4"/>
      <c r="J46" s="4"/>
      <c r="K46" s="4">
        <f>IF($J46="","",J46-I46)</f>
      </c>
      <c r="L46" s="4">
        <f>IF($J46="","",K46*16.67%)</f>
      </c>
      <c r="M46" s="4">
        <f>IF($J46="","",J46*7%)</f>
      </c>
      <c r="N46" s="4">
        <f>IF($J46="","",M46*20%)</f>
      </c>
      <c r="O46" s="4"/>
      <c r="P46" s="4">
        <f>IF($J46="","",O46*20%)</f>
      </c>
      <c r="Q46" s="4">
        <v>1</v>
      </c>
      <c r="R46" s="4">
        <f>IF($J46="","",N46+P46)</f>
      </c>
      <c r="S46" s="4">
        <f>IF($J46="","",K46-L46-M46-N46-O46-P46-Q46)</f>
      </c>
      <c r="T46" s="4">
        <f>IF($J46="","",(S46-Z46)/I46*100)</f>
      </c>
      <c r="U46" s="4">
        <f>IF($J46="","",L46-R46)</f>
      </c>
      <c r="AA46" s="4">
        <f>IF($J46="","",S46-Z46)</f>
      </c>
    </row>
    <row r="47" spans="1:32" x14ac:dyDescent="0.25">
      <c r="A47" s="8"/>
      <c r="D47" s="9"/>
      <c r="I47" s="4"/>
      <c r="J47" s="4"/>
      <c r="K47" s="4">
        <f>IF($J47="","",J47-I47)</f>
      </c>
      <c r="L47" s="4">
        <f>IF($J47="","",K47*16.67%)</f>
      </c>
      <c r="M47" s="4">
        <f>IF($J47="","",J47*7%)</f>
      </c>
      <c r="N47" s="4">
        <f>IF($J47="","",M47*20%)</f>
      </c>
      <c r="O47" s="4"/>
      <c r="P47" s="4">
        <f>IF($J47="","",O47*20%)</f>
      </c>
      <c r="Q47" s="4">
        <v>1</v>
      </c>
      <c r="R47" s="4">
        <f>IF($J47="","",N47+P47)</f>
      </c>
      <c r="S47" s="4">
        <f>IF($J47="","",K47-L47-M47-N47-O47-P47-Q47)</f>
      </c>
      <c r="T47" s="4">
        <f>IF($J47="","",(S47-Z47)/I47*100)</f>
      </c>
      <c r="U47" s="4">
        <f>IF($J47="","",L47-R47)</f>
      </c>
      <c r="AA47" s="4">
        <f>IF($J47="","",S47-Z47)</f>
      </c>
    </row>
    <row r="48" spans="1:32" x14ac:dyDescent="0.25">
      <c r="A48" s="8"/>
      <c r="D48" s="9"/>
      <c r="I48" s="4"/>
      <c r="J48" s="4"/>
      <c r="K48" s="4">
        <f>IF($J48="","",J48-I48)</f>
      </c>
      <c r="L48" s="4">
        <f>IF($J48="","",K48*16.67%)</f>
      </c>
      <c r="M48" s="4">
        <f>IF($J48="","",J48*7%)</f>
      </c>
      <c r="N48" s="4">
        <f>IF($J48="","",M48*20%)</f>
      </c>
      <c r="O48" s="4"/>
      <c r="P48" s="4">
        <f>IF($J48="","",O48*20%)</f>
      </c>
      <c r="Q48" s="4">
        <v>1</v>
      </c>
      <c r="R48" s="4">
        <f>IF($J48="","",N48+P48)</f>
      </c>
      <c r="S48" s="4">
        <f>IF($J48="","",K48-L48-M48-N48-O48-P48-Q48)</f>
      </c>
      <c r="T48" s="4">
        <f>IF($J48="","",(S48-Z48)/I48*100)</f>
      </c>
      <c r="U48" s="4">
        <f>IF($J48="","",L48-R48)</f>
      </c>
      <c r="AA48" s="4">
        <f>IF($J48="","",S48-Z48)</f>
      </c>
    </row>
    <row r="49" spans="1:32" x14ac:dyDescent="0.25">
      <c r="A49" s="8"/>
      <c r="D49" s="9"/>
      <c r="I49" s="4"/>
      <c r="J49" s="4"/>
      <c r="K49" s="4">
        <f>IF($J49="","",J49-I49)</f>
      </c>
      <c r="L49" s="4">
        <f>IF($J49="","",K49*16.67%)</f>
      </c>
      <c r="M49" s="4">
        <f>IF($J49="","",J49*7%)</f>
      </c>
      <c r="N49" s="4">
        <f>IF($J49="","",M49*20%)</f>
      </c>
      <c r="O49" s="4"/>
      <c r="P49" s="4">
        <f>IF($J49="","",O49*20%)</f>
      </c>
      <c r="Q49" s="4">
        <v>1</v>
      </c>
      <c r="R49" s="4">
        <f>IF($J49="","",N49+P49)</f>
      </c>
      <c r="S49" s="4">
        <f>IF($J49="","",K49-L49-M49-N49-O49-P49-Q49)</f>
      </c>
      <c r="T49" s="4">
        <f>IF($J49="","",(S49-Z49)/I49*100)</f>
      </c>
      <c r="U49" s="4">
        <f>IF($J49="","",L49-R49)</f>
      </c>
      <c r="AA49" s="4">
        <f>IF($J49="","",S49-Z49)</f>
      </c>
    </row>
    <row r="50" spans="1:32" x14ac:dyDescent="0.25">
      <c r="A50" s="8"/>
      <c r="D50" s="9"/>
      <c r="I50" s="4"/>
      <c r="J50" s="4"/>
      <c r="K50" s="4">
        <f>IF($J50="","",J50-I50)</f>
      </c>
      <c r="L50" s="4">
        <f>IF($J50="","",K50*16.67%)</f>
      </c>
      <c r="M50" s="4">
        <f>IF($J50="","",J50*7%)</f>
      </c>
      <c r="N50" s="4">
        <f>IF($J50="","",M50*20%)</f>
      </c>
      <c r="O50" s="4"/>
      <c r="P50" s="4">
        <f>IF($J50="","",O50*20%)</f>
      </c>
      <c r="Q50" s="4">
        <v>1</v>
      </c>
      <c r="R50" s="4">
        <f>IF($J50="","",N50+P50)</f>
      </c>
      <c r="S50" s="4">
        <f>IF($J50="","",K50-L50-M50-N50-O50-P50-Q50)</f>
      </c>
      <c r="T50" s="4">
        <f>IF($J50="","",(S50-Z50)/I50*100)</f>
      </c>
      <c r="U50" s="4">
        <f>IF($J50="","",L50-R50)</f>
      </c>
      <c r="AA50" s="4">
        <f>IF($J50="","",S50-Z50)</f>
      </c>
    </row>
    <row r="51" spans="1:32" x14ac:dyDescent="0.25">
      <c r="A51" s="8"/>
      <c r="D51" s="9"/>
      <c r="I51" s="4"/>
      <c r="J51" s="4"/>
      <c r="K51" s="4">
        <f>IF($J51="","",J51-I51)</f>
      </c>
      <c r="L51" s="4">
        <f>IF($J51="","",K51*16.67%)</f>
      </c>
      <c r="M51" s="4">
        <f>IF($J51="","",J51*7%)</f>
      </c>
      <c r="N51" s="4">
        <f>IF($J51="","",M51*20%)</f>
      </c>
      <c r="O51" s="4"/>
      <c r="P51" s="4">
        <f>IF($J51="","",O51*20%)</f>
      </c>
      <c r="Q51" s="4">
        <v>1</v>
      </c>
      <c r="R51" s="4">
        <f>IF($J51="","",N51+P51)</f>
      </c>
      <c r="S51" s="4">
        <f>IF($J51="","",K51-L51-M51-N51-O51-P51-Q51)</f>
      </c>
      <c r="T51" s="4">
        <f>IF($J51="","",(S51-Z51)/I51*100)</f>
      </c>
      <c r="U51" s="4">
        <f>IF($J51="","",L51-R51)</f>
      </c>
      <c r="AA51" s="4">
        <f>IF($J51="","",S51-Z51)</f>
      </c>
    </row>
    <row r="52" spans="1:32" x14ac:dyDescent="0.25">
      <c r="A52" s="8"/>
      <c r="D52" s="9"/>
      <c r="I52" s="4"/>
      <c r="J52" s="4"/>
      <c r="K52" s="4">
        <f>IF($J52="","",J52-I52)</f>
      </c>
      <c r="L52" s="4">
        <f>IF($J52="","",K52*16.67%)</f>
      </c>
      <c r="M52" s="4">
        <f>IF($J52="","",J52*7%)</f>
      </c>
      <c r="N52" s="4">
        <f>IF($J52="","",M52*20%)</f>
      </c>
      <c r="O52" s="4"/>
      <c r="P52" s="4">
        <f>IF($J52="","",O52*20%)</f>
      </c>
      <c r="Q52" s="4">
        <v>1</v>
      </c>
      <c r="R52" s="4">
        <f>IF($J52="","",N52+P52)</f>
      </c>
      <c r="S52" s="4">
        <f>IF($J52="","",K52-L52-M52-N52-O52-P52-Q52)</f>
      </c>
      <c r="T52" s="4">
        <f>IF($J52="","",(S52-Z52)/I52*100)</f>
      </c>
      <c r="U52" s="4">
        <f>IF($J52="","",L52-R52)</f>
      </c>
      <c r="AA52" s="4">
        <f>IF($J52="","",S52-Z52)</f>
      </c>
    </row>
    <row r="53" spans="1:32" x14ac:dyDescent="0.25">
      <c r="A53" s="8"/>
      <c r="D53" s="9"/>
      <c r="I53" s="4"/>
      <c r="J53" s="4"/>
      <c r="K53" s="4">
        <f>IF($J53="","",J53-I53)</f>
      </c>
      <c r="L53" s="4">
        <f>IF($J53="","",K53*16.67%)</f>
      </c>
      <c r="M53" s="4">
        <f>IF($J53="","",J53*7%)</f>
      </c>
      <c r="N53" s="4">
        <f>IF($J53="","",M53*20%)</f>
      </c>
      <c r="O53" s="4"/>
      <c r="P53" s="4">
        <f>IF($J53="","",O53*20%)</f>
      </c>
      <c r="Q53" s="4">
        <v>1</v>
      </c>
      <c r="R53" s="4">
        <f>IF($J53="","",N53+P53)</f>
      </c>
      <c r="S53" s="4">
        <f>IF($J53="","",K53-L53-M53-N53-O53-P53-Q53)</f>
      </c>
      <c r="T53" s="4">
        <f>IF($J53="","",(S53-Z53)/I53*100)</f>
      </c>
      <c r="U53" s="4">
        <f>IF($J53="","",L53-R53)</f>
      </c>
      <c r="AA53" s="4">
        <f>IF($J53="","",S53-Z53)</f>
      </c>
    </row>
    <row r="54" spans="1:32" x14ac:dyDescent="0.25">
      <c r="A54" s="8"/>
      <c r="D54" s="9"/>
      <c r="I54" s="4"/>
      <c r="J54" s="4"/>
      <c r="K54" s="4">
        <f>IF($J54="","",J54-I54)</f>
      </c>
      <c r="L54" s="4">
        <f>IF($J54="","",K54*16.67%)</f>
      </c>
      <c r="M54" s="4">
        <f>IF($J54="","",J54*7%)</f>
      </c>
      <c r="N54" s="4">
        <f>IF($J54="","",M54*20%)</f>
      </c>
      <c r="O54" s="4"/>
      <c r="P54" s="4">
        <f>IF($J54="","",O54*20%)</f>
      </c>
      <c r="Q54" s="4">
        <v>1</v>
      </c>
      <c r="R54" s="4">
        <f>IF($J54="","",N54+P54)</f>
      </c>
      <c r="S54" s="4">
        <f>IF($J54="","",K54-L54-M54-N54-O54-P54-Q54)</f>
      </c>
      <c r="T54" s="4">
        <f>IF($J54="","",(S54-Z54)/I54*100)</f>
      </c>
      <c r="U54" s="4">
        <f>IF($J54="","",L54-R54)</f>
      </c>
      <c r="AA54" s="4">
        <f>IF($J54="","",S54-Z54)</f>
      </c>
    </row>
    <row r="55" spans="1:32" x14ac:dyDescent="0.25">
      <c r="A55" s="8"/>
      <c r="D55" s="9"/>
      <c r="I55" s="4"/>
      <c r="J55" s="4"/>
      <c r="K55" s="4">
        <f>IF($J55="","",J55-I55)</f>
      </c>
      <c r="L55" s="4">
        <f>IF($J55="","",K55*16.67%)</f>
      </c>
      <c r="M55" s="4">
        <f>IF($J55="","",J55*7%)</f>
      </c>
      <c r="N55" s="4">
        <f>IF($J55="","",M55*20%)</f>
      </c>
      <c r="O55" s="4"/>
      <c r="P55" s="4">
        <f>IF($J55="","",O55*20%)</f>
      </c>
      <c r="Q55" s="4">
        <v>1</v>
      </c>
      <c r="R55" s="4">
        <f>IF($J55="","",N55+P55)</f>
      </c>
      <c r="S55" s="4">
        <f>IF($J55="","",K55-L55-M55-N55-O55-P55-Q55)</f>
      </c>
      <c r="T55" s="4">
        <f>IF($J55="","",(S55-Z55)/I55*100)</f>
      </c>
      <c r="U55" s="4">
        <f>IF($J55="","",L55-R55)</f>
      </c>
      <c r="AA55" s="4">
        <f>IF($J55="","",S55-Z55)</f>
      </c>
    </row>
    <row r="56" spans="1:32" x14ac:dyDescent="0.25">
      <c r="A56" s="8"/>
      <c r="D56" s="9"/>
      <c r="I56" s="4"/>
      <c r="J56" s="4"/>
      <c r="K56" s="4">
        <f>IF($J56="","",J56-I56)</f>
      </c>
      <c r="L56" s="4">
        <f>IF($J56="","",K56*16.67%)</f>
      </c>
      <c r="M56" s="4">
        <f>IF($J56="","",J56*7%)</f>
      </c>
      <c r="N56" s="4">
        <f>IF($J56="","",M56*20%)</f>
      </c>
      <c r="O56" s="4"/>
      <c r="P56" s="4">
        <f>IF($J56="","",O56*20%)</f>
      </c>
      <c r="Q56" s="4">
        <v>1</v>
      </c>
      <c r="R56" s="4">
        <f>IF($J56="","",N56+P56)</f>
      </c>
      <c r="S56" s="4">
        <f>IF($J56="","",K56-L56-M56-N56-O56-P56-Q56)</f>
      </c>
      <c r="T56" s="4">
        <f>IF($J56="","",(S56-Z56)/I56*100)</f>
      </c>
      <c r="U56" s="4">
        <f>IF($J56="","",L56-R56)</f>
      </c>
      <c r="AA56" s="4">
        <f>IF($J56="","",S56-Z56)</f>
      </c>
    </row>
    <row r="57" spans="1:32" x14ac:dyDescent="0.25">
      <c r="A57" s="8"/>
      <c r="D57" s="9"/>
      <c r="I57" s="4"/>
      <c r="J57" s="4"/>
      <c r="K57" s="4">
        <f>IF($J57="","",J57-I57)</f>
      </c>
      <c r="L57" s="4">
        <f>IF($J57="","",K57*16.67%)</f>
      </c>
      <c r="M57" s="4">
        <f>IF($J57="","",J57*7%)</f>
      </c>
      <c r="N57" s="4">
        <f>IF($J57="","",M57*20%)</f>
      </c>
      <c r="O57" s="4"/>
      <c r="P57" s="4">
        <f>IF($J57="","",O57*20%)</f>
      </c>
      <c r="Q57" s="4">
        <v>1</v>
      </c>
      <c r="R57" s="4">
        <f>IF($J57="","",N57+P57)</f>
      </c>
      <c r="S57" s="4">
        <f>IF($J57="","",K57-L57-M57-N57-O57-P57-Q57)</f>
      </c>
      <c r="T57" s="4">
        <f>IF($J57="","",(S57-Z57)/I57*100)</f>
      </c>
      <c r="U57" s="4">
        <f>IF($J57="","",L57-R57)</f>
      </c>
      <c r="AA57" s="4">
        <f>IF($J57="","",S57-Z57)</f>
      </c>
    </row>
    <row r="58" spans="1:32" x14ac:dyDescent="0.25">
      <c r="A58" s="8"/>
      <c r="D58" s="9"/>
      <c r="I58" s="4"/>
      <c r="J58" s="4"/>
      <c r="K58" s="4">
        <f>IF($J58="","",J58-I58)</f>
      </c>
      <c r="L58" s="4">
        <f>IF($J58="","",K58*16.67%)</f>
      </c>
      <c r="M58" s="4">
        <f>IF($J58="","",J58*7%)</f>
      </c>
      <c r="N58" s="4">
        <f>IF($J58="","",M58*20%)</f>
      </c>
      <c r="O58" s="4"/>
      <c r="P58" s="4">
        <f>IF($J58="","",O58*20%)</f>
      </c>
      <c r="Q58" s="4">
        <v>1</v>
      </c>
      <c r="R58" s="4">
        <f>IF($J58="","",N58+P58)</f>
      </c>
      <c r="S58" s="4">
        <f>IF($J58="","",K58-L58-M58-N58-O58-P58-Q58)</f>
      </c>
      <c r="T58" s="4">
        <f>IF($J58="","",(S58-Z58)/I58*100)</f>
      </c>
      <c r="U58" s="4">
        <f>IF($J58="","",L58-R58)</f>
      </c>
      <c r="AA58" s="4">
        <f>IF($J58="","",S58-Z58)</f>
      </c>
    </row>
    <row r="59" spans="1:32" x14ac:dyDescent="0.25">
      <c r="A59" s="8"/>
      <c r="D59" s="9"/>
      <c r="I59" s="4"/>
      <c r="J59" s="4"/>
      <c r="K59" s="4">
        <f>IF($J59="","",J59-I59)</f>
      </c>
      <c r="L59" s="4">
        <f>IF($J59="","",K59*16.67%)</f>
      </c>
      <c r="M59" s="4">
        <f>IF($J59="","",J59*7%)</f>
      </c>
      <c r="N59" s="4">
        <f>IF($J59="","",M59*20%)</f>
      </c>
      <c r="O59" s="4"/>
      <c r="P59" s="4">
        <f>IF($J59="","",O59*20%)</f>
      </c>
      <c r="Q59" s="4">
        <v>1</v>
      </c>
      <c r="R59" s="4">
        <f>IF($J59="","",N59+P59)</f>
      </c>
      <c r="S59" s="4">
        <f>IF($J59="","",K59-L59-M59-N59-O59-P59-Q59)</f>
      </c>
      <c r="T59" s="4">
        <f>IF($J59="","",(S59-Z59)/I59*100)</f>
      </c>
      <c r="U59" s="4">
        <f>IF($J59="","",L59-R59)</f>
      </c>
      <c r="AA59" s="4">
        <f>IF($J59="","",S59-Z59)</f>
      </c>
    </row>
    <row r="60" spans="1:32" x14ac:dyDescent="0.25">
      <c r="A60" s="8"/>
      <c r="D60" s="9"/>
      <c r="I60" s="4"/>
      <c r="J60" s="4"/>
      <c r="K60" s="4">
        <f>IF($J60="","",J60-I60)</f>
      </c>
      <c r="L60" s="4">
        <f>IF($J60="","",K60*16.67%)</f>
      </c>
      <c r="M60" s="4">
        <f>IF($J60="","",J60*7%)</f>
      </c>
      <c r="N60" s="4">
        <f>IF($J60="","",M60*20%)</f>
      </c>
      <c r="O60" s="4"/>
      <c r="P60" s="4">
        <f>IF($J60="","",O60*20%)</f>
      </c>
      <c r="Q60" s="4">
        <v>1</v>
      </c>
      <c r="R60" s="4">
        <f>IF($J60="","",N60+P60)</f>
      </c>
      <c r="S60" s="4">
        <f>IF($J60="","",K60-L60-M60-N60-O60-P60-Q60)</f>
      </c>
      <c r="T60" s="4">
        <f>IF($J60="","",(S60-Z60)/I60*100)</f>
      </c>
      <c r="U60" s="4">
        <f>IF($J60="","",L60-R60)</f>
      </c>
      <c r="AA60" s="4">
        <f>IF($J60="","",S60-Z60)</f>
      </c>
    </row>
    <row r="61" spans="1:32" x14ac:dyDescent="0.25">
      <c r="A61" s="8"/>
      <c r="D61" s="9"/>
      <c r="I61" s="4"/>
      <c r="J61" s="4"/>
      <c r="K61" s="4">
        <f>IF($J61="","",J61-I61)</f>
      </c>
      <c r="L61" s="4">
        <f>IF($J61="","",K61*16.67%)</f>
      </c>
      <c r="M61" s="4">
        <f>IF($J61="","",J61*7%)</f>
      </c>
      <c r="N61" s="4">
        <f>IF($J61="","",M61*20%)</f>
      </c>
      <c r="O61" s="4"/>
      <c r="P61" s="4">
        <f>IF($J61="","",O61*20%)</f>
      </c>
      <c r="Q61" s="4">
        <v>1</v>
      </c>
      <c r="R61" s="4">
        <f>IF($J61="","",N61+P61)</f>
      </c>
      <c r="S61" s="4">
        <f>IF($J61="","",K61-L61-M61-N61-O61-P61-Q61)</f>
      </c>
      <c r="T61" s="4">
        <f>IF($J61="","",(S61-Z61)/I61*100)</f>
      </c>
      <c r="U61" s="4">
        <f>IF($J61="","",L61-R61)</f>
      </c>
      <c r="AA61" s="4">
        <f>IF($J61="","",S61-Z61)</f>
      </c>
    </row>
    <row r="62" spans="1:32" x14ac:dyDescent="0.25">
      <c r="A62" s="8"/>
      <c r="D62" s="9"/>
      <c r="I62" s="4"/>
      <c r="J62" s="4"/>
      <c r="K62" s="4">
        <f>IF($J62="","",J62-I62)</f>
      </c>
      <c r="L62" s="4">
        <f>IF($J62="","",K62*16.67%)</f>
      </c>
      <c r="M62" s="4">
        <f>IF($J62="","",J62*7%)</f>
      </c>
      <c r="N62" s="4">
        <f>IF($J62="","",M62*20%)</f>
      </c>
      <c r="O62" s="4"/>
      <c r="P62" s="4">
        <f>IF($J62="","",O62*20%)</f>
      </c>
      <c r="Q62" s="4">
        <v>1</v>
      </c>
      <c r="R62" s="4">
        <f>IF($J62="","",N62+P62)</f>
      </c>
      <c r="S62" s="4">
        <f>IF($J62="","",K62-L62-M62-N62-O62-P62-Q62)</f>
      </c>
      <c r="T62" s="4">
        <f>IF($J62="","",(S62-Z62)/I62*100)</f>
      </c>
      <c r="U62" s="4">
        <f>IF($J62="","",L62-R62)</f>
      </c>
      <c r="AA62" s="4">
        <f>IF($J62="","",S62-Z62)</f>
      </c>
    </row>
    <row r="63" spans="1:32" x14ac:dyDescent="0.25">
      <c r="A63" s="8"/>
      <c r="D63" s="9"/>
      <c r="I63" s="4"/>
      <c r="J63" s="4"/>
      <c r="K63" s="4">
        <f>IF($J63="","",J63-I63)</f>
      </c>
      <c r="L63" s="4">
        <f>IF($J63="","",K63*16.67%)</f>
      </c>
      <c r="M63" s="4">
        <f>IF($J63="","",J63*7%)</f>
      </c>
      <c r="N63" s="4">
        <f>IF($J63="","",M63*20%)</f>
      </c>
      <c r="O63" s="4"/>
      <c r="P63" s="4">
        <f>IF($J63="","",O63*20%)</f>
      </c>
      <c r="Q63" s="4">
        <v>1</v>
      </c>
      <c r="R63" s="4">
        <f>IF($J63="","",N63+P63)</f>
      </c>
      <c r="S63" s="4">
        <f>IF($J63="","",K63-L63-M63-N63-O63-P63-Q63)</f>
      </c>
      <c r="T63" s="4">
        <f>IF($J63="","",(S63-Z63)/I63*100)</f>
      </c>
      <c r="U63" s="4">
        <f>IF($J63="","",L63-R63)</f>
      </c>
      <c r="AA63" s="4">
        <f>IF($J63="","",S63-Z63)</f>
      </c>
    </row>
    <row r="64" spans="1:32" x14ac:dyDescent="0.25">
      <c r="A64" s="8"/>
      <c r="D64" s="9"/>
      <c r="I64" s="4"/>
      <c r="J64" s="4"/>
      <c r="K64" s="4">
        <f>IF($J64="","",J64-I64)</f>
      </c>
      <c r="L64" s="4">
        <f>IF($J64="","",K64*16.67%)</f>
      </c>
      <c r="M64" s="4">
        <f>IF($J64="","",J64*7%)</f>
      </c>
      <c r="N64" s="4">
        <f>IF($J64="","",M64*20%)</f>
      </c>
      <c r="O64" s="4"/>
      <c r="P64" s="4">
        <f>IF($J64="","",O64*20%)</f>
      </c>
      <c r="Q64" s="4">
        <v>1</v>
      </c>
      <c r="R64" s="4">
        <f>IF($J64="","",N64+P64)</f>
      </c>
      <c r="S64" s="4">
        <f>IF($J64="","",K64-L64-M64-N64-O64-P64-Q64)</f>
      </c>
      <c r="T64" s="4">
        <f>IF($J64="","",(S64-Z64)/I64*100)</f>
      </c>
      <c r="U64" s="4">
        <f>IF($J64="","",L64-R64)</f>
      </c>
      <c r="AA64" s="4">
        <f>IF($J64="","",S64-Z64)</f>
      </c>
    </row>
    <row r="65" spans="1:32" x14ac:dyDescent="0.25">
      <c r="A65" s="8"/>
      <c r="D65" s="9"/>
      <c r="I65" s="4"/>
      <c r="J65" s="4"/>
      <c r="K65" s="4">
        <f>IF($J65="","",J65-I65)</f>
      </c>
      <c r="L65" s="4">
        <f>IF($J65="","",K65*16.67%)</f>
      </c>
      <c r="M65" s="4">
        <f>IF($J65="","",J65*7%)</f>
      </c>
      <c r="N65" s="4">
        <f>IF($J65="","",M65*20%)</f>
      </c>
      <c r="O65" s="4"/>
      <c r="P65" s="4">
        <f>IF($J65="","",O65*20%)</f>
      </c>
      <c r="Q65" s="4">
        <v>1</v>
      </c>
      <c r="R65" s="4">
        <f>IF($J65="","",N65+P65)</f>
      </c>
      <c r="S65" s="4">
        <f>IF($J65="","",K65-L65-M65-N65-O65-P65-Q65)</f>
      </c>
      <c r="T65" s="4">
        <f>IF($J65="","",(S65-Z65)/I65*100)</f>
      </c>
      <c r="U65" s="4">
        <f>IF($J65="","",L65-R65)</f>
      </c>
      <c r="AA65" s="4">
        <f>IF($J65="","",S65-Z65)</f>
      </c>
    </row>
    <row r="66" spans="1:32" x14ac:dyDescent="0.25">
      <c r="A66" s="8"/>
      <c r="D66" s="9"/>
      <c r="I66" s="4"/>
      <c r="J66" s="4"/>
      <c r="K66" s="4">
        <f>IF($J66="","",J66-I66)</f>
      </c>
      <c r="L66" s="4">
        <f>IF($J66="","",K66*16.67%)</f>
      </c>
      <c r="M66" s="4">
        <f>IF($J66="","",J66*7%)</f>
      </c>
      <c r="N66" s="4">
        <f>IF($J66="","",M66*20%)</f>
      </c>
      <c r="O66" s="4"/>
      <c r="P66" s="4">
        <f>IF($J66="","",O66*20%)</f>
      </c>
      <c r="Q66" s="4">
        <v>1</v>
      </c>
      <c r="R66" s="4">
        <f>IF($J66="","",N66+P66)</f>
      </c>
      <c r="S66" s="4">
        <f>IF($J66="","",K66-L66-M66-N66-O66-P66-Q66)</f>
      </c>
      <c r="T66" s="4">
        <f>IF($J66="","",(S66-Z66)/I66*100)</f>
      </c>
      <c r="U66" s="4">
        <f>IF($J66="","",L66-R66)</f>
      </c>
      <c r="AA66" s="4">
        <f>IF($J66="","",S66-Z66)</f>
      </c>
    </row>
    <row r="67" spans="1:32" x14ac:dyDescent="0.25">
      <c r="A67" s="8"/>
      <c r="D67" s="9"/>
      <c r="I67" s="4"/>
      <c r="J67" s="4"/>
      <c r="K67" s="4">
        <f>IF($J67="","",J67-I67)</f>
      </c>
      <c r="L67" s="4">
        <f>IF($J67="","",K67*16.67%)</f>
      </c>
      <c r="M67" s="4">
        <f>IF($J67="","",J67*7%)</f>
      </c>
      <c r="N67" s="4">
        <f>IF($J67="","",M67*20%)</f>
      </c>
      <c r="O67" s="4"/>
      <c r="P67" s="4">
        <f>IF($J67="","",O67*20%)</f>
      </c>
      <c r="Q67" s="4">
        <v>1</v>
      </c>
      <c r="R67" s="4">
        <f>IF($J67="","",N67+P67)</f>
      </c>
      <c r="S67" s="4">
        <f>IF($J67="","",K67-L67-M67-N67-O67-P67-Q67)</f>
      </c>
      <c r="T67" s="4">
        <f>IF($J67="","",(S67-Z67)/I67*100)</f>
      </c>
      <c r="U67" s="4">
        <f>IF($J67="","",L67-R67)</f>
      </c>
      <c r="AA67" s="4">
        <f>IF($J67="","",S67-Z67)</f>
      </c>
    </row>
    <row r="68" spans="1:32" x14ac:dyDescent="0.25">
      <c r="A68" s="8"/>
      <c r="D68" s="9"/>
      <c r="I68" s="4"/>
      <c r="J68" s="4"/>
      <c r="K68" s="4">
        <f>IF($J68="","",J68-I68)</f>
      </c>
      <c r="L68" s="4">
        <f>IF($J68="","",K68*16.67%)</f>
      </c>
      <c r="M68" s="4">
        <f>IF($J68="","",J68*7%)</f>
      </c>
      <c r="N68" s="4">
        <f>IF($J68="","",M68*20%)</f>
      </c>
      <c r="O68" s="4"/>
      <c r="P68" s="4">
        <f>IF($J68="","",O68*20%)</f>
      </c>
      <c r="Q68" s="4">
        <v>1</v>
      </c>
      <c r="R68" s="4">
        <f>IF($J68="","",N68+P68)</f>
      </c>
      <c r="S68" s="4">
        <f>IF($J68="","",K68-L68-M68-N68-O68-P68-Q68)</f>
      </c>
      <c r="T68" s="4">
        <f>IF($J68="","",(S68-Z68)/I68*100)</f>
      </c>
      <c r="U68" s="4">
        <f>IF($J68="","",L68-R68)</f>
      </c>
      <c r="AA68" s="4">
        <f>IF($J68="","",S68-Z68)</f>
      </c>
    </row>
    <row r="69" spans="1:32" x14ac:dyDescent="0.25">
      <c r="A69" s="8"/>
      <c r="D69" s="9"/>
      <c r="I69" s="4"/>
      <c r="J69" s="4"/>
      <c r="K69" s="4">
        <f>IF($J69="","",J69-I69)</f>
      </c>
      <c r="L69" s="4">
        <f>IF($J69="","",K69*16.67%)</f>
      </c>
      <c r="M69" s="4">
        <f>IF($J69="","",J69*7%)</f>
      </c>
      <c r="N69" s="4">
        <f>IF($J69="","",M69*20%)</f>
      </c>
      <c r="O69" s="4"/>
      <c r="P69" s="4">
        <f>IF($J69="","",O69*20%)</f>
      </c>
      <c r="Q69" s="4">
        <v>1</v>
      </c>
      <c r="R69" s="4">
        <f>IF($J69="","",N69+P69)</f>
      </c>
      <c r="S69" s="4">
        <f>IF($J69="","",K69-L69-M69-N69-O69-P69-Q69)</f>
      </c>
      <c r="T69" s="4">
        <f>IF($J69="","",(S69-Z69)/I69*100)</f>
      </c>
      <c r="U69" s="4">
        <f>IF($J69="","",L69-R69)</f>
      </c>
      <c r="AA69" s="4">
        <f>IF($J69="","",S69-Z69)</f>
      </c>
    </row>
    <row r="70" spans="1:32" x14ac:dyDescent="0.25">
      <c r="A70" s="8"/>
      <c r="D70" s="9"/>
      <c r="I70" s="4"/>
      <c r="J70" s="4"/>
      <c r="K70" s="4">
        <f>IF($J70="","",J70-I70)</f>
      </c>
      <c r="L70" s="4">
        <f>IF($J70="","",K70*16.67%)</f>
      </c>
      <c r="M70" s="4">
        <f>IF($J70="","",J70*7%)</f>
      </c>
      <c r="N70" s="4">
        <f>IF($J70="","",M70*20%)</f>
      </c>
      <c r="O70" s="4"/>
      <c r="P70" s="4">
        <f>IF($J70="","",O70*20%)</f>
      </c>
      <c r="Q70" s="4">
        <v>1</v>
      </c>
      <c r="R70" s="4">
        <f>IF($J70="","",N70+P70)</f>
      </c>
      <c r="S70" s="4">
        <f>IF($J70="","",K70-L70-M70-N70-O70-P70-Q70)</f>
      </c>
      <c r="T70" s="4">
        <f>IF($J70="","",(S70-Z70)/I70*100)</f>
      </c>
      <c r="U70" s="4">
        <f>IF($J70="","",L70-R70)</f>
      </c>
      <c r="AA70" s="4">
        <f>IF($J70="","",S70-Z70)</f>
      </c>
    </row>
    <row r="71" spans="1:32" x14ac:dyDescent="0.25">
      <c r="A71" s="8"/>
      <c r="D71" s="9"/>
      <c r="I71" s="4"/>
      <c r="J71" s="4"/>
      <c r="K71" s="4">
        <f>IF($J71="","",J71-I71)</f>
      </c>
      <c r="L71" s="4">
        <f>IF($J71="","",K71*16.67%)</f>
      </c>
      <c r="M71" s="4">
        <f>IF($J71="","",J71*7%)</f>
      </c>
      <c r="N71" s="4">
        <f>IF($J71="","",M71*20%)</f>
      </c>
      <c r="O71" s="4"/>
      <c r="P71" s="4">
        <f>IF($J71="","",O71*20%)</f>
      </c>
      <c r="Q71" s="4">
        <v>1</v>
      </c>
      <c r="R71" s="4">
        <f>IF($J71="","",N71+P71)</f>
      </c>
      <c r="S71" s="4">
        <f>IF($J71="","",K71-L71-M71-N71-O71-P71-Q71)</f>
      </c>
      <c r="T71" s="4">
        <f>IF($J71="","",(S71-Z71)/I71*100)</f>
      </c>
      <c r="U71" s="4">
        <f>IF($J71="","",L71-R71)</f>
      </c>
      <c r="AA71" s="4">
        <f>IF($J71="","",S71-Z71)</f>
      </c>
    </row>
    <row r="72" spans="1:32" x14ac:dyDescent="0.25">
      <c r="A72" s="8"/>
      <c r="D72" s="9"/>
      <c r="I72" s="4"/>
      <c r="J72" s="4"/>
      <c r="K72" s="4">
        <f>IF($J72="","",J72-I72)</f>
      </c>
      <c r="L72" s="4">
        <f>IF($J72="","",K72*16.67%)</f>
      </c>
      <c r="M72" s="4">
        <f>IF($J72="","",J72*7%)</f>
      </c>
      <c r="N72" s="4">
        <f>IF($J72="","",M72*20%)</f>
      </c>
      <c r="O72" s="4"/>
      <c r="P72" s="4">
        <f>IF($J72="","",O72*20%)</f>
      </c>
      <c r="Q72" s="4">
        <v>1</v>
      </c>
      <c r="R72" s="4">
        <f>IF($J72="","",N72+P72)</f>
      </c>
      <c r="S72" s="4">
        <f>IF($J72="","",K72-L72-M72-N72-O72-P72-Q72)</f>
      </c>
      <c r="T72" s="4">
        <f>IF($J72="","",(S72-Z72)/I72*100)</f>
      </c>
      <c r="U72" s="4">
        <f>IF($J72="","",L72-R72)</f>
      </c>
      <c r="AA72" s="4">
        <f>IF($J72="","",S72-Z72)</f>
      </c>
    </row>
    <row r="73" spans="1:32" x14ac:dyDescent="0.25">
      <c r="A73" s="8"/>
      <c r="D73" s="9"/>
      <c r="I73" s="4"/>
      <c r="J73" s="4"/>
      <c r="K73" s="4">
        <f>IF($J73="","",J73-I73)</f>
      </c>
      <c r="L73" s="4">
        <f>IF($J73="","",K73*16.67%)</f>
      </c>
      <c r="M73" s="4">
        <f>IF($J73="","",J73*7%)</f>
      </c>
      <c r="N73" s="4">
        <f>IF($J73="","",M73*20%)</f>
      </c>
      <c r="O73" s="4"/>
      <c r="P73" s="4">
        <f>IF($J73="","",O73*20%)</f>
      </c>
      <c r="Q73" s="4">
        <v>1</v>
      </c>
      <c r="R73" s="4">
        <f>IF($J73="","",N73+P73)</f>
      </c>
      <c r="S73" s="4">
        <f>IF($J73="","",K73-L73-M73-N73-O73-P73-Q73)</f>
      </c>
      <c r="T73" s="4">
        <f>IF($J73="","",(S73-Z73)/I73*100)</f>
      </c>
      <c r="U73" s="4">
        <f>IF($J73="","",L73-R73)</f>
      </c>
      <c r="AA73" s="4">
        <f>IF($J73="","",S73-Z73)</f>
      </c>
    </row>
    <row r="74" spans="1:32" x14ac:dyDescent="0.25">
      <c r="A74" s="8"/>
      <c r="D74" s="9"/>
      <c r="I74" s="4"/>
      <c r="J74" s="4"/>
      <c r="K74" s="4">
        <f>IF($J74="","",J74-I74)</f>
      </c>
      <c r="L74" s="4">
        <f>IF($J74="","",K74*16.67%)</f>
      </c>
      <c r="M74" s="4">
        <f>IF($J74="","",J74*7%)</f>
      </c>
      <c r="N74" s="4">
        <f>IF($J74="","",M74*20%)</f>
      </c>
      <c r="O74" s="4"/>
      <c r="P74" s="4">
        <f>IF($J74="","",O74*20%)</f>
      </c>
      <c r="Q74" s="4">
        <v>1</v>
      </c>
      <c r="R74" s="4">
        <f>IF($J74="","",N74+P74)</f>
      </c>
      <c r="S74" s="4">
        <f>IF($J74="","",K74-L74-M74-N74-O74-P74-Q74)</f>
      </c>
      <c r="T74" s="4">
        <f>IF($J74="","",(S74-Z74)/I74*100)</f>
      </c>
      <c r="U74" s="4">
        <f>IF($J74="","",L74-R74)</f>
      </c>
      <c r="AA74" s="4">
        <f>IF($J74="","",S74-Z74)</f>
      </c>
    </row>
    <row r="75" spans="1:32" x14ac:dyDescent="0.25">
      <c r="A75" s="8"/>
      <c r="D75" s="9"/>
      <c r="I75" s="4"/>
      <c r="J75" s="4"/>
      <c r="K75" s="4">
        <f>IF($J75="","",J75-I75)</f>
      </c>
      <c r="L75" s="4">
        <f>IF($J75="","",K75*16.67%)</f>
      </c>
      <c r="M75" s="4">
        <f>IF($J75="","",J75*7%)</f>
      </c>
      <c r="N75" s="4">
        <f>IF($J75="","",M75*20%)</f>
      </c>
      <c r="O75" s="4"/>
      <c r="P75" s="4">
        <f>IF($J75="","",O75*20%)</f>
      </c>
      <c r="Q75" s="4">
        <v>1</v>
      </c>
      <c r="R75" s="4">
        <f>IF($J75="","",N75+P75)</f>
      </c>
      <c r="S75" s="4">
        <f>IF($J75="","",K75-L75-M75-N75-O75-P75-Q75)</f>
      </c>
      <c r="T75" s="4">
        <f>IF($J75="","",(S75-Z75)/I75*100)</f>
      </c>
      <c r="U75" s="4">
        <f>IF($J75="","",L75-R75)</f>
      </c>
      <c r="AA75" s="4">
        <f>IF($J75="","",S75-Z75)</f>
      </c>
    </row>
    <row r="76" spans="1:32" x14ac:dyDescent="0.25">
      <c r="A76" s="8"/>
      <c r="D76" s="9"/>
      <c r="I76" s="4"/>
      <c r="J76" s="4"/>
      <c r="K76" s="4">
        <f>IF($J76="","",J76-I76)</f>
      </c>
      <c r="L76" s="4">
        <f>IF($J76="","",K76*16.67%)</f>
      </c>
      <c r="M76" s="4">
        <f>IF($J76="","",J76*7%)</f>
      </c>
      <c r="N76" s="4">
        <f>IF($J76="","",M76*20%)</f>
      </c>
      <c r="O76" s="4"/>
      <c r="P76" s="4">
        <f>IF($J76="","",O76*20%)</f>
      </c>
      <c r="Q76" s="4">
        <v>1</v>
      </c>
      <c r="R76" s="4">
        <f>IF($J76="","",N76+P76)</f>
      </c>
      <c r="S76" s="4">
        <f>IF($J76="","",K76-L76-M76-N76-O76-P76-Q76)</f>
      </c>
      <c r="T76" s="4">
        <f>IF($J76="","",(S76-Z76)/I76*100)</f>
      </c>
      <c r="U76" s="4">
        <f>IF($J76="","",L76-R76)</f>
      </c>
      <c r="AA76" s="4">
        <f>IF($J76="","",S76-Z76)</f>
      </c>
    </row>
    <row r="77" spans="1:32" x14ac:dyDescent="0.25">
      <c r="A77" s="8"/>
      <c r="D77" s="9"/>
      <c r="I77" s="4"/>
      <c r="J77" s="4"/>
      <c r="K77" s="4">
        <f>IF($J77="","",J77-I77)</f>
      </c>
      <c r="L77" s="4">
        <f>IF($J77="","",K77*16.67%)</f>
      </c>
      <c r="M77" s="4">
        <f>IF($J77="","",J77*7%)</f>
      </c>
      <c r="N77" s="4">
        <f>IF($J77="","",M77*20%)</f>
      </c>
      <c r="O77" s="4"/>
      <c r="P77" s="4">
        <f>IF($J77="","",O77*20%)</f>
      </c>
      <c r="Q77" s="4">
        <v>1</v>
      </c>
      <c r="R77" s="4">
        <f>IF($J77="","",N77+P77)</f>
      </c>
      <c r="S77" s="4">
        <f>IF($J77="","",K77-L77-M77-N77-O77-P77-Q77)</f>
      </c>
      <c r="T77" s="4">
        <f>IF($J77="","",(S77-Z77)/I77*100)</f>
      </c>
      <c r="U77" s="4">
        <f>IF($J77="","",L77-R77)</f>
      </c>
      <c r="AA77" s="4">
        <f>IF($J77="","",S77-Z77)</f>
      </c>
    </row>
    <row r="78" spans="1:32" x14ac:dyDescent="0.25">
      <c r="A78" s="8"/>
      <c r="D78" s="9"/>
      <c r="I78" s="4"/>
      <c r="J78" s="4"/>
      <c r="K78" s="4">
        <f>IF($J78="","",J78-I78)</f>
      </c>
      <c r="L78" s="4">
        <f>IF($J78="","",K78*16.67%)</f>
      </c>
      <c r="M78" s="4">
        <f>IF($J78="","",J78*7%)</f>
      </c>
      <c r="N78" s="4">
        <f>IF($J78="","",M78*20%)</f>
      </c>
      <c r="O78" s="4"/>
      <c r="P78" s="4">
        <f>IF($J78="","",O78*20%)</f>
      </c>
      <c r="Q78" s="4">
        <v>1</v>
      </c>
      <c r="R78" s="4">
        <f>IF($J78="","",N78+P78)</f>
      </c>
      <c r="S78" s="4">
        <f>IF($J78="","",K78-L78-M78-N78-O78-P78-Q78)</f>
      </c>
      <c r="T78" s="4">
        <f>IF($J78="","",(S78-Z78)/I78*100)</f>
      </c>
      <c r="U78" s="4">
        <f>IF($J78="","",L78-R78)</f>
      </c>
      <c r="AA78" s="4">
        <f>IF($J78="","",S78-Z78)</f>
      </c>
    </row>
    <row r="79" spans="1:32" x14ac:dyDescent="0.25">
      <c r="A79" s="8"/>
      <c r="D79" s="9"/>
      <c r="I79" s="4"/>
      <c r="J79" s="4"/>
      <c r="K79" s="4">
        <f>IF($J79="","",J79-I79)</f>
      </c>
      <c r="L79" s="4">
        <f>IF($J79="","",K79*16.67%)</f>
      </c>
      <c r="M79" s="4">
        <f>IF($J79="","",J79*7%)</f>
      </c>
      <c r="N79" s="4">
        <f>IF($J79="","",M79*20%)</f>
      </c>
      <c r="O79" s="4"/>
      <c r="P79" s="4">
        <f>IF($J79="","",O79*20%)</f>
      </c>
      <c r="Q79" s="4">
        <v>1</v>
      </c>
      <c r="R79" s="4">
        <f>IF($J79="","",N79+P79)</f>
      </c>
      <c r="S79" s="4">
        <f>IF($J79="","",K79-L79-M79-N79-O79-P79-Q79)</f>
      </c>
      <c r="T79" s="4">
        <f>IF($J79="","",(S79-Z79)/I79*100)</f>
      </c>
      <c r="U79" s="4">
        <f>IF($J79="","",L79-R79)</f>
      </c>
      <c r="AA79" s="4">
        <f>IF($J79="","",S79-Z79)</f>
      </c>
    </row>
    <row r="80" spans="1:32" x14ac:dyDescent="0.25">
      <c r="A80" s="8"/>
      <c r="D80" s="9"/>
      <c r="I80" s="4"/>
      <c r="J80" s="4"/>
      <c r="K80" s="4">
        <f>IF($J80="","",J80-I80)</f>
      </c>
      <c r="L80" s="4">
        <f>IF($J80="","",K80*16.67%)</f>
      </c>
      <c r="M80" s="4">
        <f>IF($J80="","",J80*7%)</f>
      </c>
      <c r="N80" s="4">
        <f>IF($J80="","",M80*20%)</f>
      </c>
      <c r="O80" s="4"/>
      <c r="P80" s="4">
        <f>IF($J80="","",O80*20%)</f>
      </c>
      <c r="Q80" s="4">
        <v>1</v>
      </c>
      <c r="R80" s="4">
        <f>IF($J80="","",N80+P80)</f>
      </c>
      <c r="S80" s="4">
        <f>IF($J80="","",K80-L80-M80-N80-O80-P80-Q80)</f>
      </c>
      <c r="T80" s="4">
        <f>IF($J80="","",(S80-Z80)/I80*100)</f>
      </c>
      <c r="U80" s="4">
        <f>IF($J80="","",L80-R80)</f>
      </c>
      <c r="AA80" s="4">
        <f>IF($J80="","",S80-Z80)</f>
      </c>
    </row>
    <row r="81" spans="1:32" x14ac:dyDescent="0.25">
      <c r="A81" s="8"/>
      <c r="D81" s="9"/>
      <c r="I81" s="4"/>
      <c r="J81" s="4"/>
      <c r="K81" s="4">
        <f>IF($J81="","",J81-I81)</f>
      </c>
      <c r="L81" s="4">
        <f>IF($J81="","",K81*16.67%)</f>
      </c>
      <c r="M81" s="4">
        <f>IF($J81="","",J81*7%)</f>
      </c>
      <c r="N81" s="4">
        <f>IF($J81="","",M81*20%)</f>
      </c>
      <c r="O81" s="4"/>
      <c r="P81" s="4">
        <f>IF($J81="","",O81*20%)</f>
      </c>
      <c r="Q81" s="4">
        <v>1</v>
      </c>
      <c r="R81" s="4">
        <f>IF($J81="","",N81+P81)</f>
      </c>
      <c r="S81" s="4">
        <f>IF($J81="","",K81-L81-M81-N81-O81-P81-Q81)</f>
      </c>
      <c r="T81" s="4">
        <f>IF($J81="","",(S81-Z81)/I81*100)</f>
      </c>
      <c r="U81" s="4">
        <f>IF($J81="","",L81-R81)</f>
      </c>
      <c r="AA81" s="4">
        <f>IF($J81="","",S81-Z81)</f>
      </c>
    </row>
    <row r="82" spans="1:32" x14ac:dyDescent="0.25">
      <c r="A82" s="8"/>
      <c r="D82" s="9"/>
      <c r="I82" s="4"/>
      <c r="J82" s="4"/>
      <c r="K82" s="4">
        <f>IF($J82="","",J82-I82)</f>
      </c>
      <c r="L82" s="4">
        <f>IF($J82="","",K82*16.67%)</f>
      </c>
      <c r="M82" s="4">
        <f>IF($J82="","",J82*7%)</f>
      </c>
      <c r="N82" s="4">
        <f>IF($J82="","",M82*20%)</f>
      </c>
      <c r="O82" s="4"/>
      <c r="P82" s="4">
        <f>IF($J82="","",O82*20%)</f>
      </c>
      <c r="Q82" s="4">
        <v>1</v>
      </c>
      <c r="R82" s="4">
        <f>IF($J82="","",N82+P82)</f>
      </c>
      <c r="S82" s="4">
        <f>IF($J82="","",K82-L82-M82-N82-O82-P82-Q82)</f>
      </c>
      <c r="T82" s="4">
        <f>IF($J82="","",(S82-Z82)/I82*100)</f>
      </c>
      <c r="U82" s="4">
        <f>IF($J82="","",L82-R82)</f>
      </c>
      <c r="AA82" s="4">
        <f>IF($J82="","",S82-Z82)</f>
      </c>
    </row>
    <row r="83" spans="1:32" x14ac:dyDescent="0.25">
      <c r="A83" s="8"/>
      <c r="D83" s="9"/>
      <c r="I83" s="4"/>
      <c r="J83" s="4"/>
      <c r="K83" s="4">
        <f>IF($J83="","",J83-I83)</f>
      </c>
      <c r="L83" s="4">
        <f>IF($J83="","",K83*16.67%)</f>
      </c>
      <c r="M83" s="4">
        <f>IF($J83="","",J83*7%)</f>
      </c>
      <c r="N83" s="4">
        <f>IF($J83="","",M83*20%)</f>
      </c>
      <c r="O83" s="4"/>
      <c r="P83" s="4">
        <f>IF($J83="","",O83*20%)</f>
      </c>
      <c r="Q83" s="4">
        <v>1</v>
      </c>
      <c r="R83" s="4">
        <f>IF($J83="","",N83+P83)</f>
      </c>
      <c r="S83" s="4">
        <f>IF($J83="","",K83-L83-M83-N83-O83-P83-Q83)</f>
      </c>
      <c r="T83" s="4">
        <f>IF($J83="","",(S83-Z83)/I83*100)</f>
      </c>
      <c r="U83" s="4">
        <f>IF($J83="","",L83-R83)</f>
      </c>
      <c r="AA83" s="4">
        <f>IF($J83="","",S83-Z83)</f>
      </c>
    </row>
    <row r="84" spans="1:32" x14ac:dyDescent="0.25">
      <c r="A84" s="8"/>
      <c r="D84" s="9"/>
      <c r="I84" s="4"/>
      <c r="J84" s="4"/>
      <c r="K84" s="4">
        <f>IF($J84="","",J84-I84)</f>
      </c>
      <c r="L84" s="4">
        <f>IF($J84="","",K84*16.67%)</f>
      </c>
      <c r="M84" s="4">
        <f>IF($J84="","",J84*7%)</f>
      </c>
      <c r="N84" s="4">
        <f>IF($J84="","",M84*20%)</f>
      </c>
      <c r="O84" s="4"/>
      <c r="P84" s="4">
        <f>IF($J84="","",O84*20%)</f>
      </c>
      <c r="Q84" s="4">
        <v>1</v>
      </c>
      <c r="R84" s="4">
        <f>IF($J84="","",N84+P84)</f>
      </c>
      <c r="S84" s="4">
        <f>IF($J84="","",K84-L84-M84-N84-O84-P84-Q84)</f>
      </c>
      <c r="T84" s="4">
        <f>IF($J84="","",(S84-Z84)/I84*100)</f>
      </c>
      <c r="U84" s="4">
        <f>IF($J84="","",L84-R84)</f>
      </c>
      <c r="AA84" s="4">
        <f>IF($J84="","",S84-Z84)</f>
      </c>
    </row>
    <row r="85" spans="1:32" x14ac:dyDescent="0.25">
      <c r="A85" s="8"/>
      <c r="D85" s="9"/>
      <c r="I85" s="4"/>
      <c r="J85" s="4"/>
      <c r="K85" s="4">
        <f>IF($J85="","",J85-I85)</f>
      </c>
      <c r="L85" s="4">
        <f>IF($J85="","",K85*16.67%)</f>
      </c>
      <c r="M85" s="4">
        <f>IF($J85="","",J85*7%)</f>
      </c>
      <c r="N85" s="4">
        <f>IF($J85="","",M85*20%)</f>
      </c>
      <c r="O85" s="4"/>
      <c r="P85" s="4">
        <f>IF($J85="","",O85*20%)</f>
      </c>
      <c r="Q85" s="4">
        <v>1</v>
      </c>
      <c r="R85" s="4">
        <f>IF($J85="","",N85+P85)</f>
      </c>
      <c r="S85" s="4">
        <f>IF($J85="","",K85-L85-M85-N85-O85-P85-Q85)</f>
      </c>
      <c r="T85" s="4">
        <f>IF($J85="","",(S85-Z85)/I85*100)</f>
      </c>
      <c r="U85" s="4">
        <f>IF($J85="","",L85-R85)</f>
      </c>
      <c r="AA85" s="4">
        <f>IF($J85="","",S85-Z85)</f>
      </c>
    </row>
    <row r="86" spans="1:32" x14ac:dyDescent="0.25">
      <c r="A86" s="8"/>
      <c r="D86" s="9"/>
      <c r="I86" s="4"/>
      <c r="J86" s="4"/>
      <c r="K86" s="4">
        <f>IF($J86="","",J86-I86)</f>
      </c>
      <c r="L86" s="4">
        <f>IF($J86="","",K86*16.67%)</f>
      </c>
      <c r="M86" s="4">
        <f>IF($J86="","",J86*7%)</f>
      </c>
      <c r="N86" s="4">
        <f>IF($J86="","",M86*20%)</f>
      </c>
      <c r="O86" s="4"/>
      <c r="P86" s="4">
        <f>IF($J86="","",O86*20%)</f>
      </c>
      <c r="Q86" s="4">
        <v>1</v>
      </c>
      <c r="R86" s="4">
        <f>IF($J86="","",N86+P86)</f>
      </c>
      <c r="S86" s="4">
        <f>IF($J86="","",K86-L86-M86-N86-O86-P86-Q86)</f>
      </c>
      <c r="T86" s="4">
        <f>IF($J86="","",(S86-Z86)/I86*100)</f>
      </c>
      <c r="U86" s="4">
        <f>IF($J86="","",L86-R86)</f>
      </c>
      <c r="AA86" s="4">
        <f>IF($J86="","",S86-Z86)</f>
      </c>
    </row>
    <row r="87" spans="1:32" x14ac:dyDescent="0.25">
      <c r="A87" s="8"/>
      <c r="D87" s="9"/>
      <c r="I87" s="4"/>
      <c r="J87" s="4"/>
      <c r="K87" s="4">
        <f>IF($J87="","",J87-I87)</f>
      </c>
      <c r="L87" s="4">
        <f>IF($J87="","",K87*16.67%)</f>
      </c>
      <c r="M87" s="4">
        <f>IF($J87="","",J87*7%)</f>
      </c>
      <c r="N87" s="4">
        <f>IF($J87="","",M87*20%)</f>
      </c>
      <c r="O87" s="4"/>
      <c r="P87" s="4">
        <f>IF($J87="","",O87*20%)</f>
      </c>
      <c r="Q87" s="4">
        <v>1</v>
      </c>
      <c r="R87" s="4">
        <f>IF($J87="","",N87+P87)</f>
      </c>
      <c r="S87" s="4">
        <f>IF($J87="","",K87-L87-M87-N87-O87-P87-Q87)</f>
      </c>
      <c r="T87" s="4">
        <f>IF($J87="","",(S87-Z87)/I87*100)</f>
      </c>
      <c r="U87" s="4">
        <f>IF($J87="","",L87-R87)</f>
      </c>
      <c r="AA87" s="4">
        <f>IF($J87="","",S87-Z87)</f>
      </c>
    </row>
    <row r="88" spans="1:32" x14ac:dyDescent="0.25">
      <c r="A88" s="8"/>
      <c r="D88" s="9"/>
      <c r="I88" s="4"/>
      <c r="J88" s="4"/>
      <c r="K88" s="4">
        <f>IF($J88="","",J88-I88)</f>
      </c>
      <c r="L88" s="4">
        <f>IF($J88="","",K88*16.67%)</f>
      </c>
      <c r="M88" s="4">
        <f>IF($J88="","",J88*7%)</f>
      </c>
      <c r="N88" s="4">
        <f>IF($J88="","",M88*20%)</f>
      </c>
      <c r="O88" s="4"/>
      <c r="P88" s="4">
        <f>IF($J88="","",O88*20%)</f>
      </c>
      <c r="Q88" s="4">
        <v>1</v>
      </c>
      <c r="R88" s="4">
        <f>IF($J88="","",N88+P88)</f>
      </c>
      <c r="S88" s="4">
        <f>IF($J88="","",K88-L88-M88-N88-O88-P88-Q88)</f>
      </c>
      <c r="T88" s="4">
        <f>IF($J88="","",(S88-Z88)/I88*100)</f>
      </c>
      <c r="U88" s="4">
        <f>IF($J88="","",L88-R88)</f>
      </c>
      <c r="AA88" s="4">
        <f>IF($J88="","",S88-Z88)</f>
      </c>
    </row>
    <row r="89" spans="1:32" x14ac:dyDescent="0.25">
      <c r="A89" s="8"/>
      <c r="D89" s="9"/>
      <c r="I89" s="4"/>
      <c r="J89" s="4"/>
      <c r="K89" s="4">
        <f>IF($J89="","",J89-I89)</f>
      </c>
      <c r="L89" s="4">
        <f>IF($J89="","",K89*16.67%)</f>
      </c>
      <c r="M89" s="4">
        <f>IF($J89="","",J89*7%)</f>
      </c>
      <c r="N89" s="4">
        <f>IF($J89="","",M89*20%)</f>
      </c>
      <c r="O89" s="4"/>
      <c r="P89" s="4">
        <f>IF($J89="","",O89*20%)</f>
      </c>
      <c r="Q89" s="4">
        <v>1</v>
      </c>
      <c r="R89" s="4">
        <f>IF($J89="","",N89+P89)</f>
      </c>
      <c r="S89" s="4">
        <f>IF($J89="","",K89-L89-M89-N89-O89-P89-Q89)</f>
      </c>
      <c r="T89" s="4">
        <f>IF($J89="","",(S89-Z89)/I89*100)</f>
      </c>
      <c r="U89" s="4">
        <f>IF($J89="","",L89-R89)</f>
      </c>
      <c r="AA89" s="4">
        <f>IF($J89="","",S89-Z89)</f>
      </c>
    </row>
    <row r="90" spans="1:32" x14ac:dyDescent="0.25">
      <c r="A90" s="8"/>
      <c r="D90" s="9"/>
      <c r="I90" s="4"/>
      <c r="J90" s="4"/>
      <c r="K90" s="4">
        <f>IF($J90="","",J90-I90)</f>
      </c>
      <c r="L90" s="4">
        <f>IF($J90="","",K90*16.67%)</f>
      </c>
      <c r="M90" s="4">
        <f>IF($J90="","",J90*7%)</f>
      </c>
      <c r="N90" s="4">
        <f>IF($J90="","",M90*20%)</f>
      </c>
      <c r="O90" s="4"/>
      <c r="P90" s="4">
        <f>IF($J90="","",O90*20%)</f>
      </c>
      <c r="Q90" s="4">
        <v>1</v>
      </c>
      <c r="R90" s="4">
        <f>IF($J90="","",N90+P90)</f>
      </c>
      <c r="S90" s="4">
        <f>IF($J90="","",K90-L90-M90-N90-O90-P90-Q90)</f>
      </c>
      <c r="T90" s="4">
        <f>IF($J90="","",(S90-Z90)/I90*100)</f>
      </c>
      <c r="U90" s="4">
        <f>IF($J90="","",L90-R90)</f>
      </c>
      <c r="AA90" s="4">
        <f>IF($J90="","",S90-Z90)</f>
      </c>
    </row>
    <row r="91" spans="1:32" x14ac:dyDescent="0.25">
      <c r="A91" s="8"/>
      <c r="D91" s="9"/>
      <c r="I91" s="4"/>
      <c r="J91" s="4"/>
      <c r="K91" s="4">
        <f>IF($J91="","",J91-I91)</f>
      </c>
      <c r="L91" s="4">
        <f>IF($J91="","",K91*16.67%)</f>
      </c>
      <c r="M91" s="4">
        <f>IF($J91="","",J91*7%)</f>
      </c>
      <c r="N91" s="4">
        <f>IF($J91="","",M91*20%)</f>
      </c>
      <c r="O91" s="4"/>
      <c r="P91" s="4">
        <f>IF($J91="","",O91*20%)</f>
      </c>
      <c r="Q91" s="4">
        <v>1</v>
      </c>
      <c r="R91" s="4">
        <f>IF($J91="","",N91+P91)</f>
      </c>
      <c r="S91" s="4">
        <f>IF($J91="","",K91-L91-M91-N91-O91-P91-Q91)</f>
      </c>
      <c r="T91" s="4">
        <f>IF($J91="","",(S91-Z91)/I91*100)</f>
      </c>
      <c r="U91" s="4">
        <f>IF($J91="","",L91-R91)</f>
      </c>
      <c r="AA91" s="4">
        <f>IF($J91="","",S91-Z91)</f>
      </c>
    </row>
    <row r="92" spans="1:32" x14ac:dyDescent="0.25">
      <c r="A92" s="8"/>
      <c r="D92" s="9"/>
      <c r="I92" s="4"/>
      <c r="J92" s="4"/>
      <c r="K92" s="4">
        <f>IF($J92="","",J92-I92)</f>
      </c>
      <c r="L92" s="4">
        <f>IF($J92="","",K92*16.67%)</f>
      </c>
      <c r="M92" s="4">
        <f>IF($J92="","",J92*7%)</f>
      </c>
      <c r="N92" s="4">
        <f>IF($J92="","",M92*20%)</f>
      </c>
      <c r="O92" s="4"/>
      <c r="P92" s="4">
        <f>IF($J92="","",O92*20%)</f>
      </c>
      <c r="Q92" s="4">
        <v>1</v>
      </c>
      <c r="R92" s="4">
        <f>IF($J92="","",N92+P92)</f>
      </c>
      <c r="S92" s="4">
        <f>IF($J92="","",K92-L92-M92-N92-O92-P92-Q92)</f>
      </c>
      <c r="T92" s="4">
        <f>IF($J92="","",(S92-Z92)/I92*100)</f>
      </c>
      <c r="U92" s="4">
        <f>IF($J92="","",L92-R92)</f>
      </c>
      <c r="AA92" s="4">
        <f>IF($J92="","",S92-Z92)</f>
      </c>
    </row>
    <row r="93" spans="1:32" x14ac:dyDescent="0.25">
      <c r="A93" s="8"/>
      <c r="D93" s="9"/>
      <c r="I93" s="4"/>
      <c r="J93" s="4"/>
      <c r="K93" s="4">
        <f>IF($J93="","",J93-I93)</f>
      </c>
      <c r="L93" s="4">
        <f>IF($J93="","",K93*16.67%)</f>
      </c>
      <c r="M93" s="4">
        <f>IF($J93="","",J93*7%)</f>
      </c>
      <c r="N93" s="4">
        <f>IF($J93="","",M93*20%)</f>
      </c>
      <c r="O93" s="4"/>
      <c r="P93" s="4">
        <f>IF($J93="","",O93*20%)</f>
      </c>
      <c r="Q93" s="4">
        <v>1</v>
      </c>
      <c r="R93" s="4">
        <f>IF($J93="","",N93+P93)</f>
      </c>
      <c r="S93" s="4">
        <f>IF($J93="","",K93-L93-M93-N93-O93-P93-Q93)</f>
      </c>
      <c r="T93" s="4">
        <f>IF($J93="","",(S93-Z93)/I93*100)</f>
      </c>
      <c r="U93" s="4">
        <f>IF($J93="","",L93-R93)</f>
      </c>
      <c r="AA93" s="4">
        <f>IF($J93="","",S93-Z93)</f>
      </c>
    </row>
    <row r="94" spans="1:32" x14ac:dyDescent="0.25">
      <c r="A94" s="8"/>
      <c r="D94" s="9"/>
      <c r="I94" s="4"/>
      <c r="J94" s="4"/>
      <c r="K94" s="4">
        <f>IF($J94="","",J94-I94)</f>
      </c>
      <c r="L94" s="4">
        <f>IF($J94="","",K94*16.67%)</f>
      </c>
      <c r="M94" s="4">
        <f>IF($J94="","",J94*7%)</f>
      </c>
      <c r="N94" s="4">
        <f>IF($J94="","",M94*20%)</f>
      </c>
      <c r="O94" s="4"/>
      <c r="P94" s="4">
        <f>IF($J94="","",O94*20%)</f>
      </c>
      <c r="Q94" s="4">
        <v>1</v>
      </c>
      <c r="R94" s="4">
        <f>IF($J94="","",N94+P94)</f>
      </c>
      <c r="S94" s="4">
        <f>IF($J94="","",K94-L94-M94-N94-O94-P94-Q94)</f>
      </c>
      <c r="T94" s="4">
        <f>IF($J94="","",(S94-Z94)/I94*100)</f>
      </c>
      <c r="U94" s="4">
        <f>IF($J94="","",L94-R94)</f>
      </c>
      <c r="AA94" s="4">
        <f>IF($J94="","",S94-Z94)</f>
      </c>
    </row>
    <row r="95" spans="1:32" x14ac:dyDescent="0.25">
      <c r="A95" s="8"/>
      <c r="D95" s="9"/>
      <c r="I95" s="4"/>
      <c r="J95" s="4"/>
      <c r="K95" s="4">
        <f>IF($J95="","",J95-I95)</f>
      </c>
      <c r="L95" s="4">
        <f>IF($J95="","",K95*16.67%)</f>
      </c>
      <c r="M95" s="4">
        <f>IF($J95="","",J95*7%)</f>
      </c>
      <c r="N95" s="4">
        <f>IF($J95="","",M95*20%)</f>
      </c>
      <c r="O95" s="4"/>
      <c r="P95" s="4">
        <f>IF($J95="","",O95*20%)</f>
      </c>
      <c r="Q95" s="4">
        <v>1</v>
      </c>
      <c r="R95" s="4">
        <f>IF($J95="","",N95+P95)</f>
      </c>
      <c r="S95" s="4">
        <f>IF($J95="","",K95-L95-M95-N95-O95-P95-Q95)</f>
      </c>
      <c r="T95" s="4">
        <f>IF($J95="","",(S95-Z95)/I95*100)</f>
      </c>
      <c r="U95" s="4">
        <f>IF($J95="","",L95-R95)</f>
      </c>
      <c r="AA95" s="4">
        <f>IF($J95="","",S95-Z95)</f>
      </c>
    </row>
    <row r="96" spans="1:32" x14ac:dyDescent="0.25">
      <c r="A96" s="8"/>
      <c r="D96" s="9"/>
      <c r="I96" s="4"/>
      <c r="J96" s="4"/>
      <c r="K96" s="4">
        <f>IF($J96="","",J96-I96)</f>
      </c>
      <c r="L96" s="4">
        <f>IF($J96="","",K96*16.67%)</f>
      </c>
      <c r="M96" s="4">
        <f>IF($J96="","",J96*7%)</f>
      </c>
      <c r="N96" s="4">
        <f>IF($J96="","",M96*20%)</f>
      </c>
      <c r="O96" s="4"/>
      <c r="P96" s="4">
        <f>IF($J96="","",O96*20%)</f>
      </c>
      <c r="Q96" s="4">
        <v>1</v>
      </c>
      <c r="R96" s="4">
        <f>IF($J96="","",N96+P96)</f>
      </c>
      <c r="S96" s="4">
        <f>IF($J96="","",K96-L96-M96-N96-O96-P96-Q96)</f>
      </c>
      <c r="T96" s="4">
        <f>IF($J96="","",(S96-Z96)/I96*100)</f>
      </c>
      <c r="U96" s="4">
        <f>IF($J96="","",L96-R96)</f>
      </c>
      <c r="AA96" s="4">
        <f>IF($J96="","",S96-Z96)</f>
      </c>
    </row>
    <row r="97" spans="1:32" x14ac:dyDescent="0.25">
      <c r="A97" s="8"/>
      <c r="D97" s="9"/>
      <c r="I97" s="4"/>
      <c r="J97" s="4"/>
      <c r="K97" s="4">
        <f>IF($J97="","",J97-I97)</f>
      </c>
      <c r="L97" s="4">
        <f>IF($J97="","",K97*16.67%)</f>
      </c>
      <c r="M97" s="4">
        <f>IF($J97="","",J97*7%)</f>
      </c>
      <c r="N97" s="4">
        <f>IF($J97="","",M97*20%)</f>
      </c>
      <c r="O97" s="4"/>
      <c r="P97" s="4">
        <f>IF($J97="","",O97*20%)</f>
      </c>
      <c r="Q97" s="4">
        <v>1</v>
      </c>
      <c r="R97" s="4">
        <f>IF($J97="","",N97+P97)</f>
      </c>
      <c r="S97" s="4">
        <f>IF($J97="","",K97-L97-M97-N97-O97-P97-Q97)</f>
      </c>
      <c r="T97" s="4">
        <f>IF($J97="","",(S97-Z97)/I97*100)</f>
      </c>
      <c r="U97" s="4">
        <f>IF($J97="","",L97-R97)</f>
      </c>
      <c r="AA97" s="4">
        <f>IF($J97="","",S97-Z97)</f>
      </c>
    </row>
    <row r="98" spans="1:32" x14ac:dyDescent="0.25">
      <c r="A98" s="8"/>
      <c r="D98" s="9"/>
      <c r="I98" s="4"/>
      <c r="J98" s="4"/>
      <c r="K98" s="4">
        <f>IF($J98="","",J98-I98)</f>
      </c>
      <c r="L98" s="4">
        <f>IF($J98="","",K98*16.67%)</f>
      </c>
      <c r="M98" s="4">
        <f>IF($J98="","",J98*7%)</f>
      </c>
      <c r="N98" s="4">
        <f>IF($J98="","",M98*20%)</f>
      </c>
      <c r="O98" s="4"/>
      <c r="P98" s="4">
        <f>IF($J98="","",O98*20%)</f>
      </c>
      <c r="Q98" s="4">
        <v>1</v>
      </c>
      <c r="R98" s="4">
        <f>IF($J98="","",N98+P98)</f>
      </c>
      <c r="S98" s="4">
        <f>IF($J98="","",K98-L98-M98-N98-O98-P98-Q98)</f>
      </c>
      <c r="T98" s="4">
        <f>IF($J98="","",(S98-Z98)/I98*100)</f>
      </c>
      <c r="U98" s="4">
        <f>IF($J98="","",L98-R98)</f>
      </c>
      <c r="AA98" s="4">
        <f>IF($J98="","",S98-Z98)</f>
      </c>
    </row>
    <row r="99" spans="1:32" x14ac:dyDescent="0.25">
      <c r="A99" s="8"/>
      <c r="D99" s="9"/>
      <c r="I99" s="4"/>
      <c r="J99" s="4"/>
      <c r="K99" s="4">
        <f>IF($J99="","",J99-I99)</f>
      </c>
      <c r="L99" s="4">
        <f>IF($J99="","",K99*16.67%)</f>
      </c>
      <c r="M99" s="4">
        <f>IF($J99="","",J99*7%)</f>
      </c>
      <c r="N99" s="4">
        <f>IF($J99="","",M99*20%)</f>
      </c>
      <c r="O99" s="4"/>
      <c r="P99" s="4">
        <f>IF($J99="","",O99*20%)</f>
      </c>
      <c r="Q99" s="4">
        <v>1</v>
      </c>
      <c r="R99" s="4">
        <f>IF($J99="","",N99+P99)</f>
      </c>
      <c r="S99" s="4">
        <f>IF($J99="","",K99-L99-M99-N99-O99-P99-Q99)</f>
      </c>
      <c r="T99" s="4">
        <f>IF($J99="","",(S99-Z99)/I99*100)</f>
      </c>
      <c r="U99" s="4">
        <f>IF($J99="","",L99-R99)</f>
      </c>
      <c r="AA99" s="4">
        <f>IF($J99="","",S99-Z99)</f>
      </c>
    </row>
    <row r="100" spans="1:32" x14ac:dyDescent="0.25">
      <c r="A100" s="8"/>
      <c r="D100" s="9"/>
      <c r="I100" s="4"/>
      <c r="J100" s="4"/>
      <c r="K100" s="4">
        <f>IF($J100="","",J100-I100)</f>
      </c>
      <c r="L100" s="4">
        <f>IF($J100="","",K100*16.67%)</f>
      </c>
      <c r="M100" s="4">
        <f>IF($J100="","",J100*7%)</f>
      </c>
      <c r="N100" s="4">
        <f>IF($J100="","",M100*20%)</f>
      </c>
      <c r="O100" s="4"/>
      <c r="P100" s="4">
        <f>IF($J100="","",O100*20%)</f>
      </c>
      <c r="Q100" s="4">
        <v>1</v>
      </c>
      <c r="R100" s="4">
        <f>IF($J100="","",N100+P100)</f>
      </c>
      <c r="S100" s="4">
        <f>IF($J100="","",K100-L100-M100-N100-O100-P100-Q100)</f>
      </c>
      <c r="T100" s="4">
        <f>IF($J100="","",(S100-Z100)/I100*100)</f>
      </c>
      <c r="U100" s="4">
        <f>IF($J100="","",L100-R100)</f>
      </c>
      <c r="AA100" s="4">
        <f>IF($J100="","",S100-Z100)</f>
      </c>
    </row>
    <row r="101" spans="1:32" x14ac:dyDescent="0.25">
      <c r="A101" s="8"/>
      <c r="D101" s="9"/>
      <c r="I101" s="4"/>
      <c r="J101" s="4"/>
      <c r="K101" s="4">
        <f>IF($J101="","",J101-I101)</f>
      </c>
      <c r="L101" s="4">
        <f>IF($J101="","",K101*16.67%)</f>
      </c>
      <c r="M101" s="4">
        <f>IF($J101="","",J101*7%)</f>
      </c>
      <c r="N101" s="4">
        <f>IF($J101="","",M101*20%)</f>
      </c>
      <c r="O101" s="4"/>
      <c r="P101" s="4">
        <f>IF($J101="","",O101*20%)</f>
      </c>
      <c r="Q101" s="4">
        <v>1</v>
      </c>
      <c r="R101" s="4">
        <f>IF($J101="","",N101+P101)</f>
      </c>
      <c r="S101" s="4">
        <f>IF($J101="","",K101-L101-M101-N101-O101-P101-Q101)</f>
      </c>
      <c r="T101" s="4">
        <f>IF($J101="","",(S101-Z101)/I101*100)</f>
      </c>
      <c r="U101" s="4">
        <f>IF($J101="","",L101-R101)</f>
      </c>
      <c r="AA101" s="4">
        <f>IF($J101="","",S101-Z101)</f>
      </c>
    </row>
    <row r="102" spans="1:32" x14ac:dyDescent="0.25">
      <c r="A102" s="8"/>
      <c r="D102" s="9"/>
      <c r="I102" s="4"/>
      <c r="J102" s="4"/>
      <c r="K102" s="4">
        <f>IF($J102="","",J102-I102)</f>
      </c>
      <c r="L102" s="4">
        <f>IF($J102="","",K102*16.67%)</f>
      </c>
      <c r="M102" s="4">
        <f>IF($J102="","",J102*7%)</f>
      </c>
      <c r="N102" s="4">
        <f>IF($J102="","",M102*20%)</f>
      </c>
      <c r="O102" s="4"/>
      <c r="P102" s="4">
        <f>IF($J102="","",O102*20%)</f>
      </c>
      <c r="Q102" s="4">
        <v>1</v>
      </c>
      <c r="R102" s="4">
        <f>IF($J102="","",N102+P102)</f>
      </c>
      <c r="S102" s="4">
        <f>IF($J102="","",K102-L102-M102-N102-O102-P102-Q102)</f>
      </c>
      <c r="T102" s="4">
        <f>IF($J102="","",(S102-Z102)/I102*100)</f>
      </c>
      <c r="U102" s="4">
        <f>IF($J102="","",L102-R102)</f>
      </c>
      <c r="AA102" s="4">
        <f>IF($J102="","",S102-Z102)</f>
      </c>
    </row>
    <row r="103" spans="1:32" x14ac:dyDescent="0.25">
      <c r="A103" s="8"/>
      <c r="D103" s="9"/>
      <c r="I103" s="4"/>
      <c r="J103" s="4"/>
      <c r="K103" s="4">
        <f>IF($J103="","",J103-I103)</f>
      </c>
      <c r="L103" s="4">
        <f>IF($J103="","",K103*16.67%)</f>
      </c>
      <c r="M103" s="4">
        <f>IF($J103="","",J103*7%)</f>
      </c>
      <c r="N103" s="4">
        <f>IF($J103="","",M103*20%)</f>
      </c>
      <c r="O103" s="4"/>
      <c r="P103" s="4">
        <f>IF($J103="","",O103*20%)</f>
      </c>
      <c r="Q103" s="4">
        <v>1</v>
      </c>
      <c r="R103" s="4">
        <f>IF($J103="","",N103+P103)</f>
      </c>
      <c r="S103" s="4">
        <f>IF($J103="","",K103-L103-M103-N103-O103-P103-Q103)</f>
      </c>
      <c r="T103" s="4">
        <f>IF($J103="","",(S103-Z103)/I103*100)</f>
      </c>
      <c r="U103" s="4">
        <f>IF($J103="","",L103-R103)</f>
      </c>
      <c r="AA103" s="4">
        <f>IF($J103="","",S103-Z103)</f>
      </c>
    </row>
    <row r="104" spans="1:32" x14ac:dyDescent="0.25">
      <c r="A104" s="8"/>
      <c r="D104" s="9"/>
      <c r="I104" s="4"/>
      <c r="J104" s="4"/>
      <c r="K104" s="4">
        <f>IF($J104="","",J104-I104)</f>
      </c>
      <c r="L104" s="4">
        <f>IF($J104="","",K104*16.67%)</f>
      </c>
      <c r="M104" s="4">
        <f>IF($J104="","",J104*7%)</f>
      </c>
      <c r="N104" s="4">
        <f>IF($J104="","",M104*20%)</f>
      </c>
      <c r="O104" s="4"/>
      <c r="P104" s="4">
        <f>IF($J104="","",O104*20%)</f>
      </c>
      <c r="Q104" s="4">
        <v>1</v>
      </c>
      <c r="R104" s="4">
        <f>IF($J104="","",N104+P104)</f>
      </c>
      <c r="S104" s="4">
        <f>IF($J104="","",K104-L104-M104-N104-O104-P104-Q104)</f>
      </c>
      <c r="T104" s="4">
        <f>IF($J104="","",(S104-Z104)/I104*100)</f>
      </c>
      <c r="U104" s="4">
        <f>IF($J104="","",L104-R104)</f>
      </c>
      <c r="AA104" s="4">
        <f>IF($J104="","",S104-Z104)</f>
      </c>
    </row>
    <row r="105" spans="1:32" x14ac:dyDescent="0.25">
      <c r="A105" s="8"/>
      <c r="D105" s="9"/>
      <c r="I105" s="4"/>
      <c r="J105" s="4"/>
      <c r="K105" s="4">
        <f>IF($J105="","",J105-I105)</f>
      </c>
      <c r="L105" s="4">
        <f>IF($J105="","",K105*16.67%)</f>
      </c>
      <c r="M105" s="4">
        <f>IF($J105="","",J105*7%)</f>
      </c>
      <c r="N105" s="4">
        <f>IF($J105="","",M105*20%)</f>
      </c>
      <c r="O105" s="4"/>
      <c r="P105" s="4">
        <f>IF($J105="","",O105*20%)</f>
      </c>
      <c r="Q105" s="4">
        <v>1</v>
      </c>
      <c r="R105" s="4">
        <f>IF($J105="","",N105+P105)</f>
      </c>
      <c r="S105" s="4">
        <f>IF($J105="","",K105-L105-M105-N105-O105-P105-Q105)</f>
      </c>
      <c r="T105" s="4">
        <f>IF($J105="","",(S105-Z105)/I105*100)</f>
      </c>
      <c r="U105" s="4">
        <f>IF($J105="","",L105-R105)</f>
      </c>
      <c r="AA105" s="4">
        <f>IF($J105="","",S105-Z105)</f>
      </c>
    </row>
    <row r="106" spans="1:32" x14ac:dyDescent="0.25">
      <c r="A106" s="8"/>
      <c r="D106" s="9"/>
      <c r="I106" s="4"/>
      <c r="J106" s="4"/>
      <c r="K106" s="4">
        <f>IF($J106="","",J106-I106)</f>
      </c>
      <c r="L106" s="4">
        <f>IF($J106="","",K106*16.67%)</f>
      </c>
      <c r="M106" s="4">
        <f>IF($J106="","",J106*7%)</f>
      </c>
      <c r="N106" s="4">
        <f>IF($J106="","",M106*20%)</f>
      </c>
      <c r="O106" s="4"/>
      <c r="P106" s="4">
        <f>IF($J106="","",O106*20%)</f>
      </c>
      <c r="Q106" s="4">
        <v>1</v>
      </c>
      <c r="R106" s="4">
        <f>IF($J106="","",N106+P106)</f>
      </c>
      <c r="S106" s="4">
        <f>IF($J106="","",K106-L106-M106-N106-O106-P106-Q106)</f>
      </c>
      <c r="T106" s="4">
        <f>IF($J106="","",(S106-Z106)/I106*100)</f>
      </c>
      <c r="U106" s="4">
        <f>IF($J106="","",L106-R106)</f>
      </c>
      <c r="AA106" s="4">
        <f>IF($J106="","",S106-Z106)</f>
      </c>
    </row>
    <row r="107" spans="1:32" x14ac:dyDescent="0.25">
      <c r="A107" s="8"/>
      <c r="D107" s="9"/>
      <c r="I107" s="4"/>
      <c r="J107" s="4"/>
      <c r="K107" s="4">
        <f>IF($J107="","",J107-I107)</f>
      </c>
      <c r="L107" s="4">
        <f>IF($J107="","",K107*16.67%)</f>
      </c>
      <c r="M107" s="4">
        <f>IF($J107="","",J107*7%)</f>
      </c>
      <c r="N107" s="4">
        <f>IF($J107="","",M107*20%)</f>
      </c>
      <c r="O107" s="4"/>
      <c r="P107" s="4">
        <f>IF($J107="","",O107*20%)</f>
      </c>
      <c r="Q107" s="4">
        <v>1</v>
      </c>
      <c r="R107" s="4">
        <f>IF($J107="","",N107+P107)</f>
      </c>
      <c r="S107" s="4">
        <f>IF($J107="","",K107-L107-M107-N107-O107-P107-Q107)</f>
      </c>
      <c r="T107" s="4">
        <f>IF($J107="","",(S107-Z107)/I107*100)</f>
      </c>
      <c r="U107" s="4">
        <f>IF($J107="","",L107-R107)</f>
      </c>
      <c r="AA107" s="4">
        <f>IF($J107="","",S107-Z107)</f>
      </c>
    </row>
    <row r="108" spans="1:32" x14ac:dyDescent="0.25">
      <c r="A108" s="8"/>
      <c r="D108" s="9"/>
      <c r="I108" s="4"/>
      <c r="J108" s="4"/>
      <c r="K108" s="4">
        <f>IF($J108="","",J108-I108)</f>
      </c>
      <c r="L108" s="4">
        <f>IF($J108="","",K108*16.67%)</f>
      </c>
      <c r="M108" s="4">
        <f>IF($J108="","",J108*7%)</f>
      </c>
      <c r="N108" s="4">
        <f>IF($J108="","",M108*20%)</f>
      </c>
      <c r="O108" s="4"/>
      <c r="P108" s="4">
        <f>IF($J108="","",O108*20%)</f>
      </c>
      <c r="Q108" s="4">
        <v>1</v>
      </c>
      <c r="R108" s="4">
        <f>IF($J108="","",N108+P108)</f>
      </c>
      <c r="S108" s="4">
        <f>IF($J108="","",K108-L108-M108-N108-O108-P108-Q108)</f>
      </c>
      <c r="T108" s="4">
        <f>IF($J108="","",(S108-Z108)/I108*100)</f>
      </c>
      <c r="U108" s="4">
        <f>IF($J108="","",L108-R108)</f>
      </c>
      <c r="AA108" s="4">
        <f>IF($J108="","",S108-Z108)</f>
      </c>
    </row>
    <row r="109" spans="1:32" x14ac:dyDescent="0.25">
      <c r="A109" s="8"/>
      <c r="D109" s="9"/>
      <c r="I109" s="4"/>
      <c r="J109" s="4"/>
      <c r="K109" s="4">
        <f>IF($J109="","",J109-I109)</f>
      </c>
      <c r="L109" s="4">
        <f>IF($J109="","",K109*16.67%)</f>
      </c>
      <c r="M109" s="4">
        <f>IF($J109="","",J109*7%)</f>
      </c>
      <c r="N109" s="4">
        <f>IF($J109="","",M109*20%)</f>
      </c>
      <c r="O109" s="4"/>
      <c r="P109" s="4">
        <f>IF($J109="","",O109*20%)</f>
      </c>
      <c r="Q109" s="4">
        <v>1</v>
      </c>
      <c r="R109" s="4">
        <f>IF($J109="","",N109+P109)</f>
      </c>
      <c r="S109" s="4">
        <f>IF($J109="","",K109-L109-M109-N109-O109-P109-Q109)</f>
      </c>
      <c r="T109" s="4">
        <f>IF($J109="","",(S109-Z109)/I109*100)</f>
      </c>
      <c r="U109" s="4">
        <f>IF($J109="","",L109-R109)</f>
      </c>
      <c r="AA109" s="4">
        <f>IF($J109="","",S109-Z109)</f>
      </c>
    </row>
    <row r="110" spans="1:32" x14ac:dyDescent="0.25">
      <c r="A110" s="8"/>
      <c r="D110" s="9"/>
      <c r="I110" s="4"/>
      <c r="J110" s="4"/>
      <c r="K110" s="4">
        <f>IF($J110="","",J110-I110)</f>
      </c>
      <c r="L110" s="4">
        <f>IF($J110="","",K110*16.67%)</f>
      </c>
      <c r="M110" s="4">
        <f>IF($J110="","",J110*7%)</f>
      </c>
      <c r="N110" s="4">
        <f>IF($J110="","",M110*20%)</f>
      </c>
      <c r="O110" s="4"/>
      <c r="P110" s="4">
        <f>IF($J110="","",O110*20%)</f>
      </c>
      <c r="Q110" s="4">
        <v>1</v>
      </c>
      <c r="R110" s="4">
        <f>IF($J110="","",N110+P110)</f>
      </c>
      <c r="S110" s="4">
        <f>IF($J110="","",K110-L110-M110-N110-O110-P110-Q110)</f>
      </c>
      <c r="T110" s="4">
        <f>IF($J110="","",(S110-Z110)/I110*100)</f>
      </c>
      <c r="U110" s="4">
        <f>IF($J110="","",L110-R110)</f>
      </c>
      <c r="AA110" s="4">
        <f>IF($J110="","",S110-Z110)</f>
      </c>
    </row>
    <row r="111" spans="1:32" x14ac:dyDescent="0.25">
      <c r="A111" s="8"/>
      <c r="D111" s="9"/>
      <c r="I111" s="4"/>
      <c r="J111" s="4"/>
      <c r="K111" s="4">
        <f>IF($J111="","",J111-I111)</f>
      </c>
      <c r="L111" s="4">
        <f>IF($J111="","",K111*16.67%)</f>
      </c>
      <c r="M111" s="4">
        <f>IF($J111="","",J111*7%)</f>
      </c>
      <c r="N111" s="4">
        <f>IF($J111="","",M111*20%)</f>
      </c>
      <c r="O111" s="4"/>
      <c r="P111" s="4">
        <f>IF($J111="","",O111*20%)</f>
      </c>
      <c r="Q111" s="4">
        <v>1</v>
      </c>
      <c r="R111" s="4">
        <f>IF($J111="","",N111+P111)</f>
      </c>
      <c r="S111" s="4">
        <f>IF($J111="","",K111-L111-M111-N111-O111-P111-Q111)</f>
      </c>
      <c r="T111" s="4">
        <f>IF($J111="","",(S111-Z111)/I111*100)</f>
      </c>
      <c r="U111" s="4">
        <f>IF($J111="","",L111-R111)</f>
      </c>
      <c r="AA111" s="4">
        <f>IF($J111="","",S111-Z111)</f>
      </c>
    </row>
    <row r="112" spans="1:32" x14ac:dyDescent="0.25">
      <c r="A112" s="8"/>
      <c r="D112" s="9"/>
      <c r="I112" s="4"/>
      <c r="J112" s="4"/>
      <c r="K112" s="4">
        <f>IF($J112="","",J112-I112)</f>
      </c>
      <c r="L112" s="4">
        <f>IF($J112="","",K112*16.67%)</f>
      </c>
      <c r="M112" s="4">
        <f>IF($J112="","",J112*7%)</f>
      </c>
      <c r="N112" s="4">
        <f>IF($J112="","",M112*20%)</f>
      </c>
      <c r="O112" s="4"/>
      <c r="P112" s="4">
        <f>IF($J112="","",O112*20%)</f>
      </c>
      <c r="Q112" s="4">
        <v>1</v>
      </c>
      <c r="R112" s="4">
        <f>IF($J112="","",N112+P112)</f>
      </c>
      <c r="S112" s="4">
        <f>IF($J112="","",K112-L112-M112-N112-O112-P112-Q112)</f>
      </c>
      <c r="T112" s="4">
        <f>IF($J112="","",(S112-Z112)/I112*100)</f>
      </c>
      <c r="U112" s="4">
        <f>IF($J112="","",L112-R112)</f>
      </c>
      <c r="AA112" s="4">
        <f>IF($J112="","",S112-Z112)</f>
      </c>
    </row>
    <row r="113" spans="1:32" x14ac:dyDescent="0.25">
      <c r="A113" s="8"/>
      <c r="D113" s="9"/>
      <c r="I113" s="4"/>
      <c r="J113" s="4"/>
      <c r="K113" s="4">
        <f>IF($J113="","",J113-I113)</f>
      </c>
      <c r="L113" s="4">
        <f>IF($J113="","",K113*16.67%)</f>
      </c>
      <c r="M113" s="4">
        <f>IF($J113="","",J113*7%)</f>
      </c>
      <c r="N113" s="4">
        <f>IF($J113="","",M113*20%)</f>
      </c>
      <c r="O113" s="4"/>
      <c r="P113" s="4">
        <f>IF($J113="","",O113*20%)</f>
      </c>
      <c r="Q113" s="4">
        <v>1</v>
      </c>
      <c r="R113" s="4">
        <f>IF($J113="","",N113+P113)</f>
      </c>
      <c r="S113" s="4">
        <f>IF($J113="","",K113-L113-M113-N113-O113-P113-Q113)</f>
      </c>
      <c r="T113" s="4">
        <f>IF($J113="","",(S113-Z113)/I113*100)</f>
      </c>
      <c r="U113" s="4">
        <f>IF($J113="","",L113-R113)</f>
      </c>
      <c r="AA113" s="4">
        <f>IF($J113="","",S113-Z113)</f>
      </c>
    </row>
    <row r="114" spans="1:32" x14ac:dyDescent="0.25">
      <c r="A114" s="8"/>
      <c r="D114" s="9"/>
      <c r="I114" s="4"/>
      <c r="J114" s="4"/>
      <c r="K114" s="4">
        <f>IF($J114="","",J114-I114)</f>
      </c>
      <c r="L114" s="4">
        <f>IF($J114="","",K114*16.67%)</f>
      </c>
      <c r="M114" s="4">
        <f>IF($J114="","",J114*7%)</f>
      </c>
      <c r="N114" s="4">
        <f>IF($J114="","",M114*20%)</f>
      </c>
      <c r="O114" s="4"/>
      <c r="P114" s="4">
        <f>IF($J114="","",O114*20%)</f>
      </c>
      <c r="Q114" s="4">
        <v>1</v>
      </c>
      <c r="R114" s="4">
        <f>IF($J114="","",N114+P114)</f>
      </c>
      <c r="S114" s="4">
        <f>IF($J114="","",K114-L114-M114-N114-O114-P114-Q114)</f>
      </c>
      <c r="T114" s="4">
        <f>IF($J114="","",(S114-Z114)/I114*100)</f>
      </c>
      <c r="U114" s="4">
        <f>IF($J114="","",L114-R114)</f>
      </c>
      <c r="AA114" s="4">
        <f>IF($J114="","",S114-Z114)</f>
      </c>
    </row>
    <row r="115" spans="1:32" x14ac:dyDescent="0.25">
      <c r="A115" s="8"/>
      <c r="D115" s="9"/>
      <c r="I115" s="4"/>
      <c r="J115" s="4"/>
      <c r="K115" s="4">
        <f>IF($J115="","",J115-I115)</f>
      </c>
      <c r="L115" s="4">
        <f>IF($J115="","",K115*16.67%)</f>
      </c>
      <c r="M115" s="4">
        <f>IF($J115="","",J115*7%)</f>
      </c>
      <c r="N115" s="4">
        <f>IF($J115="","",M115*20%)</f>
      </c>
      <c r="O115" s="4"/>
      <c r="P115" s="4">
        <f>IF($J115="","",O115*20%)</f>
      </c>
      <c r="Q115" s="4">
        <v>1</v>
      </c>
      <c r="R115" s="4">
        <f>IF($J115="","",N115+P115)</f>
      </c>
      <c r="S115" s="4">
        <f>IF($J115="","",K115-L115-M115-N115-O115-P115-Q115)</f>
      </c>
      <c r="T115" s="4">
        <f>IF($J115="","",(S115-Z115)/I115*100)</f>
      </c>
      <c r="U115" s="4">
        <f>IF($J115="","",L115-R115)</f>
      </c>
      <c r="AA115" s="4">
        <f>IF($J115="","",S115-Z115)</f>
      </c>
    </row>
    <row r="116" spans="1:32" x14ac:dyDescent="0.25">
      <c r="A116" s="8"/>
      <c r="D116" s="9"/>
      <c r="I116" s="4"/>
      <c r="J116" s="4"/>
      <c r="K116" s="4">
        <f>IF($J116="","",J116-I116)</f>
      </c>
      <c r="L116" s="4">
        <f>IF($J116="","",K116*16.67%)</f>
      </c>
      <c r="M116" s="4">
        <f>IF($J116="","",J116*7%)</f>
      </c>
      <c r="N116" s="4">
        <f>IF($J116="","",M116*20%)</f>
      </c>
      <c r="O116" s="4"/>
      <c r="P116" s="4">
        <f>IF($J116="","",O116*20%)</f>
      </c>
      <c r="Q116" s="4">
        <v>1</v>
      </c>
      <c r="R116" s="4">
        <f>IF($J116="","",N116+P116)</f>
      </c>
      <c r="S116" s="4">
        <f>IF($J116="","",K116-L116-M116-N116-O116-P116-Q116)</f>
      </c>
      <c r="T116" s="4">
        <f>IF($J116="","",(S116-Z116)/I116*100)</f>
      </c>
      <c r="U116" s="4">
        <f>IF($J116="","",L116-R116)</f>
      </c>
      <c r="AA116" s="4">
        <f>IF($J116="","",S116-Z116)</f>
      </c>
    </row>
    <row r="117" spans="1:32" x14ac:dyDescent="0.25">
      <c r="A117" s="8"/>
      <c r="D117" s="9"/>
      <c r="I117" s="4"/>
      <c r="J117" s="4"/>
      <c r="K117" s="4">
        <f>IF($J117="","",J117-I117)</f>
      </c>
      <c r="L117" s="4">
        <f>IF($J117="","",K117*16.67%)</f>
      </c>
      <c r="M117" s="4">
        <f>IF($J117="","",J117*7%)</f>
      </c>
      <c r="N117" s="4">
        <f>IF($J117="","",M117*20%)</f>
      </c>
      <c r="O117" s="4"/>
      <c r="P117" s="4">
        <f>IF($J117="","",O117*20%)</f>
      </c>
      <c r="Q117" s="4">
        <v>1</v>
      </c>
      <c r="R117" s="4">
        <f>IF($J117="","",N117+P117)</f>
      </c>
      <c r="S117" s="4">
        <f>IF($J117="","",K117-L117-M117-N117-O117-P117-Q117)</f>
      </c>
      <c r="T117" s="4">
        <f>IF($J117="","",(S117-Z117)/I117*100)</f>
      </c>
      <c r="U117" s="4">
        <f>IF($J117="","",L117-R117)</f>
      </c>
      <c r="AA117" s="4">
        <f>IF($J117="","",S117-Z117)</f>
      </c>
    </row>
    <row r="118" spans="1:32" x14ac:dyDescent="0.25">
      <c r="A118" s="8"/>
      <c r="D118" s="9"/>
      <c r="I118" s="4"/>
      <c r="J118" s="4"/>
      <c r="K118" s="4">
        <f>IF($J118="","",J118-I118)</f>
      </c>
      <c r="L118" s="4">
        <f>IF($J118="","",K118*16.67%)</f>
      </c>
      <c r="M118" s="4">
        <f>IF($J118="","",J118*7%)</f>
      </c>
      <c r="N118" s="4">
        <f>IF($J118="","",M118*20%)</f>
      </c>
      <c r="O118" s="4"/>
      <c r="P118" s="4">
        <f>IF($J118="","",O118*20%)</f>
      </c>
      <c r="Q118" s="4">
        <v>1</v>
      </c>
      <c r="R118" s="4">
        <f>IF($J118="","",N118+P118)</f>
      </c>
      <c r="S118" s="4">
        <f>IF($J118="","",K118-L118-M118-N118-O118-P118-Q118)</f>
      </c>
      <c r="T118" s="4">
        <f>IF($J118="","",(S118-Z118)/I118*100)</f>
      </c>
      <c r="U118" s="4">
        <f>IF($J118="","",L118-R118)</f>
      </c>
      <c r="AA118" s="4">
        <f>IF($J118="","",S118-Z118)</f>
      </c>
    </row>
    <row r="119" spans="1:32" x14ac:dyDescent="0.25">
      <c r="A119" s="8"/>
      <c r="D119" s="9"/>
      <c r="I119" s="4"/>
      <c r="J119" s="4"/>
      <c r="K119" s="4">
        <f>IF($J119="","",J119-I119)</f>
      </c>
      <c r="L119" s="4">
        <f>IF($J119="","",K119*16.67%)</f>
      </c>
      <c r="M119" s="4">
        <f>IF($J119="","",J119*7%)</f>
      </c>
      <c r="N119" s="4">
        <f>IF($J119="","",M119*20%)</f>
      </c>
      <c r="O119" s="4"/>
      <c r="P119" s="4">
        <f>IF($J119="","",O119*20%)</f>
      </c>
      <c r="Q119" s="4">
        <v>1</v>
      </c>
      <c r="R119" s="4">
        <f>IF($J119="","",N119+P119)</f>
      </c>
      <c r="S119" s="4">
        <f>IF($J119="","",K119-L119-M119-N119-O119-P119-Q119)</f>
      </c>
      <c r="T119" s="4">
        <f>IF($J119="","",(S119-Z119)/I119*100)</f>
      </c>
      <c r="U119" s="4">
        <f>IF($J119="","",L119-R119)</f>
      </c>
      <c r="AA119" s="4">
        <f>IF($J119="","",S119-Z119)</f>
      </c>
    </row>
    <row r="120" spans="1:32" x14ac:dyDescent="0.25">
      <c r="A120" s="8"/>
      <c r="D120" s="9"/>
      <c r="I120" s="4"/>
      <c r="J120" s="4"/>
      <c r="K120" s="4">
        <f>IF($J120="","",J120-I120)</f>
      </c>
      <c r="L120" s="4">
        <f>IF($J120="","",K120*16.67%)</f>
      </c>
      <c r="M120" s="4">
        <f>IF($J120="","",J120*7%)</f>
      </c>
      <c r="N120" s="4">
        <f>IF($J120="","",M120*20%)</f>
      </c>
      <c r="O120" s="4"/>
      <c r="P120" s="4">
        <f>IF($J120="","",O120*20%)</f>
      </c>
      <c r="Q120" s="4">
        <v>1</v>
      </c>
      <c r="R120" s="4">
        <f>IF($J120="","",N120+P120)</f>
      </c>
      <c r="S120" s="4">
        <f>IF($J120="","",K120-L120-M120-N120-O120-P120-Q120)</f>
      </c>
      <c r="T120" s="4">
        <f>IF($J120="","",(S120-Z120)/I120*100)</f>
      </c>
      <c r="U120" s="4">
        <f>IF($J120="","",L120-R120)</f>
      </c>
      <c r="AA120" s="4">
        <f>IF($J120="","",S120-Z120)</f>
      </c>
    </row>
    <row r="121" spans="1:32" x14ac:dyDescent="0.25">
      <c r="A121" s="8"/>
      <c r="D121" s="9"/>
      <c r="I121" s="4"/>
      <c r="J121" s="4"/>
      <c r="K121" s="4">
        <f>IF($J121="","",J121-I121)</f>
      </c>
      <c r="L121" s="4">
        <f>IF($J121="","",K121*16.67%)</f>
      </c>
      <c r="M121" s="4">
        <f>IF($J121="","",J121*7%)</f>
      </c>
      <c r="N121" s="4">
        <f>IF($J121="","",M121*20%)</f>
      </c>
      <c r="O121" s="4"/>
      <c r="P121" s="4">
        <f>IF($J121="","",O121*20%)</f>
      </c>
      <c r="Q121" s="4">
        <v>1</v>
      </c>
      <c r="R121" s="4">
        <f>IF($J121="","",N121+P121)</f>
      </c>
      <c r="S121" s="4">
        <f>IF($J121="","",K121-L121-M121-N121-O121-P121-Q121)</f>
      </c>
      <c r="T121" s="4">
        <f>IF($J121="","",(S121-Z121)/I121*100)</f>
      </c>
      <c r="U121" s="4">
        <f>IF($J121="","",L121-R121)</f>
      </c>
      <c r="AA121" s="4">
        <f>IF($J121="","",S121-Z121)</f>
      </c>
    </row>
    <row r="122" spans="1:32" x14ac:dyDescent="0.25">
      <c r="A122" s="8"/>
      <c r="D122" s="9"/>
      <c r="I122" s="4"/>
      <c r="J122" s="4"/>
      <c r="K122" s="4">
        <f>IF($J122="","",J122-I122)</f>
      </c>
      <c r="L122" s="4">
        <f>IF($J122="","",K122*16.67%)</f>
      </c>
      <c r="M122" s="4">
        <f>IF($J122="","",J122*7%)</f>
      </c>
      <c r="N122" s="4">
        <f>IF($J122="","",M122*20%)</f>
      </c>
      <c r="O122" s="4"/>
      <c r="P122" s="4">
        <f>IF($J122="","",O122*20%)</f>
      </c>
      <c r="Q122" s="4">
        <v>1</v>
      </c>
      <c r="R122" s="4">
        <f>IF($J122="","",N122+P122)</f>
      </c>
      <c r="S122" s="4">
        <f>IF($J122="","",K122-L122-M122-N122-O122-P122-Q122)</f>
      </c>
      <c r="T122" s="4">
        <f>IF($J122="","",(S122-Z122)/I122*100)</f>
      </c>
      <c r="U122" s="4">
        <f>IF($J122="","",L122-R122)</f>
      </c>
      <c r="AA122" s="4">
        <f>IF($J122="","",S122-Z122)</f>
      </c>
    </row>
    <row r="123" spans="1:32" x14ac:dyDescent="0.25">
      <c r="A123" s="8"/>
      <c r="D123" s="9"/>
      <c r="I123" s="4"/>
      <c r="J123" s="4"/>
      <c r="K123" s="4">
        <f>IF($J123="","",J123-I123)</f>
      </c>
      <c r="L123" s="4">
        <f>IF($J123="","",K123*16.67%)</f>
      </c>
      <c r="M123" s="4">
        <f>IF($J123="","",J123*7%)</f>
      </c>
      <c r="N123" s="4">
        <f>IF($J123="","",M123*20%)</f>
      </c>
      <c r="O123" s="4"/>
      <c r="P123" s="4">
        <f>IF($J123="","",O123*20%)</f>
      </c>
      <c r="Q123" s="4">
        <v>1</v>
      </c>
      <c r="R123" s="4">
        <f>IF($J123="","",N123+P123)</f>
      </c>
      <c r="S123" s="4">
        <f>IF($J123="","",K123-L123-M123-N123-O123-P123-Q123)</f>
      </c>
      <c r="T123" s="4">
        <f>IF($J123="","",(S123-Z123)/I123*100)</f>
      </c>
      <c r="U123" s="4">
        <f>IF($J123="","",L123-R123)</f>
      </c>
      <c r="AA123" s="4">
        <f>IF($J123="","",S123-Z123)</f>
      </c>
    </row>
    <row r="124" spans="1:32" x14ac:dyDescent="0.25">
      <c r="A124" s="8"/>
      <c r="D124" s="9"/>
      <c r="I124" s="4"/>
      <c r="J124" s="4"/>
      <c r="K124" s="4">
        <f>IF($J124="","",J124-I124)</f>
      </c>
      <c r="L124" s="4">
        <f>IF($J124="","",K124*16.67%)</f>
      </c>
      <c r="M124" s="4">
        <f>IF($J124="","",J124*7%)</f>
      </c>
      <c r="N124" s="4">
        <f>IF($J124="","",M124*20%)</f>
      </c>
      <c r="O124" s="4"/>
      <c r="P124" s="4">
        <f>IF($J124="","",O124*20%)</f>
      </c>
      <c r="Q124" s="4">
        <v>1</v>
      </c>
      <c r="R124" s="4">
        <f>IF($J124="","",N124+P124)</f>
      </c>
      <c r="S124" s="4">
        <f>IF($J124="","",K124-L124-M124-N124-O124-P124-Q124)</f>
      </c>
      <c r="T124" s="4">
        <f>IF($J124="","",(S124-Z124)/I124*100)</f>
      </c>
      <c r="U124" s="4">
        <f>IF($J124="","",L124-R124)</f>
      </c>
      <c r="AA124" s="4">
        <f>IF($J124="","",S124-Z124)</f>
      </c>
    </row>
    <row r="125" spans="1:32" x14ac:dyDescent="0.25">
      <c r="A125" s="8"/>
      <c r="D125" s="9"/>
      <c r="I125" s="4"/>
      <c r="J125" s="4"/>
      <c r="K125" s="4">
        <f>IF($J125="","",J125-I125)</f>
      </c>
      <c r="L125" s="4">
        <f>IF($J125="","",K125*16.67%)</f>
      </c>
      <c r="M125" s="4">
        <f>IF($J125="","",J125*7%)</f>
      </c>
      <c r="N125" s="4">
        <f>IF($J125="","",M125*20%)</f>
      </c>
      <c r="O125" s="4"/>
      <c r="P125" s="4">
        <f>IF($J125="","",O125*20%)</f>
      </c>
      <c r="Q125" s="4">
        <v>1</v>
      </c>
      <c r="R125" s="4">
        <f>IF($J125="","",N125+P125)</f>
      </c>
      <c r="S125" s="4">
        <f>IF($J125="","",K125-L125-M125-N125-O125-P125-Q125)</f>
      </c>
      <c r="T125" s="4">
        <f>IF($J125="","",(S125-Z125)/I125*100)</f>
      </c>
      <c r="U125" s="4">
        <f>IF($J125="","",L125-R125)</f>
      </c>
      <c r="AA125" s="4">
        <f>IF($J125="","",S125-Z125)</f>
      </c>
    </row>
    <row r="126" spans="1:32" x14ac:dyDescent="0.25">
      <c r="A126" s="8"/>
      <c r="D126" s="9"/>
      <c r="I126" s="4"/>
      <c r="J126" s="4"/>
      <c r="K126" s="4">
        <f>IF($J126="","",J126-I126)</f>
      </c>
      <c r="L126" s="4">
        <f>IF($J126="","",K126*16.67%)</f>
      </c>
      <c r="M126" s="4">
        <f>IF($J126="","",J126*7%)</f>
      </c>
      <c r="N126" s="4">
        <f>IF($J126="","",M126*20%)</f>
      </c>
      <c r="O126" s="4"/>
      <c r="P126" s="4">
        <f>IF($J126="","",O126*20%)</f>
      </c>
      <c r="Q126" s="4">
        <v>1</v>
      </c>
      <c r="R126" s="4">
        <f>IF($J126="","",N126+P126)</f>
      </c>
      <c r="S126" s="4">
        <f>IF($J126="","",K126-L126-M126-N126-O126-P126-Q126)</f>
      </c>
      <c r="T126" s="4">
        <f>IF($J126="","",(S126-Z126)/I126*100)</f>
      </c>
      <c r="U126" s="4">
        <f>IF($J126="","",L126-R126)</f>
      </c>
      <c r="AA126" s="4">
        <f>IF($J126="","",S126-Z126)</f>
      </c>
    </row>
    <row r="127" spans="1:32" x14ac:dyDescent="0.25">
      <c r="A127" s="8"/>
      <c r="D127" s="9"/>
      <c r="I127" s="4"/>
      <c r="J127" s="4"/>
      <c r="K127" s="4">
        <f>IF($J127="","",J127-I127)</f>
      </c>
      <c r="L127" s="4">
        <f>IF($J127="","",K127*16.67%)</f>
      </c>
      <c r="M127" s="4">
        <f>IF($J127="","",J127*7%)</f>
      </c>
      <c r="N127" s="4">
        <f>IF($J127="","",M127*20%)</f>
      </c>
      <c r="O127" s="4"/>
      <c r="P127" s="4">
        <f>IF($J127="","",O127*20%)</f>
      </c>
      <c r="Q127" s="4">
        <v>1</v>
      </c>
      <c r="R127" s="4">
        <f>IF($J127="","",N127+P127)</f>
      </c>
      <c r="S127" s="4">
        <f>IF($J127="","",K127-L127-M127-N127-O127-P127-Q127)</f>
      </c>
      <c r="T127" s="4">
        <f>IF($J127="","",(S127-Z127)/I127*100)</f>
      </c>
      <c r="U127" s="4">
        <f>IF($J127="","",L127-R127)</f>
      </c>
      <c r="AA127" s="4">
        <f>IF($J127="","",S127-Z127)</f>
      </c>
    </row>
    <row r="128" spans="1:32" x14ac:dyDescent="0.25">
      <c r="A128" s="8"/>
      <c r="D128" s="9"/>
      <c r="I128" s="4"/>
      <c r="J128" s="4"/>
      <c r="K128" s="4">
        <f>IF($J128="","",J128-I128)</f>
      </c>
      <c r="L128" s="4">
        <f>IF($J128="","",K128*16.67%)</f>
      </c>
      <c r="M128" s="4">
        <f>IF($J128="","",J128*7%)</f>
      </c>
      <c r="N128" s="4">
        <f>IF($J128="","",M128*20%)</f>
      </c>
      <c r="O128" s="4"/>
      <c r="P128" s="4">
        <f>IF($J128="","",O128*20%)</f>
      </c>
      <c r="Q128" s="4">
        <v>1</v>
      </c>
      <c r="R128" s="4">
        <f>IF($J128="","",N128+P128)</f>
      </c>
      <c r="S128" s="4">
        <f>IF($J128="","",K128-L128-M128-N128-O128-P128-Q128)</f>
      </c>
      <c r="T128" s="4">
        <f>IF($J128="","",(S128-Z128)/I128*100)</f>
      </c>
      <c r="U128" s="4">
        <f>IF($J128="","",L128-R128)</f>
      </c>
      <c r="AA128" s="4">
        <f>IF($J128="","",S128-Z128)</f>
      </c>
    </row>
    <row r="129" spans="1:32" x14ac:dyDescent="0.25">
      <c r="A129" s="8"/>
      <c r="D129" s="9"/>
      <c r="I129" s="4"/>
      <c r="J129" s="4"/>
      <c r="K129" s="4">
        <f>IF($J129="","",J129-I129)</f>
      </c>
      <c r="L129" s="4">
        <f>IF($J129="","",K129*16.67%)</f>
      </c>
      <c r="M129" s="4">
        <f>IF($J129="","",J129*7%)</f>
      </c>
      <c r="N129" s="4">
        <f>IF($J129="","",M129*20%)</f>
      </c>
      <c r="O129" s="4"/>
      <c r="P129" s="4">
        <f>IF($J129="","",O129*20%)</f>
      </c>
      <c r="Q129" s="4">
        <v>1</v>
      </c>
      <c r="R129" s="4">
        <f>IF($J129="","",N129+P129)</f>
      </c>
      <c r="S129" s="4">
        <f>IF($J129="","",K129-L129-M129-N129-O129-P129-Q129)</f>
      </c>
      <c r="T129" s="4">
        <f>IF($J129="","",(S129-Z129)/I129*100)</f>
      </c>
      <c r="U129" s="4">
        <f>IF($J129="","",L129-R129)</f>
      </c>
      <c r="AA129" s="4">
        <f>IF($J129="","",S129-Z129)</f>
      </c>
    </row>
    <row r="130" spans="1:32" x14ac:dyDescent="0.25">
      <c r="A130" s="8"/>
      <c r="D130" s="9"/>
      <c r="I130" s="4"/>
      <c r="J130" s="4"/>
      <c r="K130" s="4">
        <f>IF($J130="","",J130-I130)</f>
      </c>
      <c r="L130" s="4">
        <f>IF($J130="","",K130*16.67%)</f>
      </c>
      <c r="M130" s="4">
        <f>IF($J130="","",J130*7%)</f>
      </c>
      <c r="N130" s="4">
        <f>IF($J130="","",M130*20%)</f>
      </c>
      <c r="O130" s="4"/>
      <c r="P130" s="4">
        <f>IF($J130="","",O130*20%)</f>
      </c>
      <c r="Q130" s="4">
        <v>1</v>
      </c>
      <c r="R130" s="4">
        <f>IF($J130="","",N130+P130)</f>
      </c>
      <c r="S130" s="4">
        <f>IF($J130="","",K130-L130-M130-N130-O130-P130-Q130)</f>
      </c>
      <c r="T130" s="4">
        <f>IF($J130="","",(S130-Z130)/I130*100)</f>
      </c>
      <c r="U130" s="4">
        <f>IF($J130="","",L130-R130)</f>
      </c>
      <c r="AA130" s="4">
        <f>IF($J130="","",S130-Z130)</f>
      </c>
    </row>
    <row r="131" spans="1:32" x14ac:dyDescent="0.25">
      <c r="A131" s="8"/>
      <c r="D131" s="9"/>
      <c r="I131" s="4"/>
      <c r="J131" s="4"/>
      <c r="K131" s="4">
        <f>IF($J131="","",J131-I131)</f>
      </c>
      <c r="L131" s="4">
        <f>IF($J131="","",K131*16.67%)</f>
      </c>
      <c r="M131" s="4">
        <f>IF($J131="","",J131*7%)</f>
      </c>
      <c r="N131" s="4">
        <f>IF($J131="","",M131*20%)</f>
      </c>
      <c r="O131" s="4"/>
      <c r="P131" s="4">
        <f>IF($J131="","",O131*20%)</f>
      </c>
      <c r="Q131" s="4">
        <v>1</v>
      </c>
      <c r="R131" s="4">
        <f>IF($J131="","",N131+P131)</f>
      </c>
      <c r="S131" s="4">
        <f>IF($J131="","",K131-L131-M131-N131-O131-P131-Q131)</f>
      </c>
      <c r="T131" s="4">
        <f>IF($J131="","",(S131-Z131)/I131*100)</f>
      </c>
      <c r="U131" s="4">
        <f>IF($J131="","",L131-R131)</f>
      </c>
      <c r="AA131" s="4">
        <f>IF($J131="","",S131-Z131)</f>
      </c>
    </row>
    <row r="132" spans="1:32" x14ac:dyDescent="0.25">
      <c r="A132" s="8"/>
      <c r="D132" s="9"/>
      <c r="I132" s="4"/>
      <c r="J132" s="4"/>
      <c r="K132" s="4">
        <f>IF($J132="","",J132-I132)</f>
      </c>
      <c r="L132" s="4">
        <f>IF($J132="","",K132*16.67%)</f>
      </c>
      <c r="M132" s="4">
        <f>IF($J132="","",J132*7%)</f>
      </c>
      <c r="N132" s="4">
        <f>IF($J132="","",M132*20%)</f>
      </c>
      <c r="O132" s="4"/>
      <c r="P132" s="4">
        <f>IF($J132="","",O132*20%)</f>
      </c>
      <c r="Q132" s="4">
        <v>1</v>
      </c>
      <c r="R132" s="4">
        <f>IF($J132="","",N132+P132)</f>
      </c>
      <c r="S132" s="4">
        <f>IF($J132="","",K132-L132-M132-N132-O132-P132-Q132)</f>
      </c>
      <c r="T132" s="4">
        <f>IF($J132="","",(S132-Z132)/I132*100)</f>
      </c>
      <c r="U132" s="4">
        <f>IF($J132="","",L132-R132)</f>
      </c>
      <c r="AA132" s="4">
        <f>IF($J132="","",S132-Z132)</f>
      </c>
    </row>
    <row r="133" spans="1:32" x14ac:dyDescent="0.25">
      <c r="A133" s="8"/>
      <c r="D133" s="9"/>
      <c r="I133" s="4"/>
      <c r="J133" s="4"/>
      <c r="K133" s="4">
        <f>IF($J133="","",J133-I133)</f>
      </c>
      <c r="L133" s="4">
        <f>IF($J133="","",K133*16.67%)</f>
      </c>
      <c r="M133" s="4">
        <f>IF($J133="","",J133*7%)</f>
      </c>
      <c r="N133" s="4">
        <f>IF($J133="","",M133*20%)</f>
      </c>
      <c r="O133" s="4"/>
      <c r="P133" s="4">
        <f>IF($J133="","",O133*20%)</f>
      </c>
      <c r="Q133" s="4">
        <v>1</v>
      </c>
      <c r="R133" s="4">
        <f>IF($J133="","",N133+P133)</f>
      </c>
      <c r="S133" s="4">
        <f>IF($J133="","",K133-L133-M133-N133-O133-P133-Q133)</f>
      </c>
      <c r="T133" s="4">
        <f>IF($J133="","",(S133-Z133)/I133*100)</f>
      </c>
      <c r="U133" s="4">
        <f>IF($J133="","",L133-R133)</f>
      </c>
      <c r="AA133" s="4">
        <f>IF($J133="","",S133-Z133)</f>
      </c>
    </row>
    <row r="134" spans="1:32" x14ac:dyDescent="0.25">
      <c r="A134" s="8"/>
      <c r="D134" s="9"/>
      <c r="I134" s="4"/>
      <c r="J134" s="4"/>
      <c r="K134" s="4">
        <f>IF($J134="","",J134-I134)</f>
      </c>
      <c r="L134" s="4">
        <f>IF($J134="","",K134*16.67%)</f>
      </c>
      <c r="M134" s="4">
        <f>IF($J134="","",J134*7%)</f>
      </c>
      <c r="N134" s="4">
        <f>IF($J134="","",M134*20%)</f>
      </c>
      <c r="O134" s="4"/>
      <c r="P134" s="4">
        <f>IF($J134="","",O134*20%)</f>
      </c>
      <c r="Q134" s="4">
        <v>1</v>
      </c>
      <c r="R134" s="4">
        <f>IF($J134="","",N134+P134)</f>
      </c>
      <c r="S134" s="4">
        <f>IF($J134="","",K134-L134-M134-N134-O134-P134-Q134)</f>
      </c>
      <c r="T134" s="4">
        <f>IF($J134="","",(S134-Z134)/I134*100)</f>
      </c>
      <c r="U134" s="4">
        <f>IF($J134="","",L134-R134)</f>
      </c>
      <c r="AA134" s="4">
        <f>IF($J134="","",S134-Z134)</f>
      </c>
    </row>
    <row r="135" spans="1:32" x14ac:dyDescent="0.25">
      <c r="A135" s="8"/>
      <c r="D135" s="9"/>
      <c r="I135" s="4"/>
      <c r="J135" s="4"/>
      <c r="K135" s="4">
        <f>IF($J135="","",J135-I135)</f>
      </c>
      <c r="L135" s="4">
        <f>IF($J135="","",K135*16.67%)</f>
      </c>
      <c r="M135" s="4">
        <f>IF($J135="","",J135*7%)</f>
      </c>
      <c r="N135" s="4">
        <f>IF($J135="","",M135*20%)</f>
      </c>
      <c r="O135" s="4"/>
      <c r="P135" s="4">
        <f>IF($J135="","",O135*20%)</f>
      </c>
      <c r="Q135" s="4">
        <v>1</v>
      </c>
      <c r="R135" s="4">
        <f>IF($J135="","",N135+P135)</f>
      </c>
      <c r="S135" s="4">
        <f>IF($J135="","",K135-L135-M135-N135-O135-P135-Q135)</f>
      </c>
      <c r="T135" s="4">
        <f>IF($J135="","",(S135-Z135)/I135*100)</f>
      </c>
      <c r="U135" s="4">
        <f>IF($J135="","",L135-R135)</f>
      </c>
      <c r="AA135" s="4">
        <f>IF($J135="","",S135-Z135)</f>
      </c>
    </row>
    <row r="136" spans="1:32" x14ac:dyDescent="0.25">
      <c r="A136" s="8"/>
      <c r="D136" s="9"/>
      <c r="I136" s="4"/>
      <c r="J136" s="4"/>
      <c r="K136" s="4">
        <f>IF($J136="","",J136-I136)</f>
      </c>
      <c r="L136" s="4">
        <f>IF($J136="","",K136*16.67%)</f>
      </c>
      <c r="M136" s="4">
        <f>IF($J136="","",J136*7%)</f>
      </c>
      <c r="N136" s="4">
        <f>IF($J136="","",M136*20%)</f>
      </c>
      <c r="O136" s="4"/>
      <c r="P136" s="4">
        <f>IF($J136="","",O136*20%)</f>
      </c>
      <c r="Q136" s="4">
        <v>1</v>
      </c>
      <c r="R136" s="4">
        <f>IF($J136="","",N136+P136)</f>
      </c>
      <c r="S136" s="4">
        <f>IF($J136="","",K136-L136-M136-N136-O136-P136-Q136)</f>
      </c>
      <c r="T136" s="4">
        <f>IF($J136="","",(S136-Z136)/I136*100)</f>
      </c>
      <c r="U136" s="4">
        <f>IF($J136="","",L136-R136)</f>
      </c>
      <c r="AA136" s="4">
        <f>IF($J136="","",S136-Z136)</f>
      </c>
    </row>
    <row r="137" spans="1:32" x14ac:dyDescent="0.25">
      <c r="A137" s="8"/>
      <c r="D137" s="9"/>
      <c r="I137" s="4"/>
      <c r="J137" s="4"/>
      <c r="K137" s="4">
        <f>IF($J137="","",J137-I137)</f>
      </c>
      <c r="L137" s="4">
        <f>IF($J137="","",K137*16.67%)</f>
      </c>
      <c r="M137" s="4">
        <f>IF($J137="","",J137*7%)</f>
      </c>
      <c r="N137" s="4">
        <f>IF($J137="","",M137*20%)</f>
      </c>
      <c r="O137" s="4"/>
      <c r="P137" s="4">
        <f>IF($J137="","",O137*20%)</f>
      </c>
      <c r="Q137" s="4">
        <v>1</v>
      </c>
      <c r="R137" s="4">
        <f>IF($J137="","",N137+P137)</f>
      </c>
      <c r="S137" s="4">
        <f>IF($J137="","",K137-L137-M137-N137-O137-P137-Q137)</f>
      </c>
      <c r="T137" s="4">
        <f>IF($J137="","",(S137-Z137)/I137*100)</f>
      </c>
      <c r="U137" s="4">
        <f>IF($J137="","",L137-R137)</f>
      </c>
      <c r="AA137" s="4">
        <f>IF($J137="","",S137-Z137)</f>
      </c>
    </row>
    <row r="138" spans="1:32" x14ac:dyDescent="0.25">
      <c r="A138" s="8"/>
      <c r="D138" s="9"/>
      <c r="I138" s="4"/>
      <c r="J138" s="4"/>
      <c r="K138" s="4">
        <f>IF($J138="","",J138-I138)</f>
      </c>
      <c r="L138" s="4">
        <f>IF($J138="","",K138*16.67%)</f>
      </c>
      <c r="M138" s="4">
        <f>IF($J138="","",J138*7%)</f>
      </c>
      <c r="N138" s="4">
        <f>IF($J138="","",M138*20%)</f>
      </c>
      <c r="O138" s="4"/>
      <c r="P138" s="4">
        <f>IF($J138="","",O138*20%)</f>
      </c>
      <c r="Q138" s="4">
        <v>1</v>
      </c>
      <c r="R138" s="4">
        <f>IF($J138="","",N138+P138)</f>
      </c>
      <c r="S138" s="4">
        <f>IF($J138="","",K138-L138-M138-N138-O138-P138-Q138)</f>
      </c>
      <c r="T138" s="4">
        <f>IF($J138="","",(S138-Z138)/I138*100)</f>
      </c>
      <c r="U138" s="4">
        <f>IF($J138="","",L138-R138)</f>
      </c>
      <c r="AA138" s="4">
        <f>IF($J138="","",S138-Z138)</f>
      </c>
    </row>
    <row r="139" spans="1:32" x14ac:dyDescent="0.25">
      <c r="A139" s="8"/>
      <c r="D139" s="9"/>
      <c r="I139" s="4"/>
      <c r="J139" s="4"/>
      <c r="K139" s="4">
        <f>IF($J139="","",J139-I139)</f>
      </c>
      <c r="L139" s="4">
        <f>IF($J139="","",K139*16.67%)</f>
      </c>
      <c r="M139" s="4">
        <f>IF($J139="","",J139*7%)</f>
      </c>
      <c r="N139" s="4">
        <f>IF($J139="","",M139*20%)</f>
      </c>
      <c r="O139" s="4"/>
      <c r="P139" s="4">
        <f>IF($J139="","",O139*20%)</f>
      </c>
      <c r="Q139" s="4">
        <v>1</v>
      </c>
      <c r="R139" s="4">
        <f>IF($J139="","",N139+P139)</f>
      </c>
      <c r="S139" s="4">
        <f>IF($J139="","",K139-L139-M139-N139-O139-P139-Q139)</f>
      </c>
      <c r="T139" s="4">
        <f>IF($J139="","",(S139-Z139)/I139*100)</f>
      </c>
      <c r="U139" s="4">
        <f>IF($J139="","",L139-R139)</f>
      </c>
      <c r="AA139" s="4">
        <f>IF($J139="","",S139-Z139)</f>
      </c>
    </row>
    <row r="140" spans="1:32" x14ac:dyDescent="0.25">
      <c r="A140" s="8"/>
      <c r="D140" s="9"/>
      <c r="I140" s="4"/>
      <c r="J140" s="4"/>
      <c r="K140" s="4">
        <f>IF($J140="","",J140-I140)</f>
      </c>
      <c r="L140" s="4">
        <f>IF($J140="","",K140*16.67%)</f>
      </c>
      <c r="M140" s="4">
        <f>IF($J140="","",J140*7%)</f>
      </c>
      <c r="N140" s="4">
        <f>IF($J140="","",M140*20%)</f>
      </c>
      <c r="O140" s="4"/>
      <c r="P140" s="4">
        <f>IF($J140="","",O140*20%)</f>
      </c>
      <c r="Q140" s="4">
        <v>1</v>
      </c>
      <c r="R140" s="4">
        <f>IF($J140="","",N140+P140)</f>
      </c>
      <c r="S140" s="4">
        <f>IF($J140="","",K140-L140-M140-N140-O140-P140-Q140)</f>
      </c>
      <c r="T140" s="4">
        <f>IF($J140="","",(S140-Z140)/I140*100)</f>
      </c>
      <c r="U140" s="4">
        <f>IF($J140="","",L140-R140)</f>
      </c>
      <c r="AA140" s="4">
        <f>IF($J140="","",S140-Z140)</f>
      </c>
    </row>
    <row r="141" spans="1:32" x14ac:dyDescent="0.25">
      <c r="A141" s="8"/>
      <c r="D141" s="9"/>
      <c r="I141" s="4"/>
      <c r="J141" s="4"/>
      <c r="K141" s="4">
        <f>IF($J141="","",J141-I141)</f>
      </c>
      <c r="L141" s="4">
        <f>IF($J141="","",K141*16.67%)</f>
      </c>
      <c r="M141" s="4">
        <f>IF($J141="","",J141*7%)</f>
      </c>
      <c r="N141" s="4">
        <f>IF($J141="","",M141*20%)</f>
      </c>
      <c r="O141" s="4"/>
      <c r="P141" s="4">
        <f>IF($J141="","",O141*20%)</f>
      </c>
      <c r="Q141" s="4">
        <v>1</v>
      </c>
      <c r="R141" s="4">
        <f>IF($J141="","",N141+P141)</f>
      </c>
      <c r="S141" s="4">
        <f>IF($J141="","",K141-L141-M141-N141-O141-P141-Q141)</f>
      </c>
      <c r="T141" s="4">
        <f>IF($J141="","",(S141-Z141)/I141*100)</f>
      </c>
      <c r="U141" s="4">
        <f>IF($J141="","",L141-R141)</f>
      </c>
      <c r="AA141" s="4">
        <f>IF($J141="","",S141-Z141)</f>
      </c>
    </row>
    <row r="142" spans="1:32" x14ac:dyDescent="0.25">
      <c r="A142" s="8"/>
      <c r="D142" s="9"/>
      <c r="I142" s="4"/>
      <c r="J142" s="4"/>
      <c r="K142" s="4">
        <f>IF($J142="","",J142-I142)</f>
      </c>
      <c r="L142" s="4">
        <f>IF($J142="","",K142*16.67%)</f>
      </c>
      <c r="M142" s="4">
        <f>IF($J142="","",J142*7%)</f>
      </c>
      <c r="N142" s="4">
        <f>IF($J142="","",M142*20%)</f>
      </c>
      <c r="O142" s="4"/>
      <c r="P142" s="4">
        <f>IF($J142="","",O142*20%)</f>
      </c>
      <c r="Q142" s="4">
        <v>1</v>
      </c>
      <c r="R142" s="4">
        <f>IF($J142="","",N142+P142)</f>
      </c>
      <c r="S142" s="4">
        <f>IF($J142="","",K142-L142-M142-N142-O142-P142-Q142)</f>
      </c>
      <c r="T142" s="4">
        <f>IF($J142="","",(S142-Z142)/I142*100)</f>
      </c>
      <c r="U142" s="4">
        <f>IF($J142="","",L142-R142)</f>
      </c>
      <c r="AA142" s="4">
        <f>IF($J142="","",S142-Z142)</f>
      </c>
    </row>
    <row r="143" spans="1:32" x14ac:dyDescent="0.25">
      <c r="A143" s="8"/>
      <c r="D143" s="9"/>
      <c r="I143" s="4"/>
      <c r="J143" s="4"/>
      <c r="K143" s="4">
        <f>IF($J143="","",J143-I143)</f>
      </c>
      <c r="L143" s="4">
        <f>IF($J143="","",K143*16.67%)</f>
      </c>
      <c r="M143" s="4">
        <f>IF($J143="","",J143*7%)</f>
      </c>
      <c r="N143" s="4">
        <f>IF($J143="","",M143*20%)</f>
      </c>
      <c r="O143" s="4"/>
      <c r="P143" s="4">
        <f>IF($J143="","",O143*20%)</f>
      </c>
      <c r="Q143" s="4">
        <v>1</v>
      </c>
      <c r="R143" s="4">
        <f>IF($J143="","",N143+P143)</f>
      </c>
      <c r="S143" s="4">
        <f>IF($J143="","",K143-L143-M143-N143-O143-P143-Q143)</f>
      </c>
      <c r="T143" s="4">
        <f>IF($J143="","",(S143-Z143)/I143*100)</f>
      </c>
      <c r="U143" s="4">
        <f>IF($J143="","",L143-R143)</f>
      </c>
      <c r="AA143" s="4">
        <f>IF($J143="","",S143-Z143)</f>
      </c>
    </row>
    <row r="144" spans="1:32" x14ac:dyDescent="0.25">
      <c r="A144" s="8"/>
      <c r="D144" s="9"/>
      <c r="I144" s="4"/>
      <c r="J144" s="4"/>
      <c r="K144" s="4">
        <f>IF($J144="","",J144-I144)</f>
      </c>
      <c r="L144" s="4">
        <f>IF($J144="","",K144*16.67%)</f>
      </c>
      <c r="M144" s="4">
        <f>IF($J144="","",J144*7%)</f>
      </c>
      <c r="N144" s="4">
        <f>IF($J144="","",M144*20%)</f>
      </c>
      <c r="O144" s="4"/>
      <c r="P144" s="4">
        <f>IF($J144="","",O144*20%)</f>
      </c>
      <c r="Q144" s="4">
        <v>1</v>
      </c>
      <c r="R144" s="4">
        <f>IF($J144="","",N144+P144)</f>
      </c>
      <c r="S144" s="4">
        <f>IF($J144="","",K144-L144-M144-N144-O144-P144-Q144)</f>
      </c>
      <c r="T144" s="4">
        <f>IF($J144="","",(S144-Z144)/I144*100)</f>
      </c>
      <c r="U144" s="4">
        <f>IF($J144="","",L144-R144)</f>
      </c>
      <c r="AA144" s="4">
        <f>IF($J144="","",S144-Z144)</f>
      </c>
    </row>
    <row r="145" spans="1:32" x14ac:dyDescent="0.25">
      <c r="A145" s="8"/>
      <c r="D145" s="9"/>
      <c r="I145" s="4"/>
      <c r="J145" s="4"/>
      <c r="K145" s="4">
        <f>IF($J145="","",J145-I145)</f>
      </c>
      <c r="L145" s="4">
        <f>IF($J145="","",K145*16.67%)</f>
      </c>
      <c r="M145" s="4">
        <f>IF($J145="","",J145*7%)</f>
      </c>
      <c r="N145" s="4">
        <f>IF($J145="","",M145*20%)</f>
      </c>
      <c r="O145" s="4"/>
      <c r="P145" s="4">
        <f>IF($J145="","",O145*20%)</f>
      </c>
      <c r="Q145" s="4">
        <v>1</v>
      </c>
      <c r="R145" s="4">
        <f>IF($J145="","",N145+P145)</f>
      </c>
      <c r="S145" s="4">
        <f>IF($J145="","",K145-L145-M145-N145-O145-P145-Q145)</f>
      </c>
      <c r="T145" s="4">
        <f>IF($J145="","",(S145-Z145)/I145*100)</f>
      </c>
      <c r="U145" s="4">
        <f>IF($J145="","",L145-R145)</f>
      </c>
      <c r="AA145" s="4">
        <f>IF($J145="","",S145-Z145)</f>
      </c>
    </row>
    <row r="146" spans="1:32" x14ac:dyDescent="0.25">
      <c r="A146" s="8"/>
      <c r="D146" s="9"/>
      <c r="I146" s="4"/>
      <c r="J146" s="4"/>
      <c r="K146" s="4">
        <f>IF($J146="","",J146-I146)</f>
      </c>
      <c r="L146" s="4">
        <f>IF($J146="","",K146*16.67%)</f>
      </c>
      <c r="M146" s="4">
        <f>IF($J146="","",J146*7%)</f>
      </c>
      <c r="N146" s="4">
        <f>IF($J146="","",M146*20%)</f>
      </c>
      <c r="O146" s="4"/>
      <c r="P146" s="4">
        <f>IF($J146="","",O146*20%)</f>
      </c>
      <c r="Q146" s="4">
        <v>1</v>
      </c>
      <c r="R146" s="4">
        <f>IF($J146="","",N146+P146)</f>
      </c>
      <c r="S146" s="4">
        <f>IF($J146="","",K146-L146-M146-N146-O146-P146-Q146)</f>
      </c>
      <c r="T146" s="4">
        <f>IF($J146="","",(S146-Z146)/I146*100)</f>
      </c>
      <c r="U146" s="4">
        <f>IF($J146="","",L146-R146)</f>
      </c>
      <c r="AA146" s="4">
        <f>IF($J146="","",S146-Z146)</f>
      </c>
    </row>
    <row r="147" spans="1:32" x14ac:dyDescent="0.25">
      <c r="A147" s="8"/>
      <c r="D147" s="9"/>
      <c r="I147" s="4"/>
      <c r="J147" s="4"/>
      <c r="K147" s="4">
        <f>IF($J147="","",J147-I147)</f>
      </c>
      <c r="L147" s="4">
        <f>IF($J147="","",K147*16.67%)</f>
      </c>
      <c r="M147" s="4">
        <f>IF($J147="","",J147*7%)</f>
      </c>
      <c r="N147" s="4">
        <f>IF($J147="","",M147*20%)</f>
      </c>
      <c r="O147" s="4"/>
      <c r="P147" s="4">
        <f>IF($J147="","",O147*20%)</f>
      </c>
      <c r="Q147" s="4">
        <v>1</v>
      </c>
      <c r="R147" s="4">
        <f>IF($J147="","",N147+P147)</f>
      </c>
      <c r="S147" s="4">
        <f>IF($J147="","",K147-L147-M147-N147-O147-P147-Q147)</f>
      </c>
      <c r="T147" s="4">
        <f>IF($J147="","",(S147-Z147)/I147*100)</f>
      </c>
      <c r="U147" s="4">
        <f>IF($J147="","",L147-R147)</f>
      </c>
      <c r="AA147" s="4">
        <f>IF($J147="","",S147-Z147)</f>
      </c>
    </row>
    <row r="148" spans="1:32" x14ac:dyDescent="0.25">
      <c r="A148" s="8"/>
      <c r="D148" s="9"/>
      <c r="I148" s="4"/>
      <c r="J148" s="4"/>
      <c r="K148" s="4">
        <f>IF($J148="","",J148-I148)</f>
      </c>
      <c r="L148" s="4">
        <f>IF($J148="","",K148*16.67%)</f>
      </c>
      <c r="M148" s="4">
        <f>IF($J148="","",J148*7%)</f>
      </c>
      <c r="N148" s="4">
        <f>IF($J148="","",M148*20%)</f>
      </c>
      <c r="O148" s="4"/>
      <c r="P148" s="4">
        <f>IF($J148="","",O148*20%)</f>
      </c>
      <c r="Q148" s="4">
        <v>1</v>
      </c>
      <c r="R148" s="4">
        <f>IF($J148="","",N148+P148)</f>
      </c>
      <c r="S148" s="4">
        <f>IF($J148="","",K148-L148-M148-N148-O148-P148-Q148)</f>
      </c>
      <c r="T148" s="4">
        <f>IF($J148="","",(S148-Z148)/I148*100)</f>
      </c>
      <c r="U148" s="4">
        <f>IF($J148="","",L148-R148)</f>
      </c>
      <c r="AA148" s="4">
        <f>IF($J148="","",S148-Z148)</f>
      </c>
    </row>
    <row r="149" spans="1:32" x14ac:dyDescent="0.25">
      <c r="A149" s="8"/>
      <c r="D149" s="9"/>
      <c r="I149" s="4"/>
      <c r="J149" s="4"/>
      <c r="K149" s="4">
        <f>IF($J149="","",J149-I149)</f>
      </c>
      <c r="L149" s="4">
        <f>IF($J149="","",K149*16.67%)</f>
      </c>
      <c r="M149" s="4">
        <f>IF($J149="","",J149*7%)</f>
      </c>
      <c r="N149" s="4">
        <f>IF($J149="","",M149*20%)</f>
      </c>
      <c r="O149" s="4"/>
      <c r="P149" s="4">
        <f>IF($J149="","",O149*20%)</f>
      </c>
      <c r="Q149" s="4">
        <v>1</v>
      </c>
      <c r="R149" s="4">
        <f>IF($J149="","",N149+P149)</f>
      </c>
      <c r="S149" s="4">
        <f>IF($J149="","",K149-L149-M149-N149-O149-P149-Q149)</f>
      </c>
      <c r="T149" s="4">
        <f>IF($J149="","",(S149-Z149)/I149*100)</f>
      </c>
      <c r="U149" s="4">
        <f>IF($J149="","",L149-R149)</f>
      </c>
      <c r="AA149" s="4">
        <f>IF($J149="","",S149-Z149)</f>
      </c>
    </row>
    <row r="150" spans="1:32" x14ac:dyDescent="0.25">
      <c r="A150" s="8"/>
      <c r="D150" s="9"/>
      <c r="I150" s="4"/>
      <c r="J150" s="4"/>
      <c r="K150" s="4">
        <f>IF($J150="","",J150-I150)</f>
      </c>
      <c r="L150" s="4">
        <f>IF($J150="","",K150*16.67%)</f>
      </c>
      <c r="M150" s="4">
        <f>IF($J150="","",J150*7%)</f>
      </c>
      <c r="N150" s="4">
        <f>IF($J150="","",M150*20%)</f>
      </c>
      <c r="O150" s="4"/>
      <c r="P150" s="4">
        <f>IF($J150="","",O150*20%)</f>
      </c>
      <c r="Q150" s="4">
        <v>1</v>
      </c>
      <c r="R150" s="4">
        <f>IF($J150="","",N150+P150)</f>
      </c>
      <c r="S150" s="4">
        <f>IF($J150="","",K150-L150-M150-N150-O150-P150-Q150)</f>
      </c>
      <c r="T150" s="4">
        <f>IF($J150="","",(S150-Z150)/I150*100)</f>
      </c>
      <c r="U150" s="4">
        <f>IF($J150="","",L150-R150)</f>
      </c>
      <c r="AA150" s="4">
        <f>IF($J150="","",S150-Z150)</f>
      </c>
    </row>
    <row r="151" spans="1:32" x14ac:dyDescent="0.25">
      <c r="A151" s="8"/>
      <c r="D151" s="9"/>
      <c r="I151" s="4"/>
      <c r="J151" s="4"/>
      <c r="K151" s="4">
        <f>IF($J151="","",J151-I151)</f>
      </c>
      <c r="L151" s="4">
        <f>IF($J151="","",K151*16.67%)</f>
      </c>
      <c r="M151" s="4">
        <f>IF($J151="","",J151*7%)</f>
      </c>
      <c r="N151" s="4">
        <f>IF($J151="","",M151*20%)</f>
      </c>
      <c r="O151" s="4"/>
      <c r="P151" s="4">
        <f>IF($J151="","",O151*20%)</f>
      </c>
      <c r="Q151" s="4">
        <v>1</v>
      </c>
      <c r="R151" s="4">
        <f>IF($J151="","",N151+P151)</f>
      </c>
      <c r="S151" s="4">
        <f>IF($J151="","",K151-L151-M151-N151-O151-P151-Q151)</f>
      </c>
      <c r="T151" s="4">
        <f>IF($J151="","",(S151-Z151)/I151*100)</f>
      </c>
      <c r="U151" s="4">
        <f>IF($J151="","",L151-R151)</f>
      </c>
      <c r="AA151" s="4">
        <f>IF($J151="","",S151-Z151)</f>
      </c>
    </row>
    <row r="152" spans="1:32" x14ac:dyDescent="0.25">
      <c r="A152" s="8"/>
      <c r="D152" s="9"/>
      <c r="I152" s="4"/>
      <c r="J152" s="4"/>
      <c r="K152" s="4">
        <f>IF($J152="","",J152-I152)</f>
      </c>
      <c r="L152" s="4">
        <f>IF($J152="","",K152*16.67%)</f>
      </c>
      <c r="M152" s="4">
        <f>IF($J152="","",J152*7%)</f>
      </c>
      <c r="N152" s="4">
        <f>IF($J152="","",M152*20%)</f>
      </c>
      <c r="O152" s="4"/>
      <c r="P152" s="4">
        <f>IF($J152="","",O152*20%)</f>
      </c>
      <c r="Q152" s="4">
        <v>1</v>
      </c>
      <c r="R152" s="4">
        <f>IF($J152="","",N152+P152)</f>
      </c>
      <c r="S152" s="4">
        <f>IF($J152="","",K152-L152-M152-N152-O152-P152-Q152)</f>
      </c>
      <c r="T152" s="4">
        <f>IF($J152="","",(S152-Z152)/I152*100)</f>
      </c>
      <c r="U152" s="4">
        <f>IF($J152="","",L152-R152)</f>
      </c>
      <c r="AA152" s="4">
        <f>IF($J152="","",S152-Z152)</f>
      </c>
    </row>
    <row r="153" spans="1:32" x14ac:dyDescent="0.25">
      <c r="A153" s="8"/>
      <c r="D153" s="9"/>
      <c r="I153" s="4"/>
      <c r="J153" s="4"/>
      <c r="K153" s="4">
        <f>IF($J153="","",J153-I153)</f>
      </c>
      <c r="L153" s="4">
        <f>IF($J153="","",K153*16.67%)</f>
      </c>
      <c r="M153" s="4">
        <f>IF($J153="","",J153*7%)</f>
      </c>
      <c r="N153" s="4">
        <f>IF($J153="","",M153*20%)</f>
      </c>
      <c r="O153" s="4"/>
      <c r="P153" s="4">
        <f>IF($J153="","",O153*20%)</f>
      </c>
      <c r="Q153" s="4">
        <v>1</v>
      </c>
      <c r="R153" s="4">
        <f>IF($J153="","",N153+P153)</f>
      </c>
      <c r="S153" s="4">
        <f>IF($J153="","",K153-L153-M153-N153-O153-P153-Q153)</f>
      </c>
      <c r="T153" s="4">
        <f>IF($J153="","",(S153-Z153)/I153*100)</f>
      </c>
      <c r="U153" s="4">
        <f>IF($J153="","",L153-R153)</f>
      </c>
      <c r="AA153" s="4">
        <f>IF($J153="","",S153-Z153)</f>
      </c>
    </row>
    <row r="154" spans="1:32" x14ac:dyDescent="0.25">
      <c r="A154" s="8"/>
      <c r="D154" s="9"/>
      <c r="I154" s="4"/>
      <c r="J154" s="4"/>
      <c r="K154" s="4">
        <f>IF($J154="","",J154-I154)</f>
      </c>
      <c r="L154" s="4">
        <f>IF($J154="","",K154*16.67%)</f>
      </c>
      <c r="M154" s="4">
        <f>IF($J154="","",J154*7%)</f>
      </c>
      <c r="N154" s="4">
        <f>IF($J154="","",M154*20%)</f>
      </c>
      <c r="O154" s="4"/>
      <c r="P154" s="4">
        <f>IF($J154="","",O154*20%)</f>
      </c>
      <c r="Q154" s="4">
        <v>1</v>
      </c>
      <c r="R154" s="4">
        <f>IF($J154="","",N154+P154)</f>
      </c>
      <c r="S154" s="4">
        <f>IF($J154="","",K154-L154-M154-N154-O154-P154-Q154)</f>
      </c>
      <c r="T154" s="4">
        <f>IF($J154="","",(S154-Z154)/I154*100)</f>
      </c>
      <c r="U154" s="4">
        <f>IF($J154="","",L154-R154)</f>
      </c>
      <c r="AA154" s="4">
        <f>IF($J154="","",S154-Z154)</f>
      </c>
    </row>
    <row r="155" spans="1:32" x14ac:dyDescent="0.25">
      <c r="A155" s="8"/>
      <c r="D155" s="9"/>
      <c r="I155" s="4"/>
      <c r="J155" s="4"/>
      <c r="K155" s="4">
        <f>IF($J155="","",J155-I155)</f>
      </c>
      <c r="L155" s="4">
        <f>IF($J155="","",K155*16.67%)</f>
      </c>
      <c r="M155" s="4">
        <f>IF($J155="","",J155*7%)</f>
      </c>
      <c r="N155" s="4">
        <f>IF($J155="","",M155*20%)</f>
      </c>
      <c r="O155" s="4"/>
      <c r="P155" s="4">
        <f>IF($J155="","",O155*20%)</f>
      </c>
      <c r="Q155" s="4">
        <v>1</v>
      </c>
      <c r="R155" s="4">
        <f>IF($J155="","",N155+P155)</f>
      </c>
      <c r="S155" s="4">
        <f>IF($J155="","",K155-L155-M155-N155-O155-P155-Q155)</f>
      </c>
      <c r="T155" s="4">
        <f>IF($J155="","",(S155-Z155)/I155*100)</f>
      </c>
      <c r="U155" s="4">
        <f>IF($J155="","",L155-R155)</f>
      </c>
      <c r="AA155" s="4">
        <f>IF($J155="","",S155-Z155)</f>
      </c>
    </row>
    <row r="156" spans="1:32" x14ac:dyDescent="0.25">
      <c r="A156" s="8"/>
      <c r="D156" s="9"/>
      <c r="I156" s="4"/>
      <c r="J156" s="4"/>
      <c r="K156" s="4">
        <f>IF($J156="","",J156-I156)</f>
      </c>
      <c r="L156" s="4">
        <f>IF($J156="","",K156*16.67%)</f>
      </c>
      <c r="M156" s="4">
        <f>IF($J156="","",J156*7%)</f>
      </c>
      <c r="N156" s="4">
        <f>IF($J156="","",M156*20%)</f>
      </c>
      <c r="O156" s="4"/>
      <c r="P156" s="4">
        <f>IF($J156="","",O156*20%)</f>
      </c>
      <c r="Q156" s="4">
        <v>1</v>
      </c>
      <c r="R156" s="4">
        <f>IF($J156="","",N156+P156)</f>
      </c>
      <c r="S156" s="4">
        <f>IF($J156="","",K156-L156-M156-N156-O156-P156-Q156)</f>
      </c>
      <c r="T156" s="4">
        <f>IF($J156="","",(S156-Z156)/I156*100)</f>
      </c>
      <c r="U156" s="4">
        <f>IF($J156="","",L156-R156)</f>
      </c>
      <c r="AA156" s="4">
        <f>IF($J156="","",S156-Z156)</f>
      </c>
    </row>
    <row r="157" spans="1:32" x14ac:dyDescent="0.25">
      <c r="A157" s="8"/>
      <c r="D157" s="9"/>
      <c r="I157" s="4"/>
      <c r="J157" s="4"/>
      <c r="K157" s="4">
        <f>IF($J157="","",J157-I157)</f>
      </c>
      <c r="L157" s="4">
        <f>IF($J157="","",K157*16.67%)</f>
      </c>
      <c r="M157" s="4">
        <f>IF($J157="","",J157*7%)</f>
      </c>
      <c r="N157" s="4">
        <f>IF($J157="","",M157*20%)</f>
      </c>
      <c r="O157" s="4"/>
      <c r="P157" s="4">
        <f>IF($J157="","",O157*20%)</f>
      </c>
      <c r="Q157" s="4">
        <v>1</v>
      </c>
      <c r="R157" s="4">
        <f>IF($J157="","",N157+P157)</f>
      </c>
      <c r="S157" s="4">
        <f>IF($J157="","",K157-L157-M157-N157-O157-P157-Q157)</f>
      </c>
      <c r="T157" s="4">
        <f>IF($J157="","",(S157-Z157)/I157*100)</f>
      </c>
      <c r="U157" s="4">
        <f>IF($J157="","",L157-R157)</f>
      </c>
      <c r="AA157" s="4">
        <f>IF($J157="","",S157-Z157)</f>
      </c>
    </row>
    <row r="158" spans="1:32" x14ac:dyDescent="0.25">
      <c r="A158" s="8"/>
      <c r="D158" s="9"/>
      <c r="I158" s="4"/>
      <c r="J158" s="4"/>
      <c r="K158" s="4">
        <f>IF($J158="","",J158-I158)</f>
      </c>
      <c r="L158" s="4">
        <f>IF($J158="","",K158*16.67%)</f>
      </c>
      <c r="M158" s="4">
        <f>IF($J158="","",J158*7%)</f>
      </c>
      <c r="N158" s="4">
        <f>IF($J158="","",M158*20%)</f>
      </c>
      <c r="O158" s="4"/>
      <c r="P158" s="4">
        <f>IF($J158="","",O158*20%)</f>
      </c>
      <c r="Q158" s="4">
        <v>1</v>
      </c>
      <c r="R158" s="4">
        <f>IF($J158="","",N158+P158)</f>
      </c>
      <c r="S158" s="4">
        <f>IF($J158="","",K158-L158-M158-N158-O158-P158-Q158)</f>
      </c>
      <c r="T158" s="4">
        <f>IF($J158="","",(S158-Z158)/I158*100)</f>
      </c>
      <c r="U158" s="4">
        <f>IF($J158="","",L158-R158)</f>
      </c>
      <c r="AA158" s="4">
        <f>IF($J158="","",S158-Z158)</f>
      </c>
    </row>
    <row r="159" spans="1:32" x14ac:dyDescent="0.25">
      <c r="A159" s="8"/>
      <c r="D159" s="9"/>
      <c r="I159" s="4"/>
      <c r="J159" s="4"/>
      <c r="K159" s="4">
        <f>IF($J159="","",J159-I159)</f>
      </c>
      <c r="L159" s="4">
        <f>IF($J159="","",K159*16.67%)</f>
      </c>
      <c r="M159" s="4">
        <f>IF($J159="","",J159*7%)</f>
      </c>
      <c r="N159" s="4">
        <f>IF($J159="","",M159*20%)</f>
      </c>
      <c r="O159" s="4"/>
      <c r="P159" s="4">
        <f>IF($J159="","",O159*20%)</f>
      </c>
      <c r="Q159" s="4">
        <v>1</v>
      </c>
      <c r="R159" s="4">
        <f>IF($J159="","",N159+P159)</f>
      </c>
      <c r="S159" s="4">
        <f>IF($J159="","",K159-L159-M159-N159-O159-P159-Q159)</f>
      </c>
      <c r="T159" s="4">
        <f>IF($J159="","",(S159-Z159)/I159*100)</f>
      </c>
      <c r="U159" s="4">
        <f>IF($J159="","",L159-R159)</f>
      </c>
      <c r="AA159" s="4">
        <f>IF($J159="","",S159-Z159)</f>
      </c>
    </row>
    <row r="160" spans="1:32" x14ac:dyDescent="0.25">
      <c r="A160" s="8"/>
      <c r="D160" s="9"/>
      <c r="I160" s="4"/>
      <c r="J160" s="4"/>
      <c r="K160" s="4">
        <f>IF($J160="","",J160-I160)</f>
      </c>
      <c r="L160" s="4">
        <f>IF($J160="","",K160*16.67%)</f>
      </c>
      <c r="M160" s="4">
        <f>IF($J160="","",J160*7%)</f>
      </c>
      <c r="N160" s="4">
        <f>IF($J160="","",M160*20%)</f>
      </c>
      <c r="O160" s="4"/>
      <c r="P160" s="4">
        <f>IF($J160="","",O160*20%)</f>
      </c>
      <c r="Q160" s="4">
        <v>1</v>
      </c>
      <c r="R160" s="4">
        <f>IF($J160="","",N160+P160)</f>
      </c>
      <c r="S160" s="4">
        <f>IF($J160="","",K160-L160-M160-N160-O160-P160-Q160)</f>
      </c>
      <c r="T160" s="4">
        <f>IF($J160="","",(S160-Z160)/I160*100)</f>
      </c>
      <c r="U160" s="4">
        <f>IF($J160="","",L160-R160)</f>
      </c>
      <c r="AA160" s="4">
        <f>IF($J160="","",S160-Z160)</f>
      </c>
    </row>
    <row r="161" spans="1:32" x14ac:dyDescent="0.25">
      <c r="A161" s="8"/>
      <c r="D161" s="9"/>
      <c r="I161" s="4"/>
      <c r="J161" s="4"/>
      <c r="K161" s="4">
        <f>IF($J161="","",J161-I161)</f>
      </c>
      <c r="L161" s="4">
        <f>IF($J161="","",K161*16.67%)</f>
      </c>
      <c r="M161" s="4">
        <f>IF($J161="","",J161*7%)</f>
      </c>
      <c r="N161" s="4">
        <f>IF($J161="","",M161*20%)</f>
      </c>
      <c r="O161" s="4"/>
      <c r="P161" s="4">
        <f>IF($J161="","",O161*20%)</f>
      </c>
      <c r="Q161" s="4">
        <v>1</v>
      </c>
      <c r="R161" s="4">
        <f>IF($J161="","",N161+P161)</f>
      </c>
      <c r="S161" s="4">
        <f>IF($J161="","",K161-L161-M161-N161-O161-P161-Q161)</f>
      </c>
      <c r="T161" s="4">
        <f>IF($J161="","",(S161-Z161)/I161*100)</f>
      </c>
      <c r="U161" s="4">
        <f>IF($J161="","",L161-R161)</f>
      </c>
      <c r="AA161" s="4">
        <f>IF($J161="","",S161-Z161)</f>
      </c>
    </row>
    <row r="162" spans="1:32" x14ac:dyDescent="0.25">
      <c r="A162" s="8"/>
      <c r="D162" s="9"/>
      <c r="I162" s="4"/>
      <c r="J162" s="4"/>
      <c r="K162" s="4">
        <f>IF($J162="","",J162-I162)</f>
      </c>
      <c r="L162" s="4">
        <f>IF($J162="","",K162*16.67%)</f>
      </c>
      <c r="M162" s="4">
        <f>IF($J162="","",J162*7%)</f>
      </c>
      <c r="N162" s="4">
        <f>IF($J162="","",M162*20%)</f>
      </c>
      <c r="O162" s="4"/>
      <c r="P162" s="4">
        <f>IF($J162="","",O162*20%)</f>
      </c>
      <c r="Q162" s="4">
        <v>1</v>
      </c>
      <c r="R162" s="4">
        <f>IF($J162="","",N162+P162)</f>
      </c>
      <c r="S162" s="4">
        <f>IF($J162="","",K162-L162-M162-N162-O162-P162-Q162)</f>
      </c>
      <c r="T162" s="4">
        <f>IF($J162="","",(S162-Z162)/I162*100)</f>
      </c>
      <c r="U162" s="4">
        <f>IF($J162="","",L162-R162)</f>
      </c>
      <c r="AA162" s="4">
        <f>IF($J162="","",S162-Z162)</f>
      </c>
    </row>
    <row r="163" spans="1:32" x14ac:dyDescent="0.25">
      <c r="A163" s="8"/>
      <c r="D163" s="9"/>
      <c r="I163" s="4"/>
      <c r="J163" s="4"/>
      <c r="K163" s="4">
        <f>IF($J163="","",J163-I163)</f>
      </c>
      <c r="L163" s="4">
        <f>IF($J163="","",K163*16.67%)</f>
      </c>
      <c r="M163" s="4">
        <f>IF($J163="","",J163*7%)</f>
      </c>
      <c r="N163" s="4">
        <f>IF($J163="","",M163*20%)</f>
      </c>
      <c r="O163" s="4"/>
      <c r="P163" s="4">
        <f>IF($J163="","",O163*20%)</f>
      </c>
      <c r="Q163" s="4">
        <v>1</v>
      </c>
      <c r="R163" s="4">
        <f>IF($J163="","",N163+P163)</f>
      </c>
      <c r="S163" s="4">
        <f>IF($J163="","",K163-L163-M163-N163-O163-P163-Q163)</f>
      </c>
      <c r="T163" s="4">
        <f>IF($J163="","",(S163-Z163)/I163*100)</f>
      </c>
      <c r="U163" s="4">
        <f>IF($J163="","",L163-R163)</f>
      </c>
      <c r="AA163" s="4">
        <f>IF($J163="","",S163-Z163)</f>
      </c>
    </row>
    <row r="164" spans="1:32" x14ac:dyDescent="0.25">
      <c r="A164" s="8"/>
      <c r="D164" s="9"/>
      <c r="I164" s="4"/>
      <c r="J164" s="4"/>
      <c r="K164" s="4">
        <f>IF($J164="","",J164-I164)</f>
      </c>
      <c r="L164" s="4">
        <f>IF($J164="","",K164*16.67%)</f>
      </c>
      <c r="M164" s="4">
        <f>IF($J164="","",J164*7%)</f>
      </c>
      <c r="N164" s="4">
        <f>IF($J164="","",M164*20%)</f>
      </c>
      <c r="O164" s="4"/>
      <c r="P164" s="4">
        <f>IF($J164="","",O164*20%)</f>
      </c>
      <c r="Q164" s="4">
        <v>1</v>
      </c>
      <c r="R164" s="4">
        <f>IF($J164="","",N164+P164)</f>
      </c>
      <c r="S164" s="4">
        <f>IF($J164="","",K164-L164-M164-N164-O164-P164-Q164)</f>
      </c>
      <c r="T164" s="4">
        <f>IF($J164="","",(S164-Z164)/I164*100)</f>
      </c>
      <c r="U164" s="4">
        <f>IF($J164="","",L164-R164)</f>
      </c>
      <c r="AA164" s="4">
        <f>IF($J164="","",S164-Z164)</f>
      </c>
    </row>
    <row r="165" spans="1:32" x14ac:dyDescent="0.25">
      <c r="A165" s="8"/>
      <c r="D165" s="9"/>
      <c r="I165" s="4"/>
      <c r="J165" s="4"/>
      <c r="K165" s="4">
        <f>IF($J165="","",J165-I165)</f>
      </c>
      <c r="L165" s="4">
        <f>IF($J165="","",K165*16.67%)</f>
      </c>
      <c r="M165" s="4">
        <f>IF($J165="","",J165*7%)</f>
      </c>
      <c r="N165" s="4">
        <f>IF($J165="","",M165*20%)</f>
      </c>
      <c r="O165" s="4"/>
      <c r="P165" s="4">
        <f>IF($J165="","",O165*20%)</f>
      </c>
      <c r="Q165" s="4">
        <v>1</v>
      </c>
      <c r="R165" s="4">
        <f>IF($J165="","",N165+P165)</f>
      </c>
      <c r="S165" s="4">
        <f>IF($J165="","",K165-L165-M165-N165-O165-P165-Q165)</f>
      </c>
      <c r="T165" s="4">
        <f>IF($J165="","",(S165-Z165)/I165*100)</f>
      </c>
      <c r="U165" s="4">
        <f>IF($J165="","",L165-R165)</f>
      </c>
      <c r="AA165" s="4">
        <f>IF($J165="","",S165-Z165)</f>
      </c>
    </row>
    <row r="166" spans="1:32" x14ac:dyDescent="0.25">
      <c r="A166" s="8"/>
      <c r="D166" s="9"/>
      <c r="I166" s="4"/>
      <c r="J166" s="4"/>
      <c r="K166" s="4">
        <f>IF($J166="","",J166-I166)</f>
      </c>
      <c r="L166" s="4">
        <f>IF($J166="","",K166*16.67%)</f>
      </c>
      <c r="M166" s="4">
        <f>IF($J166="","",J166*7%)</f>
      </c>
      <c r="N166" s="4">
        <f>IF($J166="","",M166*20%)</f>
      </c>
      <c r="O166" s="4"/>
      <c r="P166" s="4">
        <f>IF($J166="","",O166*20%)</f>
      </c>
      <c r="Q166" s="4">
        <v>1</v>
      </c>
      <c r="R166" s="4">
        <f>IF($J166="","",N166+P166)</f>
      </c>
      <c r="S166" s="4">
        <f>IF($J166="","",K166-L166-M166-N166-O166-P166-Q166)</f>
      </c>
      <c r="T166" s="4">
        <f>IF($J166="","",(S166-Z166)/I166*100)</f>
      </c>
      <c r="U166" s="4">
        <f>IF($J166="","",L166-R166)</f>
      </c>
      <c r="AA166" s="4">
        <f>IF($J166="","",S166-Z166)</f>
      </c>
    </row>
    <row r="167" spans="1:32" x14ac:dyDescent="0.25">
      <c r="A167" s="8"/>
      <c r="D167" s="9"/>
      <c r="I167" s="4"/>
      <c r="J167" s="4"/>
      <c r="K167" s="4">
        <f>IF($J167="","",J167-I167)</f>
      </c>
      <c r="L167" s="4">
        <f>IF($J167="","",K167*16.67%)</f>
      </c>
      <c r="M167" s="4">
        <f>IF($J167="","",J167*7%)</f>
      </c>
      <c r="N167" s="4">
        <f>IF($J167="","",M167*20%)</f>
      </c>
      <c r="O167" s="4"/>
      <c r="P167" s="4">
        <f>IF($J167="","",O167*20%)</f>
      </c>
      <c r="Q167" s="4">
        <v>1</v>
      </c>
      <c r="R167" s="4">
        <f>IF($J167="","",N167+P167)</f>
      </c>
      <c r="S167" s="4">
        <f>IF($J167="","",K167-L167-M167-N167-O167-P167-Q167)</f>
      </c>
      <c r="T167" s="4">
        <f>IF($J167="","",(S167-Z167)/I167*100)</f>
      </c>
      <c r="U167" s="4">
        <f>IF($J167="","",L167-R167)</f>
      </c>
      <c r="AA167" s="4">
        <f>IF($J167="","",S167-Z167)</f>
      </c>
    </row>
    <row r="168" spans="1:32" x14ac:dyDescent="0.25">
      <c r="A168" s="8"/>
      <c r="D168" s="9"/>
      <c r="I168" s="4"/>
      <c r="J168" s="4"/>
      <c r="K168" s="4">
        <f>IF($J168="","",J168-I168)</f>
      </c>
      <c r="L168" s="4">
        <f>IF($J168="","",K168*16.67%)</f>
      </c>
      <c r="M168" s="4">
        <f>IF($J168="","",J168*7%)</f>
      </c>
      <c r="N168" s="4">
        <f>IF($J168="","",M168*20%)</f>
      </c>
      <c r="O168" s="4"/>
      <c r="P168" s="4">
        <f>IF($J168="","",O168*20%)</f>
      </c>
      <c r="Q168" s="4">
        <v>1</v>
      </c>
      <c r="R168" s="4">
        <f>IF($J168="","",N168+P168)</f>
      </c>
      <c r="S168" s="4">
        <f>IF($J168="","",K168-L168-M168-N168-O168-P168-Q168)</f>
      </c>
      <c r="T168" s="4">
        <f>IF($J168="","",(S168-Z168)/I168*100)</f>
      </c>
      <c r="U168" s="4">
        <f>IF($J168="","",L168-R168)</f>
      </c>
      <c r="AA168" s="4">
        <f>IF($J168="","",S168-Z168)</f>
      </c>
    </row>
    <row r="169" spans="1:32" x14ac:dyDescent="0.25">
      <c r="A169" s="8"/>
      <c r="D169" s="9"/>
      <c r="I169" s="4"/>
      <c r="J169" s="4"/>
      <c r="K169" s="4">
        <f>IF($J169="","",J169-I169)</f>
      </c>
      <c r="L169" s="4">
        <f>IF($J169="","",K169*16.67%)</f>
      </c>
      <c r="M169" s="4">
        <f>IF($J169="","",J169*7%)</f>
      </c>
      <c r="N169" s="4">
        <f>IF($J169="","",M169*20%)</f>
      </c>
      <c r="O169" s="4"/>
      <c r="P169" s="4">
        <f>IF($J169="","",O169*20%)</f>
      </c>
      <c r="Q169" s="4">
        <v>1</v>
      </c>
      <c r="R169" s="4">
        <f>IF($J169="","",N169+P169)</f>
      </c>
      <c r="S169" s="4">
        <f>IF($J169="","",K169-L169-M169-N169-O169-P169-Q169)</f>
      </c>
      <c r="T169" s="4">
        <f>IF($J169="","",(S169-Z169)/I169*100)</f>
      </c>
      <c r="U169" s="4">
        <f>IF($J169="","",L169-R169)</f>
      </c>
      <c r="AA169" s="4">
        <f>IF($J169="","",S169-Z169)</f>
      </c>
    </row>
    <row r="170" spans="1:32" x14ac:dyDescent="0.25">
      <c r="A170" s="8"/>
      <c r="D170" s="9"/>
      <c r="I170" s="4"/>
      <c r="J170" s="4"/>
      <c r="K170" s="4">
        <f>IF($J170="","",J170-I170)</f>
      </c>
      <c r="L170" s="4">
        <f>IF($J170="","",K170*16.67%)</f>
      </c>
      <c r="M170" s="4">
        <f>IF($J170="","",J170*7%)</f>
      </c>
      <c r="N170" s="4">
        <f>IF($J170="","",M170*20%)</f>
      </c>
      <c r="O170" s="4"/>
      <c r="P170" s="4">
        <f>IF($J170="","",O170*20%)</f>
      </c>
      <c r="Q170" s="4">
        <v>1</v>
      </c>
      <c r="R170" s="4">
        <f>IF($J170="","",N170+P170)</f>
      </c>
      <c r="S170" s="4">
        <f>IF($J170="","",K170-L170-M170-N170-O170-P170-Q170)</f>
      </c>
      <c r="T170" s="4">
        <f>IF($J170="","",(S170-Z170)/I170*100)</f>
      </c>
      <c r="U170" s="4">
        <f>IF($J170="","",L170-R170)</f>
      </c>
      <c r="AA170" s="4">
        <f>IF($J170="","",S170-Z170)</f>
      </c>
    </row>
    <row r="171" spans="1:32" x14ac:dyDescent="0.25">
      <c r="A171" s="8"/>
      <c r="D171" s="9"/>
      <c r="I171" s="4"/>
      <c r="J171" s="4"/>
      <c r="K171" s="4">
        <f>IF($J171="","",J171-I171)</f>
      </c>
      <c r="L171" s="4">
        <f>IF($J171="","",K171*16.67%)</f>
      </c>
      <c r="M171" s="4">
        <f>IF($J171="","",J171*7%)</f>
      </c>
      <c r="N171" s="4">
        <f>IF($J171="","",M171*20%)</f>
      </c>
      <c r="O171" s="4"/>
      <c r="P171" s="4">
        <f>IF($J171="","",O171*20%)</f>
      </c>
      <c r="Q171" s="4">
        <v>1</v>
      </c>
      <c r="R171" s="4">
        <f>IF($J171="","",N171+P171)</f>
      </c>
      <c r="S171" s="4">
        <f>IF($J171="","",K171-L171-M171-N171-O171-P171-Q171)</f>
      </c>
      <c r="T171" s="4">
        <f>IF($J171="","",(S171-Z171)/I171*100)</f>
      </c>
      <c r="U171" s="4">
        <f>IF($J171="","",L171-R171)</f>
      </c>
      <c r="AA171" s="4">
        <f>IF($J171="","",S171-Z171)</f>
      </c>
    </row>
    <row r="172" spans="1:32" x14ac:dyDescent="0.25">
      <c r="A172" s="8"/>
      <c r="D172" s="9"/>
      <c r="I172" s="4"/>
      <c r="J172" s="4"/>
      <c r="K172" s="4">
        <f>IF($J172="","",J172-I172)</f>
      </c>
      <c r="L172" s="4">
        <f>IF($J172="","",K172*16.67%)</f>
      </c>
      <c r="M172" s="4">
        <f>IF($J172="","",J172*7%)</f>
      </c>
      <c r="N172" s="4">
        <f>IF($J172="","",M172*20%)</f>
      </c>
      <c r="O172" s="4"/>
      <c r="P172" s="4">
        <f>IF($J172="","",O172*20%)</f>
      </c>
      <c r="Q172" s="4">
        <v>1</v>
      </c>
      <c r="R172" s="4">
        <f>IF($J172="","",N172+P172)</f>
      </c>
      <c r="S172" s="4">
        <f>IF($J172="","",K172-L172-M172-N172-O172-P172-Q172)</f>
      </c>
      <c r="T172" s="4">
        <f>IF($J172="","",(S172-Z172)/I172*100)</f>
      </c>
      <c r="U172" s="4">
        <f>IF($J172="","",L172-R172)</f>
      </c>
      <c r="AA172" s="4">
        <f>IF($J172="","",S172-Z172)</f>
      </c>
    </row>
    <row r="173" spans="1:32" x14ac:dyDescent="0.25">
      <c r="A173" s="8"/>
      <c r="D173" s="9"/>
      <c r="I173" s="4"/>
      <c r="J173" s="4"/>
      <c r="K173" s="4">
        <f>IF($J173="","",J173-I173)</f>
      </c>
      <c r="L173" s="4">
        <f>IF($J173="","",K173*16.67%)</f>
      </c>
      <c r="M173" s="4">
        <f>IF($J173="","",J173*7%)</f>
      </c>
      <c r="N173" s="4">
        <f>IF($J173="","",M173*20%)</f>
      </c>
      <c r="O173" s="4"/>
      <c r="P173" s="4">
        <f>IF($J173="","",O173*20%)</f>
      </c>
      <c r="Q173" s="4">
        <v>1</v>
      </c>
      <c r="R173" s="4">
        <f>IF($J173="","",N173+P173)</f>
      </c>
      <c r="S173" s="4">
        <f>IF($J173="","",K173-L173-M173-N173-O173-P173-Q173)</f>
      </c>
      <c r="T173" s="4">
        <f>IF($J173="","",(S173-Z173)/I173*100)</f>
      </c>
      <c r="U173" s="4">
        <f>IF($J173="","",L173-R173)</f>
      </c>
      <c r="AA173" s="4">
        <f>IF($J173="","",S173-Z173)</f>
      </c>
    </row>
    <row r="174" spans="1:32" x14ac:dyDescent="0.25">
      <c r="A174" s="8"/>
      <c r="D174" s="9"/>
      <c r="I174" s="4"/>
      <c r="J174" s="4"/>
      <c r="K174" s="4">
        <f>IF($J174="","",J174-I174)</f>
      </c>
      <c r="L174" s="4">
        <f>IF($J174="","",K174*16.67%)</f>
      </c>
      <c r="M174" s="4">
        <f>IF($J174="","",J174*7%)</f>
      </c>
      <c r="N174" s="4">
        <f>IF($J174="","",M174*20%)</f>
      </c>
      <c r="O174" s="4"/>
      <c r="P174" s="4">
        <f>IF($J174="","",O174*20%)</f>
      </c>
      <c r="Q174" s="4">
        <v>1</v>
      </c>
      <c r="R174" s="4">
        <f>IF($J174="","",N174+P174)</f>
      </c>
      <c r="S174" s="4">
        <f>IF($J174="","",K174-L174-M174-N174-O174-P174-Q174)</f>
      </c>
      <c r="T174" s="4">
        <f>IF($J174="","",(S174-Z174)/I174*100)</f>
      </c>
      <c r="U174" s="4">
        <f>IF($J174="","",L174-R174)</f>
      </c>
      <c r="AA174" s="4">
        <f>IF($J174="","",S174-Z174)</f>
      </c>
    </row>
    <row r="175" spans="1:32" x14ac:dyDescent="0.25">
      <c r="A175" s="8"/>
      <c r="D175" s="9"/>
      <c r="I175" s="4"/>
      <c r="J175" s="4"/>
      <c r="K175" s="4">
        <f>IF($J175="","",J175-I175)</f>
      </c>
      <c r="L175" s="4">
        <f>IF($J175="","",K175*16.67%)</f>
      </c>
      <c r="M175" s="4">
        <f>IF($J175="","",J175*7%)</f>
      </c>
      <c r="N175" s="4">
        <f>IF($J175="","",M175*20%)</f>
      </c>
      <c r="O175" s="4"/>
      <c r="P175" s="4">
        <f>IF($J175="","",O175*20%)</f>
      </c>
      <c r="Q175" s="4">
        <v>1</v>
      </c>
      <c r="R175" s="4">
        <f>IF($J175="","",N175+P175)</f>
      </c>
      <c r="S175" s="4">
        <f>IF($J175="","",K175-L175-M175-N175-O175-P175-Q175)</f>
      </c>
      <c r="T175" s="4">
        <f>IF($J175="","",(S175-Z175)/I175*100)</f>
      </c>
      <c r="U175" s="4">
        <f>IF($J175="","",L175-R175)</f>
      </c>
      <c r="AA175" s="4">
        <f>IF($J175="","",S175-Z175)</f>
      </c>
    </row>
    <row r="176" spans="1:32" x14ac:dyDescent="0.25">
      <c r="A176" s="8"/>
      <c r="D176" s="9"/>
      <c r="I176" s="4"/>
      <c r="J176" s="4"/>
      <c r="K176" s="4">
        <f>IF($J176="","",J176-I176)</f>
      </c>
      <c r="L176" s="4">
        <f>IF($J176="","",K176*16.67%)</f>
      </c>
      <c r="M176" s="4">
        <f>IF($J176="","",J176*7%)</f>
      </c>
      <c r="N176" s="4">
        <f>IF($J176="","",M176*20%)</f>
      </c>
      <c r="O176" s="4"/>
      <c r="P176" s="4">
        <f>IF($J176="","",O176*20%)</f>
      </c>
      <c r="Q176" s="4">
        <v>1</v>
      </c>
      <c r="R176" s="4">
        <f>IF($J176="","",N176+P176)</f>
      </c>
      <c r="S176" s="4">
        <f>IF($J176="","",K176-L176-M176-N176-O176-P176-Q176)</f>
      </c>
      <c r="T176" s="4">
        <f>IF($J176="","",(S176-Z176)/I176*100)</f>
      </c>
      <c r="U176" s="4">
        <f>IF($J176="","",L176-R176)</f>
      </c>
      <c r="AA176" s="4">
        <f>IF($J176="","",S176-Z176)</f>
      </c>
    </row>
    <row r="177" spans="1:32" x14ac:dyDescent="0.25">
      <c r="A177" s="8"/>
      <c r="D177" s="9"/>
      <c r="I177" s="4"/>
      <c r="J177" s="4"/>
      <c r="K177" s="4">
        <f>IF($J177="","",J177-I177)</f>
      </c>
      <c r="L177" s="4">
        <f>IF($J177="","",K177*16.67%)</f>
      </c>
      <c r="M177" s="4">
        <f>IF($J177="","",J177*7%)</f>
      </c>
      <c r="N177" s="4">
        <f>IF($J177="","",M177*20%)</f>
      </c>
      <c r="O177" s="4"/>
      <c r="P177" s="4">
        <f>IF($J177="","",O177*20%)</f>
      </c>
      <c r="Q177" s="4">
        <v>1</v>
      </c>
      <c r="R177" s="4">
        <f>IF($J177="","",N177+P177)</f>
      </c>
      <c r="S177" s="4">
        <f>IF($J177="","",K177-L177-M177-N177-O177-P177-Q177)</f>
      </c>
      <c r="T177" s="4">
        <f>IF($J177="","",(S177-Z177)/I177*100)</f>
      </c>
      <c r="U177" s="4">
        <f>IF($J177="","",L177-R177)</f>
      </c>
      <c r="AA177" s="4">
        <f>IF($J177="","",S177-Z177)</f>
      </c>
    </row>
    <row r="178" spans="1:32" x14ac:dyDescent="0.25">
      <c r="A178" s="8"/>
      <c r="D178" s="9"/>
      <c r="I178" s="4"/>
      <c r="J178" s="4"/>
      <c r="K178" s="4">
        <f>IF($J178="","",J178-I178)</f>
      </c>
      <c r="L178" s="4">
        <f>IF($J178="","",K178*16.67%)</f>
      </c>
      <c r="M178" s="4">
        <f>IF($J178="","",J178*7%)</f>
      </c>
      <c r="N178" s="4">
        <f>IF($J178="","",M178*20%)</f>
      </c>
      <c r="O178" s="4"/>
      <c r="P178" s="4">
        <f>IF($J178="","",O178*20%)</f>
      </c>
      <c r="Q178" s="4">
        <v>1</v>
      </c>
      <c r="R178" s="4">
        <f>IF($J178="","",N178+P178)</f>
      </c>
      <c r="S178" s="4">
        <f>IF($J178="","",K178-L178-M178-N178-O178-P178-Q178)</f>
      </c>
      <c r="T178" s="4">
        <f>IF($J178="","",(S178-Z178)/I178*100)</f>
      </c>
      <c r="U178" s="4">
        <f>IF($J178="","",L178-R178)</f>
      </c>
      <c r="AA178" s="4">
        <f>IF($J178="","",S178-Z178)</f>
      </c>
    </row>
    <row r="179" spans="1:32" x14ac:dyDescent="0.25">
      <c r="A179" s="8"/>
      <c r="D179" s="9"/>
      <c r="I179" s="4"/>
      <c r="J179" s="4"/>
      <c r="K179" s="4">
        <f>IF($J179="","",J179-I179)</f>
      </c>
      <c r="L179" s="4">
        <f>IF($J179="","",K179*16.67%)</f>
      </c>
      <c r="M179" s="4">
        <f>IF($J179="","",J179*7%)</f>
      </c>
      <c r="N179" s="4">
        <f>IF($J179="","",M179*20%)</f>
      </c>
      <c r="O179" s="4"/>
      <c r="P179" s="4">
        <f>IF($J179="","",O179*20%)</f>
      </c>
      <c r="Q179" s="4">
        <v>1</v>
      </c>
      <c r="R179" s="4">
        <f>IF($J179="","",N179+P179)</f>
      </c>
      <c r="S179" s="4">
        <f>IF($J179="","",K179-L179-M179-N179-O179-P179-Q179)</f>
      </c>
      <c r="T179" s="4">
        <f>IF($J179="","",(S179-Z179)/I179*100)</f>
      </c>
      <c r="U179" s="4">
        <f>IF($J179="","",L179-R179)</f>
      </c>
      <c r="AA179" s="4">
        <f>IF($J179="","",S179-Z179)</f>
      </c>
    </row>
    <row r="180" spans="1:32" x14ac:dyDescent="0.25">
      <c r="A180" s="8"/>
      <c r="D180" s="9"/>
      <c r="I180" s="4"/>
      <c r="J180" s="4"/>
      <c r="K180" s="4">
        <f>IF($J180="","",J180-I180)</f>
      </c>
      <c r="L180" s="4">
        <f>IF($J180="","",K180*16.67%)</f>
      </c>
      <c r="M180" s="4">
        <f>IF($J180="","",J180*7%)</f>
      </c>
      <c r="N180" s="4">
        <f>IF($J180="","",M180*20%)</f>
      </c>
      <c r="O180" s="4"/>
      <c r="P180" s="4">
        <f>IF($J180="","",O180*20%)</f>
      </c>
      <c r="Q180" s="4">
        <v>1</v>
      </c>
      <c r="R180" s="4">
        <f>IF($J180="","",N180+P180)</f>
      </c>
      <c r="S180" s="4">
        <f>IF($J180="","",K180-L180-M180-N180-O180-P180-Q180)</f>
      </c>
      <c r="T180" s="4">
        <f>IF($J180="","",(S180-Z180)/I180*100)</f>
      </c>
      <c r="U180" s="4">
        <f>IF($J180="","",L180-R180)</f>
      </c>
      <c r="AA180" s="4">
        <f>IF($J180="","",S180-Z180)</f>
      </c>
    </row>
    <row r="181" spans="1:32" x14ac:dyDescent="0.25">
      <c r="A181" s="8"/>
      <c r="D181" s="9"/>
      <c r="I181" s="4"/>
      <c r="J181" s="4"/>
      <c r="K181" s="4">
        <f>IF($J181="","",J181-I181)</f>
      </c>
      <c r="L181" s="4">
        <f>IF($J181="","",K181*16.67%)</f>
      </c>
      <c r="M181" s="4">
        <f>IF($J181="","",J181*7%)</f>
      </c>
      <c r="N181" s="4">
        <f>IF($J181="","",M181*20%)</f>
      </c>
      <c r="O181" s="4"/>
      <c r="P181" s="4">
        <f>IF($J181="","",O181*20%)</f>
      </c>
      <c r="Q181" s="4">
        <v>1</v>
      </c>
      <c r="R181" s="4">
        <f>IF($J181="","",N181+P181)</f>
      </c>
      <c r="S181" s="4">
        <f>IF($J181="","",K181-L181-M181-N181-O181-P181-Q181)</f>
      </c>
      <c r="T181" s="4">
        <f>IF($J181="","",(S181-Z181)/I181*100)</f>
      </c>
      <c r="U181" s="4">
        <f>IF($J181="","",L181-R181)</f>
      </c>
      <c r="AA181" s="4">
        <f>IF($J181="","",S181-Z181)</f>
      </c>
    </row>
    <row r="182" spans="1:32" x14ac:dyDescent="0.25">
      <c r="A182" s="8"/>
      <c r="D182" s="9"/>
      <c r="I182" s="4"/>
      <c r="J182" s="4"/>
      <c r="K182" s="4">
        <f>IF($J182="","",J182-I182)</f>
      </c>
      <c r="L182" s="4">
        <f>IF($J182="","",K182*16.67%)</f>
      </c>
      <c r="M182" s="4">
        <f>IF($J182="","",J182*7%)</f>
      </c>
      <c r="N182" s="4">
        <f>IF($J182="","",M182*20%)</f>
      </c>
      <c r="O182" s="4"/>
      <c r="P182" s="4">
        <f>IF($J182="","",O182*20%)</f>
      </c>
      <c r="Q182" s="4">
        <v>1</v>
      </c>
      <c r="R182" s="4">
        <f>IF($J182="","",N182+P182)</f>
      </c>
      <c r="S182" s="4">
        <f>IF($J182="","",K182-L182-M182-N182-O182-P182-Q182)</f>
      </c>
      <c r="T182" s="4">
        <f>IF($J182="","",(S182-Z182)/I182*100)</f>
      </c>
      <c r="U182" s="4">
        <f>IF($J182="","",L182-R182)</f>
      </c>
      <c r="AA182" s="4">
        <f>IF($J182="","",S182-Z182)</f>
      </c>
    </row>
    <row r="183" spans="1:32" x14ac:dyDescent="0.25">
      <c r="A183" s="8"/>
      <c r="D183" s="9"/>
      <c r="I183" s="4"/>
      <c r="J183" s="4"/>
      <c r="K183" s="4">
        <f>IF($J183="","",J183-I183)</f>
      </c>
      <c r="L183" s="4">
        <f>IF($J183="","",K183*16.67%)</f>
      </c>
      <c r="M183" s="4">
        <f>IF($J183="","",J183*7%)</f>
      </c>
      <c r="N183" s="4">
        <f>IF($J183="","",M183*20%)</f>
      </c>
      <c r="O183" s="4"/>
      <c r="P183" s="4">
        <f>IF($J183="","",O183*20%)</f>
      </c>
      <c r="Q183" s="4">
        <v>1</v>
      </c>
      <c r="R183" s="4">
        <f>IF($J183="","",N183+P183)</f>
      </c>
      <c r="S183" s="4">
        <f>IF($J183="","",K183-L183-M183-N183-O183-P183-Q183)</f>
      </c>
      <c r="T183" s="4">
        <f>IF($J183="","",(S183-Z183)/I183*100)</f>
      </c>
      <c r="U183" s="4">
        <f>IF($J183="","",L183-R183)</f>
      </c>
      <c r="AA183" s="4">
        <f>IF($J183="","",S183-Z183)</f>
      </c>
    </row>
    <row r="184" spans="1:32" x14ac:dyDescent="0.25">
      <c r="A184" s="8"/>
      <c r="D184" s="9"/>
      <c r="I184" s="4"/>
      <c r="J184" s="4"/>
      <c r="K184" s="4">
        <f>IF($J184="","",J184-I184)</f>
      </c>
      <c r="L184" s="4">
        <f>IF($J184="","",K184*16.67%)</f>
      </c>
      <c r="M184" s="4">
        <f>IF($J184="","",J184*7%)</f>
      </c>
      <c r="N184" s="4">
        <f>IF($J184="","",M184*20%)</f>
      </c>
      <c r="O184" s="4"/>
      <c r="P184" s="4">
        <f>IF($J184="","",O184*20%)</f>
      </c>
      <c r="Q184" s="4">
        <v>1</v>
      </c>
      <c r="R184" s="4">
        <f>IF($J184="","",N184+P184)</f>
      </c>
      <c r="S184" s="4">
        <f>IF($J184="","",K184-L184-M184-N184-O184-P184-Q184)</f>
      </c>
      <c r="T184" s="4">
        <f>IF($J184="","",(S184-Z184)/I184*100)</f>
      </c>
      <c r="U184" s="4">
        <f>IF($J184="","",L184-R184)</f>
      </c>
      <c r="AA184" s="4">
        <f>IF($J184="","",S184-Z184)</f>
      </c>
    </row>
    <row r="185" spans="1:32" x14ac:dyDescent="0.25">
      <c r="A185" s="8"/>
      <c r="D185" s="9"/>
      <c r="I185" s="4"/>
      <c r="J185" s="4"/>
      <c r="K185" s="4">
        <f>IF($J185="","",J185-I185)</f>
      </c>
      <c r="L185" s="4">
        <f>IF($J185="","",K185*16.67%)</f>
      </c>
      <c r="M185" s="4">
        <f>IF($J185="","",J185*7%)</f>
      </c>
      <c r="N185" s="4">
        <f>IF($J185="","",M185*20%)</f>
      </c>
      <c r="O185" s="4"/>
      <c r="P185" s="4">
        <f>IF($J185="","",O185*20%)</f>
      </c>
      <c r="Q185" s="4">
        <v>1</v>
      </c>
      <c r="R185" s="4">
        <f>IF($J185="","",N185+P185)</f>
      </c>
      <c r="S185" s="4">
        <f>IF($J185="","",K185-L185-M185-N185-O185-P185-Q185)</f>
      </c>
      <c r="T185" s="4">
        <f>IF($J185="","",(S185-Z185)/I185*100)</f>
      </c>
      <c r="U185" s="4">
        <f>IF($J185="","",L185-R185)</f>
      </c>
      <c r="AA185" s="4">
        <f>IF($J185="","",S185-Z185)</f>
      </c>
    </row>
    <row r="186" spans="1:32" x14ac:dyDescent="0.25">
      <c r="A186" s="8"/>
      <c r="D186" s="9"/>
      <c r="I186" s="4"/>
      <c r="J186" s="4"/>
      <c r="K186" s="4">
        <f>IF($J186="","",J186-I186)</f>
      </c>
      <c r="L186" s="4">
        <f>IF($J186="","",K186*16.67%)</f>
      </c>
      <c r="M186" s="4">
        <f>IF($J186="","",J186*7%)</f>
      </c>
      <c r="N186" s="4">
        <f>IF($J186="","",M186*20%)</f>
      </c>
      <c r="O186" s="4"/>
      <c r="P186" s="4">
        <f>IF($J186="","",O186*20%)</f>
      </c>
      <c r="Q186" s="4">
        <v>1</v>
      </c>
      <c r="R186" s="4">
        <f>IF($J186="","",N186+P186)</f>
      </c>
      <c r="S186" s="4">
        <f>IF($J186="","",K186-L186-M186-N186-O186-P186-Q186)</f>
      </c>
      <c r="T186" s="4">
        <f>IF($J186="","",(S186-Z186)/I186*100)</f>
      </c>
      <c r="U186" s="4">
        <f>IF($J186="","",L186-R186)</f>
      </c>
      <c r="AA186" s="4">
        <f>IF($J186="","",S186-Z186)</f>
      </c>
    </row>
    <row r="187" spans="1:32" x14ac:dyDescent="0.25">
      <c r="A187" s="8"/>
      <c r="D187" s="9"/>
      <c r="I187" s="4"/>
      <c r="J187" s="4"/>
      <c r="K187" s="4">
        <f>IF($J187="","",J187-I187)</f>
      </c>
      <c r="L187" s="4">
        <f>IF($J187="","",K187*16.67%)</f>
      </c>
      <c r="M187" s="4">
        <f>IF($J187="","",J187*7%)</f>
      </c>
      <c r="N187" s="4">
        <f>IF($J187="","",M187*20%)</f>
      </c>
      <c r="O187" s="4"/>
      <c r="P187" s="4">
        <f>IF($J187="","",O187*20%)</f>
      </c>
      <c r="Q187" s="4">
        <v>1</v>
      </c>
      <c r="R187" s="4">
        <f>IF($J187="","",N187+P187)</f>
      </c>
      <c r="S187" s="4">
        <f>IF($J187="","",K187-L187-M187-N187-O187-P187-Q187)</f>
      </c>
      <c r="T187" s="4">
        <f>IF($J187="","",(S187-Z187)/I187*100)</f>
      </c>
      <c r="U187" s="4">
        <f>IF($J187="","",L187-R187)</f>
      </c>
      <c r="AA187" s="4">
        <f>IF($J187="","",S187-Z187)</f>
      </c>
    </row>
    <row r="188" spans="1:32" x14ac:dyDescent="0.25">
      <c r="A188" s="8"/>
      <c r="D188" s="9"/>
      <c r="I188" s="4"/>
      <c r="J188" s="4"/>
      <c r="K188" s="4">
        <f>IF($J188="","",J188-I188)</f>
      </c>
      <c r="L188" s="4">
        <f>IF($J188="","",K188*16.67%)</f>
      </c>
      <c r="M188" s="4">
        <f>IF($J188="","",J188*7%)</f>
      </c>
      <c r="N188" s="4">
        <f>IF($J188="","",M188*20%)</f>
      </c>
      <c r="O188" s="4"/>
      <c r="P188" s="4">
        <f>IF($J188="","",O188*20%)</f>
      </c>
      <c r="Q188" s="4">
        <v>1</v>
      </c>
      <c r="R188" s="4">
        <f>IF($J188="","",N188+P188)</f>
      </c>
      <c r="S188" s="4">
        <f>IF($J188="","",K188-L188-M188-N188-O188-P188-Q188)</f>
      </c>
      <c r="T188" s="4">
        <f>IF($J188="","",(S188-Z188)/I188*100)</f>
      </c>
      <c r="U188" s="4">
        <f>IF($J188="","",L188-R188)</f>
      </c>
      <c r="AA188" s="4">
        <f>IF($J188="","",S188-Z188)</f>
      </c>
    </row>
    <row r="189" spans="1:32" x14ac:dyDescent="0.25">
      <c r="A189" s="8"/>
      <c r="D189" s="9"/>
      <c r="I189" s="4"/>
      <c r="J189" s="4"/>
      <c r="K189" s="4">
        <f>IF($J189="","",J189-I189)</f>
      </c>
      <c r="L189" s="4">
        <f>IF($J189="","",K189*16.67%)</f>
      </c>
      <c r="M189" s="4">
        <f>IF($J189="","",J189*7%)</f>
      </c>
      <c r="N189" s="4">
        <f>IF($J189="","",M189*20%)</f>
      </c>
      <c r="O189" s="4"/>
      <c r="P189" s="4">
        <f>IF($J189="","",O189*20%)</f>
      </c>
      <c r="Q189" s="4">
        <v>1</v>
      </c>
      <c r="R189" s="4">
        <f>IF($J189="","",N189+P189)</f>
      </c>
      <c r="S189" s="4">
        <f>IF($J189="","",K189-L189-M189-N189-O189-P189-Q189)</f>
      </c>
      <c r="T189" s="4">
        <f>IF($J189="","",(S189-Z189)/I189*100)</f>
      </c>
      <c r="U189" s="4">
        <f>IF($J189="","",L189-R189)</f>
      </c>
      <c r="AA189" s="4">
        <f>IF($J189="","",S189-Z189)</f>
      </c>
    </row>
    <row r="190" spans="1:32" x14ac:dyDescent="0.25">
      <c r="A190" s="8"/>
      <c r="D190" s="9"/>
      <c r="I190" s="4"/>
      <c r="J190" s="4"/>
      <c r="K190" s="4">
        <f>IF($J190="","",J190-I190)</f>
      </c>
      <c r="L190" s="4">
        <f>IF($J190="","",K190*16.67%)</f>
      </c>
      <c r="M190" s="4">
        <f>IF($J190="","",J190*7%)</f>
      </c>
      <c r="N190" s="4">
        <f>IF($J190="","",M190*20%)</f>
      </c>
      <c r="O190" s="4"/>
      <c r="P190" s="4">
        <f>IF($J190="","",O190*20%)</f>
      </c>
      <c r="Q190" s="4">
        <v>1</v>
      </c>
      <c r="R190" s="4">
        <f>IF($J190="","",N190+P190)</f>
      </c>
      <c r="S190" s="4">
        <f>IF($J190="","",K190-L190-M190-N190-O190-P190-Q190)</f>
      </c>
      <c r="T190" s="4">
        <f>IF($J190="","",(S190-Z190)/I190*100)</f>
      </c>
      <c r="U190" s="4">
        <f>IF($J190="","",L190-R190)</f>
      </c>
      <c r="AA190" s="4">
        <f>IF($J190="","",S190-Z190)</f>
      </c>
    </row>
    <row r="191" spans="1:32" x14ac:dyDescent="0.25">
      <c r="A191" s="8"/>
      <c r="D191" s="9"/>
      <c r="I191" s="4"/>
      <c r="J191" s="4"/>
      <c r="K191" s="4">
        <f>IF($J191="","",J191-I191)</f>
      </c>
      <c r="L191" s="4">
        <f>IF($J191="","",K191*16.67%)</f>
      </c>
      <c r="M191" s="4">
        <f>IF($J191="","",J191*7%)</f>
      </c>
      <c r="N191" s="4">
        <f>IF($J191="","",M191*20%)</f>
      </c>
      <c r="O191" s="4"/>
      <c r="P191" s="4">
        <f>IF($J191="","",O191*20%)</f>
      </c>
      <c r="Q191" s="4">
        <v>1</v>
      </c>
      <c r="R191" s="4">
        <f>IF($J191="","",N191+P191)</f>
      </c>
      <c r="S191" s="4">
        <f>IF($J191="","",K191-L191-M191-N191-O191-P191-Q191)</f>
      </c>
      <c r="T191" s="4">
        <f>IF($J191="","",(S191-Z191)/I191*100)</f>
      </c>
      <c r="U191" s="4">
        <f>IF($J191="","",L191-R191)</f>
      </c>
      <c r="AA191" s="4">
        <f>IF($J191="","",S191-Z191)</f>
      </c>
    </row>
    <row r="192" spans="1:32" x14ac:dyDescent="0.25">
      <c r="A192" s="8"/>
      <c r="D192" s="9"/>
      <c r="I192" s="4"/>
      <c r="J192" s="4"/>
      <c r="K192" s="4">
        <f>IF($J192="","",J192-I192)</f>
      </c>
      <c r="L192" s="4">
        <f>IF($J192="","",K192*16.67%)</f>
      </c>
      <c r="M192" s="4">
        <f>IF($J192="","",J192*7%)</f>
      </c>
      <c r="N192" s="4">
        <f>IF($J192="","",M192*20%)</f>
      </c>
      <c r="O192" s="4"/>
      <c r="P192" s="4">
        <f>IF($J192="","",O192*20%)</f>
      </c>
      <c r="Q192" s="4">
        <v>1</v>
      </c>
      <c r="R192" s="4">
        <f>IF($J192="","",N192+P192)</f>
      </c>
      <c r="S192" s="4">
        <f>IF($J192="","",K192-L192-M192-N192-O192-P192-Q192)</f>
      </c>
      <c r="T192" s="4">
        <f>IF($J192="","",(S192-Z192)/I192*100)</f>
      </c>
      <c r="U192" s="4">
        <f>IF($J192="","",L192-R192)</f>
      </c>
      <c r="AA192" s="4">
        <f>IF($J192="","",S192-Z192)</f>
      </c>
    </row>
    <row r="193" spans="1:32" x14ac:dyDescent="0.25">
      <c r="A193" s="8"/>
      <c r="D193" s="9"/>
      <c r="I193" s="4"/>
      <c r="J193" s="4"/>
      <c r="K193" s="4">
        <f>IF($J193="","",J193-I193)</f>
      </c>
      <c r="L193" s="4">
        <f>IF($J193="","",K193*16.67%)</f>
      </c>
      <c r="M193" s="4">
        <f>IF($J193="","",J193*7%)</f>
      </c>
      <c r="N193" s="4">
        <f>IF($J193="","",M193*20%)</f>
      </c>
      <c r="O193" s="4"/>
      <c r="P193" s="4">
        <f>IF($J193="","",O193*20%)</f>
      </c>
      <c r="Q193" s="4">
        <v>1</v>
      </c>
      <c r="R193" s="4">
        <f>IF($J193="","",N193+P193)</f>
      </c>
      <c r="S193" s="4">
        <f>IF($J193="","",K193-L193-M193-N193-O193-P193-Q193)</f>
      </c>
      <c r="T193" s="4">
        <f>IF($J193="","",(S193-Z193)/I193*100)</f>
      </c>
      <c r="U193" s="4">
        <f>IF($J193="","",L193-R193)</f>
      </c>
      <c r="AA193" s="4">
        <f>IF($J193="","",S193-Z193)</f>
      </c>
    </row>
    <row r="194" spans="1:32" x14ac:dyDescent="0.25">
      <c r="A194" s="8"/>
      <c r="D194" s="9"/>
      <c r="I194" s="4"/>
      <c r="J194" s="4"/>
      <c r="K194" s="4">
        <f>IF($J194="","",J194-I194)</f>
      </c>
      <c r="L194" s="4">
        <f>IF($J194="","",K194*16.67%)</f>
      </c>
      <c r="M194" s="4">
        <f>IF($J194="","",J194*7%)</f>
      </c>
      <c r="N194" s="4">
        <f>IF($J194="","",M194*20%)</f>
      </c>
      <c r="O194" s="4"/>
      <c r="P194" s="4">
        <f>IF($J194="","",O194*20%)</f>
      </c>
      <c r="Q194" s="4">
        <v>1</v>
      </c>
      <c r="R194" s="4">
        <f>IF($J194="","",N194+P194)</f>
      </c>
      <c r="S194" s="4">
        <f>IF($J194="","",K194-L194-M194-N194-O194-P194-Q194)</f>
      </c>
      <c r="T194" s="4">
        <f>IF($J194="","",(S194-Z194)/I194*100)</f>
      </c>
      <c r="U194" s="4">
        <f>IF($J194="","",L194-R194)</f>
      </c>
      <c r="AA194" s="4">
        <f>IF($J194="","",S194-Z194)</f>
      </c>
    </row>
    <row r="195" spans="1:32" x14ac:dyDescent="0.25">
      <c r="A195" s="8"/>
      <c r="D195" s="9"/>
      <c r="I195" s="4"/>
      <c r="J195" s="4"/>
      <c r="K195" s="4">
        <f>IF($J195="","",J195-I195)</f>
      </c>
      <c r="L195" s="4">
        <f>IF($J195="","",K195*16.67%)</f>
      </c>
      <c r="M195" s="4">
        <f>IF($J195="","",J195*7%)</f>
      </c>
      <c r="N195" s="4">
        <f>IF($J195="","",M195*20%)</f>
      </c>
      <c r="O195" s="4"/>
      <c r="P195" s="4">
        <f>IF($J195="","",O195*20%)</f>
      </c>
      <c r="Q195" s="4">
        <v>1</v>
      </c>
      <c r="R195" s="4">
        <f>IF($J195="","",N195+P195)</f>
      </c>
      <c r="S195" s="4">
        <f>IF($J195="","",K195-L195-M195-N195-O195-P195-Q195)</f>
      </c>
      <c r="T195" s="4">
        <f>IF($J195="","",(S195-Z195)/I195*100)</f>
      </c>
      <c r="U195" s="4">
        <f>IF($J195="","",L195-R195)</f>
      </c>
      <c r="AA195" s="4">
        <f>IF($J195="","",S195-Z195)</f>
      </c>
    </row>
    <row r="196" spans="1:32" x14ac:dyDescent="0.25">
      <c r="A196" s="8"/>
      <c r="D196" s="9"/>
      <c r="I196" s="4"/>
      <c r="J196" s="4"/>
      <c r="K196" s="4">
        <f>IF($J196="","",J196-I196)</f>
      </c>
      <c r="L196" s="4">
        <f>IF($J196="","",K196*16.67%)</f>
      </c>
      <c r="M196" s="4">
        <f>IF($J196="","",J196*7%)</f>
      </c>
      <c r="N196" s="4">
        <f>IF($J196="","",M196*20%)</f>
      </c>
      <c r="O196" s="4"/>
      <c r="P196" s="4">
        <f>IF($J196="","",O196*20%)</f>
      </c>
      <c r="Q196" s="4">
        <v>1</v>
      </c>
      <c r="R196" s="4">
        <f>IF($J196="","",N196+P196)</f>
      </c>
      <c r="S196" s="4">
        <f>IF($J196="","",K196-L196-M196-N196-O196-P196-Q196)</f>
      </c>
      <c r="T196" s="4">
        <f>IF($J196="","",(S196-Z196)/I196*100)</f>
      </c>
      <c r="U196" s="4">
        <f>IF($J196="","",L196-R196)</f>
      </c>
      <c r="AA196" s="4">
        <f>IF($J196="","",S196-Z196)</f>
      </c>
    </row>
    <row r="197" spans="1:32" x14ac:dyDescent="0.25">
      <c r="A197" s="8"/>
      <c r="D197" s="9"/>
      <c r="I197" s="4"/>
      <c r="J197" s="4"/>
      <c r="K197" s="4">
        <f>IF($J197="","",J197-I197)</f>
      </c>
      <c r="L197" s="4">
        <f>IF($J197="","",K197*16.67%)</f>
      </c>
      <c r="M197" s="4">
        <f>IF($J197="","",J197*7%)</f>
      </c>
      <c r="N197" s="4">
        <f>IF($J197="","",M197*20%)</f>
      </c>
      <c r="O197" s="4"/>
      <c r="P197" s="4">
        <f>IF($J197="","",O197*20%)</f>
      </c>
      <c r="Q197" s="4">
        <v>1</v>
      </c>
      <c r="R197" s="4">
        <f>IF($J197="","",N197+P197)</f>
      </c>
      <c r="S197" s="4">
        <f>IF($J197="","",K197-L197-M197-N197-O197-P197-Q197)</f>
      </c>
      <c r="T197" s="4">
        <f>IF($J197="","",(S197-Z197)/I197*100)</f>
      </c>
      <c r="U197" s="4">
        <f>IF($J197="","",L197-R197)</f>
      </c>
      <c r="AA197" s="4">
        <f>IF($J197="","",S197-Z197)</f>
      </c>
    </row>
    <row r="198" spans="1:32" x14ac:dyDescent="0.25">
      <c r="A198" s="8"/>
      <c r="D198" s="9"/>
      <c r="I198" s="4"/>
      <c r="J198" s="4"/>
      <c r="K198" s="4">
        <f>IF($J198="","",J198-I198)</f>
      </c>
      <c r="L198" s="4">
        <f>IF($J198="","",K198*16.67%)</f>
      </c>
      <c r="M198" s="4">
        <f>IF($J198="","",J198*7%)</f>
      </c>
      <c r="N198" s="4">
        <f>IF($J198="","",M198*20%)</f>
      </c>
      <c r="O198" s="4"/>
      <c r="P198" s="4">
        <f>IF($J198="","",O198*20%)</f>
      </c>
      <c r="Q198" s="4">
        <v>1</v>
      </c>
      <c r="R198" s="4">
        <f>IF($J198="","",N198+P198)</f>
      </c>
      <c r="S198" s="4">
        <f>IF($J198="","",K198-L198-M198-N198-O198-P198-Q198)</f>
      </c>
      <c r="T198" s="4">
        <f>IF($J198="","",(S198-Z198)/I198*100)</f>
      </c>
      <c r="U198" s="4">
        <f>IF($J198="","",L198-R198)</f>
      </c>
      <c r="AA198" s="4">
        <f>IF($J198="","",S198-Z198)</f>
      </c>
    </row>
    <row r="199" spans="1:32" x14ac:dyDescent="0.25">
      <c r="A199" s="8"/>
      <c r="D199" s="9"/>
      <c r="I199" s="4"/>
      <c r="J199" s="4"/>
      <c r="K199" s="4">
        <f>IF($J199="","",J199-I199)</f>
      </c>
      <c r="L199" s="4">
        <f>IF($J199="","",K199*16.67%)</f>
      </c>
      <c r="M199" s="4">
        <f>IF($J199="","",J199*7%)</f>
      </c>
      <c r="N199" s="4">
        <f>IF($J199="","",M199*20%)</f>
      </c>
      <c r="O199" s="4"/>
      <c r="P199" s="4">
        <f>IF($J199="","",O199*20%)</f>
      </c>
      <c r="Q199" s="4">
        <v>1</v>
      </c>
      <c r="R199" s="4">
        <f>IF($J199="","",N199+P199)</f>
      </c>
      <c r="S199" s="4">
        <f>IF($J199="","",K199-L199-M199-N199-O199-P199-Q199)</f>
      </c>
      <c r="T199" s="4">
        <f>IF($J199="","",(S199-Z199)/I199*100)</f>
      </c>
      <c r="U199" s="4">
        <f>IF($J199="","",L199-R199)</f>
      </c>
      <c r="AA199" s="4">
        <f>IF($J199="","",S199-Z199)</f>
      </c>
    </row>
    <row r="200" spans="1:32" x14ac:dyDescent="0.25">
      <c r="A200" s="8"/>
      <c r="D200" s="9"/>
      <c r="I200" s="4"/>
      <c r="J200" s="4"/>
      <c r="K200" s="4">
        <f>IF($J200="","",J200-I200)</f>
      </c>
      <c r="L200" s="4">
        <f>IF($J200="","",K200*16.67%)</f>
      </c>
      <c r="M200" s="4">
        <f>IF($J200="","",J200*7%)</f>
      </c>
      <c r="N200" s="4">
        <f>IF($J200="","",M200*20%)</f>
      </c>
      <c r="O200" s="4"/>
      <c r="P200" s="4">
        <f>IF($J200="","",O200*20%)</f>
      </c>
      <c r="Q200" s="4">
        <v>1</v>
      </c>
      <c r="R200" s="4">
        <f>IF($J200="","",N200+P200)</f>
      </c>
      <c r="S200" s="4">
        <f>IF($J200="","",K200-L200-M200-N200-O200-P200-Q200)</f>
      </c>
      <c r="T200" s="4">
        <f>IF($J200="","",(S200-Z200)/I200*100)</f>
      </c>
      <c r="U200" s="4">
        <f>IF($J200="","",L200-R200)</f>
      </c>
      <c r="AA200" s="4">
        <f>IF($J200="","",S200-Z200)</f>
      </c>
    </row>
    <row r="201" spans="1:32" x14ac:dyDescent="0.25">
      <c r="A201" s="8"/>
      <c r="D201" s="9"/>
      <c r="I201" s="4"/>
      <c r="J201" s="4"/>
      <c r="K201" s="4">
        <f>IF($J201="","",J201-I201)</f>
      </c>
      <c r="L201" s="4">
        <f>IF($J201="","",K201*16.67%)</f>
      </c>
      <c r="M201" s="4">
        <f>IF($J201="","",J201*7%)</f>
      </c>
      <c r="N201" s="4">
        <f>IF($J201="","",M201*20%)</f>
      </c>
      <c r="O201" s="4"/>
      <c r="P201" s="4">
        <f>IF($J201="","",O201*20%)</f>
      </c>
      <c r="Q201" s="4">
        <v>1</v>
      </c>
      <c r="R201" s="4">
        <f>IF($J201="","",N201+P201)</f>
      </c>
      <c r="S201" s="4">
        <f>IF($J201="","",K201-L201-M201-N201-O201-P201-Q201)</f>
      </c>
      <c r="T201" s="4">
        <f>IF($J201="","",(S201-Z201)/I201*100)</f>
      </c>
      <c r="U201" s="4">
        <f>IF($J201="","",L201-R201)</f>
      </c>
      <c r="AA201" s="4">
        <f>IF($J201="","",S201-Z201)</f>
      </c>
    </row>
    <row r="202" spans="1:32" x14ac:dyDescent="0.25">
      <c r="A202" s="8"/>
      <c r="D202" s="9"/>
      <c r="I202" s="4"/>
      <c r="J202" s="4"/>
      <c r="K202" s="4">
        <f>IF($J202="","",J202-I202)</f>
      </c>
      <c r="L202" s="4">
        <f>IF($J202="","",K202*16.67%)</f>
      </c>
      <c r="M202" s="4">
        <f>IF($J202="","",J202*7%)</f>
      </c>
      <c r="N202" s="4">
        <f>IF($J202="","",M202*20%)</f>
      </c>
      <c r="O202" s="4"/>
      <c r="P202" s="4">
        <f>IF($J202="","",O202*20%)</f>
      </c>
      <c r="Q202" s="4">
        <v>1</v>
      </c>
      <c r="R202" s="4">
        <f>IF($J202="","",N202+P202)</f>
      </c>
      <c r="S202" s="4">
        <f>IF($J202="","",K202-L202-M202-N202-O202-P202-Q202)</f>
      </c>
      <c r="T202" s="4">
        <f>IF($J202="","",(S202-Z202)/I202*100)</f>
      </c>
      <c r="U202" s="4">
        <f>IF($J202="","",L202-R202)</f>
      </c>
      <c r="AA202" s="4">
        <f>IF($J202="","",S202-Z202)</f>
      </c>
    </row>
    <row r="203" spans="1:32" x14ac:dyDescent="0.25">
      <c r="A203" s="8"/>
      <c r="D203" s="9"/>
      <c r="I203" s="4"/>
      <c r="J203" s="4"/>
      <c r="K203" s="4">
        <f>IF($J203="","",J203-I203)</f>
      </c>
      <c r="L203" s="4">
        <f>IF($J203="","",K203*16.67%)</f>
      </c>
      <c r="M203" s="4">
        <f>IF($J203="","",J203*7%)</f>
      </c>
      <c r="N203" s="4">
        <f>IF($J203="","",M203*20%)</f>
      </c>
      <c r="O203" s="4"/>
      <c r="P203" s="4">
        <f>IF($J203="","",O203*20%)</f>
      </c>
      <c r="Q203" s="4">
        <v>1</v>
      </c>
      <c r="R203" s="4">
        <f>IF($J203="","",N203+P203)</f>
      </c>
      <c r="S203" s="4">
        <f>IF($J203="","",K203-L203-M203-N203-O203-P203-Q203)</f>
      </c>
      <c r="T203" s="4">
        <f>IF($J203="","",(S203-Z203)/I203*100)</f>
      </c>
      <c r="U203" s="4">
        <f>IF($J203="","",L203-R203)</f>
      </c>
      <c r="AA203" s="4">
        <f>IF($J203="","",S203-Z203)</f>
      </c>
    </row>
    <row r="204" spans="1:32" x14ac:dyDescent="0.25">
      <c r="A204" s="8"/>
      <c r="D204" s="9"/>
      <c r="I204" s="4"/>
      <c r="J204" s="4"/>
      <c r="K204" s="4">
        <f>IF($J204="","",J204-I204)</f>
      </c>
      <c r="L204" s="4">
        <f>IF($J204="","",K204*16.67%)</f>
      </c>
      <c r="M204" s="4">
        <f>IF($J204="","",J204*7%)</f>
      </c>
      <c r="N204" s="4">
        <f>IF($J204="","",M204*20%)</f>
      </c>
      <c r="O204" s="4"/>
      <c r="P204" s="4">
        <f>IF($J204="","",O204*20%)</f>
      </c>
      <c r="Q204" s="4">
        <v>1</v>
      </c>
      <c r="R204" s="4">
        <f>IF($J204="","",N204+P204)</f>
      </c>
      <c r="S204" s="4">
        <f>IF($J204="","",K204-L204-M204-N204-O204-P204-Q204)</f>
      </c>
      <c r="T204" s="4">
        <f>IF($J204="","",(S204-Z204)/I204*100)</f>
      </c>
      <c r="U204" s="4">
        <f>IF($J204="","",L204-R204)</f>
      </c>
      <c r="AA204" s="4">
        <f>IF($J204="","",S204-Z204)</f>
      </c>
    </row>
    <row r="205" spans="1:32" x14ac:dyDescent="0.25">
      <c r="A205" s="8"/>
      <c r="D205" s="9"/>
      <c r="I205" s="4"/>
      <c r="J205" s="4"/>
      <c r="K205" s="4">
        <f>IF($J205="","",J205-I205)</f>
      </c>
      <c r="L205" s="4">
        <f>IF($J205="","",K205*16.67%)</f>
      </c>
      <c r="M205" s="4">
        <f>IF($J205="","",J205*7%)</f>
      </c>
      <c r="N205" s="4">
        <f>IF($J205="","",M205*20%)</f>
      </c>
      <c r="O205" s="4"/>
      <c r="P205" s="4">
        <f>IF($J205="","",O205*20%)</f>
      </c>
      <c r="Q205" s="4">
        <v>1</v>
      </c>
      <c r="R205" s="4">
        <f>IF($J205="","",N205+P205)</f>
      </c>
      <c r="S205" s="4">
        <f>IF($J205="","",K205-L205-M205-N205-O205-P205-Q205)</f>
      </c>
      <c r="T205" s="4">
        <f>IF($J205="","",(S205-Z205)/I205*100)</f>
      </c>
      <c r="U205" s="4">
        <f>IF($J205="","",L205-R205)</f>
      </c>
      <c r="AA205" s="4">
        <f>IF($J205="","",S205-Z205)</f>
      </c>
    </row>
    <row r="206" spans="1:32" x14ac:dyDescent="0.25">
      <c r="A206" s="8"/>
      <c r="D206" s="9"/>
      <c r="I206" s="4"/>
      <c r="J206" s="4"/>
      <c r="K206" s="4">
        <f>IF($J206="","",J206-I206)</f>
      </c>
      <c r="L206" s="4">
        <f>IF($J206="","",K206*16.67%)</f>
      </c>
      <c r="M206" s="4">
        <f>IF($J206="","",J206*7%)</f>
      </c>
      <c r="N206" s="4">
        <f>IF($J206="","",M206*20%)</f>
      </c>
      <c r="O206" s="4"/>
      <c r="P206" s="4">
        <f>IF($J206="","",O206*20%)</f>
      </c>
      <c r="Q206" s="4">
        <v>1</v>
      </c>
      <c r="R206" s="4">
        <f>IF($J206="","",N206+P206)</f>
      </c>
      <c r="S206" s="4">
        <f>IF($J206="","",K206-L206-M206-N206-O206-P206-Q206)</f>
      </c>
      <c r="T206" s="4">
        <f>IF($J206="","",(S206-Z206)/I206*100)</f>
      </c>
      <c r="U206" s="4">
        <f>IF($J206="","",L206-R206)</f>
      </c>
      <c r="AA206" s="4">
        <f>IF($J206="","",S206-Z206)</f>
      </c>
    </row>
    <row r="207" spans="1:32" x14ac:dyDescent="0.25">
      <c r="A207" s="8"/>
      <c r="D207" s="9"/>
      <c r="I207" s="4"/>
      <c r="J207" s="4"/>
      <c r="K207" s="4">
        <f>IF($J207="","",J207-I207)</f>
      </c>
      <c r="L207" s="4">
        <f>IF($J207="","",K207*16.67%)</f>
      </c>
      <c r="M207" s="4">
        <f>IF($J207="","",J207*7%)</f>
      </c>
      <c r="N207" s="4">
        <f>IF($J207="","",M207*20%)</f>
      </c>
      <c r="O207" s="4"/>
      <c r="P207" s="4">
        <f>IF($J207="","",O207*20%)</f>
      </c>
      <c r="Q207" s="4">
        <v>1</v>
      </c>
      <c r="R207" s="4">
        <f>IF($J207="","",N207+P207)</f>
      </c>
      <c r="S207" s="4">
        <f>IF($J207="","",K207-L207-M207-N207-O207-P207-Q207)</f>
      </c>
      <c r="T207" s="4">
        <f>IF($J207="","",(S207-Z207)/I207*100)</f>
      </c>
      <c r="U207" s="4">
        <f>IF($J207="","",L207-R207)</f>
      </c>
      <c r="AA207" s="4">
        <f>IF($J207="","",S207-Z207)</f>
      </c>
    </row>
    <row r="208" spans="1:32" x14ac:dyDescent="0.25">
      <c r="A208" s="8"/>
      <c r="D208" s="9"/>
      <c r="I208" s="4"/>
      <c r="J208" s="4"/>
      <c r="K208" s="4">
        <f>IF($J208="","",J208-I208)</f>
      </c>
      <c r="L208" s="4">
        <f>IF($J208="","",K208*16.67%)</f>
      </c>
      <c r="M208" s="4">
        <f>IF($J208="","",J208*7%)</f>
      </c>
      <c r="N208" s="4">
        <f>IF($J208="","",M208*20%)</f>
      </c>
      <c r="O208" s="4"/>
      <c r="P208" s="4">
        <f>IF($J208="","",O208*20%)</f>
      </c>
      <c r="Q208" s="4">
        <v>1</v>
      </c>
      <c r="R208" s="4">
        <f>IF($J208="","",N208+P208)</f>
      </c>
      <c r="S208" s="4">
        <f>IF($J208="","",K208-L208-M208-N208-O208-P208-Q208)</f>
      </c>
      <c r="T208" s="4">
        <f>IF($J208="","",(S208-Z208)/I208*100)</f>
      </c>
      <c r="U208" s="4">
        <f>IF($J208="","",L208-R208)</f>
      </c>
      <c r="AA208" s="4">
        <f>IF($J208="","",S208-Z208)</f>
      </c>
    </row>
    <row r="209" spans="1:32" x14ac:dyDescent="0.25">
      <c r="A209" s="8"/>
      <c r="D209" s="9"/>
      <c r="I209" s="4"/>
      <c r="J209" s="4"/>
      <c r="K209" s="4">
        <f>IF($J209="","",J209-I209)</f>
      </c>
      <c r="L209" s="4">
        <f>IF($J209="","",K209*16.67%)</f>
      </c>
      <c r="M209" s="4">
        <f>IF($J209="","",J209*7%)</f>
      </c>
      <c r="N209" s="4">
        <f>IF($J209="","",M209*20%)</f>
      </c>
      <c r="O209" s="4"/>
      <c r="P209" s="4">
        <f>IF($J209="","",O209*20%)</f>
      </c>
      <c r="Q209" s="4">
        <v>1</v>
      </c>
      <c r="R209" s="4">
        <f>IF($J209="","",N209+P209)</f>
      </c>
      <c r="S209" s="4">
        <f>IF($J209="","",K209-L209-M209-N209-O209-P209-Q209)</f>
      </c>
      <c r="T209" s="4">
        <f>IF($J209="","",(S209-Z209)/I209*100)</f>
      </c>
      <c r="U209" s="4">
        <f>IF($J209="","",L209-R209)</f>
      </c>
      <c r="AA209" s="4">
        <f>IF($J209="","",S209-Z209)</f>
      </c>
    </row>
    <row r="210" spans="1:32" x14ac:dyDescent="0.25">
      <c r="A210" s="8"/>
      <c r="D210" s="9"/>
      <c r="I210" s="4"/>
      <c r="J210" s="4"/>
      <c r="K210" s="4">
        <f>IF($J210="","",J210-I210)</f>
      </c>
      <c r="L210" s="4">
        <f>IF($J210="","",K210*16.67%)</f>
      </c>
      <c r="M210" s="4">
        <f>IF($J210="","",J210*7%)</f>
      </c>
      <c r="N210" s="4">
        <f>IF($J210="","",M210*20%)</f>
      </c>
      <c r="O210" s="4"/>
      <c r="P210" s="4">
        <f>IF($J210="","",O210*20%)</f>
      </c>
      <c r="Q210" s="4">
        <v>1</v>
      </c>
      <c r="R210" s="4">
        <f>IF($J210="","",N210+P210)</f>
      </c>
      <c r="S210" s="4">
        <f>IF($J210="","",K210-L210-M210-N210-O210-P210-Q210)</f>
      </c>
      <c r="T210" s="4">
        <f>IF($J210="","",(S210-Z210)/I210*100)</f>
      </c>
      <c r="U210" s="4">
        <f>IF($J210="","",L210-R210)</f>
      </c>
      <c r="AA210" s="4">
        <f>IF($J210="","",S210-Z210)</f>
      </c>
    </row>
    <row r="211" spans="1:32" x14ac:dyDescent="0.25">
      <c r="A211" s="8"/>
      <c r="D211" s="9"/>
      <c r="I211" s="4"/>
      <c r="J211" s="4"/>
      <c r="K211" s="4">
        <f>IF($J211="","",J211-I211)</f>
      </c>
      <c r="L211" s="4">
        <f>IF($J211="","",K211*16.67%)</f>
      </c>
      <c r="M211" s="4">
        <f>IF($J211="","",J211*7%)</f>
      </c>
      <c r="N211" s="4">
        <f>IF($J211="","",M211*20%)</f>
      </c>
      <c r="O211" s="4"/>
      <c r="P211" s="4">
        <f>IF($J211="","",O211*20%)</f>
      </c>
      <c r="Q211" s="4">
        <v>1</v>
      </c>
      <c r="R211" s="4">
        <f>IF($J211="","",N211+P211)</f>
      </c>
      <c r="S211" s="4">
        <f>IF($J211="","",K211-L211-M211-N211-O211-P211-Q211)</f>
      </c>
      <c r="T211" s="4">
        <f>IF($J211="","",(S211-Z211)/I211*100)</f>
      </c>
      <c r="U211" s="4">
        <f>IF($J211="","",L211-R211)</f>
      </c>
      <c r="AA211" s="4">
        <f>IF($J211="","",S211-Z211)</f>
      </c>
    </row>
    <row r="212" spans="1:32" x14ac:dyDescent="0.25">
      <c r="A212" s="8"/>
      <c r="D212" s="9"/>
      <c r="I212" s="4"/>
      <c r="J212" s="4"/>
      <c r="K212" s="4">
        <f>IF($J212="","",J212-I212)</f>
      </c>
      <c r="L212" s="4">
        <f>IF($J212="","",K212*16.67%)</f>
      </c>
      <c r="M212" s="4">
        <f>IF($J212="","",J212*7%)</f>
      </c>
      <c r="N212" s="4">
        <f>IF($J212="","",M212*20%)</f>
      </c>
      <c r="O212" s="4"/>
      <c r="P212" s="4">
        <f>IF($J212="","",O212*20%)</f>
      </c>
      <c r="Q212" s="4">
        <v>1</v>
      </c>
      <c r="R212" s="4">
        <f>IF($J212="","",N212+P212)</f>
      </c>
      <c r="S212" s="4">
        <f>IF($J212="","",K212-L212-M212-N212-O212-P212-Q212)</f>
      </c>
      <c r="T212" s="4">
        <f>IF($J212="","",(S212-Z212)/I212*100)</f>
      </c>
      <c r="U212" s="4">
        <f>IF($J212="","",L212-R212)</f>
      </c>
      <c r="AA212" s="4">
        <f>IF($J212="","",S212-Z212)</f>
      </c>
    </row>
    <row r="213" spans="1:32" x14ac:dyDescent="0.25">
      <c r="A213" s="8"/>
      <c r="D213" s="9"/>
      <c r="I213" s="4"/>
      <c r="J213" s="4"/>
      <c r="K213" s="4">
        <f>IF($J213="","",J213-I213)</f>
      </c>
      <c r="L213" s="4">
        <f>IF($J213="","",K213*16.67%)</f>
      </c>
      <c r="M213" s="4">
        <f>IF($J213="","",J213*7%)</f>
      </c>
      <c r="N213" s="4">
        <f>IF($J213="","",M213*20%)</f>
      </c>
      <c r="O213" s="4"/>
      <c r="P213" s="4">
        <f>IF($J213="","",O213*20%)</f>
      </c>
      <c r="Q213" s="4">
        <v>1</v>
      </c>
      <c r="R213" s="4">
        <f>IF($J213="","",N213+P213)</f>
      </c>
      <c r="S213" s="4">
        <f>IF($J213="","",K213-L213-M213-N213-O213-P213-Q213)</f>
      </c>
      <c r="T213" s="4">
        <f>IF($J213="","",(S213-Z213)/I213*100)</f>
      </c>
      <c r="U213" s="4">
        <f>IF($J213="","",L213-R213)</f>
      </c>
      <c r="AA213" s="4">
        <f>IF($J213="","",S213-Z213)</f>
      </c>
    </row>
    <row r="214" spans="1:32" x14ac:dyDescent="0.25">
      <c r="A214" s="8"/>
      <c r="D214" s="9"/>
      <c r="I214" s="4"/>
      <c r="J214" s="4"/>
      <c r="K214" s="4">
        <f>IF($J214="","",J214-I214)</f>
      </c>
      <c r="L214" s="4">
        <f>IF($J214="","",K214*16.67%)</f>
      </c>
      <c r="M214" s="4">
        <f>IF($J214="","",J214*7%)</f>
      </c>
      <c r="N214" s="4">
        <f>IF($J214="","",M214*20%)</f>
      </c>
      <c r="O214" s="4"/>
      <c r="P214" s="4">
        <f>IF($J214="","",O214*20%)</f>
      </c>
      <c r="Q214" s="4">
        <v>1</v>
      </c>
      <c r="R214" s="4">
        <f>IF($J214="","",N214+P214)</f>
      </c>
      <c r="S214" s="4">
        <f>IF($J214="","",K214-L214-M214-N214-O214-P214-Q214)</f>
      </c>
      <c r="T214" s="4">
        <f>IF($J214="","",(S214-Z214)/I214*100)</f>
      </c>
      <c r="U214" s="4">
        <f>IF($J214="","",L214-R214)</f>
      </c>
      <c r="AA214" s="4">
        <f>IF($J214="","",S214-Z214)</f>
      </c>
    </row>
    <row r="215" spans="1:32" x14ac:dyDescent="0.25">
      <c r="A215" s="8"/>
      <c r="D215" s="9"/>
      <c r="I215" s="4"/>
      <c r="J215" s="4"/>
      <c r="K215" s="4">
        <f>IF($J215="","",J215-I215)</f>
      </c>
      <c r="L215" s="4">
        <f>IF($J215="","",K215*16.67%)</f>
      </c>
      <c r="M215" s="4">
        <f>IF($J215="","",J215*7%)</f>
      </c>
      <c r="N215" s="4">
        <f>IF($J215="","",M215*20%)</f>
      </c>
      <c r="O215" s="4"/>
      <c r="P215" s="4">
        <f>IF($J215="","",O215*20%)</f>
      </c>
      <c r="Q215" s="4">
        <v>1</v>
      </c>
      <c r="R215" s="4">
        <f>IF($J215="","",N215+P215)</f>
      </c>
      <c r="S215" s="4">
        <f>IF($J215="","",K215-L215-M215-N215-O215-P215-Q215)</f>
      </c>
      <c r="T215" s="4">
        <f>IF($J215="","",(S215-Z215)/I215*100)</f>
      </c>
      <c r="U215" s="4">
        <f>IF($J215="","",L215-R215)</f>
      </c>
      <c r="AA215" s="4">
        <f>IF($J215="","",S215-Z215)</f>
      </c>
    </row>
    <row r="216" spans="1:32" x14ac:dyDescent="0.25">
      <c r="A216" s="8"/>
      <c r="D216" s="9"/>
      <c r="I216" s="4"/>
      <c r="J216" s="4"/>
      <c r="K216" s="4">
        <f>IF($J216="","",J216-I216)</f>
      </c>
      <c r="L216" s="4">
        <f>IF($J216="","",K216*16.67%)</f>
      </c>
      <c r="M216" s="4">
        <f>IF($J216="","",J216*7%)</f>
      </c>
      <c r="N216" s="4">
        <f>IF($J216="","",M216*20%)</f>
      </c>
      <c r="O216" s="4"/>
      <c r="P216" s="4">
        <f>IF($J216="","",O216*20%)</f>
      </c>
      <c r="Q216" s="4">
        <v>1</v>
      </c>
      <c r="R216" s="4">
        <f>IF($J216="","",N216+P216)</f>
      </c>
      <c r="S216" s="4">
        <f>IF($J216="","",K216-L216-M216-N216-O216-P216-Q216)</f>
      </c>
      <c r="T216" s="4">
        <f>IF($J216="","",(S216-Z216)/I216*100)</f>
      </c>
      <c r="U216" s="4">
        <f>IF($J216="","",L216-R216)</f>
      </c>
      <c r="AA216" s="4">
        <f>IF($J216="","",S216-Z216)</f>
      </c>
    </row>
    <row r="217" spans="1:32" x14ac:dyDescent="0.25">
      <c r="A217" s="8"/>
      <c r="D217" s="9"/>
      <c r="I217" s="4"/>
      <c r="J217" s="4"/>
      <c r="K217" s="4">
        <f>IF($J217="","",J217-I217)</f>
      </c>
      <c r="L217" s="4">
        <f>IF($J217="","",K217*16.67%)</f>
      </c>
      <c r="M217" s="4">
        <f>IF($J217="","",J217*7%)</f>
      </c>
      <c r="N217" s="4">
        <f>IF($J217="","",M217*20%)</f>
      </c>
      <c r="O217" s="4"/>
      <c r="P217" s="4">
        <f>IF($J217="","",O217*20%)</f>
      </c>
      <c r="Q217" s="4">
        <v>1</v>
      </c>
      <c r="R217" s="4">
        <f>IF($J217="","",N217+P217)</f>
      </c>
      <c r="S217" s="4">
        <f>IF($J217="","",K217-L217-M217-N217-O217-P217-Q217)</f>
      </c>
      <c r="T217" s="4">
        <f>IF($J217="","",(S217-Z217)/I217*100)</f>
      </c>
      <c r="U217" s="4">
        <f>IF($J217="","",L217-R217)</f>
      </c>
      <c r="AA217" s="4">
        <f>IF($J217="","",S217-Z217)</f>
      </c>
    </row>
    <row r="218" spans="1:32" x14ac:dyDescent="0.25">
      <c r="A218" s="8"/>
      <c r="D218" s="9"/>
      <c r="I218" s="4"/>
      <c r="J218" s="4"/>
      <c r="K218" s="4">
        <f>IF($J218="","",J218-I218)</f>
      </c>
      <c r="L218" s="4">
        <f>IF($J218="","",K218*16.67%)</f>
      </c>
      <c r="M218" s="4">
        <f>IF($J218="","",J218*7%)</f>
      </c>
      <c r="N218" s="4">
        <f>IF($J218="","",M218*20%)</f>
      </c>
      <c r="O218" s="4"/>
      <c r="P218" s="4">
        <f>IF($J218="","",O218*20%)</f>
      </c>
      <c r="Q218" s="4">
        <v>1</v>
      </c>
      <c r="R218" s="4">
        <f>IF($J218="","",N218+P218)</f>
      </c>
      <c r="S218" s="4">
        <f>IF($J218="","",K218-L218-M218-N218-O218-P218-Q218)</f>
      </c>
      <c r="T218" s="4">
        <f>IF($J218="","",(S218-Z218)/I218*100)</f>
      </c>
      <c r="U218" s="4">
        <f>IF($J218="","",L218-R218)</f>
      </c>
      <c r="AA218" s="4">
        <f>IF($J218="","",S218-Z218)</f>
      </c>
    </row>
    <row r="219" spans="1:32" x14ac:dyDescent="0.25">
      <c r="A219" s="8"/>
      <c r="D219" s="9"/>
      <c r="I219" s="4"/>
      <c r="J219" s="4"/>
      <c r="K219" s="4">
        <f>IF($J219="","",J219-I219)</f>
      </c>
      <c r="L219" s="4">
        <f>IF($J219="","",K219*16.67%)</f>
      </c>
      <c r="M219" s="4">
        <f>IF($J219="","",J219*7%)</f>
      </c>
      <c r="N219" s="4">
        <f>IF($J219="","",M219*20%)</f>
      </c>
      <c r="O219" s="4"/>
      <c r="P219" s="4">
        <f>IF($J219="","",O219*20%)</f>
      </c>
      <c r="Q219" s="4">
        <v>1</v>
      </c>
      <c r="R219" s="4">
        <f>IF($J219="","",N219+P219)</f>
      </c>
      <c r="S219" s="4">
        <f>IF($J219="","",K219-L219-M219-N219-O219-P219-Q219)</f>
      </c>
      <c r="T219" s="4">
        <f>IF($J219="","",(S219-Z219)/I219*100)</f>
      </c>
      <c r="U219" s="4">
        <f>IF($J219="","",L219-R219)</f>
      </c>
      <c r="AA219" s="4">
        <f>IF($J219="","",S219-Z219)</f>
      </c>
    </row>
    <row r="220" spans="1:32" x14ac:dyDescent="0.25">
      <c r="A220" s="8"/>
      <c r="D220" s="9"/>
      <c r="I220" s="4"/>
      <c r="J220" s="4"/>
      <c r="K220" s="4">
        <f>IF($J220="","",J220-I220)</f>
      </c>
      <c r="L220" s="4">
        <f>IF($J220="","",K220*16.67%)</f>
      </c>
      <c r="M220" s="4">
        <f>IF($J220="","",J220*7%)</f>
      </c>
      <c r="N220" s="4">
        <f>IF($J220="","",M220*20%)</f>
      </c>
      <c r="O220" s="4"/>
      <c r="P220" s="4">
        <f>IF($J220="","",O220*20%)</f>
      </c>
      <c r="Q220" s="4">
        <v>1</v>
      </c>
      <c r="R220" s="4">
        <f>IF($J220="","",N220+P220)</f>
      </c>
      <c r="S220" s="4">
        <f>IF($J220="","",K220-L220-M220-N220-O220-P220-Q220)</f>
      </c>
      <c r="T220" s="4">
        <f>IF($J220="","",(S220-Z220)/I220*100)</f>
      </c>
      <c r="U220" s="4">
        <f>IF($J220="","",L220-R220)</f>
      </c>
      <c r="AA220" s="4">
        <f>IF($J220="","",S220-Z220)</f>
      </c>
    </row>
    <row r="221" spans="1:32" x14ac:dyDescent="0.25">
      <c r="A221" s="8"/>
      <c r="D221" s="9"/>
      <c r="I221" s="4"/>
      <c r="J221" s="4"/>
      <c r="K221" s="4">
        <f>IF($J221="","",J221-I221)</f>
      </c>
      <c r="L221" s="4">
        <f>IF($J221="","",K221*16.67%)</f>
      </c>
      <c r="M221" s="4">
        <f>IF($J221="","",J221*7%)</f>
      </c>
      <c r="N221" s="4">
        <f>IF($J221="","",M221*20%)</f>
      </c>
      <c r="O221" s="4"/>
      <c r="P221" s="4">
        <f>IF($J221="","",O221*20%)</f>
      </c>
      <c r="Q221" s="4">
        <v>1</v>
      </c>
      <c r="R221" s="4">
        <f>IF($J221="","",N221+P221)</f>
      </c>
      <c r="S221" s="4">
        <f>IF($J221="","",K221-L221-M221-N221-O221-P221-Q221)</f>
      </c>
      <c r="T221" s="4">
        <f>IF($J221="","",(S221-Z221)/I221*100)</f>
      </c>
      <c r="U221" s="4">
        <f>IF($J221="","",L221-R221)</f>
      </c>
      <c r="AA221" s="4">
        <f>IF($J221="","",S221-Z221)</f>
      </c>
    </row>
    <row r="222" spans="1:32" s="7" customFormat="1" x14ac:dyDescent="0.25">
      <c r="A222" s="3" t="s">
        <v>18</v>
      </c>
      <c r="B222" s="7"/>
      <c r="C222" s="7"/>
      <c r="D222" s="7"/>
      <c r="E222" s="7"/>
      <c r="F222" s="7"/>
      <c r="G222" s="7"/>
      <c r="H222" s="7"/>
      <c r="I222" s="10">
        <f>SUM(I2:I221)</f>
      </c>
      <c r="J222" s="10">
        <f>SUM(J2:J221)</f>
      </c>
      <c r="K222" s="10">
        <f>SUM(K2:K221)</f>
      </c>
      <c r="L222" s="10">
        <f>SUM(L2:L221)</f>
      </c>
      <c r="M222" s="10">
        <f>SUM(M2:M221)</f>
      </c>
      <c r="N222" s="10">
        <f>SUM(N2:N221)</f>
      </c>
      <c r="O222" s="10">
        <f>SUM(O2:O221)</f>
      </c>
      <c r="P222" s="10">
        <f>SUM(P2:P221)</f>
      </c>
      <c r="Q222" s="10">
        <f>SUM(Q2:Q221)</f>
      </c>
      <c r="R222" s="10">
        <f>SUM(R2:R221)</f>
      </c>
      <c r="S222" s="10">
        <f>SUM(S2:S221)</f>
      </c>
      <c r="T222" s="10">
        <f>IFERROR((S222-Z222)/I222*100,0)</f>
      </c>
      <c r="U222" s="10">
        <f>SUM(U2:U221)</f>
      </c>
      <c r="V222" s="10">
        <f>SUM(V2:V221)</f>
      </c>
      <c r="W222" s="10">
        <f>SUM(W2:W221)</f>
      </c>
      <c r="X222" s="10">
        <f>SUM(X2:X221)</f>
      </c>
      <c r="Y222" s="10">
        <f>SUM(Y2:Y221)</f>
      </c>
      <c r="Z222" s="10">
        <f>SUM(Z2:Z221)</f>
      </c>
      <c r="AA222" s="10">
        <f>SUM(AA2:AA221)</f>
      </c>
      <c r="AB222" s="7"/>
      <c r="AC222" s="7"/>
      <c r="AD222" s="7"/>
      <c r="AE222" s="7"/>
      <c r="AF22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290</v>
      </c>
      <c r="P1" t="s">
        <v>291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8">
        <v>46226.5</v>
      </c>
      <c r="B2" t="s">
        <v>292</v>
      </c>
      <c r="C2" t="s">
        <v>143</v>
      </c>
      <c r="D2" s="9" t="s">
        <v>293</v>
      </c>
      <c r="E2" t="s">
        <v>143</v>
      </c>
      <c r="F2" t="s">
        <v>66</v>
      </c>
      <c r="G2" t="s">
        <v>78</v>
      </c>
      <c r="H2" t="s">
        <v>73</v>
      </c>
      <c r="I2">
        <v>1</v>
      </c>
      <c r="J2" s="4">
        <v>417.16</v>
      </c>
      <c r="K2" s="4">
        <v>566.56</v>
      </c>
      <c r="L2" s="4">
        <f>K2-J2</f>
      </c>
      <c r="M2" s="4">
        <f>L2*16.67%</f>
      </c>
      <c r="N2" s="4">
        <f>K2*4.61%</f>
      </c>
      <c r="O2" s="4">
        <f>N2*20%</f>
      </c>
      <c r="P2" s="4">
        <f>N2+O2</f>
      </c>
      <c r="Q2" s="4">
        <v>6.3</v>
      </c>
      <c r="R2" s="4">
        <f>Q2*20%</f>
      </c>
      <c r="S2" s="4">
        <v>1</v>
      </c>
      <c r="T2" s="4">
        <f>R2</f>
      </c>
      <c r="U2" s="4">
        <f>L2-M2-N2-Q2-R2-S2</f>
      </c>
      <c r="V2" s="4">
        <f>(U2-AB2)/J2*100</f>
      </c>
      <c r="W2" s="4">
        <f>M2-T2</f>
      </c>
      <c r="AC2" s="4">
        <f>U2-AB2</f>
      </c>
      <c r="AH2" t="s">
        <v>1</v>
      </c>
    </row>
    <row r="3" spans="1:34" x14ac:dyDescent="0.25">
      <c r="A3" s="8">
        <v>46225.5</v>
      </c>
      <c r="B3" t="s">
        <v>294</v>
      </c>
      <c r="C3" t="s">
        <v>147</v>
      </c>
      <c r="D3" s="9" t="s">
        <v>295</v>
      </c>
      <c r="E3" t="s">
        <v>147</v>
      </c>
      <c r="F3" t="s">
        <v>129</v>
      </c>
      <c r="G3" t="s">
        <v>72</v>
      </c>
      <c r="H3" t="s">
        <v>73</v>
      </c>
      <c r="I3">
        <v>1</v>
      </c>
      <c r="J3" s="4">
        <v>263.11</v>
      </c>
      <c r="K3" s="4">
        <v>334.65</v>
      </c>
      <c r="L3" s="4">
        <f>K3-J3</f>
      </c>
      <c r="M3" s="4">
        <f>L3*16.67%</f>
      </c>
      <c r="N3" s="4">
        <f>K3*4.61%</f>
      </c>
      <c r="O3" s="4">
        <f>N3*20%</f>
      </c>
      <c r="P3" s="4">
        <f>N3+O3</f>
      </c>
      <c r="Q3" s="4">
        <v>2</v>
      </c>
      <c r="R3" s="4">
        <f>Q3*20%</f>
      </c>
      <c r="S3" s="4">
        <v>1</v>
      </c>
      <c r="T3" s="4">
        <f>R3</f>
      </c>
      <c r="U3" s="4">
        <f>L3-M3-N3-Q3-R3-S3</f>
      </c>
      <c r="V3" s="4">
        <f>(U3-AB3)/J3*100</f>
      </c>
      <c r="W3" s="4">
        <f>M3-T3</f>
      </c>
      <c r="AC3" s="4">
        <f>U3-AB3</f>
      </c>
      <c r="AH3" t="s">
        <v>1</v>
      </c>
    </row>
    <row r="4" spans="1:34" x14ac:dyDescent="0.25">
      <c r="A4" s="8">
        <v>46224.5</v>
      </c>
      <c r="B4" t="s">
        <v>296</v>
      </c>
      <c r="C4" t="s">
        <v>238</v>
      </c>
      <c r="D4" s="9" t="s">
        <v>297</v>
      </c>
      <c r="E4" t="s">
        <v>65</v>
      </c>
      <c r="F4" t="s">
        <v>83</v>
      </c>
      <c r="G4" t="s">
        <v>78</v>
      </c>
      <c r="H4" t="s">
        <v>73</v>
      </c>
      <c r="I4">
        <v>1</v>
      </c>
      <c r="J4" s="4">
        <v>484.06</v>
      </c>
      <c r="K4" s="4">
        <v>721.16</v>
      </c>
      <c r="L4" s="4">
        <f>K4-J4</f>
      </c>
      <c r="M4" s="4">
        <f>L4*16.67%</f>
      </c>
      <c r="N4" s="4">
        <f>K4*4.61%</f>
      </c>
      <c r="O4" s="4">
        <f>N4*20%</f>
      </c>
      <c r="P4" s="4">
        <f>N4+O4</f>
      </c>
      <c r="Q4" s="4">
        <v>2</v>
      </c>
      <c r="R4" s="4">
        <f>Q4*20%</f>
      </c>
      <c r="S4" s="4">
        <v>1</v>
      </c>
      <c r="T4" s="4">
        <f>R4</f>
      </c>
      <c r="U4" s="4">
        <f>L4-M4-N4-Q4-R4-S4</f>
      </c>
      <c r="V4" s="4">
        <f>(U4-AB4)/J4*100</f>
      </c>
      <c r="W4" s="4">
        <f>M4-T4</f>
      </c>
      <c r="AC4" s="4">
        <f>U4-AB4</f>
      </c>
      <c r="AH4" t="s">
        <v>1</v>
      </c>
    </row>
    <row r="5" spans="1:34" x14ac:dyDescent="0.25">
      <c r="A5" s="8">
        <v>46223.5</v>
      </c>
      <c r="B5" t="s">
        <v>298</v>
      </c>
      <c r="C5" t="s">
        <v>150</v>
      </c>
      <c r="D5" s="9" t="s">
        <v>299</v>
      </c>
      <c r="E5" t="s">
        <v>65</v>
      </c>
      <c r="F5" t="s">
        <v>77</v>
      </c>
      <c r="G5" t="s">
        <v>78</v>
      </c>
      <c r="H5" t="s">
        <v>79</v>
      </c>
      <c r="I5">
        <v>1</v>
      </c>
      <c r="J5" s="4">
        <v>529.23</v>
      </c>
      <c r="K5" s="4">
        <v>740.45</v>
      </c>
      <c r="L5" s="4">
        <f>K5-J5</f>
      </c>
      <c r="M5" s="4">
        <f>L5*16.67%</f>
      </c>
      <c r="N5" s="4">
        <f>K5*4.61%</f>
      </c>
      <c r="O5" s="4">
        <f>N5*20%</f>
      </c>
      <c r="P5" s="4">
        <f>N5+O5</f>
      </c>
      <c r="Q5" s="4">
        <v>8</v>
      </c>
      <c r="R5" s="4">
        <f>Q5*20%</f>
      </c>
      <c r="S5" s="4">
        <v>1</v>
      </c>
      <c r="T5" s="4">
        <f>R5</f>
      </c>
      <c r="U5" s="4">
        <f>L5-M5-N5-Q5-R5-S5</f>
      </c>
      <c r="V5" s="4">
        <f>(U5-AB5)/J5*100</f>
      </c>
      <c r="W5" s="4">
        <f>M5-T5</f>
      </c>
      <c r="AC5" s="4">
        <f>U5-AB5</f>
      </c>
      <c r="AH5" t="s">
        <v>1</v>
      </c>
    </row>
    <row r="6" spans="1:34" x14ac:dyDescent="0.25">
      <c r="A6" s="8">
        <v>46221.5</v>
      </c>
      <c r="B6" t="s">
        <v>300</v>
      </c>
      <c r="C6" t="s">
        <v>157</v>
      </c>
      <c r="D6" s="9" t="s">
        <v>301</v>
      </c>
      <c r="E6" t="s">
        <v>65</v>
      </c>
      <c r="F6" t="s">
        <v>83</v>
      </c>
      <c r="G6" t="s">
        <v>72</v>
      </c>
      <c r="H6" t="s">
        <v>73</v>
      </c>
      <c r="I6">
        <v>1</v>
      </c>
      <c r="J6" s="4">
        <v>227.85</v>
      </c>
      <c r="K6" s="4">
        <v>304.26</v>
      </c>
      <c r="L6" s="4">
        <f>K6-J6</f>
      </c>
      <c r="M6" s="4">
        <f>L6*16.67%</f>
      </c>
      <c r="N6" s="4">
        <f>K6*4.61%</f>
      </c>
      <c r="O6" s="4">
        <f>N6*20%</f>
      </c>
      <c r="P6" s="4">
        <f>N6+O6</f>
      </c>
      <c r="Q6" s="4">
        <v>8</v>
      </c>
      <c r="R6" s="4">
        <f>Q6*20%</f>
      </c>
      <c r="S6" s="4">
        <v>1</v>
      </c>
      <c r="T6" s="4">
        <f>R6</f>
      </c>
      <c r="U6" s="4">
        <f>L6-M6-N6-Q6-R6-S6</f>
      </c>
      <c r="V6" s="4">
        <f>(U6-AB6)/J6*100</f>
      </c>
      <c r="W6" s="4">
        <f>M6-T6</f>
      </c>
      <c r="AC6" s="4">
        <f>U6-AB6</f>
      </c>
      <c r="AH6" t="s">
        <v>1</v>
      </c>
    </row>
    <row r="7" spans="1:34" x14ac:dyDescent="0.25">
      <c r="A7" s="8">
        <v>46220.5</v>
      </c>
      <c r="B7" t="s">
        <v>302</v>
      </c>
      <c r="C7" t="s">
        <v>227</v>
      </c>
      <c r="D7" s="9" t="s">
        <v>303</v>
      </c>
      <c r="E7" t="s">
        <v>65</v>
      </c>
      <c r="F7" t="s">
        <v>87</v>
      </c>
      <c r="G7" t="s">
        <v>67</v>
      </c>
      <c r="H7" t="s">
        <v>73</v>
      </c>
      <c r="I7">
        <v>1</v>
      </c>
      <c r="J7" s="4">
        <v>197.28</v>
      </c>
      <c r="K7" s="4">
        <v>253.57</v>
      </c>
      <c r="L7" s="4">
        <f>K7-J7</f>
      </c>
      <c r="M7" s="4">
        <f>L7*16.67%</f>
      </c>
      <c r="N7" s="4">
        <f>K7*4.61%</f>
      </c>
      <c r="O7" s="4">
        <f>N7*20%</f>
      </c>
      <c r="P7" s="4">
        <f>N7+O7</f>
      </c>
      <c r="Q7" s="4">
        <v>8</v>
      </c>
      <c r="R7" s="4">
        <f>Q7*20%</f>
      </c>
      <c r="S7" s="4">
        <v>1</v>
      </c>
      <c r="T7" s="4">
        <f>R7</f>
      </c>
      <c r="U7" s="4">
        <f>L7-M7-N7-Q7-R7-S7</f>
      </c>
      <c r="V7" s="4">
        <f>(U7-AB7)/J7*100</f>
      </c>
      <c r="W7" s="4">
        <f>M7-T7</f>
      </c>
      <c r="AC7" s="4">
        <f>U7-AB7</f>
      </c>
      <c r="AH7" t="s">
        <v>1</v>
      </c>
    </row>
    <row r="8" spans="1:34" x14ac:dyDescent="0.25">
      <c r="A8" s="8">
        <v>46219.5</v>
      </c>
      <c r="B8" t="s">
        <v>304</v>
      </c>
      <c r="C8" t="s">
        <v>200</v>
      </c>
      <c r="D8" s="9" t="s">
        <v>305</v>
      </c>
      <c r="E8" t="s">
        <v>200</v>
      </c>
      <c r="F8" t="s">
        <v>77</v>
      </c>
      <c r="G8" t="s">
        <v>72</v>
      </c>
      <c r="H8" t="s">
        <v>73</v>
      </c>
      <c r="I8">
        <v>1</v>
      </c>
      <c r="J8" s="4">
        <v>268.59</v>
      </c>
      <c r="K8" s="4">
        <v>354.91</v>
      </c>
      <c r="L8" s="4">
        <f>K8-J8</f>
      </c>
      <c r="M8" s="4">
        <f>L8*16.67%</f>
      </c>
      <c r="N8" s="4">
        <f>K8*4.61%</f>
      </c>
      <c r="O8" s="4">
        <f>N8*20%</f>
      </c>
      <c r="P8" s="4">
        <f>N8+O8</f>
      </c>
      <c r="Q8" s="4">
        <v>8</v>
      </c>
      <c r="R8" s="4">
        <f>Q8*20%</f>
      </c>
      <c r="S8" s="4">
        <v>1</v>
      </c>
      <c r="T8" s="4">
        <f>R8</f>
      </c>
      <c r="U8" s="4">
        <f>L8-M8-N8-Q8-R8-S8</f>
      </c>
      <c r="V8" s="4">
        <f>(U8-AB8)/J8*100</f>
      </c>
      <c r="W8" s="4">
        <f>M8-T8</f>
      </c>
      <c r="AC8" s="4">
        <f>U8-AB8</f>
      </c>
      <c r="AH8" t="s">
        <v>1</v>
      </c>
    </row>
    <row r="9" spans="1:34" x14ac:dyDescent="0.25">
      <c r="A9" s="8">
        <v>46218.5</v>
      </c>
      <c r="B9" t="s">
        <v>306</v>
      </c>
      <c r="C9" t="s">
        <v>180</v>
      </c>
      <c r="D9" s="9" t="s">
        <v>307</v>
      </c>
      <c r="E9" t="s">
        <v>180</v>
      </c>
      <c r="F9" t="s">
        <v>95</v>
      </c>
      <c r="G9" t="s">
        <v>78</v>
      </c>
      <c r="H9" t="s">
        <v>91</v>
      </c>
      <c r="I9">
        <v>1</v>
      </c>
      <c r="J9" s="4">
        <v>450.57</v>
      </c>
      <c r="K9" s="4">
        <v>603.85</v>
      </c>
      <c r="L9" s="4">
        <f>K9-J9</f>
      </c>
      <c r="M9" s="4">
        <f>L9*16.67%</f>
      </c>
      <c r="N9" s="4">
        <f>K9*4.61%</f>
      </c>
      <c r="O9" s="4">
        <f>N9*20%</f>
      </c>
      <c r="P9" s="4">
        <f>N9+O9</f>
      </c>
      <c r="Q9" s="4">
        <v>2</v>
      </c>
      <c r="R9" s="4">
        <f>Q9*20%</f>
      </c>
      <c r="S9" s="4">
        <v>1</v>
      </c>
      <c r="T9" s="4">
        <f>R9</f>
      </c>
      <c r="U9" s="4">
        <f>L9-M9-N9-Q9-R9-S9</f>
      </c>
      <c r="V9" s="4">
        <f>(U9-AB9)/J9*100</f>
      </c>
      <c r="W9" s="4">
        <f>M9-T9</f>
      </c>
      <c r="AC9" s="4">
        <f>U9-AB9</f>
      </c>
      <c r="AH9" t="s">
        <v>1</v>
      </c>
    </row>
    <row r="10" spans="1:34" x14ac:dyDescent="0.25">
      <c r="A10" s="8">
        <v>46216.5</v>
      </c>
      <c r="B10" t="s">
        <v>308</v>
      </c>
      <c r="C10" t="s">
        <v>104</v>
      </c>
      <c r="D10" s="9" t="s">
        <v>105</v>
      </c>
      <c r="E10" t="s">
        <v>104</v>
      </c>
      <c r="F10" t="s">
        <v>77</v>
      </c>
      <c r="G10" t="s">
        <v>72</v>
      </c>
      <c r="H10" t="s">
        <v>68</v>
      </c>
      <c r="I10">
        <v>1</v>
      </c>
      <c r="J10" s="4">
        <v>246.21</v>
      </c>
      <c r="K10" s="4">
        <v>344.78</v>
      </c>
      <c r="L10" s="4">
        <f>K10-J10</f>
      </c>
      <c r="M10" s="4">
        <f>L10*16.67%</f>
      </c>
      <c r="N10" s="4">
        <f>K10*4.61%</f>
      </c>
      <c r="O10" s="4">
        <f>N10*20%</f>
      </c>
      <c r="P10" s="4">
        <f>N10+O10</f>
      </c>
      <c r="Q10" s="4">
        <v>6.3</v>
      </c>
      <c r="R10" s="4">
        <f>Q10*20%</f>
      </c>
      <c r="S10" s="4">
        <v>1</v>
      </c>
      <c r="T10" s="4">
        <f>R10</f>
      </c>
      <c r="U10" s="4">
        <f>L10-M10-N10-Q10-R10-S10</f>
      </c>
      <c r="V10" s="4">
        <f>(U10-AB10)/J10*100</f>
      </c>
      <c r="W10" s="4">
        <f>M10-T10</f>
      </c>
      <c r="AC10" s="4">
        <f>U10-AB10</f>
      </c>
      <c r="AH10" t="s">
        <v>1</v>
      </c>
    </row>
    <row r="11" spans="1:34" x14ac:dyDescent="0.25">
      <c r="A11" s="8">
        <v>46215.5</v>
      </c>
      <c r="B11" t="s">
        <v>309</v>
      </c>
      <c r="C11" t="s">
        <v>124</v>
      </c>
      <c r="D11" s="9" t="s">
        <v>310</v>
      </c>
      <c r="E11" t="s">
        <v>65</v>
      </c>
      <c r="F11" t="s">
        <v>102</v>
      </c>
      <c r="G11" t="s">
        <v>78</v>
      </c>
      <c r="H11" t="s">
        <v>91</v>
      </c>
      <c r="I11">
        <v>1</v>
      </c>
      <c r="J11" s="4">
        <v>507.95</v>
      </c>
      <c r="K11" s="4">
        <v>670.51</v>
      </c>
      <c r="L11" s="4">
        <f>K11-J11</f>
      </c>
      <c r="M11" s="4">
        <f>L11*16.67%</f>
      </c>
      <c r="N11" s="4">
        <f>K11*4.61%</f>
      </c>
      <c r="O11" s="4">
        <f>N11*20%</f>
      </c>
      <c r="P11" s="4">
        <f>N11+O11</f>
      </c>
      <c r="Q11" s="4">
        <v>8</v>
      </c>
      <c r="R11" s="4">
        <f>Q11*20%</f>
      </c>
      <c r="S11" s="4">
        <v>1</v>
      </c>
      <c r="T11" s="4">
        <f>R11</f>
      </c>
      <c r="U11" s="4">
        <f>L11-M11-N11-Q11-R11-S11</f>
      </c>
      <c r="V11" s="4">
        <f>(U11-AB11)/J11*100</f>
      </c>
      <c r="W11" s="4">
        <f>M11-T11</f>
      </c>
      <c r="AC11" s="4">
        <f>U11-AB11</f>
      </c>
      <c r="AH11" t="s">
        <v>1</v>
      </c>
    </row>
    <row r="12" spans="1:34" x14ac:dyDescent="0.25">
      <c r="A12" s="8">
        <v>46214.5</v>
      </c>
      <c r="B12" t="s">
        <v>311</v>
      </c>
      <c r="C12" t="s">
        <v>112</v>
      </c>
      <c r="D12" s="9" t="s">
        <v>312</v>
      </c>
      <c r="E12" t="s">
        <v>65</v>
      </c>
      <c r="F12" t="s">
        <v>87</v>
      </c>
      <c r="G12" t="s">
        <v>72</v>
      </c>
      <c r="H12" t="s">
        <v>79</v>
      </c>
      <c r="I12">
        <v>1</v>
      </c>
      <c r="J12" s="4">
        <v>305.4</v>
      </c>
      <c r="K12" s="4">
        <v>390.8</v>
      </c>
      <c r="L12" s="4">
        <f>K12-J12</f>
      </c>
      <c r="M12" s="4">
        <f>L12*16.67%</f>
      </c>
      <c r="N12" s="4">
        <f>K12*4.61%</f>
      </c>
      <c r="O12" s="4">
        <f>N12*20%</f>
      </c>
      <c r="P12" s="4">
        <f>N12+O12</f>
      </c>
      <c r="Q12" s="4">
        <v>8</v>
      </c>
      <c r="R12" s="4">
        <f>Q12*20%</f>
      </c>
      <c r="S12" s="4">
        <v>1</v>
      </c>
      <c r="T12" s="4">
        <f>R12</f>
      </c>
      <c r="U12" s="4">
        <f>L12-M12-N12-Q12-R12-S12</f>
      </c>
      <c r="V12" s="4">
        <f>(U12-AB12)/J12*100</f>
      </c>
      <c r="W12" s="4">
        <f>M12-T12</f>
      </c>
      <c r="AC12" s="4">
        <f>U12-AB12</f>
      </c>
      <c r="AH12" t="s">
        <v>1</v>
      </c>
    </row>
    <row r="13" spans="1:34" x14ac:dyDescent="0.25">
      <c r="A13" s="8">
        <v>46213.5</v>
      </c>
      <c r="B13" t="s">
        <v>313</v>
      </c>
      <c r="C13" t="s">
        <v>93</v>
      </c>
      <c r="D13" s="9" t="s">
        <v>314</v>
      </c>
      <c r="E13" t="s">
        <v>65</v>
      </c>
      <c r="F13" t="s">
        <v>95</v>
      </c>
      <c r="G13" t="s">
        <v>72</v>
      </c>
      <c r="H13" t="s">
        <v>79</v>
      </c>
      <c r="I13">
        <v>1</v>
      </c>
      <c r="J13" s="4">
        <v>229.85</v>
      </c>
      <c r="K13" s="4">
        <v>322.37</v>
      </c>
      <c r="L13" s="4">
        <f>K13-J13</f>
      </c>
      <c r="M13" s="4">
        <f>L13*16.67%</f>
      </c>
      <c r="N13" s="4">
        <f>K13*4.61%</f>
      </c>
      <c r="O13" s="4">
        <f>N13*20%</f>
      </c>
      <c r="P13" s="4">
        <f>N13+O13</f>
      </c>
      <c r="Q13" s="4">
        <v>8</v>
      </c>
      <c r="R13" s="4">
        <f>Q13*20%</f>
      </c>
      <c r="S13" s="4">
        <v>1</v>
      </c>
      <c r="T13" s="4">
        <f>R13</f>
      </c>
      <c r="U13" s="4">
        <f>L13-M13-N13-Q13-R13-S13</f>
      </c>
      <c r="V13" s="4">
        <f>(U13-AB13)/J13*100</f>
      </c>
      <c r="W13" s="4">
        <f>M13-T13</f>
      </c>
      <c r="AC13" s="4">
        <f>U13-AB13</f>
      </c>
      <c r="AH13" t="s">
        <v>1</v>
      </c>
    </row>
    <row r="14" spans="1:34" x14ac:dyDescent="0.25">
      <c r="A14" s="8">
        <v>46211.5</v>
      </c>
      <c r="B14" t="s">
        <v>315</v>
      </c>
      <c r="C14" t="s">
        <v>230</v>
      </c>
      <c r="D14" s="9" t="s">
        <v>316</v>
      </c>
      <c r="E14" t="s">
        <v>230</v>
      </c>
      <c r="F14" t="s">
        <v>95</v>
      </c>
      <c r="G14" t="s">
        <v>72</v>
      </c>
      <c r="H14" t="s">
        <v>73</v>
      </c>
      <c r="I14">
        <v>1</v>
      </c>
      <c r="J14" s="4">
        <v>262.14</v>
      </c>
      <c r="K14" s="4">
        <v>338.57</v>
      </c>
      <c r="L14" s="4">
        <f>K14-J14</f>
      </c>
      <c r="M14" s="4">
        <f>L14*16.67%</f>
      </c>
      <c r="N14" s="4">
        <f>K14*4.61%</f>
      </c>
      <c r="O14" s="4">
        <f>N14*20%</f>
      </c>
      <c r="P14" s="4">
        <f>N14+O14</f>
      </c>
      <c r="Q14" s="4">
        <v>6.3</v>
      </c>
      <c r="R14" s="4">
        <f>Q14*20%</f>
      </c>
      <c r="S14" s="4">
        <v>1</v>
      </c>
      <c r="T14" s="4">
        <f>R14</f>
      </c>
      <c r="U14" s="4">
        <f>L14-M14-N14-Q14-R14-S14</f>
      </c>
      <c r="V14" s="4">
        <f>(U14-AB14)/J14*100</f>
      </c>
      <c r="W14" s="4">
        <f>M14-T14</f>
      </c>
      <c r="AC14" s="4">
        <f>U14-AB14</f>
      </c>
      <c r="AH14" t="s">
        <v>1</v>
      </c>
    </row>
    <row r="15" spans="1:34" x14ac:dyDescent="0.25">
      <c r="A15" s="8">
        <v>46210.5</v>
      </c>
      <c r="B15" t="s">
        <v>317</v>
      </c>
      <c r="C15" t="s">
        <v>75</v>
      </c>
      <c r="D15" s="9" t="s">
        <v>318</v>
      </c>
      <c r="E15" t="s">
        <v>75</v>
      </c>
      <c r="F15" t="s">
        <v>77</v>
      </c>
      <c r="G15" t="s">
        <v>78</v>
      </c>
      <c r="H15" t="s">
        <v>68</v>
      </c>
      <c r="I15">
        <v>1</v>
      </c>
      <c r="J15" s="4">
        <v>405.86</v>
      </c>
      <c r="K15" s="4">
        <v>574.95</v>
      </c>
      <c r="L15" s="4">
        <f>K15-J15</f>
      </c>
      <c r="M15" s="4">
        <f>L15*16.67%</f>
      </c>
      <c r="N15" s="4">
        <f>K15*4.61%</f>
      </c>
      <c r="O15" s="4">
        <f>N15*20%</f>
      </c>
      <c r="P15" s="4">
        <f>N15+O15</f>
      </c>
      <c r="Q15" s="4">
        <v>8</v>
      </c>
      <c r="R15" s="4">
        <f>Q15*20%</f>
      </c>
      <c r="S15" s="4">
        <v>1</v>
      </c>
      <c r="T15" s="4">
        <f>R15</f>
      </c>
      <c r="U15" s="4">
        <f>L15-M15-N15-Q15-R15-S15</f>
      </c>
      <c r="V15" s="4">
        <f>(U15-AB15)/J15*100</f>
      </c>
      <c r="W15" s="4">
        <f>M15-T15</f>
      </c>
      <c r="AC15" s="4">
        <f>U15-AB15</f>
      </c>
      <c r="AH15" t="s">
        <v>1</v>
      </c>
    </row>
    <row r="16" spans="1:34" x14ac:dyDescent="0.25">
      <c r="A16" s="8">
        <v>46209.5</v>
      </c>
      <c r="B16" t="s">
        <v>319</v>
      </c>
      <c r="C16" t="s">
        <v>107</v>
      </c>
      <c r="D16" s="9" t="s">
        <v>320</v>
      </c>
      <c r="E16" t="s">
        <v>107</v>
      </c>
      <c r="F16" t="s">
        <v>95</v>
      </c>
      <c r="G16" t="s">
        <v>72</v>
      </c>
      <c r="H16" t="s">
        <v>68</v>
      </c>
      <c r="I16">
        <v>1</v>
      </c>
      <c r="J16" s="4">
        <v>253.86</v>
      </c>
      <c r="K16" s="4">
        <v>371.8</v>
      </c>
      <c r="L16" s="4">
        <f>K16-J16</f>
      </c>
      <c r="M16" s="4">
        <f>L16*16.67%</f>
      </c>
      <c r="N16" s="4">
        <f>K16*4.61%</f>
      </c>
      <c r="O16" s="4">
        <f>N16*20%</f>
      </c>
      <c r="P16" s="4">
        <f>N16+O16</f>
      </c>
      <c r="Q16" s="4">
        <v>8</v>
      </c>
      <c r="R16" s="4">
        <f>Q16*20%</f>
      </c>
      <c r="S16" s="4">
        <v>1</v>
      </c>
      <c r="T16" s="4">
        <f>R16</f>
      </c>
      <c r="U16" s="4">
        <f>L16-M16-N16-Q16-R16-S16</f>
      </c>
      <c r="V16" s="4">
        <f>(U16-AB16)/J16*100</f>
      </c>
      <c r="W16" s="4">
        <f>M16-T16</f>
      </c>
      <c r="AC16" s="4">
        <f>U16-AB16</f>
      </c>
      <c r="AH16" t="s">
        <v>1</v>
      </c>
    </row>
    <row r="17" spans="1:34" x14ac:dyDescent="0.25">
      <c r="A17" s="8">
        <v>46208.5</v>
      </c>
      <c r="B17" t="s">
        <v>321</v>
      </c>
      <c r="C17" t="s">
        <v>235</v>
      </c>
      <c r="D17" s="9" t="s">
        <v>322</v>
      </c>
      <c r="E17" t="s">
        <v>65</v>
      </c>
      <c r="F17" t="s">
        <v>145</v>
      </c>
      <c r="G17" t="s">
        <v>78</v>
      </c>
      <c r="H17" t="s">
        <v>68</v>
      </c>
      <c r="I17">
        <v>1</v>
      </c>
      <c r="J17" s="4">
        <v>459.49</v>
      </c>
      <c r="K17" s="4">
        <v>653.1</v>
      </c>
      <c r="L17" s="4">
        <f>K17-J17</f>
      </c>
      <c r="M17" s="4">
        <f>L17*16.67%</f>
      </c>
      <c r="N17" s="4">
        <f>K17*4.61%</f>
      </c>
      <c r="O17" s="4">
        <f>N17*20%</f>
      </c>
      <c r="P17" s="4">
        <f>N17+O17</f>
      </c>
      <c r="Q17" s="4">
        <v>2</v>
      </c>
      <c r="R17" s="4">
        <f>Q17*20%</f>
      </c>
      <c r="S17" s="4">
        <v>1</v>
      </c>
      <c r="T17" s="4">
        <f>R17</f>
      </c>
      <c r="U17" s="4">
        <f>L17-M17-N17-Q17-R17-S17</f>
      </c>
      <c r="V17" s="4">
        <f>(U17-AB17)/J17*100</f>
      </c>
      <c r="W17" s="4">
        <f>M17-T17</f>
      </c>
      <c r="AC17" s="4">
        <f>U17-AB17</f>
      </c>
      <c r="AH17" t="s">
        <v>1</v>
      </c>
    </row>
    <row r="18" spans="1:34" x14ac:dyDescent="0.25">
      <c r="A18" s="8">
        <v>46207.5</v>
      </c>
      <c r="B18" t="s">
        <v>323</v>
      </c>
      <c r="C18" t="s">
        <v>124</v>
      </c>
      <c r="D18" s="9" t="s">
        <v>324</v>
      </c>
      <c r="E18" t="s">
        <v>65</v>
      </c>
      <c r="F18" t="s">
        <v>66</v>
      </c>
      <c r="G18" t="s">
        <v>78</v>
      </c>
      <c r="H18" t="s">
        <v>91</v>
      </c>
      <c r="I18">
        <v>1</v>
      </c>
      <c r="J18" s="4">
        <v>517.1</v>
      </c>
      <c r="K18" s="4">
        <v>708.95</v>
      </c>
      <c r="L18" s="4">
        <f>K18-J18</f>
      </c>
      <c r="M18" s="4">
        <f>L18*16.67%</f>
      </c>
      <c r="N18" s="4">
        <f>K18*4.61%</f>
      </c>
      <c r="O18" s="4">
        <f>N18*20%</f>
      </c>
      <c r="P18" s="4">
        <f>N18+O18</f>
      </c>
      <c r="Q18" s="4">
        <v>2</v>
      </c>
      <c r="R18" s="4">
        <f>Q18*20%</f>
      </c>
      <c r="S18" s="4">
        <v>1</v>
      </c>
      <c r="T18" s="4">
        <f>R18</f>
      </c>
      <c r="U18" s="4">
        <f>L18-M18-N18-Q18-R18-S18</f>
      </c>
      <c r="V18" s="4">
        <f>(U18-AB18)/J18*100</f>
      </c>
      <c r="W18" s="4">
        <f>M18-T18</f>
      </c>
      <c r="AC18" s="4">
        <f>U18-AB18</f>
      </c>
      <c r="AH18" t="s">
        <v>1</v>
      </c>
    </row>
    <row r="19" spans="1:34" x14ac:dyDescent="0.25">
      <c r="A19" s="8">
        <v>46206.5</v>
      </c>
      <c r="B19" t="s">
        <v>325</v>
      </c>
      <c r="C19" t="s">
        <v>172</v>
      </c>
      <c r="D19" s="9" t="s">
        <v>326</v>
      </c>
      <c r="E19" t="s">
        <v>65</v>
      </c>
      <c r="F19" t="s">
        <v>145</v>
      </c>
      <c r="G19" t="s">
        <v>72</v>
      </c>
      <c r="H19" t="s">
        <v>68</v>
      </c>
      <c r="I19">
        <v>1</v>
      </c>
      <c r="J19" s="4">
        <v>334.66</v>
      </c>
      <c r="K19" s="4">
        <v>466.67</v>
      </c>
      <c r="L19" s="4">
        <f>K19-J19</f>
      </c>
      <c r="M19" s="4">
        <f>L19*16.67%</f>
      </c>
      <c r="N19" s="4">
        <f>K19*4.61%</f>
      </c>
      <c r="O19" s="4">
        <f>N19*20%</f>
      </c>
      <c r="P19" s="4">
        <f>N19+O19</f>
      </c>
      <c r="Q19" s="4">
        <v>8</v>
      </c>
      <c r="R19" s="4">
        <f>Q19*20%</f>
      </c>
      <c r="S19" s="4">
        <v>1</v>
      </c>
      <c r="T19" s="4">
        <f>R19</f>
      </c>
      <c r="U19" s="4">
        <f>L19-M19-N19-Q19-R19-S19</f>
      </c>
      <c r="V19" s="4">
        <f>(U19-AB19)/J19*100</f>
      </c>
      <c r="W19" s="4">
        <f>M19-T19</f>
      </c>
      <c r="AC19" s="4">
        <f>U19-AB19</f>
      </c>
      <c r="AH19" t="s">
        <v>1</v>
      </c>
    </row>
    <row r="20" spans="1:34" x14ac:dyDescent="0.25">
      <c r="A20" s="8">
        <v>46205.5</v>
      </c>
      <c r="B20" t="s">
        <v>327</v>
      </c>
      <c r="C20" t="s">
        <v>153</v>
      </c>
      <c r="D20" s="9" t="s">
        <v>289</v>
      </c>
      <c r="E20" t="s">
        <v>65</v>
      </c>
      <c r="F20" t="s">
        <v>102</v>
      </c>
      <c r="G20" t="s">
        <v>72</v>
      </c>
      <c r="H20" t="s">
        <v>68</v>
      </c>
      <c r="I20">
        <v>1</v>
      </c>
      <c r="J20" s="4">
        <v>232.81</v>
      </c>
      <c r="K20" s="4">
        <v>319.12</v>
      </c>
      <c r="L20" s="4">
        <f>K20-J20</f>
      </c>
      <c r="M20" s="4">
        <f>L20*16.67%</f>
      </c>
      <c r="N20" s="4">
        <f>K20*4.61%</f>
      </c>
      <c r="O20" s="4">
        <f>N20*20%</f>
      </c>
      <c r="P20" s="4">
        <f>N20+O20</f>
      </c>
      <c r="Q20" s="4">
        <v>8</v>
      </c>
      <c r="R20" s="4">
        <f>Q20*20%</f>
      </c>
      <c r="S20" s="4">
        <v>1</v>
      </c>
      <c r="T20" s="4">
        <f>R20</f>
      </c>
      <c r="U20" s="4">
        <f>L20-M20-N20-Q20-R20-S20</f>
      </c>
      <c r="V20" s="4">
        <f>(U20-AB20)/J20*100</f>
      </c>
      <c r="W20" s="4">
        <f>M20-T20</f>
      </c>
      <c r="AC20" s="4">
        <f>U20-AB20</f>
      </c>
      <c r="AH20" t="s">
        <v>1</v>
      </c>
    </row>
    <row r="21" spans="1:34" x14ac:dyDescent="0.25">
      <c r="A21" s="8">
        <v>46204.5</v>
      </c>
      <c r="B21" t="s">
        <v>328</v>
      </c>
      <c r="C21" t="s">
        <v>131</v>
      </c>
      <c r="D21" s="9" t="s">
        <v>132</v>
      </c>
      <c r="E21" t="s">
        <v>65</v>
      </c>
      <c r="F21" t="s">
        <v>133</v>
      </c>
      <c r="G21" t="s">
        <v>72</v>
      </c>
      <c r="H21" t="s">
        <v>91</v>
      </c>
      <c r="I21">
        <v>1</v>
      </c>
      <c r="J21" s="4">
        <v>233.36</v>
      </c>
      <c r="K21" s="4">
        <v>306.12</v>
      </c>
      <c r="L21" s="4">
        <f>K21-J21</f>
      </c>
      <c r="M21" s="4">
        <f>L21*16.67%</f>
      </c>
      <c r="N21" s="4">
        <f>K21*4.61%</f>
      </c>
      <c r="O21" s="4">
        <f>N21*20%</f>
      </c>
      <c r="P21" s="4">
        <f>N21+O21</f>
      </c>
      <c r="Q21" s="4">
        <v>8</v>
      </c>
      <c r="R21" s="4">
        <f>Q21*20%</f>
      </c>
      <c r="S21" s="4">
        <v>1</v>
      </c>
      <c r="T21" s="4">
        <f>R21</f>
      </c>
      <c r="U21" s="4">
        <f>L21-M21-N21-Q21-R21-S21</f>
      </c>
      <c r="V21" s="4">
        <f>(U21-AB21)/J21*100</f>
      </c>
      <c r="W21" s="4">
        <f>M21-T21</f>
      </c>
      <c r="AC21" s="4">
        <f>U21-AB21</f>
      </c>
      <c r="AH21" t="s">
        <v>1</v>
      </c>
    </row>
    <row r="22" spans="1:34" x14ac:dyDescent="0.25">
      <c r="A22" s="8"/>
      <c r="D22" s="9"/>
      <c r="J22" s="4"/>
      <c r="K22" s="4"/>
      <c r="L22" s="4">
        <f>IF($K22="","",K22-J22)</f>
      </c>
      <c r="M22" s="4">
        <f>IF($K22="","",L22*16.67%)</f>
      </c>
      <c r="N22" s="4">
        <f>IF($K22="","",K22*3.96%)</f>
      </c>
      <c r="O22" s="4">
        <f>IF($K22="","",N22*20%)</f>
      </c>
      <c r="P22" s="4">
        <f>IF($K22="","",N22+O22)</f>
      </c>
      <c r="Q22" s="4"/>
      <c r="R22" s="4">
        <f>IF($K22="","",Q22*20%)</f>
      </c>
      <c r="S22" s="4">
        <v>1</v>
      </c>
      <c r="T22" s="4">
        <f>IF($K22="","",R22)</f>
      </c>
      <c r="U22" s="4">
        <f>IF($K22="","",L22-M22-N22-Q22-R22-S22)</f>
      </c>
      <c r="V22" s="4">
        <f>IF($K22="","",(U22-AB22)/J22*100)</f>
      </c>
      <c r="W22" s="4">
        <f>IF($K22="","",M22-T22)</f>
      </c>
      <c r="AC22" s="4">
        <f>IF($K22="","",U22-AB22)</f>
      </c>
    </row>
    <row r="23" spans="1:34" x14ac:dyDescent="0.25">
      <c r="A23" s="8"/>
      <c r="D23" s="9"/>
      <c r="J23" s="4"/>
      <c r="K23" s="4"/>
      <c r="L23" s="4">
        <f>IF($K23="","",K23-J23)</f>
      </c>
      <c r="M23" s="4">
        <f>IF($K23="","",L23*16.67%)</f>
      </c>
      <c r="N23" s="4">
        <f>IF($K23="","",K23*3.96%)</f>
      </c>
      <c r="O23" s="4">
        <f>IF($K23="","",N23*20%)</f>
      </c>
      <c r="P23" s="4">
        <f>IF($K23="","",N23+O23)</f>
      </c>
      <c r="Q23" s="4"/>
      <c r="R23" s="4">
        <f>IF($K23="","",Q23*20%)</f>
      </c>
      <c r="S23" s="4">
        <v>1</v>
      </c>
      <c r="T23" s="4">
        <f>IF($K23="","",R23)</f>
      </c>
      <c r="U23" s="4">
        <f>IF($K23="","",L23-M23-N23-Q23-R23-S23)</f>
      </c>
      <c r="V23" s="4">
        <f>IF($K23="","",(U23-AB23)/J23*100)</f>
      </c>
      <c r="W23" s="4">
        <f>IF($K23="","",M23-T23)</f>
      </c>
      <c r="AC23" s="4">
        <f>IF($K23="","",U23-AB23)</f>
      </c>
    </row>
    <row r="24" spans="1:34" x14ac:dyDescent="0.25">
      <c r="A24" s="8"/>
      <c r="D24" s="9"/>
      <c r="J24" s="4"/>
      <c r="K24" s="4"/>
      <c r="L24" s="4">
        <f>IF($K24="","",K24-J24)</f>
      </c>
      <c r="M24" s="4">
        <f>IF($K24="","",L24*16.67%)</f>
      </c>
      <c r="N24" s="4">
        <f>IF($K24="","",K24*3.96%)</f>
      </c>
      <c r="O24" s="4">
        <f>IF($K24="","",N24*20%)</f>
      </c>
      <c r="P24" s="4">
        <f>IF($K24="","",N24+O24)</f>
      </c>
      <c r="Q24" s="4"/>
      <c r="R24" s="4">
        <f>IF($K24="","",Q24*20%)</f>
      </c>
      <c r="S24" s="4">
        <v>1</v>
      </c>
      <c r="T24" s="4">
        <f>IF($K24="","",R24)</f>
      </c>
      <c r="U24" s="4">
        <f>IF($K24="","",L24-M24-N24-Q24-R24-S24)</f>
      </c>
      <c r="V24" s="4">
        <f>IF($K24="","",(U24-AB24)/J24*100)</f>
      </c>
      <c r="W24" s="4">
        <f>IF($K24="","",M24-T24)</f>
      </c>
      <c r="AC24" s="4">
        <f>IF($K24="","",U24-AB24)</f>
      </c>
    </row>
    <row r="25" spans="1:34" x14ac:dyDescent="0.25">
      <c r="A25" s="8"/>
      <c r="D25" s="9"/>
      <c r="J25" s="4"/>
      <c r="K25" s="4"/>
      <c r="L25" s="4">
        <f>IF($K25="","",K25-J25)</f>
      </c>
      <c r="M25" s="4">
        <f>IF($K25="","",L25*16.67%)</f>
      </c>
      <c r="N25" s="4">
        <f>IF($K25="","",K25*3.96%)</f>
      </c>
      <c r="O25" s="4">
        <f>IF($K25="","",N25*20%)</f>
      </c>
      <c r="P25" s="4">
        <f>IF($K25="","",N25+O25)</f>
      </c>
      <c r="Q25" s="4"/>
      <c r="R25" s="4">
        <f>IF($K25="","",Q25*20%)</f>
      </c>
      <c r="S25" s="4">
        <v>1</v>
      </c>
      <c r="T25" s="4">
        <f>IF($K25="","",R25)</f>
      </c>
      <c r="U25" s="4">
        <f>IF($K25="","",L25-M25-N25-Q25-R25-S25)</f>
      </c>
      <c r="V25" s="4">
        <f>IF($K25="","",(U25-AB25)/J25*100)</f>
      </c>
      <c r="W25" s="4">
        <f>IF($K25="","",M25-T25)</f>
      </c>
      <c r="AC25" s="4">
        <f>IF($K25="","",U25-AB25)</f>
      </c>
    </row>
    <row r="26" spans="1:34" x14ac:dyDescent="0.25">
      <c r="A26" s="8"/>
      <c r="D26" s="9"/>
      <c r="J26" s="4"/>
      <c r="K26" s="4"/>
      <c r="L26" s="4">
        <f>IF($K26="","",K26-J26)</f>
      </c>
      <c r="M26" s="4">
        <f>IF($K26="","",L26*16.67%)</f>
      </c>
      <c r="N26" s="4">
        <f>IF($K26="","",K26*3.96%)</f>
      </c>
      <c r="O26" s="4">
        <f>IF($K26="","",N26*20%)</f>
      </c>
      <c r="P26" s="4">
        <f>IF($K26="","",N26+O26)</f>
      </c>
      <c r="Q26" s="4"/>
      <c r="R26" s="4">
        <f>IF($K26="","",Q26*20%)</f>
      </c>
      <c r="S26" s="4">
        <v>1</v>
      </c>
      <c r="T26" s="4">
        <f>IF($K26="","",R26)</f>
      </c>
      <c r="U26" s="4">
        <f>IF($K26="","",L26-M26-N26-Q26-R26-S26)</f>
      </c>
      <c r="V26" s="4">
        <f>IF($K26="","",(U26-AB26)/J26*100)</f>
      </c>
      <c r="W26" s="4">
        <f>IF($K26="","",M26-T26)</f>
      </c>
      <c r="AC26" s="4">
        <f>IF($K26="","",U26-AB26)</f>
      </c>
    </row>
    <row r="27" spans="1:34" x14ac:dyDescent="0.25">
      <c r="A27" s="8"/>
      <c r="D27" s="9"/>
      <c r="J27" s="4"/>
      <c r="K27" s="4"/>
      <c r="L27" s="4">
        <f>IF($K27="","",K27-J27)</f>
      </c>
      <c r="M27" s="4">
        <f>IF($K27="","",L27*16.67%)</f>
      </c>
      <c r="N27" s="4">
        <f>IF($K27="","",K27*3.96%)</f>
      </c>
      <c r="O27" s="4">
        <f>IF($K27="","",N27*20%)</f>
      </c>
      <c r="P27" s="4">
        <f>IF($K27="","",N27+O27)</f>
      </c>
      <c r="Q27" s="4"/>
      <c r="R27" s="4">
        <f>IF($K27="","",Q27*20%)</f>
      </c>
      <c r="S27" s="4">
        <v>1</v>
      </c>
      <c r="T27" s="4">
        <f>IF($K27="","",R27)</f>
      </c>
      <c r="U27" s="4">
        <f>IF($K27="","",L27-M27-N27-Q27-R27-S27)</f>
      </c>
      <c r="V27" s="4">
        <f>IF($K27="","",(U27-AB27)/J27*100)</f>
      </c>
      <c r="W27" s="4">
        <f>IF($K27="","",M27-T27)</f>
      </c>
      <c r="AC27" s="4">
        <f>IF($K27="","",U27-AB27)</f>
      </c>
    </row>
    <row r="28" spans="1:34" x14ac:dyDescent="0.25">
      <c r="A28" s="8"/>
      <c r="D28" s="9"/>
      <c r="J28" s="4"/>
      <c r="K28" s="4"/>
      <c r="L28" s="4">
        <f>IF($K28="","",K28-J28)</f>
      </c>
      <c r="M28" s="4">
        <f>IF($K28="","",L28*16.67%)</f>
      </c>
      <c r="N28" s="4">
        <f>IF($K28="","",K28*3.96%)</f>
      </c>
      <c r="O28" s="4">
        <f>IF($K28="","",N28*20%)</f>
      </c>
      <c r="P28" s="4">
        <f>IF($K28="","",N28+O28)</f>
      </c>
      <c r="Q28" s="4"/>
      <c r="R28" s="4">
        <f>IF($K28="","",Q28*20%)</f>
      </c>
      <c r="S28" s="4">
        <v>1</v>
      </c>
      <c r="T28" s="4">
        <f>IF($K28="","",R28)</f>
      </c>
      <c r="U28" s="4">
        <f>IF($K28="","",L28-M28-N28-Q28-R28-S28)</f>
      </c>
      <c r="V28" s="4">
        <f>IF($K28="","",(U28-AB28)/J28*100)</f>
      </c>
      <c r="W28" s="4">
        <f>IF($K28="","",M28-T28)</f>
      </c>
      <c r="AC28" s="4">
        <f>IF($K28="","",U28-AB28)</f>
      </c>
    </row>
    <row r="29" spans="1:34" x14ac:dyDescent="0.25">
      <c r="A29" s="8"/>
      <c r="D29" s="9"/>
      <c r="J29" s="4"/>
      <c r="K29" s="4"/>
      <c r="L29" s="4">
        <f>IF($K29="","",K29-J29)</f>
      </c>
      <c r="M29" s="4">
        <f>IF($K29="","",L29*16.67%)</f>
      </c>
      <c r="N29" s="4">
        <f>IF($K29="","",K29*3.96%)</f>
      </c>
      <c r="O29" s="4">
        <f>IF($K29="","",N29*20%)</f>
      </c>
      <c r="P29" s="4">
        <f>IF($K29="","",N29+O29)</f>
      </c>
      <c r="Q29" s="4"/>
      <c r="R29" s="4">
        <f>IF($K29="","",Q29*20%)</f>
      </c>
      <c r="S29" s="4">
        <v>1</v>
      </c>
      <c r="T29" s="4">
        <f>IF($K29="","",R29)</f>
      </c>
      <c r="U29" s="4">
        <f>IF($K29="","",L29-M29-N29-Q29-R29-S29)</f>
      </c>
      <c r="V29" s="4">
        <f>IF($K29="","",(U29-AB29)/J29*100)</f>
      </c>
      <c r="W29" s="4">
        <f>IF($K29="","",M29-T29)</f>
      </c>
      <c r="AC29" s="4">
        <f>IF($K29="","",U29-AB29)</f>
      </c>
    </row>
    <row r="30" spans="1:34" x14ac:dyDescent="0.25">
      <c r="A30" s="8"/>
      <c r="D30" s="9"/>
      <c r="J30" s="4"/>
      <c r="K30" s="4"/>
      <c r="L30" s="4">
        <f>IF($K30="","",K30-J30)</f>
      </c>
      <c r="M30" s="4">
        <f>IF($K30="","",L30*16.67%)</f>
      </c>
      <c r="N30" s="4">
        <f>IF($K30="","",K30*3.96%)</f>
      </c>
      <c r="O30" s="4">
        <f>IF($K30="","",N30*20%)</f>
      </c>
      <c r="P30" s="4">
        <f>IF($K30="","",N30+O30)</f>
      </c>
      <c r="Q30" s="4"/>
      <c r="R30" s="4">
        <f>IF($K30="","",Q30*20%)</f>
      </c>
      <c r="S30" s="4">
        <v>1</v>
      </c>
      <c r="T30" s="4">
        <f>IF($K30="","",R30)</f>
      </c>
      <c r="U30" s="4">
        <f>IF($K30="","",L30-M30-N30-Q30-R30-S30)</f>
      </c>
      <c r="V30" s="4">
        <f>IF($K30="","",(U30-AB30)/J30*100)</f>
      </c>
      <c r="W30" s="4">
        <f>IF($K30="","",M30-T30)</f>
      </c>
      <c r="AC30" s="4">
        <f>IF($K30="","",U30-AB30)</f>
      </c>
    </row>
    <row r="31" spans="1:34" x14ac:dyDescent="0.25">
      <c r="A31" s="8"/>
      <c r="D31" s="9"/>
      <c r="J31" s="4"/>
      <c r="K31" s="4"/>
      <c r="L31" s="4">
        <f>IF($K31="","",K31-J31)</f>
      </c>
      <c r="M31" s="4">
        <f>IF($K31="","",L31*16.67%)</f>
      </c>
      <c r="N31" s="4">
        <f>IF($K31="","",K31*3.96%)</f>
      </c>
      <c r="O31" s="4">
        <f>IF($K31="","",N31*20%)</f>
      </c>
      <c r="P31" s="4">
        <f>IF($K31="","",N31+O31)</f>
      </c>
      <c r="Q31" s="4"/>
      <c r="R31" s="4">
        <f>IF($K31="","",Q31*20%)</f>
      </c>
      <c r="S31" s="4">
        <v>1</v>
      </c>
      <c r="T31" s="4">
        <f>IF($K31="","",R31)</f>
      </c>
      <c r="U31" s="4">
        <f>IF($K31="","",L31-M31-N31-Q31-R31-S31)</f>
      </c>
      <c r="V31" s="4">
        <f>IF($K31="","",(U31-AB31)/J31*100)</f>
      </c>
      <c r="W31" s="4">
        <f>IF($K31="","",M31-T31)</f>
      </c>
      <c r="AC31" s="4">
        <f>IF($K31="","",U31-AB31)</f>
      </c>
    </row>
    <row r="32" spans="1:34" x14ac:dyDescent="0.25">
      <c r="A32" s="8"/>
      <c r="D32" s="9"/>
      <c r="J32" s="4"/>
      <c r="K32" s="4"/>
      <c r="L32" s="4">
        <f>IF($K32="","",K32-J32)</f>
      </c>
      <c r="M32" s="4">
        <f>IF($K32="","",L32*16.67%)</f>
      </c>
      <c r="N32" s="4">
        <f>IF($K32="","",K32*3.96%)</f>
      </c>
      <c r="O32" s="4">
        <f>IF($K32="","",N32*20%)</f>
      </c>
      <c r="P32" s="4">
        <f>IF($K32="","",N32+O32)</f>
      </c>
      <c r="Q32" s="4"/>
      <c r="R32" s="4">
        <f>IF($K32="","",Q32*20%)</f>
      </c>
      <c r="S32" s="4">
        <v>1</v>
      </c>
      <c r="T32" s="4">
        <f>IF($K32="","",R32)</f>
      </c>
      <c r="U32" s="4">
        <f>IF($K32="","",L32-M32-N32-Q32-R32-S32)</f>
      </c>
      <c r="V32" s="4">
        <f>IF($K32="","",(U32-AB32)/J32*100)</f>
      </c>
      <c r="W32" s="4">
        <f>IF($K32="","",M32-T32)</f>
      </c>
      <c r="AC32" s="4">
        <f>IF($K32="","",U32-AB32)</f>
      </c>
    </row>
    <row r="33" spans="1:34" x14ac:dyDescent="0.25">
      <c r="A33" s="8"/>
      <c r="D33" s="9"/>
      <c r="J33" s="4"/>
      <c r="K33" s="4"/>
      <c r="L33" s="4">
        <f>IF($K33="","",K33-J33)</f>
      </c>
      <c r="M33" s="4">
        <f>IF($K33="","",L33*16.67%)</f>
      </c>
      <c r="N33" s="4">
        <f>IF($K33="","",K33*3.96%)</f>
      </c>
      <c r="O33" s="4">
        <f>IF($K33="","",N33*20%)</f>
      </c>
      <c r="P33" s="4">
        <f>IF($K33="","",N33+O33)</f>
      </c>
      <c r="Q33" s="4"/>
      <c r="R33" s="4">
        <f>IF($K33="","",Q33*20%)</f>
      </c>
      <c r="S33" s="4">
        <v>1</v>
      </c>
      <c r="T33" s="4">
        <f>IF($K33="","",R33)</f>
      </c>
      <c r="U33" s="4">
        <f>IF($K33="","",L33-M33-N33-Q33-R33-S33)</f>
      </c>
      <c r="V33" s="4">
        <f>IF($K33="","",(U33-AB33)/J33*100)</f>
      </c>
      <c r="W33" s="4">
        <f>IF($K33="","",M33-T33)</f>
      </c>
      <c r="AC33" s="4">
        <f>IF($K33="","",U33-AB33)</f>
      </c>
    </row>
    <row r="34" spans="1:34" x14ac:dyDescent="0.25">
      <c r="A34" s="8"/>
      <c r="D34" s="9"/>
      <c r="J34" s="4"/>
      <c r="K34" s="4"/>
      <c r="L34" s="4">
        <f>IF($K34="","",K34-J34)</f>
      </c>
      <c r="M34" s="4">
        <f>IF($K34="","",L34*16.67%)</f>
      </c>
      <c r="N34" s="4">
        <f>IF($K34="","",K34*3.96%)</f>
      </c>
      <c r="O34" s="4">
        <f>IF($K34="","",N34*20%)</f>
      </c>
      <c r="P34" s="4">
        <f>IF($K34="","",N34+O34)</f>
      </c>
      <c r="Q34" s="4"/>
      <c r="R34" s="4">
        <f>IF($K34="","",Q34*20%)</f>
      </c>
      <c r="S34" s="4">
        <v>1</v>
      </c>
      <c r="T34" s="4">
        <f>IF($K34="","",R34)</f>
      </c>
      <c r="U34" s="4">
        <f>IF($K34="","",L34-M34-N34-Q34-R34-S34)</f>
      </c>
      <c r="V34" s="4">
        <f>IF($K34="","",(U34-AB34)/J34*100)</f>
      </c>
      <c r="W34" s="4">
        <f>IF($K34="","",M34-T34)</f>
      </c>
      <c r="AC34" s="4">
        <f>IF($K34="","",U34-AB34)</f>
      </c>
    </row>
    <row r="35" spans="1:34" x14ac:dyDescent="0.25">
      <c r="A35" s="8"/>
      <c r="D35" s="9"/>
      <c r="J35" s="4"/>
      <c r="K35" s="4"/>
      <c r="L35" s="4">
        <f>IF($K35="","",K35-J35)</f>
      </c>
      <c r="M35" s="4">
        <f>IF($K35="","",L35*16.67%)</f>
      </c>
      <c r="N35" s="4">
        <f>IF($K35="","",K35*3.96%)</f>
      </c>
      <c r="O35" s="4">
        <f>IF($K35="","",N35*20%)</f>
      </c>
      <c r="P35" s="4">
        <f>IF($K35="","",N35+O35)</f>
      </c>
      <c r="Q35" s="4"/>
      <c r="R35" s="4">
        <f>IF($K35="","",Q35*20%)</f>
      </c>
      <c r="S35" s="4">
        <v>1</v>
      </c>
      <c r="T35" s="4">
        <f>IF($K35="","",R35)</f>
      </c>
      <c r="U35" s="4">
        <f>IF($K35="","",L35-M35-N35-Q35-R35-S35)</f>
      </c>
      <c r="V35" s="4">
        <f>IF($K35="","",(U35-AB35)/J35*100)</f>
      </c>
      <c r="W35" s="4">
        <f>IF($K35="","",M35-T35)</f>
      </c>
      <c r="AC35" s="4">
        <f>IF($K35="","",U35-AB35)</f>
      </c>
    </row>
    <row r="36" spans="1:34" x14ac:dyDescent="0.25">
      <c r="A36" s="8"/>
      <c r="D36" s="9"/>
      <c r="J36" s="4"/>
      <c r="K36" s="4"/>
      <c r="L36" s="4">
        <f>IF($K36="","",K36-J36)</f>
      </c>
      <c r="M36" s="4">
        <f>IF($K36="","",L36*16.67%)</f>
      </c>
      <c r="N36" s="4">
        <f>IF($K36="","",K36*3.96%)</f>
      </c>
      <c r="O36" s="4">
        <f>IF($K36="","",N36*20%)</f>
      </c>
      <c r="P36" s="4">
        <f>IF($K36="","",N36+O36)</f>
      </c>
      <c r="Q36" s="4"/>
      <c r="R36" s="4">
        <f>IF($K36="","",Q36*20%)</f>
      </c>
      <c r="S36" s="4">
        <v>1</v>
      </c>
      <c r="T36" s="4">
        <f>IF($K36="","",R36)</f>
      </c>
      <c r="U36" s="4">
        <f>IF($K36="","",L36-M36-N36-Q36-R36-S36)</f>
      </c>
      <c r="V36" s="4">
        <f>IF($K36="","",(U36-AB36)/J36*100)</f>
      </c>
      <c r="W36" s="4">
        <f>IF($K36="","",M36-T36)</f>
      </c>
      <c r="AC36" s="4">
        <f>IF($K36="","",U36-AB36)</f>
      </c>
    </row>
    <row r="37" spans="1:34" x14ac:dyDescent="0.25">
      <c r="A37" s="8"/>
      <c r="D37" s="9"/>
      <c r="J37" s="4"/>
      <c r="K37" s="4"/>
      <c r="L37" s="4">
        <f>IF($K37="","",K37-J37)</f>
      </c>
      <c r="M37" s="4">
        <f>IF($K37="","",L37*16.67%)</f>
      </c>
      <c r="N37" s="4">
        <f>IF($K37="","",K37*3.96%)</f>
      </c>
      <c r="O37" s="4">
        <f>IF($K37="","",N37*20%)</f>
      </c>
      <c r="P37" s="4">
        <f>IF($K37="","",N37+O37)</f>
      </c>
      <c r="Q37" s="4"/>
      <c r="R37" s="4">
        <f>IF($K37="","",Q37*20%)</f>
      </c>
      <c r="S37" s="4">
        <v>1</v>
      </c>
      <c r="T37" s="4">
        <f>IF($K37="","",R37)</f>
      </c>
      <c r="U37" s="4">
        <f>IF($K37="","",L37-M37-N37-Q37-R37-S37)</f>
      </c>
      <c r="V37" s="4">
        <f>IF($K37="","",(U37-AB37)/J37*100)</f>
      </c>
      <c r="W37" s="4">
        <f>IF($K37="","",M37-T37)</f>
      </c>
      <c r="AC37" s="4">
        <f>IF($K37="","",U37-AB37)</f>
      </c>
    </row>
    <row r="38" spans="1:34" x14ac:dyDescent="0.25">
      <c r="A38" s="8"/>
      <c r="D38" s="9"/>
      <c r="J38" s="4"/>
      <c r="K38" s="4"/>
      <c r="L38" s="4">
        <f>IF($K38="","",K38-J38)</f>
      </c>
      <c r="M38" s="4">
        <f>IF($K38="","",L38*16.67%)</f>
      </c>
      <c r="N38" s="4">
        <f>IF($K38="","",K38*3.96%)</f>
      </c>
      <c r="O38" s="4">
        <f>IF($K38="","",N38*20%)</f>
      </c>
      <c r="P38" s="4">
        <f>IF($K38="","",N38+O38)</f>
      </c>
      <c r="Q38" s="4"/>
      <c r="R38" s="4">
        <f>IF($K38="","",Q38*20%)</f>
      </c>
      <c r="S38" s="4">
        <v>1</v>
      </c>
      <c r="T38" s="4">
        <f>IF($K38="","",R38)</f>
      </c>
      <c r="U38" s="4">
        <f>IF($K38="","",L38-M38-N38-Q38-R38-S38)</f>
      </c>
      <c r="V38" s="4">
        <f>IF($K38="","",(U38-AB38)/J38*100)</f>
      </c>
      <c r="W38" s="4">
        <f>IF($K38="","",M38-T38)</f>
      </c>
      <c r="AC38" s="4">
        <f>IF($K38="","",U38-AB38)</f>
      </c>
    </row>
    <row r="39" spans="1:34" x14ac:dyDescent="0.25">
      <c r="A39" s="8"/>
      <c r="D39" s="9"/>
      <c r="J39" s="4"/>
      <c r="K39" s="4"/>
      <c r="L39" s="4">
        <f>IF($K39="","",K39-J39)</f>
      </c>
      <c r="M39" s="4">
        <f>IF($K39="","",L39*16.67%)</f>
      </c>
      <c r="N39" s="4">
        <f>IF($K39="","",K39*3.96%)</f>
      </c>
      <c r="O39" s="4">
        <f>IF($K39="","",N39*20%)</f>
      </c>
      <c r="P39" s="4">
        <f>IF($K39="","",N39+O39)</f>
      </c>
      <c r="Q39" s="4"/>
      <c r="R39" s="4">
        <f>IF($K39="","",Q39*20%)</f>
      </c>
      <c r="S39" s="4">
        <v>1</v>
      </c>
      <c r="T39" s="4">
        <f>IF($K39="","",R39)</f>
      </c>
      <c r="U39" s="4">
        <f>IF($K39="","",L39-M39-N39-Q39-R39-S39)</f>
      </c>
      <c r="V39" s="4">
        <f>IF($K39="","",(U39-AB39)/J39*100)</f>
      </c>
      <c r="W39" s="4">
        <f>IF($K39="","",M39-T39)</f>
      </c>
      <c r="AC39" s="4">
        <f>IF($K39="","",U39-AB39)</f>
      </c>
    </row>
    <row r="40" spans="1:34" x14ac:dyDescent="0.25">
      <c r="A40" s="8"/>
      <c r="D40" s="9"/>
      <c r="J40" s="4"/>
      <c r="K40" s="4"/>
      <c r="L40" s="4">
        <f>IF($K40="","",K40-J40)</f>
      </c>
      <c r="M40" s="4">
        <f>IF($K40="","",L40*16.67%)</f>
      </c>
      <c r="N40" s="4">
        <f>IF($K40="","",K40*3.96%)</f>
      </c>
      <c r="O40" s="4">
        <f>IF($K40="","",N40*20%)</f>
      </c>
      <c r="P40" s="4">
        <f>IF($K40="","",N40+O40)</f>
      </c>
      <c r="Q40" s="4"/>
      <c r="R40" s="4">
        <f>IF($K40="","",Q40*20%)</f>
      </c>
      <c r="S40" s="4">
        <v>1</v>
      </c>
      <c r="T40" s="4">
        <f>IF($K40="","",R40)</f>
      </c>
      <c r="U40" s="4">
        <f>IF($K40="","",L40-M40-N40-Q40-R40-S40)</f>
      </c>
      <c r="V40" s="4">
        <f>IF($K40="","",(U40-AB40)/J40*100)</f>
      </c>
      <c r="W40" s="4">
        <f>IF($K40="","",M40-T40)</f>
      </c>
      <c r="AC40" s="4">
        <f>IF($K40="","",U40-AB40)</f>
      </c>
    </row>
    <row r="41" spans="1:34" x14ac:dyDescent="0.25">
      <c r="A41" s="8"/>
      <c r="D41" s="9"/>
      <c r="J41" s="4"/>
      <c r="K41" s="4"/>
      <c r="L41" s="4">
        <f>IF($K41="","",K41-J41)</f>
      </c>
      <c r="M41" s="4">
        <f>IF($K41="","",L41*16.67%)</f>
      </c>
      <c r="N41" s="4">
        <f>IF($K41="","",K41*3.96%)</f>
      </c>
      <c r="O41" s="4">
        <f>IF($K41="","",N41*20%)</f>
      </c>
      <c r="P41" s="4">
        <f>IF($K41="","",N41+O41)</f>
      </c>
      <c r="Q41" s="4"/>
      <c r="R41" s="4">
        <f>IF($K41="","",Q41*20%)</f>
      </c>
      <c r="S41" s="4">
        <v>1</v>
      </c>
      <c r="T41" s="4">
        <f>IF($K41="","",R41)</f>
      </c>
      <c r="U41" s="4">
        <f>IF($K41="","",L41-M41-N41-Q41-R41-S41)</f>
      </c>
      <c r="V41" s="4">
        <f>IF($K41="","",(U41-AB41)/J41*100)</f>
      </c>
      <c r="W41" s="4">
        <f>IF($K41="","",M41-T41)</f>
      </c>
      <c r="AC41" s="4">
        <f>IF($K41="","",U41-AB41)</f>
      </c>
    </row>
    <row r="42" spans="1:34" x14ac:dyDescent="0.25">
      <c r="A42" s="8"/>
      <c r="D42" s="9"/>
      <c r="J42" s="4"/>
      <c r="K42" s="4"/>
      <c r="L42" s="4">
        <f>IF($K42="","",K42-J42)</f>
      </c>
      <c r="M42" s="4">
        <f>IF($K42="","",L42*16.67%)</f>
      </c>
      <c r="N42" s="4">
        <f>IF($K42="","",K42*3.96%)</f>
      </c>
      <c r="O42" s="4">
        <f>IF($K42="","",N42*20%)</f>
      </c>
      <c r="P42" s="4">
        <f>IF($K42="","",N42+O42)</f>
      </c>
      <c r="Q42" s="4"/>
      <c r="R42" s="4">
        <f>IF($K42="","",Q42*20%)</f>
      </c>
      <c r="S42" s="4">
        <v>1</v>
      </c>
      <c r="T42" s="4">
        <f>IF($K42="","",R42)</f>
      </c>
      <c r="U42" s="4">
        <f>IF($K42="","",L42-M42-N42-Q42-R42-S42)</f>
      </c>
      <c r="V42" s="4">
        <f>IF($K42="","",(U42-AB42)/J42*100)</f>
      </c>
      <c r="W42" s="4">
        <f>IF($K42="","",M42-T42)</f>
      </c>
      <c r="AC42" s="4">
        <f>IF($K42="","",U42-AB42)</f>
      </c>
    </row>
    <row r="43" spans="1:34" x14ac:dyDescent="0.25">
      <c r="A43" s="8"/>
      <c r="D43" s="9"/>
      <c r="J43" s="4"/>
      <c r="K43" s="4"/>
      <c r="L43" s="4">
        <f>IF($K43="","",K43-J43)</f>
      </c>
      <c r="M43" s="4">
        <f>IF($K43="","",L43*16.67%)</f>
      </c>
      <c r="N43" s="4">
        <f>IF($K43="","",K43*3.96%)</f>
      </c>
      <c r="O43" s="4">
        <f>IF($K43="","",N43*20%)</f>
      </c>
      <c r="P43" s="4">
        <f>IF($K43="","",N43+O43)</f>
      </c>
      <c r="Q43" s="4"/>
      <c r="R43" s="4">
        <f>IF($K43="","",Q43*20%)</f>
      </c>
      <c r="S43" s="4">
        <v>1</v>
      </c>
      <c r="T43" s="4">
        <f>IF($K43="","",R43)</f>
      </c>
      <c r="U43" s="4">
        <f>IF($K43="","",L43-M43-N43-Q43-R43-S43)</f>
      </c>
      <c r="V43" s="4">
        <f>IF($K43="","",(U43-AB43)/J43*100)</f>
      </c>
      <c r="W43" s="4">
        <f>IF($K43="","",M43-T43)</f>
      </c>
      <c r="AC43" s="4">
        <f>IF($K43="","",U43-AB43)</f>
      </c>
    </row>
    <row r="44" spans="1:34" x14ac:dyDescent="0.25">
      <c r="A44" s="8"/>
      <c r="D44" s="9"/>
      <c r="J44" s="4"/>
      <c r="K44" s="4"/>
      <c r="L44" s="4">
        <f>IF($K44="","",K44-J44)</f>
      </c>
      <c r="M44" s="4">
        <f>IF($K44="","",L44*16.67%)</f>
      </c>
      <c r="N44" s="4">
        <f>IF($K44="","",K44*3.96%)</f>
      </c>
      <c r="O44" s="4">
        <f>IF($K44="","",N44*20%)</f>
      </c>
      <c r="P44" s="4">
        <f>IF($K44="","",N44+O44)</f>
      </c>
      <c r="Q44" s="4"/>
      <c r="R44" s="4">
        <f>IF($K44="","",Q44*20%)</f>
      </c>
      <c r="S44" s="4">
        <v>1</v>
      </c>
      <c r="T44" s="4">
        <f>IF($K44="","",R44)</f>
      </c>
      <c r="U44" s="4">
        <f>IF($K44="","",L44-M44-N44-Q44-R44-S44)</f>
      </c>
      <c r="V44" s="4">
        <f>IF($K44="","",(U44-AB44)/J44*100)</f>
      </c>
      <c r="W44" s="4">
        <f>IF($K44="","",M44-T44)</f>
      </c>
      <c r="AC44" s="4">
        <f>IF($K44="","",U44-AB44)</f>
      </c>
    </row>
    <row r="45" spans="1:34" x14ac:dyDescent="0.25">
      <c r="A45" s="8"/>
      <c r="D45" s="9"/>
      <c r="J45" s="4"/>
      <c r="K45" s="4"/>
      <c r="L45" s="4">
        <f>IF($K45="","",K45-J45)</f>
      </c>
      <c r="M45" s="4">
        <f>IF($K45="","",L45*16.67%)</f>
      </c>
      <c r="N45" s="4">
        <f>IF($K45="","",K45*3.96%)</f>
      </c>
      <c r="O45" s="4">
        <f>IF($K45="","",N45*20%)</f>
      </c>
      <c r="P45" s="4">
        <f>IF($K45="","",N45+O45)</f>
      </c>
      <c r="Q45" s="4"/>
      <c r="R45" s="4">
        <f>IF($K45="","",Q45*20%)</f>
      </c>
      <c r="S45" s="4">
        <v>1</v>
      </c>
      <c r="T45" s="4">
        <f>IF($K45="","",R45)</f>
      </c>
      <c r="U45" s="4">
        <f>IF($K45="","",L45-M45-N45-Q45-R45-S45)</f>
      </c>
      <c r="V45" s="4">
        <f>IF($K45="","",(U45-AB45)/J45*100)</f>
      </c>
      <c r="W45" s="4">
        <f>IF($K45="","",M45-T45)</f>
      </c>
      <c r="AC45" s="4">
        <f>IF($K45="","",U45-AB45)</f>
      </c>
    </row>
    <row r="46" spans="1:34" x14ac:dyDescent="0.25">
      <c r="A46" s="8"/>
      <c r="D46" s="9"/>
      <c r="J46" s="4"/>
      <c r="K46" s="4"/>
      <c r="L46" s="4">
        <f>IF($K46="","",K46-J46)</f>
      </c>
      <c r="M46" s="4">
        <f>IF($K46="","",L46*16.67%)</f>
      </c>
      <c r="N46" s="4">
        <f>IF($K46="","",K46*3.96%)</f>
      </c>
      <c r="O46" s="4">
        <f>IF($K46="","",N46*20%)</f>
      </c>
      <c r="P46" s="4">
        <f>IF($K46="","",N46+O46)</f>
      </c>
      <c r="Q46" s="4"/>
      <c r="R46" s="4">
        <f>IF($K46="","",Q46*20%)</f>
      </c>
      <c r="S46" s="4">
        <v>1</v>
      </c>
      <c r="T46" s="4">
        <f>IF($K46="","",R46)</f>
      </c>
      <c r="U46" s="4">
        <f>IF($K46="","",L46-M46-N46-Q46-R46-S46)</f>
      </c>
      <c r="V46" s="4">
        <f>IF($K46="","",(U46-AB46)/J46*100)</f>
      </c>
      <c r="W46" s="4">
        <f>IF($K46="","",M46-T46)</f>
      </c>
      <c r="AC46" s="4">
        <f>IF($K46="","",U46-AB46)</f>
      </c>
    </row>
    <row r="47" spans="1:34" x14ac:dyDescent="0.25">
      <c r="A47" s="8"/>
      <c r="D47" s="9"/>
      <c r="J47" s="4"/>
      <c r="K47" s="4"/>
      <c r="L47" s="4">
        <f>IF($K47="","",K47-J47)</f>
      </c>
      <c r="M47" s="4">
        <f>IF($K47="","",L47*16.67%)</f>
      </c>
      <c r="N47" s="4">
        <f>IF($K47="","",K47*3.96%)</f>
      </c>
      <c r="O47" s="4">
        <f>IF($K47="","",N47*20%)</f>
      </c>
      <c r="P47" s="4">
        <f>IF($K47="","",N47+O47)</f>
      </c>
      <c r="Q47" s="4"/>
      <c r="R47" s="4">
        <f>IF($K47="","",Q47*20%)</f>
      </c>
      <c r="S47" s="4">
        <v>1</v>
      </c>
      <c r="T47" s="4">
        <f>IF($K47="","",R47)</f>
      </c>
      <c r="U47" s="4">
        <f>IF($K47="","",L47-M47-N47-Q47-R47-S47)</f>
      </c>
      <c r="V47" s="4">
        <f>IF($K47="","",(U47-AB47)/J47*100)</f>
      </c>
      <c r="W47" s="4">
        <f>IF($K47="","",M47-T47)</f>
      </c>
      <c r="AC47" s="4">
        <f>IF($K47="","",U47-AB47)</f>
      </c>
    </row>
    <row r="48" spans="1:34" x14ac:dyDescent="0.25">
      <c r="A48" s="8"/>
      <c r="D48" s="9"/>
      <c r="J48" s="4"/>
      <c r="K48" s="4"/>
      <c r="L48" s="4">
        <f>IF($K48="","",K48-J48)</f>
      </c>
      <c r="M48" s="4">
        <f>IF($K48="","",L48*16.67%)</f>
      </c>
      <c r="N48" s="4">
        <f>IF($K48="","",K48*3.96%)</f>
      </c>
      <c r="O48" s="4">
        <f>IF($K48="","",N48*20%)</f>
      </c>
      <c r="P48" s="4">
        <f>IF($K48="","",N48+O48)</f>
      </c>
      <c r="Q48" s="4"/>
      <c r="R48" s="4">
        <f>IF($K48="","",Q48*20%)</f>
      </c>
      <c r="S48" s="4">
        <v>1</v>
      </c>
      <c r="T48" s="4">
        <f>IF($K48="","",R48)</f>
      </c>
      <c r="U48" s="4">
        <f>IF($K48="","",L48-M48-N48-Q48-R48-S48)</f>
      </c>
      <c r="V48" s="4">
        <f>IF($K48="","",(U48-AB48)/J48*100)</f>
      </c>
      <c r="W48" s="4">
        <f>IF($K48="","",M48-T48)</f>
      </c>
      <c r="AC48" s="4">
        <f>IF($K48="","",U48-AB48)</f>
      </c>
    </row>
    <row r="49" spans="1:34" x14ac:dyDescent="0.25">
      <c r="A49" s="8"/>
      <c r="D49" s="9"/>
      <c r="J49" s="4"/>
      <c r="K49" s="4"/>
      <c r="L49" s="4">
        <f>IF($K49="","",K49-J49)</f>
      </c>
      <c r="M49" s="4">
        <f>IF($K49="","",L49*16.67%)</f>
      </c>
      <c r="N49" s="4">
        <f>IF($K49="","",K49*3.96%)</f>
      </c>
      <c r="O49" s="4">
        <f>IF($K49="","",N49*20%)</f>
      </c>
      <c r="P49" s="4">
        <f>IF($K49="","",N49+O49)</f>
      </c>
      <c r="Q49" s="4"/>
      <c r="R49" s="4">
        <f>IF($K49="","",Q49*20%)</f>
      </c>
      <c r="S49" s="4">
        <v>1</v>
      </c>
      <c r="T49" s="4">
        <f>IF($K49="","",R49)</f>
      </c>
      <c r="U49" s="4">
        <f>IF($K49="","",L49-M49-N49-Q49-R49-S49)</f>
      </c>
      <c r="V49" s="4">
        <f>IF($K49="","",(U49-AB49)/J49*100)</f>
      </c>
      <c r="W49" s="4">
        <f>IF($K49="","",M49-T49)</f>
      </c>
      <c r="AC49" s="4">
        <f>IF($K49="","",U49-AB49)</f>
      </c>
    </row>
    <row r="50" spans="1:34" x14ac:dyDescent="0.25">
      <c r="A50" s="8"/>
      <c r="D50" s="9"/>
      <c r="J50" s="4"/>
      <c r="K50" s="4"/>
      <c r="L50" s="4">
        <f>IF($K50="","",K50-J50)</f>
      </c>
      <c r="M50" s="4">
        <f>IF($K50="","",L50*16.67%)</f>
      </c>
      <c r="N50" s="4">
        <f>IF($K50="","",K50*3.96%)</f>
      </c>
      <c r="O50" s="4">
        <f>IF($K50="","",N50*20%)</f>
      </c>
      <c r="P50" s="4">
        <f>IF($K50="","",N50+O50)</f>
      </c>
      <c r="Q50" s="4"/>
      <c r="R50" s="4">
        <f>IF($K50="","",Q50*20%)</f>
      </c>
      <c r="S50" s="4">
        <v>1</v>
      </c>
      <c r="T50" s="4">
        <f>IF($K50="","",R50)</f>
      </c>
      <c r="U50" s="4">
        <f>IF($K50="","",L50-M50-N50-Q50-R50-S50)</f>
      </c>
      <c r="V50" s="4">
        <f>IF($K50="","",(U50-AB50)/J50*100)</f>
      </c>
      <c r="W50" s="4">
        <f>IF($K50="","",M50-T50)</f>
      </c>
      <c r="AC50" s="4">
        <f>IF($K50="","",U50-AB50)</f>
      </c>
    </row>
    <row r="51" spans="1:34" x14ac:dyDescent="0.25">
      <c r="A51" s="8"/>
      <c r="D51" s="9"/>
      <c r="J51" s="4"/>
      <c r="K51" s="4"/>
      <c r="L51" s="4">
        <f>IF($K51="","",K51-J51)</f>
      </c>
      <c r="M51" s="4">
        <f>IF($K51="","",L51*16.67%)</f>
      </c>
      <c r="N51" s="4">
        <f>IF($K51="","",K51*3.96%)</f>
      </c>
      <c r="O51" s="4">
        <f>IF($K51="","",N51*20%)</f>
      </c>
      <c r="P51" s="4">
        <f>IF($K51="","",N51+O51)</f>
      </c>
      <c r="Q51" s="4"/>
      <c r="R51" s="4">
        <f>IF($K51="","",Q51*20%)</f>
      </c>
      <c r="S51" s="4">
        <v>1</v>
      </c>
      <c r="T51" s="4">
        <f>IF($K51="","",R51)</f>
      </c>
      <c r="U51" s="4">
        <f>IF($K51="","",L51-M51-N51-Q51-R51-S51)</f>
      </c>
      <c r="V51" s="4">
        <f>IF($K51="","",(U51-AB51)/J51*100)</f>
      </c>
      <c r="W51" s="4">
        <f>IF($K51="","",M51-T51)</f>
      </c>
      <c r="AC51" s="4">
        <f>IF($K51="","",U51-AB51)</f>
      </c>
    </row>
    <row r="52" spans="1:34" x14ac:dyDescent="0.25">
      <c r="A52" s="8"/>
      <c r="D52" s="9"/>
      <c r="J52" s="4"/>
      <c r="K52" s="4"/>
      <c r="L52" s="4">
        <f>IF($K52="","",K52-J52)</f>
      </c>
      <c r="M52" s="4">
        <f>IF($K52="","",L52*16.67%)</f>
      </c>
      <c r="N52" s="4">
        <f>IF($K52="","",K52*3.96%)</f>
      </c>
      <c r="O52" s="4">
        <f>IF($K52="","",N52*20%)</f>
      </c>
      <c r="P52" s="4">
        <f>IF($K52="","",N52+O52)</f>
      </c>
      <c r="Q52" s="4"/>
      <c r="R52" s="4">
        <f>IF($K52="","",Q52*20%)</f>
      </c>
      <c r="S52" s="4">
        <v>1</v>
      </c>
      <c r="T52" s="4">
        <f>IF($K52="","",R52)</f>
      </c>
      <c r="U52" s="4">
        <f>IF($K52="","",L52-M52-N52-Q52-R52-S52)</f>
      </c>
      <c r="V52" s="4">
        <f>IF($K52="","",(U52-AB52)/J52*100)</f>
      </c>
      <c r="W52" s="4">
        <f>IF($K52="","",M52-T52)</f>
      </c>
      <c r="AC52" s="4">
        <f>IF($K52="","",U52-AB52)</f>
      </c>
    </row>
    <row r="53" spans="1:34" x14ac:dyDescent="0.25">
      <c r="A53" s="8"/>
      <c r="D53" s="9"/>
      <c r="J53" s="4"/>
      <c r="K53" s="4"/>
      <c r="L53" s="4">
        <f>IF($K53="","",K53-J53)</f>
      </c>
      <c r="M53" s="4">
        <f>IF($K53="","",L53*16.67%)</f>
      </c>
      <c r="N53" s="4">
        <f>IF($K53="","",K53*3.96%)</f>
      </c>
      <c r="O53" s="4">
        <f>IF($K53="","",N53*20%)</f>
      </c>
      <c r="P53" s="4">
        <f>IF($K53="","",N53+O53)</f>
      </c>
      <c r="Q53" s="4"/>
      <c r="R53" s="4">
        <f>IF($K53="","",Q53*20%)</f>
      </c>
      <c r="S53" s="4">
        <v>1</v>
      </c>
      <c r="T53" s="4">
        <f>IF($K53="","",R53)</f>
      </c>
      <c r="U53" s="4">
        <f>IF($K53="","",L53-M53-N53-Q53-R53-S53)</f>
      </c>
      <c r="V53" s="4">
        <f>IF($K53="","",(U53-AB53)/J53*100)</f>
      </c>
      <c r="W53" s="4">
        <f>IF($K53="","",M53-T53)</f>
      </c>
      <c r="AC53" s="4">
        <f>IF($K53="","",U53-AB53)</f>
      </c>
    </row>
    <row r="54" spans="1:34" x14ac:dyDescent="0.25">
      <c r="A54" s="8"/>
      <c r="D54" s="9"/>
      <c r="J54" s="4"/>
      <c r="K54" s="4"/>
      <c r="L54" s="4">
        <f>IF($K54="","",K54-J54)</f>
      </c>
      <c r="M54" s="4">
        <f>IF($K54="","",L54*16.67%)</f>
      </c>
      <c r="N54" s="4">
        <f>IF($K54="","",K54*3.96%)</f>
      </c>
      <c r="O54" s="4">
        <f>IF($K54="","",N54*20%)</f>
      </c>
      <c r="P54" s="4">
        <f>IF($K54="","",N54+O54)</f>
      </c>
      <c r="Q54" s="4"/>
      <c r="R54" s="4">
        <f>IF($K54="","",Q54*20%)</f>
      </c>
      <c r="S54" s="4">
        <v>1</v>
      </c>
      <c r="T54" s="4">
        <f>IF($K54="","",R54)</f>
      </c>
      <c r="U54" s="4">
        <f>IF($K54="","",L54-M54-N54-Q54-R54-S54)</f>
      </c>
      <c r="V54" s="4">
        <f>IF($K54="","",(U54-AB54)/J54*100)</f>
      </c>
      <c r="W54" s="4">
        <f>IF($K54="","",M54-T54)</f>
      </c>
      <c r="AC54" s="4">
        <f>IF($K54="","",U54-AB54)</f>
      </c>
    </row>
    <row r="55" spans="1:34" x14ac:dyDescent="0.25">
      <c r="A55" s="8"/>
      <c r="D55" s="9"/>
      <c r="J55" s="4"/>
      <c r="K55" s="4"/>
      <c r="L55" s="4">
        <f>IF($K55="","",K55-J55)</f>
      </c>
      <c r="M55" s="4">
        <f>IF($K55="","",L55*16.67%)</f>
      </c>
      <c r="N55" s="4">
        <f>IF($K55="","",K55*3.96%)</f>
      </c>
      <c r="O55" s="4">
        <f>IF($K55="","",N55*20%)</f>
      </c>
      <c r="P55" s="4">
        <f>IF($K55="","",N55+O55)</f>
      </c>
      <c r="Q55" s="4"/>
      <c r="R55" s="4">
        <f>IF($K55="","",Q55*20%)</f>
      </c>
      <c r="S55" s="4">
        <v>1</v>
      </c>
      <c r="T55" s="4">
        <f>IF($K55="","",R55)</f>
      </c>
      <c r="U55" s="4">
        <f>IF($K55="","",L55-M55-N55-Q55-R55-S55)</f>
      </c>
      <c r="V55" s="4">
        <f>IF($K55="","",(U55-AB55)/J55*100)</f>
      </c>
      <c r="W55" s="4">
        <f>IF($K55="","",M55-T55)</f>
      </c>
      <c r="AC55" s="4">
        <f>IF($K55="","",U55-AB55)</f>
      </c>
    </row>
    <row r="56" spans="1:34" x14ac:dyDescent="0.25">
      <c r="A56" s="8"/>
      <c r="D56" s="9"/>
      <c r="J56" s="4"/>
      <c r="K56" s="4"/>
      <c r="L56" s="4">
        <f>IF($K56="","",K56-J56)</f>
      </c>
      <c r="M56" s="4">
        <f>IF($K56="","",L56*16.67%)</f>
      </c>
      <c r="N56" s="4">
        <f>IF($K56="","",K56*3.96%)</f>
      </c>
      <c r="O56" s="4">
        <f>IF($K56="","",N56*20%)</f>
      </c>
      <c r="P56" s="4">
        <f>IF($K56="","",N56+O56)</f>
      </c>
      <c r="Q56" s="4"/>
      <c r="R56" s="4">
        <f>IF($K56="","",Q56*20%)</f>
      </c>
      <c r="S56" s="4">
        <v>1</v>
      </c>
      <c r="T56" s="4">
        <f>IF($K56="","",R56)</f>
      </c>
      <c r="U56" s="4">
        <f>IF($K56="","",L56-M56-N56-Q56-R56-S56)</f>
      </c>
      <c r="V56" s="4">
        <f>IF($K56="","",(U56-AB56)/J56*100)</f>
      </c>
      <c r="W56" s="4">
        <f>IF($K56="","",M56-T56)</f>
      </c>
      <c r="AC56" s="4">
        <f>IF($K56="","",U56-AB56)</f>
      </c>
    </row>
    <row r="57" spans="1:34" x14ac:dyDescent="0.25">
      <c r="A57" s="8"/>
      <c r="D57" s="9"/>
      <c r="J57" s="4"/>
      <c r="K57" s="4"/>
      <c r="L57" s="4">
        <f>IF($K57="","",K57-J57)</f>
      </c>
      <c r="M57" s="4">
        <f>IF($K57="","",L57*16.67%)</f>
      </c>
      <c r="N57" s="4">
        <f>IF($K57="","",K57*3.96%)</f>
      </c>
      <c r="O57" s="4">
        <f>IF($K57="","",N57*20%)</f>
      </c>
      <c r="P57" s="4">
        <f>IF($K57="","",N57+O57)</f>
      </c>
      <c r="Q57" s="4"/>
      <c r="R57" s="4">
        <f>IF($K57="","",Q57*20%)</f>
      </c>
      <c r="S57" s="4">
        <v>1</v>
      </c>
      <c r="T57" s="4">
        <f>IF($K57="","",R57)</f>
      </c>
      <c r="U57" s="4">
        <f>IF($K57="","",L57-M57-N57-Q57-R57-S57)</f>
      </c>
      <c r="V57" s="4">
        <f>IF($K57="","",(U57-AB57)/J57*100)</f>
      </c>
      <c r="W57" s="4">
        <f>IF($K57="","",M57-T57)</f>
      </c>
      <c r="AC57" s="4">
        <f>IF($K57="","",U57-AB57)</f>
      </c>
    </row>
    <row r="58" spans="1:34" x14ac:dyDescent="0.25">
      <c r="A58" s="8"/>
      <c r="D58" s="9"/>
      <c r="J58" s="4"/>
      <c r="K58" s="4"/>
      <c r="L58" s="4">
        <f>IF($K58="","",K58-J58)</f>
      </c>
      <c r="M58" s="4">
        <f>IF($K58="","",L58*16.67%)</f>
      </c>
      <c r="N58" s="4">
        <f>IF($K58="","",K58*3.96%)</f>
      </c>
      <c r="O58" s="4">
        <f>IF($K58="","",N58*20%)</f>
      </c>
      <c r="P58" s="4">
        <f>IF($K58="","",N58+O58)</f>
      </c>
      <c r="Q58" s="4"/>
      <c r="R58" s="4">
        <f>IF($K58="","",Q58*20%)</f>
      </c>
      <c r="S58" s="4">
        <v>1</v>
      </c>
      <c r="T58" s="4">
        <f>IF($K58="","",R58)</f>
      </c>
      <c r="U58" s="4">
        <f>IF($K58="","",L58-M58-N58-Q58-R58-S58)</f>
      </c>
      <c r="V58" s="4">
        <f>IF($K58="","",(U58-AB58)/J58*100)</f>
      </c>
      <c r="W58" s="4">
        <f>IF($K58="","",M58-T58)</f>
      </c>
      <c r="AC58" s="4">
        <f>IF($K58="","",U58-AB58)</f>
      </c>
    </row>
    <row r="59" spans="1:34" x14ac:dyDescent="0.25">
      <c r="A59" s="8"/>
      <c r="D59" s="9"/>
      <c r="J59" s="4"/>
      <c r="K59" s="4"/>
      <c r="L59" s="4">
        <f>IF($K59="","",K59-J59)</f>
      </c>
      <c r="M59" s="4">
        <f>IF($K59="","",L59*16.67%)</f>
      </c>
      <c r="N59" s="4">
        <f>IF($K59="","",K59*3.96%)</f>
      </c>
      <c r="O59" s="4">
        <f>IF($K59="","",N59*20%)</f>
      </c>
      <c r="P59" s="4">
        <f>IF($K59="","",N59+O59)</f>
      </c>
      <c r="Q59" s="4"/>
      <c r="R59" s="4">
        <f>IF($K59="","",Q59*20%)</f>
      </c>
      <c r="S59" s="4">
        <v>1</v>
      </c>
      <c r="T59" s="4">
        <f>IF($K59="","",R59)</f>
      </c>
      <c r="U59" s="4">
        <f>IF($K59="","",L59-M59-N59-Q59-R59-S59)</f>
      </c>
      <c r="V59" s="4">
        <f>IF($K59="","",(U59-AB59)/J59*100)</f>
      </c>
      <c r="W59" s="4">
        <f>IF($K59="","",M59-T59)</f>
      </c>
      <c r="AC59" s="4">
        <f>IF($K59="","",U59-AB59)</f>
      </c>
    </row>
    <row r="60" spans="1:34" x14ac:dyDescent="0.25">
      <c r="A60" s="8"/>
      <c r="D60" s="9"/>
      <c r="J60" s="4"/>
      <c r="K60" s="4"/>
      <c r="L60" s="4">
        <f>IF($K60="","",K60-J60)</f>
      </c>
      <c r="M60" s="4">
        <f>IF($K60="","",L60*16.67%)</f>
      </c>
      <c r="N60" s="4">
        <f>IF($K60="","",K60*3.96%)</f>
      </c>
      <c r="O60" s="4">
        <f>IF($K60="","",N60*20%)</f>
      </c>
      <c r="P60" s="4">
        <f>IF($K60="","",N60+O60)</f>
      </c>
      <c r="Q60" s="4"/>
      <c r="R60" s="4">
        <f>IF($K60="","",Q60*20%)</f>
      </c>
      <c r="S60" s="4">
        <v>1</v>
      </c>
      <c r="T60" s="4">
        <f>IF($K60="","",R60)</f>
      </c>
      <c r="U60" s="4">
        <f>IF($K60="","",L60-M60-N60-Q60-R60-S60)</f>
      </c>
      <c r="V60" s="4">
        <f>IF($K60="","",(U60-AB60)/J60*100)</f>
      </c>
      <c r="W60" s="4">
        <f>IF($K60="","",M60-T60)</f>
      </c>
      <c r="AC60" s="4">
        <f>IF($K60="","",U60-AB60)</f>
      </c>
    </row>
    <row r="61" spans="1:34" x14ac:dyDescent="0.25">
      <c r="A61" s="8"/>
      <c r="D61" s="9"/>
      <c r="J61" s="4"/>
      <c r="K61" s="4"/>
      <c r="L61" s="4">
        <f>IF($K61="","",K61-J61)</f>
      </c>
      <c r="M61" s="4">
        <f>IF($K61="","",L61*16.67%)</f>
      </c>
      <c r="N61" s="4">
        <f>IF($K61="","",K61*3.96%)</f>
      </c>
      <c r="O61" s="4">
        <f>IF($K61="","",N61*20%)</f>
      </c>
      <c r="P61" s="4">
        <f>IF($K61="","",N61+O61)</f>
      </c>
      <c r="Q61" s="4"/>
      <c r="R61" s="4">
        <f>IF($K61="","",Q61*20%)</f>
      </c>
      <c r="S61" s="4">
        <v>1</v>
      </c>
      <c r="T61" s="4">
        <f>IF($K61="","",R61)</f>
      </c>
      <c r="U61" s="4">
        <f>IF($K61="","",L61-M61-N61-Q61-R61-S61)</f>
      </c>
      <c r="V61" s="4">
        <f>IF($K61="","",(U61-AB61)/J61*100)</f>
      </c>
      <c r="W61" s="4">
        <f>IF($K61="","",M61-T61)</f>
      </c>
      <c r="AC61" s="4">
        <f>IF($K61="","",U61-AB61)</f>
      </c>
    </row>
    <row r="62" spans="1:34" x14ac:dyDescent="0.25">
      <c r="A62" s="8"/>
      <c r="D62" s="9"/>
      <c r="J62" s="4"/>
      <c r="K62" s="4"/>
      <c r="L62" s="4">
        <f>IF($K62="","",K62-J62)</f>
      </c>
      <c r="M62" s="4">
        <f>IF($K62="","",L62*16.67%)</f>
      </c>
      <c r="N62" s="4">
        <f>IF($K62="","",K62*3.96%)</f>
      </c>
      <c r="O62" s="4">
        <f>IF($K62="","",N62*20%)</f>
      </c>
      <c r="P62" s="4">
        <f>IF($K62="","",N62+O62)</f>
      </c>
      <c r="Q62" s="4"/>
      <c r="R62" s="4">
        <f>IF($K62="","",Q62*20%)</f>
      </c>
      <c r="S62" s="4">
        <v>1</v>
      </c>
      <c r="T62" s="4">
        <f>IF($K62="","",R62)</f>
      </c>
      <c r="U62" s="4">
        <f>IF($K62="","",L62-M62-N62-Q62-R62-S62)</f>
      </c>
      <c r="V62" s="4">
        <f>IF($K62="","",(U62-AB62)/J62*100)</f>
      </c>
      <c r="W62" s="4">
        <f>IF($K62="","",M62-T62)</f>
      </c>
      <c r="AC62" s="4">
        <f>IF($K62="","",U62-AB62)</f>
      </c>
    </row>
    <row r="63" spans="1:34" x14ac:dyDescent="0.25">
      <c r="A63" s="8"/>
      <c r="D63" s="9"/>
      <c r="J63" s="4"/>
      <c r="K63" s="4"/>
      <c r="L63" s="4">
        <f>IF($K63="","",K63-J63)</f>
      </c>
      <c r="M63" s="4">
        <f>IF($K63="","",L63*16.67%)</f>
      </c>
      <c r="N63" s="4">
        <f>IF($K63="","",K63*3.96%)</f>
      </c>
      <c r="O63" s="4">
        <f>IF($K63="","",N63*20%)</f>
      </c>
      <c r="P63" s="4">
        <f>IF($K63="","",N63+O63)</f>
      </c>
      <c r="Q63" s="4"/>
      <c r="R63" s="4">
        <f>IF($K63="","",Q63*20%)</f>
      </c>
      <c r="S63" s="4">
        <v>1</v>
      </c>
      <c r="T63" s="4">
        <f>IF($K63="","",R63)</f>
      </c>
      <c r="U63" s="4">
        <f>IF($K63="","",L63-M63-N63-Q63-R63-S63)</f>
      </c>
      <c r="V63" s="4">
        <f>IF($K63="","",(U63-AB63)/J63*100)</f>
      </c>
      <c r="W63" s="4">
        <f>IF($K63="","",M63-T63)</f>
      </c>
      <c r="AC63" s="4">
        <f>IF($K63="","",U63-AB63)</f>
      </c>
    </row>
    <row r="64" spans="1:34" x14ac:dyDescent="0.25">
      <c r="A64" s="8"/>
      <c r="D64" s="9"/>
      <c r="J64" s="4"/>
      <c r="K64" s="4"/>
      <c r="L64" s="4">
        <f>IF($K64="","",K64-J64)</f>
      </c>
      <c r="M64" s="4">
        <f>IF($K64="","",L64*16.67%)</f>
      </c>
      <c r="N64" s="4">
        <f>IF($K64="","",K64*3.96%)</f>
      </c>
      <c r="O64" s="4">
        <f>IF($K64="","",N64*20%)</f>
      </c>
      <c r="P64" s="4">
        <f>IF($K64="","",N64+O64)</f>
      </c>
      <c r="Q64" s="4"/>
      <c r="R64" s="4">
        <f>IF($K64="","",Q64*20%)</f>
      </c>
      <c r="S64" s="4">
        <v>1</v>
      </c>
      <c r="T64" s="4">
        <f>IF($K64="","",R64)</f>
      </c>
      <c r="U64" s="4">
        <f>IF($K64="","",L64-M64-N64-Q64-R64-S64)</f>
      </c>
      <c r="V64" s="4">
        <f>IF($K64="","",(U64-AB64)/J64*100)</f>
      </c>
      <c r="W64" s="4">
        <f>IF($K64="","",M64-T64)</f>
      </c>
      <c r="AC64" s="4">
        <f>IF($K64="","",U64-AB64)</f>
      </c>
    </row>
    <row r="65" spans="1:34" x14ac:dyDescent="0.25">
      <c r="A65" s="8"/>
      <c r="D65" s="9"/>
      <c r="J65" s="4"/>
      <c r="K65" s="4"/>
      <c r="L65" s="4">
        <f>IF($K65="","",K65-J65)</f>
      </c>
      <c r="M65" s="4">
        <f>IF($K65="","",L65*16.67%)</f>
      </c>
      <c r="N65" s="4">
        <f>IF($K65="","",K65*3.96%)</f>
      </c>
      <c r="O65" s="4">
        <f>IF($K65="","",N65*20%)</f>
      </c>
      <c r="P65" s="4">
        <f>IF($K65="","",N65+O65)</f>
      </c>
      <c r="Q65" s="4"/>
      <c r="R65" s="4">
        <f>IF($K65="","",Q65*20%)</f>
      </c>
      <c r="S65" s="4">
        <v>1</v>
      </c>
      <c r="T65" s="4">
        <f>IF($K65="","",R65)</f>
      </c>
      <c r="U65" s="4">
        <f>IF($K65="","",L65-M65-N65-Q65-R65-S65)</f>
      </c>
      <c r="V65" s="4">
        <f>IF($K65="","",(U65-AB65)/J65*100)</f>
      </c>
      <c r="W65" s="4">
        <f>IF($K65="","",M65-T65)</f>
      </c>
      <c r="AC65" s="4">
        <f>IF($K65="","",U65-AB65)</f>
      </c>
    </row>
    <row r="66" spans="1:34" x14ac:dyDescent="0.25">
      <c r="A66" s="8"/>
      <c r="D66" s="9"/>
      <c r="J66" s="4"/>
      <c r="K66" s="4"/>
      <c r="L66" s="4">
        <f>IF($K66="","",K66-J66)</f>
      </c>
      <c r="M66" s="4">
        <f>IF($K66="","",L66*16.67%)</f>
      </c>
      <c r="N66" s="4">
        <f>IF($K66="","",K66*3.96%)</f>
      </c>
      <c r="O66" s="4">
        <f>IF($K66="","",N66*20%)</f>
      </c>
      <c r="P66" s="4">
        <f>IF($K66="","",N66+O66)</f>
      </c>
      <c r="Q66" s="4"/>
      <c r="R66" s="4">
        <f>IF($K66="","",Q66*20%)</f>
      </c>
      <c r="S66" s="4">
        <v>1</v>
      </c>
      <c r="T66" s="4">
        <f>IF($K66="","",R66)</f>
      </c>
      <c r="U66" s="4">
        <f>IF($K66="","",L66-M66-N66-Q66-R66-S66)</f>
      </c>
      <c r="V66" s="4">
        <f>IF($K66="","",(U66-AB66)/J66*100)</f>
      </c>
      <c r="W66" s="4">
        <f>IF($K66="","",M66-T66)</f>
      </c>
      <c r="AC66" s="4">
        <f>IF($K66="","",U66-AB66)</f>
      </c>
    </row>
    <row r="67" spans="1:34" x14ac:dyDescent="0.25">
      <c r="A67" s="8"/>
      <c r="D67" s="9"/>
      <c r="J67" s="4"/>
      <c r="K67" s="4"/>
      <c r="L67" s="4">
        <f>IF($K67="","",K67-J67)</f>
      </c>
      <c r="M67" s="4">
        <f>IF($K67="","",L67*16.67%)</f>
      </c>
      <c r="N67" s="4">
        <f>IF($K67="","",K67*3.96%)</f>
      </c>
      <c r="O67" s="4">
        <f>IF($K67="","",N67*20%)</f>
      </c>
      <c r="P67" s="4">
        <f>IF($K67="","",N67+O67)</f>
      </c>
      <c r="Q67" s="4"/>
      <c r="R67" s="4">
        <f>IF($K67="","",Q67*20%)</f>
      </c>
      <c r="S67" s="4">
        <v>1</v>
      </c>
      <c r="T67" s="4">
        <f>IF($K67="","",R67)</f>
      </c>
      <c r="U67" s="4">
        <f>IF($K67="","",L67-M67-N67-Q67-R67-S67)</f>
      </c>
      <c r="V67" s="4">
        <f>IF($K67="","",(U67-AB67)/J67*100)</f>
      </c>
      <c r="W67" s="4">
        <f>IF($K67="","",M67-T67)</f>
      </c>
      <c r="AC67" s="4">
        <f>IF($K67="","",U67-AB67)</f>
      </c>
    </row>
    <row r="68" spans="1:34" x14ac:dyDescent="0.25">
      <c r="A68" s="8"/>
      <c r="D68" s="9"/>
      <c r="J68" s="4"/>
      <c r="K68" s="4"/>
      <c r="L68" s="4">
        <f>IF($K68="","",K68-J68)</f>
      </c>
      <c r="M68" s="4">
        <f>IF($K68="","",L68*16.67%)</f>
      </c>
      <c r="N68" s="4">
        <f>IF($K68="","",K68*3.96%)</f>
      </c>
      <c r="O68" s="4">
        <f>IF($K68="","",N68*20%)</f>
      </c>
      <c r="P68" s="4">
        <f>IF($K68="","",N68+O68)</f>
      </c>
      <c r="Q68" s="4"/>
      <c r="R68" s="4">
        <f>IF($K68="","",Q68*20%)</f>
      </c>
      <c r="S68" s="4">
        <v>1</v>
      </c>
      <c r="T68" s="4">
        <f>IF($K68="","",R68)</f>
      </c>
      <c r="U68" s="4">
        <f>IF($K68="","",L68-M68-N68-Q68-R68-S68)</f>
      </c>
      <c r="V68" s="4">
        <f>IF($K68="","",(U68-AB68)/J68*100)</f>
      </c>
      <c r="W68" s="4">
        <f>IF($K68="","",M68-T68)</f>
      </c>
      <c r="AC68" s="4">
        <f>IF($K68="","",U68-AB68)</f>
      </c>
    </row>
    <row r="69" spans="1:34" x14ac:dyDescent="0.25">
      <c r="A69" s="8"/>
      <c r="D69" s="9"/>
      <c r="J69" s="4"/>
      <c r="K69" s="4"/>
      <c r="L69" s="4">
        <f>IF($K69="","",K69-J69)</f>
      </c>
      <c r="M69" s="4">
        <f>IF($K69="","",L69*16.67%)</f>
      </c>
      <c r="N69" s="4">
        <f>IF($K69="","",K69*3.96%)</f>
      </c>
      <c r="O69" s="4">
        <f>IF($K69="","",N69*20%)</f>
      </c>
      <c r="P69" s="4">
        <f>IF($K69="","",N69+O69)</f>
      </c>
      <c r="Q69" s="4"/>
      <c r="R69" s="4">
        <f>IF($K69="","",Q69*20%)</f>
      </c>
      <c r="S69" s="4">
        <v>1</v>
      </c>
      <c r="T69" s="4">
        <f>IF($K69="","",R69)</f>
      </c>
      <c r="U69" s="4">
        <f>IF($K69="","",L69-M69-N69-Q69-R69-S69)</f>
      </c>
      <c r="V69" s="4">
        <f>IF($K69="","",(U69-AB69)/J69*100)</f>
      </c>
      <c r="W69" s="4">
        <f>IF($K69="","",M69-T69)</f>
      </c>
      <c r="AC69" s="4">
        <f>IF($K69="","",U69-AB69)</f>
      </c>
    </row>
    <row r="70" spans="1:34" x14ac:dyDescent="0.25">
      <c r="A70" s="8"/>
      <c r="D70" s="9"/>
      <c r="J70" s="4"/>
      <c r="K70" s="4"/>
      <c r="L70" s="4">
        <f>IF($K70="","",K70-J70)</f>
      </c>
      <c r="M70" s="4">
        <f>IF($K70="","",L70*16.67%)</f>
      </c>
      <c r="N70" s="4">
        <f>IF($K70="","",K70*3.96%)</f>
      </c>
      <c r="O70" s="4">
        <f>IF($K70="","",N70*20%)</f>
      </c>
      <c r="P70" s="4">
        <f>IF($K70="","",N70+O70)</f>
      </c>
      <c r="Q70" s="4"/>
      <c r="R70" s="4">
        <f>IF($K70="","",Q70*20%)</f>
      </c>
      <c r="S70" s="4">
        <v>1</v>
      </c>
      <c r="T70" s="4">
        <f>IF($K70="","",R70)</f>
      </c>
      <c r="U70" s="4">
        <f>IF($K70="","",L70-M70-N70-Q70-R70-S70)</f>
      </c>
      <c r="V70" s="4">
        <f>IF($K70="","",(U70-AB70)/J70*100)</f>
      </c>
      <c r="W70" s="4">
        <f>IF($K70="","",M70-T70)</f>
      </c>
      <c r="AC70" s="4">
        <f>IF($K70="","",U70-AB70)</f>
      </c>
    </row>
    <row r="71" spans="1:34" x14ac:dyDescent="0.25">
      <c r="A71" s="8"/>
      <c r="D71" s="9"/>
      <c r="J71" s="4"/>
      <c r="K71" s="4"/>
      <c r="L71" s="4">
        <f>IF($K71="","",K71-J71)</f>
      </c>
      <c r="M71" s="4">
        <f>IF($K71="","",L71*16.67%)</f>
      </c>
      <c r="N71" s="4">
        <f>IF($K71="","",K71*3.96%)</f>
      </c>
      <c r="O71" s="4">
        <f>IF($K71="","",N71*20%)</f>
      </c>
      <c r="P71" s="4">
        <f>IF($K71="","",N71+O71)</f>
      </c>
      <c r="Q71" s="4"/>
      <c r="R71" s="4">
        <f>IF($K71="","",Q71*20%)</f>
      </c>
      <c r="S71" s="4">
        <v>1</v>
      </c>
      <c r="T71" s="4">
        <f>IF($K71="","",R71)</f>
      </c>
      <c r="U71" s="4">
        <f>IF($K71="","",L71-M71-N71-Q71-R71-S71)</f>
      </c>
      <c r="V71" s="4">
        <f>IF($K71="","",(U71-AB71)/J71*100)</f>
      </c>
      <c r="W71" s="4">
        <f>IF($K71="","",M71-T71)</f>
      </c>
      <c r="AC71" s="4">
        <f>IF($K71="","",U71-AB71)</f>
      </c>
    </row>
    <row r="72" spans="1:34" x14ac:dyDescent="0.25">
      <c r="A72" s="8"/>
      <c r="D72" s="9"/>
      <c r="J72" s="4"/>
      <c r="K72" s="4"/>
      <c r="L72" s="4">
        <f>IF($K72="","",K72-J72)</f>
      </c>
      <c r="M72" s="4">
        <f>IF($K72="","",L72*16.67%)</f>
      </c>
      <c r="N72" s="4">
        <f>IF($K72="","",K72*3.96%)</f>
      </c>
      <c r="O72" s="4">
        <f>IF($K72="","",N72*20%)</f>
      </c>
      <c r="P72" s="4">
        <f>IF($K72="","",N72+O72)</f>
      </c>
      <c r="Q72" s="4"/>
      <c r="R72" s="4">
        <f>IF($K72="","",Q72*20%)</f>
      </c>
      <c r="S72" s="4">
        <v>1</v>
      </c>
      <c r="T72" s="4">
        <f>IF($K72="","",R72)</f>
      </c>
      <c r="U72" s="4">
        <f>IF($K72="","",L72-M72-N72-Q72-R72-S72)</f>
      </c>
      <c r="V72" s="4">
        <f>IF($K72="","",(U72-AB72)/J72*100)</f>
      </c>
      <c r="W72" s="4">
        <f>IF($K72="","",M72-T72)</f>
      </c>
      <c r="AC72" s="4">
        <f>IF($K72="","",U72-AB72)</f>
      </c>
    </row>
    <row r="73" spans="1:34" x14ac:dyDescent="0.25">
      <c r="A73" s="8"/>
      <c r="D73" s="9"/>
      <c r="J73" s="4"/>
      <c r="K73" s="4"/>
      <c r="L73" s="4">
        <f>IF($K73="","",K73-J73)</f>
      </c>
      <c r="M73" s="4">
        <f>IF($K73="","",L73*16.67%)</f>
      </c>
      <c r="N73" s="4">
        <f>IF($K73="","",K73*3.96%)</f>
      </c>
      <c r="O73" s="4">
        <f>IF($K73="","",N73*20%)</f>
      </c>
      <c r="P73" s="4">
        <f>IF($K73="","",N73+O73)</f>
      </c>
      <c r="Q73" s="4"/>
      <c r="R73" s="4">
        <f>IF($K73="","",Q73*20%)</f>
      </c>
      <c r="S73" s="4">
        <v>1</v>
      </c>
      <c r="T73" s="4">
        <f>IF($K73="","",R73)</f>
      </c>
      <c r="U73" s="4">
        <f>IF($K73="","",L73-M73-N73-Q73-R73-S73)</f>
      </c>
      <c r="V73" s="4">
        <f>IF($K73="","",(U73-AB73)/J73*100)</f>
      </c>
      <c r="W73" s="4">
        <f>IF($K73="","",M73-T73)</f>
      </c>
      <c r="AC73" s="4">
        <f>IF($K73="","",U73-AB73)</f>
      </c>
    </row>
    <row r="74" spans="1:34" x14ac:dyDescent="0.25">
      <c r="A74" s="8"/>
      <c r="D74" s="9"/>
      <c r="J74" s="4"/>
      <c r="K74" s="4"/>
      <c r="L74" s="4">
        <f>IF($K74="","",K74-J74)</f>
      </c>
      <c r="M74" s="4">
        <f>IF($K74="","",L74*16.67%)</f>
      </c>
      <c r="N74" s="4">
        <f>IF($K74="","",K74*3.96%)</f>
      </c>
      <c r="O74" s="4">
        <f>IF($K74="","",N74*20%)</f>
      </c>
      <c r="P74" s="4">
        <f>IF($K74="","",N74+O74)</f>
      </c>
      <c r="Q74" s="4"/>
      <c r="R74" s="4">
        <f>IF($K74="","",Q74*20%)</f>
      </c>
      <c r="S74" s="4">
        <v>1</v>
      </c>
      <c r="T74" s="4">
        <f>IF($K74="","",R74)</f>
      </c>
      <c r="U74" s="4">
        <f>IF($K74="","",L74-M74-N74-Q74-R74-S74)</f>
      </c>
      <c r="V74" s="4">
        <f>IF($K74="","",(U74-AB74)/J74*100)</f>
      </c>
      <c r="W74" s="4">
        <f>IF($K74="","",M74-T74)</f>
      </c>
      <c r="AC74" s="4">
        <f>IF($K74="","",U74-AB74)</f>
      </c>
    </row>
    <row r="75" spans="1:34" x14ac:dyDescent="0.25">
      <c r="A75" s="8"/>
      <c r="D75" s="9"/>
      <c r="J75" s="4"/>
      <c r="K75" s="4"/>
      <c r="L75" s="4">
        <f>IF($K75="","",K75-J75)</f>
      </c>
      <c r="M75" s="4">
        <f>IF($K75="","",L75*16.67%)</f>
      </c>
      <c r="N75" s="4">
        <f>IF($K75="","",K75*3.96%)</f>
      </c>
      <c r="O75" s="4">
        <f>IF($K75="","",N75*20%)</f>
      </c>
      <c r="P75" s="4">
        <f>IF($K75="","",N75+O75)</f>
      </c>
      <c r="Q75" s="4"/>
      <c r="R75" s="4">
        <f>IF($K75="","",Q75*20%)</f>
      </c>
      <c r="S75" s="4">
        <v>1</v>
      </c>
      <c r="T75" s="4">
        <f>IF($K75="","",R75)</f>
      </c>
      <c r="U75" s="4">
        <f>IF($K75="","",L75-M75-N75-Q75-R75-S75)</f>
      </c>
      <c r="V75" s="4">
        <f>IF($K75="","",(U75-AB75)/J75*100)</f>
      </c>
      <c r="W75" s="4">
        <f>IF($K75="","",M75-T75)</f>
      </c>
      <c r="AC75" s="4">
        <f>IF($K75="","",U75-AB75)</f>
      </c>
    </row>
    <row r="76" spans="1:34" x14ac:dyDescent="0.25">
      <c r="A76" s="8"/>
      <c r="D76" s="9"/>
      <c r="J76" s="4"/>
      <c r="K76" s="4"/>
      <c r="L76" s="4">
        <f>IF($K76="","",K76-J76)</f>
      </c>
      <c r="M76" s="4">
        <f>IF($K76="","",L76*16.67%)</f>
      </c>
      <c r="N76" s="4">
        <f>IF($K76="","",K76*3.96%)</f>
      </c>
      <c r="O76" s="4">
        <f>IF($K76="","",N76*20%)</f>
      </c>
      <c r="P76" s="4">
        <f>IF($K76="","",N76+O76)</f>
      </c>
      <c r="Q76" s="4"/>
      <c r="R76" s="4">
        <f>IF($K76="","",Q76*20%)</f>
      </c>
      <c r="S76" s="4">
        <v>1</v>
      </c>
      <c r="T76" s="4">
        <f>IF($K76="","",R76)</f>
      </c>
      <c r="U76" s="4">
        <f>IF($K76="","",L76-M76-N76-Q76-R76-S76)</f>
      </c>
      <c r="V76" s="4">
        <f>IF($K76="","",(U76-AB76)/J76*100)</f>
      </c>
      <c r="W76" s="4">
        <f>IF($K76="","",M76-T76)</f>
      </c>
      <c r="AC76" s="4">
        <f>IF($K76="","",U76-AB76)</f>
      </c>
    </row>
    <row r="77" spans="1:34" x14ac:dyDescent="0.25">
      <c r="A77" s="8"/>
      <c r="D77" s="9"/>
      <c r="J77" s="4"/>
      <c r="K77" s="4"/>
      <c r="L77" s="4">
        <f>IF($K77="","",K77-J77)</f>
      </c>
      <c r="M77" s="4">
        <f>IF($K77="","",L77*16.67%)</f>
      </c>
      <c r="N77" s="4">
        <f>IF($K77="","",K77*3.96%)</f>
      </c>
      <c r="O77" s="4">
        <f>IF($K77="","",N77*20%)</f>
      </c>
      <c r="P77" s="4">
        <f>IF($K77="","",N77+O77)</f>
      </c>
      <c r="Q77" s="4"/>
      <c r="R77" s="4">
        <f>IF($K77="","",Q77*20%)</f>
      </c>
      <c r="S77" s="4">
        <v>1</v>
      </c>
      <c r="T77" s="4">
        <f>IF($K77="","",R77)</f>
      </c>
      <c r="U77" s="4">
        <f>IF($K77="","",L77-M77-N77-Q77-R77-S77)</f>
      </c>
      <c r="V77" s="4">
        <f>IF($K77="","",(U77-AB77)/J77*100)</f>
      </c>
      <c r="W77" s="4">
        <f>IF($K77="","",M77-T77)</f>
      </c>
      <c r="AC77" s="4">
        <f>IF($K77="","",U77-AB77)</f>
      </c>
    </row>
    <row r="78" spans="1:34" x14ac:dyDescent="0.25">
      <c r="A78" s="8"/>
      <c r="D78" s="9"/>
      <c r="J78" s="4"/>
      <c r="K78" s="4"/>
      <c r="L78" s="4">
        <f>IF($K78="","",K78-J78)</f>
      </c>
      <c r="M78" s="4">
        <f>IF($K78="","",L78*16.67%)</f>
      </c>
      <c r="N78" s="4">
        <f>IF($K78="","",K78*3.96%)</f>
      </c>
      <c r="O78" s="4">
        <f>IF($K78="","",N78*20%)</f>
      </c>
      <c r="P78" s="4">
        <f>IF($K78="","",N78+O78)</f>
      </c>
      <c r="Q78" s="4"/>
      <c r="R78" s="4">
        <f>IF($K78="","",Q78*20%)</f>
      </c>
      <c r="S78" s="4">
        <v>1</v>
      </c>
      <c r="T78" s="4">
        <f>IF($K78="","",R78)</f>
      </c>
      <c r="U78" s="4">
        <f>IF($K78="","",L78-M78-N78-Q78-R78-S78)</f>
      </c>
      <c r="V78" s="4">
        <f>IF($K78="","",(U78-AB78)/J78*100)</f>
      </c>
      <c r="W78" s="4">
        <f>IF($K78="","",M78-T78)</f>
      </c>
      <c r="AC78" s="4">
        <f>IF($K78="","",U78-AB78)</f>
      </c>
    </row>
    <row r="79" spans="1:34" x14ac:dyDescent="0.25">
      <c r="A79" s="8"/>
      <c r="D79" s="9"/>
      <c r="J79" s="4"/>
      <c r="K79" s="4"/>
      <c r="L79" s="4">
        <f>IF($K79="","",K79-J79)</f>
      </c>
      <c r="M79" s="4">
        <f>IF($K79="","",L79*16.67%)</f>
      </c>
      <c r="N79" s="4">
        <f>IF($K79="","",K79*3.96%)</f>
      </c>
      <c r="O79" s="4">
        <f>IF($K79="","",N79*20%)</f>
      </c>
      <c r="P79" s="4">
        <f>IF($K79="","",N79+O79)</f>
      </c>
      <c r="Q79" s="4"/>
      <c r="R79" s="4">
        <f>IF($K79="","",Q79*20%)</f>
      </c>
      <c r="S79" s="4">
        <v>1</v>
      </c>
      <c r="T79" s="4">
        <f>IF($K79="","",R79)</f>
      </c>
      <c r="U79" s="4">
        <f>IF($K79="","",L79-M79-N79-Q79-R79-S79)</f>
      </c>
      <c r="V79" s="4">
        <f>IF($K79="","",(U79-AB79)/J79*100)</f>
      </c>
      <c r="W79" s="4">
        <f>IF($K79="","",M79-T79)</f>
      </c>
      <c r="AC79" s="4">
        <f>IF($K79="","",U79-AB79)</f>
      </c>
    </row>
    <row r="80" spans="1:34" x14ac:dyDescent="0.25">
      <c r="A80" s="8"/>
      <c r="D80" s="9"/>
      <c r="J80" s="4"/>
      <c r="K80" s="4"/>
      <c r="L80" s="4">
        <f>IF($K80="","",K80-J80)</f>
      </c>
      <c r="M80" s="4">
        <f>IF($K80="","",L80*16.67%)</f>
      </c>
      <c r="N80" s="4">
        <f>IF($K80="","",K80*3.96%)</f>
      </c>
      <c r="O80" s="4">
        <f>IF($K80="","",N80*20%)</f>
      </c>
      <c r="P80" s="4">
        <f>IF($K80="","",N80+O80)</f>
      </c>
      <c r="Q80" s="4"/>
      <c r="R80" s="4">
        <f>IF($K80="","",Q80*20%)</f>
      </c>
      <c r="S80" s="4">
        <v>1</v>
      </c>
      <c r="T80" s="4">
        <f>IF($K80="","",R80)</f>
      </c>
      <c r="U80" s="4">
        <f>IF($K80="","",L80-M80-N80-Q80-R80-S80)</f>
      </c>
      <c r="V80" s="4">
        <f>IF($K80="","",(U80-AB80)/J80*100)</f>
      </c>
      <c r="W80" s="4">
        <f>IF($K80="","",M80-T80)</f>
      </c>
      <c r="AC80" s="4">
        <f>IF($K80="","",U80-AB80)</f>
      </c>
    </row>
    <row r="81" spans="1:34" x14ac:dyDescent="0.25">
      <c r="A81" s="8"/>
      <c r="D81" s="9"/>
      <c r="J81" s="4"/>
      <c r="K81" s="4"/>
      <c r="L81" s="4">
        <f>IF($K81="","",K81-J81)</f>
      </c>
      <c r="M81" s="4">
        <f>IF($K81="","",L81*16.67%)</f>
      </c>
      <c r="N81" s="4">
        <f>IF($K81="","",K81*3.96%)</f>
      </c>
      <c r="O81" s="4">
        <f>IF($K81="","",N81*20%)</f>
      </c>
      <c r="P81" s="4">
        <f>IF($K81="","",N81+O81)</f>
      </c>
      <c r="Q81" s="4"/>
      <c r="R81" s="4">
        <f>IF($K81="","",Q81*20%)</f>
      </c>
      <c r="S81" s="4">
        <v>1</v>
      </c>
      <c r="T81" s="4">
        <f>IF($K81="","",R81)</f>
      </c>
      <c r="U81" s="4">
        <f>IF($K81="","",L81-M81-N81-Q81-R81-S81)</f>
      </c>
      <c r="V81" s="4">
        <f>IF($K81="","",(U81-AB81)/J81*100)</f>
      </c>
      <c r="W81" s="4">
        <f>IF($K81="","",M81-T81)</f>
      </c>
      <c r="AC81" s="4">
        <f>IF($K81="","",U81-AB81)</f>
      </c>
    </row>
    <row r="82" spans="1:34" x14ac:dyDescent="0.25">
      <c r="A82" s="8"/>
      <c r="D82" s="9"/>
      <c r="J82" s="4"/>
      <c r="K82" s="4"/>
      <c r="L82" s="4">
        <f>IF($K82="","",K82-J82)</f>
      </c>
      <c r="M82" s="4">
        <f>IF($K82="","",L82*16.67%)</f>
      </c>
      <c r="N82" s="4">
        <f>IF($K82="","",K82*3.96%)</f>
      </c>
      <c r="O82" s="4">
        <f>IF($K82="","",N82*20%)</f>
      </c>
      <c r="P82" s="4">
        <f>IF($K82="","",N82+O82)</f>
      </c>
      <c r="Q82" s="4"/>
      <c r="R82" s="4">
        <f>IF($K82="","",Q82*20%)</f>
      </c>
      <c r="S82" s="4">
        <v>1</v>
      </c>
      <c r="T82" s="4">
        <f>IF($K82="","",R82)</f>
      </c>
      <c r="U82" s="4">
        <f>IF($K82="","",L82-M82-N82-Q82-R82-S82)</f>
      </c>
      <c r="V82" s="4">
        <f>IF($K82="","",(U82-AB82)/J82*100)</f>
      </c>
      <c r="W82" s="4">
        <f>IF($K82="","",M82-T82)</f>
      </c>
      <c r="AC82" s="4">
        <f>IF($K82="","",U82-AB82)</f>
      </c>
    </row>
    <row r="83" spans="1:34" x14ac:dyDescent="0.25">
      <c r="A83" s="8"/>
      <c r="D83" s="9"/>
      <c r="J83" s="4"/>
      <c r="K83" s="4"/>
      <c r="L83" s="4">
        <f>IF($K83="","",K83-J83)</f>
      </c>
      <c r="M83" s="4">
        <f>IF($K83="","",L83*16.67%)</f>
      </c>
      <c r="N83" s="4">
        <f>IF($K83="","",K83*3.96%)</f>
      </c>
      <c r="O83" s="4">
        <f>IF($K83="","",N83*20%)</f>
      </c>
      <c r="P83" s="4">
        <f>IF($K83="","",N83+O83)</f>
      </c>
      <c r="Q83" s="4"/>
      <c r="R83" s="4">
        <f>IF($K83="","",Q83*20%)</f>
      </c>
      <c r="S83" s="4">
        <v>1</v>
      </c>
      <c r="T83" s="4">
        <f>IF($K83="","",R83)</f>
      </c>
      <c r="U83" s="4">
        <f>IF($K83="","",L83-M83-N83-Q83-R83-S83)</f>
      </c>
      <c r="V83" s="4">
        <f>IF($K83="","",(U83-AB83)/J83*100)</f>
      </c>
      <c r="W83" s="4">
        <f>IF($K83="","",M83-T83)</f>
      </c>
      <c r="AC83" s="4">
        <f>IF($K83="","",U83-AB83)</f>
      </c>
    </row>
    <row r="84" spans="1:34" x14ac:dyDescent="0.25">
      <c r="A84" s="8"/>
      <c r="D84" s="9"/>
      <c r="J84" s="4"/>
      <c r="K84" s="4"/>
      <c r="L84" s="4">
        <f>IF($K84="","",K84-J84)</f>
      </c>
      <c r="M84" s="4">
        <f>IF($K84="","",L84*16.67%)</f>
      </c>
      <c r="N84" s="4">
        <f>IF($K84="","",K84*3.96%)</f>
      </c>
      <c r="O84" s="4">
        <f>IF($K84="","",N84*20%)</f>
      </c>
      <c r="P84" s="4">
        <f>IF($K84="","",N84+O84)</f>
      </c>
      <c r="Q84" s="4"/>
      <c r="R84" s="4">
        <f>IF($K84="","",Q84*20%)</f>
      </c>
      <c r="S84" s="4">
        <v>1</v>
      </c>
      <c r="T84" s="4">
        <f>IF($K84="","",R84)</f>
      </c>
      <c r="U84" s="4">
        <f>IF($K84="","",L84-M84-N84-Q84-R84-S84)</f>
      </c>
      <c r="V84" s="4">
        <f>IF($K84="","",(U84-AB84)/J84*100)</f>
      </c>
      <c r="W84" s="4">
        <f>IF($K84="","",M84-T84)</f>
      </c>
      <c r="AC84" s="4">
        <f>IF($K84="","",U84-AB84)</f>
      </c>
    </row>
    <row r="85" spans="1:34" x14ac:dyDescent="0.25">
      <c r="A85" s="8"/>
      <c r="D85" s="9"/>
      <c r="J85" s="4"/>
      <c r="K85" s="4"/>
      <c r="L85" s="4">
        <f>IF($K85="","",K85-J85)</f>
      </c>
      <c r="M85" s="4">
        <f>IF($K85="","",L85*16.67%)</f>
      </c>
      <c r="N85" s="4">
        <f>IF($K85="","",K85*3.96%)</f>
      </c>
      <c r="O85" s="4">
        <f>IF($K85="","",N85*20%)</f>
      </c>
      <c r="P85" s="4">
        <f>IF($K85="","",N85+O85)</f>
      </c>
      <c r="Q85" s="4"/>
      <c r="R85" s="4">
        <f>IF($K85="","",Q85*20%)</f>
      </c>
      <c r="S85" s="4">
        <v>1</v>
      </c>
      <c r="T85" s="4">
        <f>IF($K85="","",R85)</f>
      </c>
      <c r="U85" s="4">
        <f>IF($K85="","",L85-M85-N85-Q85-R85-S85)</f>
      </c>
      <c r="V85" s="4">
        <f>IF($K85="","",(U85-AB85)/J85*100)</f>
      </c>
      <c r="W85" s="4">
        <f>IF($K85="","",M85-T85)</f>
      </c>
      <c r="AC85" s="4">
        <f>IF($K85="","",U85-AB85)</f>
      </c>
    </row>
    <row r="86" spans="1:34" x14ac:dyDescent="0.25">
      <c r="A86" s="8"/>
      <c r="D86" s="9"/>
      <c r="J86" s="4"/>
      <c r="K86" s="4"/>
      <c r="L86" s="4">
        <f>IF($K86="","",K86-J86)</f>
      </c>
      <c r="M86" s="4">
        <f>IF($K86="","",L86*16.67%)</f>
      </c>
      <c r="N86" s="4">
        <f>IF($K86="","",K86*3.96%)</f>
      </c>
      <c r="O86" s="4">
        <f>IF($K86="","",N86*20%)</f>
      </c>
      <c r="P86" s="4">
        <f>IF($K86="","",N86+O86)</f>
      </c>
      <c r="Q86" s="4"/>
      <c r="R86" s="4">
        <f>IF($K86="","",Q86*20%)</f>
      </c>
      <c r="S86" s="4">
        <v>1</v>
      </c>
      <c r="T86" s="4">
        <f>IF($K86="","",R86)</f>
      </c>
      <c r="U86" s="4">
        <f>IF($K86="","",L86-M86-N86-Q86-R86-S86)</f>
      </c>
      <c r="V86" s="4">
        <f>IF($K86="","",(U86-AB86)/J86*100)</f>
      </c>
      <c r="W86" s="4">
        <f>IF($K86="","",M86-T86)</f>
      </c>
      <c r="AC86" s="4">
        <f>IF($K86="","",U86-AB86)</f>
      </c>
    </row>
    <row r="87" spans="1:34" x14ac:dyDescent="0.25">
      <c r="A87" s="8"/>
      <c r="D87" s="9"/>
      <c r="J87" s="4"/>
      <c r="K87" s="4"/>
      <c r="L87" s="4">
        <f>IF($K87="","",K87-J87)</f>
      </c>
      <c r="M87" s="4">
        <f>IF($K87="","",L87*16.67%)</f>
      </c>
      <c r="N87" s="4">
        <f>IF($K87="","",K87*3.96%)</f>
      </c>
      <c r="O87" s="4">
        <f>IF($K87="","",N87*20%)</f>
      </c>
      <c r="P87" s="4">
        <f>IF($K87="","",N87+O87)</f>
      </c>
      <c r="Q87" s="4"/>
      <c r="R87" s="4">
        <f>IF($K87="","",Q87*20%)</f>
      </c>
      <c r="S87" s="4">
        <v>1</v>
      </c>
      <c r="T87" s="4">
        <f>IF($K87="","",R87)</f>
      </c>
      <c r="U87" s="4">
        <f>IF($K87="","",L87-M87-N87-Q87-R87-S87)</f>
      </c>
      <c r="V87" s="4">
        <f>IF($K87="","",(U87-AB87)/J87*100)</f>
      </c>
      <c r="W87" s="4">
        <f>IF($K87="","",M87-T87)</f>
      </c>
      <c r="AC87" s="4">
        <f>IF($K87="","",U87-AB87)</f>
      </c>
    </row>
    <row r="88" spans="1:34" x14ac:dyDescent="0.25">
      <c r="A88" s="8"/>
      <c r="D88" s="9"/>
      <c r="J88" s="4"/>
      <c r="K88" s="4"/>
      <c r="L88" s="4">
        <f>IF($K88="","",K88-J88)</f>
      </c>
      <c r="M88" s="4">
        <f>IF($K88="","",L88*16.67%)</f>
      </c>
      <c r="N88" s="4">
        <f>IF($K88="","",K88*3.96%)</f>
      </c>
      <c r="O88" s="4">
        <f>IF($K88="","",N88*20%)</f>
      </c>
      <c r="P88" s="4">
        <f>IF($K88="","",N88+O88)</f>
      </c>
      <c r="Q88" s="4"/>
      <c r="R88" s="4">
        <f>IF($K88="","",Q88*20%)</f>
      </c>
      <c r="S88" s="4">
        <v>1</v>
      </c>
      <c r="T88" s="4">
        <f>IF($K88="","",R88)</f>
      </c>
      <c r="U88" s="4">
        <f>IF($K88="","",L88-M88-N88-Q88-R88-S88)</f>
      </c>
      <c r="V88" s="4">
        <f>IF($K88="","",(U88-AB88)/J88*100)</f>
      </c>
      <c r="W88" s="4">
        <f>IF($K88="","",M88-T88)</f>
      </c>
      <c r="AC88" s="4">
        <f>IF($K88="","",U88-AB88)</f>
      </c>
    </row>
    <row r="89" spans="1:34" x14ac:dyDescent="0.25">
      <c r="A89" s="8"/>
      <c r="D89" s="9"/>
      <c r="J89" s="4"/>
      <c r="K89" s="4"/>
      <c r="L89" s="4">
        <f>IF($K89="","",K89-J89)</f>
      </c>
      <c r="M89" s="4">
        <f>IF($K89="","",L89*16.67%)</f>
      </c>
      <c r="N89" s="4">
        <f>IF($K89="","",K89*3.96%)</f>
      </c>
      <c r="O89" s="4">
        <f>IF($K89="","",N89*20%)</f>
      </c>
      <c r="P89" s="4">
        <f>IF($K89="","",N89+O89)</f>
      </c>
      <c r="Q89" s="4"/>
      <c r="R89" s="4">
        <f>IF($K89="","",Q89*20%)</f>
      </c>
      <c r="S89" s="4">
        <v>1</v>
      </c>
      <c r="T89" s="4">
        <f>IF($K89="","",R89)</f>
      </c>
      <c r="U89" s="4">
        <f>IF($K89="","",L89-M89-N89-Q89-R89-S89)</f>
      </c>
      <c r="V89" s="4">
        <f>IF($K89="","",(U89-AB89)/J89*100)</f>
      </c>
      <c r="W89" s="4">
        <f>IF($K89="","",M89-T89)</f>
      </c>
      <c r="AC89" s="4">
        <f>IF($K89="","",U89-AB89)</f>
      </c>
    </row>
    <row r="90" spans="1:34" x14ac:dyDescent="0.25">
      <c r="A90" s="8"/>
      <c r="D90" s="9"/>
      <c r="J90" s="4"/>
      <c r="K90" s="4"/>
      <c r="L90" s="4">
        <f>IF($K90="","",K90-J90)</f>
      </c>
      <c r="M90" s="4">
        <f>IF($K90="","",L90*16.67%)</f>
      </c>
      <c r="N90" s="4">
        <f>IF($K90="","",K90*3.96%)</f>
      </c>
      <c r="O90" s="4">
        <f>IF($K90="","",N90*20%)</f>
      </c>
      <c r="P90" s="4">
        <f>IF($K90="","",N90+O90)</f>
      </c>
      <c r="Q90" s="4"/>
      <c r="R90" s="4">
        <f>IF($K90="","",Q90*20%)</f>
      </c>
      <c r="S90" s="4">
        <v>1</v>
      </c>
      <c r="T90" s="4">
        <f>IF($K90="","",R90)</f>
      </c>
      <c r="U90" s="4">
        <f>IF($K90="","",L90-M90-N90-Q90-R90-S90)</f>
      </c>
      <c r="V90" s="4">
        <f>IF($K90="","",(U90-AB90)/J90*100)</f>
      </c>
      <c r="W90" s="4">
        <f>IF($K90="","",M90-T90)</f>
      </c>
      <c r="AC90" s="4">
        <f>IF($K90="","",U90-AB90)</f>
      </c>
    </row>
    <row r="91" spans="1:34" x14ac:dyDescent="0.25">
      <c r="A91" s="8"/>
      <c r="D91" s="9"/>
      <c r="J91" s="4"/>
      <c r="K91" s="4"/>
      <c r="L91" s="4">
        <f>IF($K91="","",K91-J91)</f>
      </c>
      <c r="M91" s="4">
        <f>IF($K91="","",L91*16.67%)</f>
      </c>
      <c r="N91" s="4">
        <f>IF($K91="","",K91*3.96%)</f>
      </c>
      <c r="O91" s="4">
        <f>IF($K91="","",N91*20%)</f>
      </c>
      <c r="P91" s="4">
        <f>IF($K91="","",N91+O91)</f>
      </c>
      <c r="Q91" s="4"/>
      <c r="R91" s="4">
        <f>IF($K91="","",Q91*20%)</f>
      </c>
      <c r="S91" s="4">
        <v>1</v>
      </c>
      <c r="T91" s="4">
        <f>IF($K91="","",R91)</f>
      </c>
      <c r="U91" s="4">
        <f>IF($K91="","",L91-M91-N91-Q91-R91-S91)</f>
      </c>
      <c r="V91" s="4">
        <f>IF($K91="","",(U91-AB91)/J91*100)</f>
      </c>
      <c r="W91" s="4">
        <f>IF($K91="","",M91-T91)</f>
      </c>
      <c r="AC91" s="4">
        <f>IF($K91="","",U91-AB91)</f>
      </c>
    </row>
    <row r="92" spans="1:34" x14ac:dyDescent="0.25">
      <c r="A92" s="8"/>
      <c r="D92" s="9"/>
      <c r="J92" s="4"/>
      <c r="K92" s="4"/>
      <c r="L92" s="4">
        <f>IF($K92="","",K92-J92)</f>
      </c>
      <c r="M92" s="4">
        <f>IF($K92="","",L92*16.67%)</f>
      </c>
      <c r="N92" s="4">
        <f>IF($K92="","",K92*3.96%)</f>
      </c>
      <c r="O92" s="4">
        <f>IF($K92="","",N92*20%)</f>
      </c>
      <c r="P92" s="4">
        <f>IF($K92="","",N92+O92)</f>
      </c>
      <c r="Q92" s="4"/>
      <c r="R92" s="4">
        <f>IF($K92="","",Q92*20%)</f>
      </c>
      <c r="S92" s="4">
        <v>1</v>
      </c>
      <c r="T92" s="4">
        <f>IF($K92="","",R92)</f>
      </c>
      <c r="U92" s="4">
        <f>IF($K92="","",L92-M92-N92-Q92-R92-S92)</f>
      </c>
      <c r="V92" s="4">
        <f>IF($K92="","",(U92-AB92)/J92*100)</f>
      </c>
      <c r="W92" s="4">
        <f>IF($K92="","",M92-T92)</f>
      </c>
      <c r="AC92" s="4">
        <f>IF($K92="","",U92-AB92)</f>
      </c>
    </row>
    <row r="93" spans="1:34" x14ac:dyDescent="0.25">
      <c r="A93" s="8"/>
      <c r="D93" s="9"/>
      <c r="J93" s="4"/>
      <c r="K93" s="4"/>
      <c r="L93" s="4">
        <f>IF($K93="","",K93-J93)</f>
      </c>
      <c r="M93" s="4">
        <f>IF($K93="","",L93*16.67%)</f>
      </c>
      <c r="N93" s="4">
        <f>IF($K93="","",K93*3.96%)</f>
      </c>
      <c r="O93" s="4">
        <f>IF($K93="","",N93*20%)</f>
      </c>
      <c r="P93" s="4">
        <f>IF($K93="","",N93+O93)</f>
      </c>
      <c r="Q93" s="4"/>
      <c r="R93" s="4">
        <f>IF($K93="","",Q93*20%)</f>
      </c>
      <c r="S93" s="4">
        <v>1</v>
      </c>
      <c r="T93" s="4">
        <f>IF($K93="","",R93)</f>
      </c>
      <c r="U93" s="4">
        <f>IF($K93="","",L93-M93-N93-Q93-R93-S93)</f>
      </c>
      <c r="V93" s="4">
        <f>IF($K93="","",(U93-AB93)/J93*100)</f>
      </c>
      <c r="W93" s="4">
        <f>IF($K93="","",M93-T93)</f>
      </c>
      <c r="AC93" s="4">
        <f>IF($K93="","",U93-AB93)</f>
      </c>
    </row>
    <row r="94" spans="1:34" x14ac:dyDescent="0.25">
      <c r="A94" s="8"/>
      <c r="D94" s="9"/>
      <c r="J94" s="4"/>
      <c r="K94" s="4"/>
      <c r="L94" s="4">
        <f>IF($K94="","",K94-J94)</f>
      </c>
      <c r="M94" s="4">
        <f>IF($K94="","",L94*16.67%)</f>
      </c>
      <c r="N94" s="4">
        <f>IF($K94="","",K94*3.96%)</f>
      </c>
      <c r="O94" s="4">
        <f>IF($K94="","",N94*20%)</f>
      </c>
      <c r="P94" s="4">
        <f>IF($K94="","",N94+O94)</f>
      </c>
      <c r="Q94" s="4"/>
      <c r="R94" s="4">
        <f>IF($K94="","",Q94*20%)</f>
      </c>
      <c r="S94" s="4">
        <v>1</v>
      </c>
      <c r="T94" s="4">
        <f>IF($K94="","",R94)</f>
      </c>
      <c r="U94" s="4">
        <f>IF($K94="","",L94-M94-N94-Q94-R94-S94)</f>
      </c>
      <c r="V94" s="4">
        <f>IF($K94="","",(U94-AB94)/J94*100)</f>
      </c>
      <c r="W94" s="4">
        <f>IF($K94="","",M94-T94)</f>
      </c>
      <c r="AC94" s="4">
        <f>IF($K94="","",U94-AB94)</f>
      </c>
    </row>
    <row r="95" spans="1:34" x14ac:dyDescent="0.25">
      <c r="A95" s="8"/>
      <c r="D95" s="9"/>
      <c r="J95" s="4"/>
      <c r="K95" s="4"/>
      <c r="L95" s="4">
        <f>IF($K95="","",K95-J95)</f>
      </c>
      <c r="M95" s="4">
        <f>IF($K95="","",L95*16.67%)</f>
      </c>
      <c r="N95" s="4">
        <f>IF($K95="","",K95*3.96%)</f>
      </c>
      <c r="O95" s="4">
        <f>IF($K95="","",N95*20%)</f>
      </c>
      <c r="P95" s="4">
        <f>IF($K95="","",N95+O95)</f>
      </c>
      <c r="Q95" s="4"/>
      <c r="R95" s="4">
        <f>IF($K95="","",Q95*20%)</f>
      </c>
      <c r="S95" s="4">
        <v>1</v>
      </c>
      <c r="T95" s="4">
        <f>IF($K95="","",R95)</f>
      </c>
      <c r="U95" s="4">
        <f>IF($K95="","",L95-M95-N95-Q95-R95-S95)</f>
      </c>
      <c r="V95" s="4">
        <f>IF($K95="","",(U95-AB95)/J95*100)</f>
      </c>
      <c r="W95" s="4">
        <f>IF($K95="","",M95-T95)</f>
      </c>
      <c r="AC95" s="4">
        <f>IF($K95="","",U95-AB95)</f>
      </c>
    </row>
    <row r="96" spans="1:34" x14ac:dyDescent="0.25">
      <c r="A96" s="8"/>
      <c r="D96" s="9"/>
      <c r="J96" s="4"/>
      <c r="K96" s="4"/>
      <c r="L96" s="4">
        <f>IF($K96="","",K96-J96)</f>
      </c>
      <c r="M96" s="4">
        <f>IF($K96="","",L96*16.67%)</f>
      </c>
      <c r="N96" s="4">
        <f>IF($K96="","",K96*3.96%)</f>
      </c>
      <c r="O96" s="4">
        <f>IF($K96="","",N96*20%)</f>
      </c>
      <c r="P96" s="4">
        <f>IF($K96="","",N96+O96)</f>
      </c>
      <c r="Q96" s="4"/>
      <c r="R96" s="4">
        <f>IF($K96="","",Q96*20%)</f>
      </c>
      <c r="S96" s="4">
        <v>1</v>
      </c>
      <c r="T96" s="4">
        <f>IF($K96="","",R96)</f>
      </c>
      <c r="U96" s="4">
        <f>IF($K96="","",L96-M96-N96-Q96-R96-S96)</f>
      </c>
      <c r="V96" s="4">
        <f>IF($K96="","",(U96-AB96)/J96*100)</f>
      </c>
      <c r="W96" s="4">
        <f>IF($K96="","",M96-T96)</f>
      </c>
      <c r="AC96" s="4">
        <f>IF($K96="","",U96-AB96)</f>
      </c>
    </row>
    <row r="97" spans="1:34" x14ac:dyDescent="0.25">
      <c r="A97" s="8"/>
      <c r="D97" s="9"/>
      <c r="J97" s="4"/>
      <c r="K97" s="4"/>
      <c r="L97" s="4">
        <f>IF($K97="","",K97-J97)</f>
      </c>
      <c r="M97" s="4">
        <f>IF($K97="","",L97*16.67%)</f>
      </c>
      <c r="N97" s="4">
        <f>IF($K97="","",K97*3.96%)</f>
      </c>
      <c r="O97" s="4">
        <f>IF($K97="","",N97*20%)</f>
      </c>
      <c r="P97" s="4">
        <f>IF($K97="","",N97+O97)</f>
      </c>
      <c r="Q97" s="4"/>
      <c r="R97" s="4">
        <f>IF($K97="","",Q97*20%)</f>
      </c>
      <c r="S97" s="4">
        <v>1</v>
      </c>
      <c r="T97" s="4">
        <f>IF($K97="","",R97)</f>
      </c>
      <c r="U97" s="4">
        <f>IF($K97="","",L97-M97-N97-Q97-R97-S97)</f>
      </c>
      <c r="V97" s="4">
        <f>IF($K97="","",(U97-AB97)/J97*100)</f>
      </c>
      <c r="W97" s="4">
        <f>IF($K97="","",M97-T97)</f>
      </c>
      <c r="AC97" s="4">
        <f>IF($K97="","",U97-AB97)</f>
      </c>
    </row>
    <row r="98" spans="1:34" x14ac:dyDescent="0.25">
      <c r="A98" s="8"/>
      <c r="D98" s="9"/>
      <c r="J98" s="4"/>
      <c r="K98" s="4"/>
      <c r="L98" s="4">
        <f>IF($K98="","",K98-J98)</f>
      </c>
      <c r="M98" s="4">
        <f>IF($K98="","",L98*16.67%)</f>
      </c>
      <c r="N98" s="4">
        <f>IF($K98="","",K98*3.96%)</f>
      </c>
      <c r="O98" s="4">
        <f>IF($K98="","",N98*20%)</f>
      </c>
      <c r="P98" s="4">
        <f>IF($K98="","",N98+O98)</f>
      </c>
      <c r="Q98" s="4"/>
      <c r="R98" s="4">
        <f>IF($K98="","",Q98*20%)</f>
      </c>
      <c r="S98" s="4">
        <v>1</v>
      </c>
      <c r="T98" s="4">
        <f>IF($K98="","",R98)</f>
      </c>
      <c r="U98" s="4">
        <f>IF($K98="","",L98-M98-N98-Q98-R98-S98)</f>
      </c>
      <c r="V98" s="4">
        <f>IF($K98="","",(U98-AB98)/J98*100)</f>
      </c>
      <c r="W98" s="4">
        <f>IF($K98="","",M98-T98)</f>
      </c>
      <c r="AC98" s="4">
        <f>IF($K98="","",U98-AB98)</f>
      </c>
    </row>
    <row r="99" spans="1:34" x14ac:dyDescent="0.25">
      <c r="A99" s="8"/>
      <c r="D99" s="9"/>
      <c r="J99" s="4"/>
      <c r="K99" s="4"/>
      <c r="L99" s="4">
        <f>IF($K99="","",K99-J99)</f>
      </c>
      <c r="M99" s="4">
        <f>IF($K99="","",L99*16.67%)</f>
      </c>
      <c r="N99" s="4">
        <f>IF($K99="","",K99*3.96%)</f>
      </c>
      <c r="O99" s="4">
        <f>IF($K99="","",N99*20%)</f>
      </c>
      <c r="P99" s="4">
        <f>IF($K99="","",N99+O99)</f>
      </c>
      <c r="Q99" s="4"/>
      <c r="R99" s="4">
        <f>IF($K99="","",Q99*20%)</f>
      </c>
      <c r="S99" s="4">
        <v>1</v>
      </c>
      <c r="T99" s="4">
        <f>IF($K99="","",R99)</f>
      </c>
      <c r="U99" s="4">
        <f>IF($K99="","",L99-M99-N99-Q99-R99-S99)</f>
      </c>
      <c r="V99" s="4">
        <f>IF($K99="","",(U99-AB99)/J99*100)</f>
      </c>
      <c r="W99" s="4">
        <f>IF($K99="","",M99-T99)</f>
      </c>
      <c r="AC99" s="4">
        <f>IF($K99="","",U99-AB99)</f>
      </c>
    </row>
    <row r="100" spans="1:34" x14ac:dyDescent="0.25">
      <c r="A100" s="8"/>
      <c r="D100" s="9"/>
      <c r="J100" s="4"/>
      <c r="K100" s="4"/>
      <c r="L100" s="4">
        <f>IF($K100="","",K100-J100)</f>
      </c>
      <c r="M100" s="4">
        <f>IF($K100="","",L100*16.67%)</f>
      </c>
      <c r="N100" s="4">
        <f>IF($K100="","",K100*3.96%)</f>
      </c>
      <c r="O100" s="4">
        <f>IF($K100="","",N100*20%)</f>
      </c>
      <c r="P100" s="4">
        <f>IF($K100="","",N100+O100)</f>
      </c>
      <c r="Q100" s="4"/>
      <c r="R100" s="4">
        <f>IF($K100="","",Q100*20%)</f>
      </c>
      <c r="S100" s="4">
        <v>1</v>
      </c>
      <c r="T100" s="4">
        <f>IF($K100="","",R100)</f>
      </c>
      <c r="U100" s="4">
        <f>IF($K100="","",L100-M100-N100-Q100-R100-S100)</f>
      </c>
      <c r="V100" s="4">
        <f>IF($K100="","",(U100-AB100)/J100*100)</f>
      </c>
      <c r="W100" s="4">
        <f>IF($K100="","",M100-T100)</f>
      </c>
      <c r="AC100" s="4">
        <f>IF($K100="","",U100-AB100)</f>
      </c>
    </row>
    <row r="101" spans="1:34" x14ac:dyDescent="0.25">
      <c r="A101" s="8"/>
      <c r="D101" s="9"/>
      <c r="J101" s="4"/>
      <c r="K101" s="4"/>
      <c r="L101" s="4">
        <f>IF($K101="","",K101-J101)</f>
      </c>
      <c r="M101" s="4">
        <f>IF($K101="","",L101*16.67%)</f>
      </c>
      <c r="N101" s="4">
        <f>IF($K101="","",K101*3.96%)</f>
      </c>
      <c r="O101" s="4">
        <f>IF($K101="","",N101*20%)</f>
      </c>
      <c r="P101" s="4">
        <f>IF($K101="","",N101+O101)</f>
      </c>
      <c r="Q101" s="4"/>
      <c r="R101" s="4">
        <f>IF($K101="","",Q101*20%)</f>
      </c>
      <c r="S101" s="4">
        <v>1</v>
      </c>
      <c r="T101" s="4">
        <f>IF($K101="","",R101)</f>
      </c>
      <c r="U101" s="4">
        <f>IF($K101="","",L101-M101-N101-Q101-R101-S101)</f>
      </c>
      <c r="V101" s="4">
        <f>IF($K101="","",(U101-AB101)/J101*100)</f>
      </c>
      <c r="W101" s="4">
        <f>IF($K101="","",M101-T101)</f>
      </c>
      <c r="AC101" s="4">
        <f>IF($K101="","",U101-AB101)</f>
      </c>
    </row>
    <row r="102" spans="1:34" x14ac:dyDescent="0.25">
      <c r="A102" s="8"/>
      <c r="D102" s="9"/>
      <c r="J102" s="4"/>
      <c r="K102" s="4"/>
      <c r="L102" s="4">
        <f>IF($K102="","",K102-J102)</f>
      </c>
      <c r="M102" s="4">
        <f>IF($K102="","",L102*16.67%)</f>
      </c>
      <c r="N102" s="4">
        <f>IF($K102="","",K102*3.96%)</f>
      </c>
      <c r="O102" s="4">
        <f>IF($K102="","",N102*20%)</f>
      </c>
      <c r="P102" s="4">
        <f>IF($K102="","",N102+O102)</f>
      </c>
      <c r="Q102" s="4"/>
      <c r="R102" s="4">
        <f>IF($K102="","",Q102*20%)</f>
      </c>
      <c r="S102" s="4">
        <v>1</v>
      </c>
      <c r="T102" s="4">
        <f>IF($K102="","",R102)</f>
      </c>
      <c r="U102" s="4">
        <f>IF($K102="","",L102-M102-N102-Q102-R102-S102)</f>
      </c>
      <c r="V102" s="4">
        <f>IF($K102="","",(U102-AB102)/J102*100)</f>
      </c>
      <c r="W102" s="4">
        <f>IF($K102="","",M102-T102)</f>
      </c>
      <c r="AC102" s="4">
        <f>IF($K102="","",U102-AB102)</f>
      </c>
    </row>
    <row r="103" spans="1:34" x14ac:dyDescent="0.25">
      <c r="A103" s="8"/>
      <c r="D103" s="9"/>
      <c r="J103" s="4"/>
      <c r="K103" s="4"/>
      <c r="L103" s="4">
        <f>IF($K103="","",K103-J103)</f>
      </c>
      <c r="M103" s="4">
        <f>IF($K103="","",L103*16.67%)</f>
      </c>
      <c r="N103" s="4">
        <f>IF($K103="","",K103*3.96%)</f>
      </c>
      <c r="O103" s="4">
        <f>IF($K103="","",N103*20%)</f>
      </c>
      <c r="P103" s="4">
        <f>IF($K103="","",N103+O103)</f>
      </c>
      <c r="Q103" s="4"/>
      <c r="R103" s="4">
        <f>IF($K103="","",Q103*20%)</f>
      </c>
      <c r="S103" s="4">
        <v>1</v>
      </c>
      <c r="T103" s="4">
        <f>IF($K103="","",R103)</f>
      </c>
      <c r="U103" s="4">
        <f>IF($K103="","",L103-M103-N103-Q103-R103-S103)</f>
      </c>
      <c r="V103" s="4">
        <f>IF($K103="","",(U103-AB103)/J103*100)</f>
      </c>
      <c r="W103" s="4">
        <f>IF($K103="","",M103-T103)</f>
      </c>
      <c r="AC103" s="4">
        <f>IF($K103="","",U103-AB103)</f>
      </c>
    </row>
    <row r="104" spans="1:34" x14ac:dyDescent="0.25">
      <c r="A104" s="8"/>
      <c r="D104" s="9"/>
      <c r="J104" s="4"/>
      <c r="K104" s="4"/>
      <c r="L104" s="4">
        <f>IF($K104="","",K104-J104)</f>
      </c>
      <c r="M104" s="4">
        <f>IF($K104="","",L104*16.67%)</f>
      </c>
      <c r="N104" s="4">
        <f>IF($K104="","",K104*3.96%)</f>
      </c>
      <c r="O104" s="4">
        <f>IF($K104="","",N104*20%)</f>
      </c>
      <c r="P104" s="4">
        <f>IF($K104="","",N104+O104)</f>
      </c>
      <c r="Q104" s="4"/>
      <c r="R104" s="4">
        <f>IF($K104="","",Q104*20%)</f>
      </c>
      <c r="S104" s="4">
        <v>1</v>
      </c>
      <c r="T104" s="4">
        <f>IF($K104="","",R104)</f>
      </c>
      <c r="U104" s="4">
        <f>IF($K104="","",L104-M104-N104-Q104-R104-S104)</f>
      </c>
      <c r="V104" s="4">
        <f>IF($K104="","",(U104-AB104)/J104*100)</f>
      </c>
      <c r="W104" s="4">
        <f>IF($K104="","",M104-T104)</f>
      </c>
      <c r="AC104" s="4">
        <f>IF($K104="","",U104-AB104)</f>
      </c>
    </row>
    <row r="105" spans="1:34" x14ac:dyDescent="0.25">
      <c r="A105" s="8"/>
      <c r="D105" s="9"/>
      <c r="J105" s="4"/>
      <c r="K105" s="4"/>
      <c r="L105" s="4">
        <f>IF($K105="","",K105-J105)</f>
      </c>
      <c r="M105" s="4">
        <f>IF($K105="","",L105*16.67%)</f>
      </c>
      <c r="N105" s="4">
        <f>IF($K105="","",K105*3.96%)</f>
      </c>
      <c r="O105" s="4">
        <f>IF($K105="","",N105*20%)</f>
      </c>
      <c r="P105" s="4">
        <f>IF($K105="","",N105+O105)</f>
      </c>
      <c r="Q105" s="4"/>
      <c r="R105" s="4">
        <f>IF($K105="","",Q105*20%)</f>
      </c>
      <c r="S105" s="4">
        <v>1</v>
      </c>
      <c r="T105" s="4">
        <f>IF($K105="","",R105)</f>
      </c>
      <c r="U105" s="4">
        <f>IF($K105="","",L105-M105-N105-Q105-R105-S105)</f>
      </c>
      <c r="V105" s="4">
        <f>IF($K105="","",(U105-AB105)/J105*100)</f>
      </c>
      <c r="W105" s="4">
        <f>IF($K105="","",M105-T105)</f>
      </c>
      <c r="AC105" s="4">
        <f>IF($K105="","",U105-AB105)</f>
      </c>
    </row>
    <row r="106" spans="1:34" x14ac:dyDescent="0.25">
      <c r="A106" s="8"/>
      <c r="D106" s="9"/>
      <c r="J106" s="4"/>
      <c r="K106" s="4"/>
      <c r="L106" s="4">
        <f>IF($K106="","",K106-J106)</f>
      </c>
      <c r="M106" s="4">
        <f>IF($K106="","",L106*16.67%)</f>
      </c>
      <c r="N106" s="4">
        <f>IF($K106="","",K106*3.96%)</f>
      </c>
      <c r="O106" s="4">
        <f>IF($K106="","",N106*20%)</f>
      </c>
      <c r="P106" s="4">
        <f>IF($K106="","",N106+O106)</f>
      </c>
      <c r="Q106" s="4"/>
      <c r="R106" s="4">
        <f>IF($K106="","",Q106*20%)</f>
      </c>
      <c r="S106" s="4">
        <v>1</v>
      </c>
      <c r="T106" s="4">
        <f>IF($K106="","",R106)</f>
      </c>
      <c r="U106" s="4">
        <f>IF($K106="","",L106-M106-N106-Q106-R106-S106)</f>
      </c>
      <c r="V106" s="4">
        <f>IF($K106="","",(U106-AB106)/J106*100)</f>
      </c>
      <c r="W106" s="4">
        <f>IF($K106="","",M106-T106)</f>
      </c>
      <c r="AC106" s="4">
        <f>IF($K106="","",U106-AB106)</f>
      </c>
    </row>
    <row r="107" spans="1:34" x14ac:dyDescent="0.25">
      <c r="A107" s="8"/>
      <c r="D107" s="9"/>
      <c r="J107" s="4"/>
      <c r="K107" s="4"/>
      <c r="L107" s="4">
        <f>IF($K107="","",K107-J107)</f>
      </c>
      <c r="M107" s="4">
        <f>IF($K107="","",L107*16.67%)</f>
      </c>
      <c r="N107" s="4">
        <f>IF($K107="","",K107*3.96%)</f>
      </c>
      <c r="O107" s="4">
        <f>IF($K107="","",N107*20%)</f>
      </c>
      <c r="P107" s="4">
        <f>IF($K107="","",N107+O107)</f>
      </c>
      <c r="Q107" s="4"/>
      <c r="R107" s="4">
        <f>IF($K107="","",Q107*20%)</f>
      </c>
      <c r="S107" s="4">
        <v>1</v>
      </c>
      <c r="T107" s="4">
        <f>IF($K107="","",R107)</f>
      </c>
      <c r="U107" s="4">
        <f>IF($K107="","",L107-M107-N107-Q107-R107-S107)</f>
      </c>
      <c r="V107" s="4">
        <f>IF($K107="","",(U107-AB107)/J107*100)</f>
      </c>
      <c r="W107" s="4">
        <f>IF($K107="","",M107-T107)</f>
      </c>
      <c r="AC107" s="4">
        <f>IF($K107="","",U107-AB107)</f>
      </c>
    </row>
    <row r="108" spans="1:34" x14ac:dyDescent="0.25">
      <c r="A108" s="8"/>
      <c r="D108" s="9"/>
      <c r="J108" s="4"/>
      <c r="K108" s="4"/>
      <c r="L108" s="4">
        <f>IF($K108="","",K108-J108)</f>
      </c>
      <c r="M108" s="4">
        <f>IF($K108="","",L108*16.67%)</f>
      </c>
      <c r="N108" s="4">
        <f>IF($K108="","",K108*3.96%)</f>
      </c>
      <c r="O108" s="4">
        <f>IF($K108="","",N108*20%)</f>
      </c>
      <c r="P108" s="4">
        <f>IF($K108="","",N108+O108)</f>
      </c>
      <c r="Q108" s="4"/>
      <c r="R108" s="4">
        <f>IF($K108="","",Q108*20%)</f>
      </c>
      <c r="S108" s="4">
        <v>1</v>
      </c>
      <c r="T108" s="4">
        <f>IF($K108="","",R108)</f>
      </c>
      <c r="U108" s="4">
        <f>IF($K108="","",L108-M108-N108-Q108-R108-S108)</f>
      </c>
      <c r="V108" s="4">
        <f>IF($K108="","",(U108-AB108)/J108*100)</f>
      </c>
      <c r="W108" s="4">
        <f>IF($K108="","",M108-T108)</f>
      </c>
      <c r="AC108" s="4">
        <f>IF($K108="","",U108-AB108)</f>
      </c>
    </row>
    <row r="109" spans="1:34" x14ac:dyDescent="0.25">
      <c r="A109" s="8"/>
      <c r="D109" s="9"/>
      <c r="J109" s="4"/>
      <c r="K109" s="4"/>
      <c r="L109" s="4">
        <f>IF($K109="","",K109-J109)</f>
      </c>
      <c r="M109" s="4">
        <f>IF($K109="","",L109*16.67%)</f>
      </c>
      <c r="N109" s="4">
        <f>IF($K109="","",K109*3.96%)</f>
      </c>
      <c r="O109" s="4">
        <f>IF($K109="","",N109*20%)</f>
      </c>
      <c r="P109" s="4">
        <f>IF($K109="","",N109+O109)</f>
      </c>
      <c r="Q109" s="4"/>
      <c r="R109" s="4">
        <f>IF($K109="","",Q109*20%)</f>
      </c>
      <c r="S109" s="4">
        <v>1</v>
      </c>
      <c r="T109" s="4">
        <f>IF($K109="","",R109)</f>
      </c>
      <c r="U109" s="4">
        <f>IF($K109="","",L109-M109-N109-Q109-R109-S109)</f>
      </c>
      <c r="V109" s="4">
        <f>IF($K109="","",(U109-AB109)/J109*100)</f>
      </c>
      <c r="W109" s="4">
        <f>IF($K109="","",M109-T109)</f>
      </c>
      <c r="AC109" s="4">
        <f>IF($K109="","",U109-AB109)</f>
      </c>
    </row>
    <row r="110" spans="1:34" x14ac:dyDescent="0.25">
      <c r="A110" s="8"/>
      <c r="D110" s="9"/>
      <c r="J110" s="4"/>
      <c r="K110" s="4"/>
      <c r="L110" s="4">
        <f>IF($K110="","",K110-J110)</f>
      </c>
      <c r="M110" s="4">
        <f>IF($K110="","",L110*16.67%)</f>
      </c>
      <c r="N110" s="4">
        <f>IF($K110="","",K110*3.96%)</f>
      </c>
      <c r="O110" s="4">
        <f>IF($K110="","",N110*20%)</f>
      </c>
      <c r="P110" s="4">
        <f>IF($K110="","",N110+O110)</f>
      </c>
      <c r="Q110" s="4"/>
      <c r="R110" s="4">
        <f>IF($K110="","",Q110*20%)</f>
      </c>
      <c r="S110" s="4">
        <v>1</v>
      </c>
      <c r="T110" s="4">
        <f>IF($K110="","",R110)</f>
      </c>
      <c r="U110" s="4">
        <f>IF($K110="","",L110-M110-N110-Q110-R110-S110)</f>
      </c>
      <c r="V110" s="4">
        <f>IF($K110="","",(U110-AB110)/J110*100)</f>
      </c>
      <c r="W110" s="4">
        <f>IF($K110="","",M110-T110)</f>
      </c>
      <c r="AC110" s="4">
        <f>IF($K110="","",U110-AB110)</f>
      </c>
    </row>
    <row r="111" spans="1:34" x14ac:dyDescent="0.25">
      <c r="A111" s="8"/>
      <c r="D111" s="9"/>
      <c r="J111" s="4"/>
      <c r="K111" s="4"/>
      <c r="L111" s="4">
        <f>IF($K111="","",K111-J111)</f>
      </c>
      <c r="M111" s="4">
        <f>IF($K111="","",L111*16.67%)</f>
      </c>
      <c r="N111" s="4">
        <f>IF($K111="","",K111*3.96%)</f>
      </c>
      <c r="O111" s="4">
        <f>IF($K111="","",N111*20%)</f>
      </c>
      <c r="P111" s="4">
        <f>IF($K111="","",N111+O111)</f>
      </c>
      <c r="Q111" s="4"/>
      <c r="R111" s="4">
        <f>IF($K111="","",Q111*20%)</f>
      </c>
      <c r="S111" s="4">
        <v>1</v>
      </c>
      <c r="T111" s="4">
        <f>IF($K111="","",R111)</f>
      </c>
      <c r="U111" s="4">
        <f>IF($K111="","",L111-M111-N111-Q111-R111-S111)</f>
      </c>
      <c r="V111" s="4">
        <f>IF($K111="","",(U111-AB111)/J111*100)</f>
      </c>
      <c r="W111" s="4">
        <f>IF($K111="","",M111-T111)</f>
      </c>
      <c r="AC111" s="4">
        <f>IF($K111="","",U111-AB111)</f>
      </c>
    </row>
    <row r="112" spans="1:34" x14ac:dyDescent="0.25">
      <c r="A112" s="8"/>
      <c r="D112" s="9"/>
      <c r="J112" s="4"/>
      <c r="K112" s="4"/>
      <c r="L112" s="4">
        <f>IF($K112="","",K112-J112)</f>
      </c>
      <c r="M112" s="4">
        <f>IF($K112="","",L112*16.67%)</f>
      </c>
      <c r="N112" s="4">
        <f>IF($K112="","",K112*3.96%)</f>
      </c>
      <c r="O112" s="4">
        <f>IF($K112="","",N112*20%)</f>
      </c>
      <c r="P112" s="4">
        <f>IF($K112="","",N112+O112)</f>
      </c>
      <c r="Q112" s="4"/>
      <c r="R112" s="4">
        <f>IF($K112="","",Q112*20%)</f>
      </c>
      <c r="S112" s="4">
        <v>1</v>
      </c>
      <c r="T112" s="4">
        <f>IF($K112="","",R112)</f>
      </c>
      <c r="U112" s="4">
        <f>IF($K112="","",L112-M112-N112-Q112-R112-S112)</f>
      </c>
      <c r="V112" s="4">
        <f>IF($K112="","",(U112-AB112)/J112*100)</f>
      </c>
      <c r="W112" s="4">
        <f>IF($K112="","",M112-T112)</f>
      </c>
      <c r="AC112" s="4">
        <f>IF($K112="","",U112-AB112)</f>
      </c>
    </row>
    <row r="113" spans="1:34" x14ac:dyDescent="0.25">
      <c r="A113" s="8"/>
      <c r="D113" s="9"/>
      <c r="J113" s="4"/>
      <c r="K113" s="4"/>
      <c r="L113" s="4">
        <f>IF($K113="","",K113-J113)</f>
      </c>
      <c r="M113" s="4">
        <f>IF($K113="","",L113*16.67%)</f>
      </c>
      <c r="N113" s="4">
        <f>IF($K113="","",K113*3.96%)</f>
      </c>
      <c r="O113" s="4">
        <f>IF($K113="","",N113*20%)</f>
      </c>
      <c r="P113" s="4">
        <f>IF($K113="","",N113+O113)</f>
      </c>
      <c r="Q113" s="4"/>
      <c r="R113" s="4">
        <f>IF($K113="","",Q113*20%)</f>
      </c>
      <c r="S113" s="4">
        <v>1</v>
      </c>
      <c r="T113" s="4">
        <f>IF($K113="","",R113)</f>
      </c>
      <c r="U113" s="4">
        <f>IF($K113="","",L113-M113-N113-Q113-R113-S113)</f>
      </c>
      <c r="V113" s="4">
        <f>IF($K113="","",(U113-AB113)/J113*100)</f>
      </c>
      <c r="W113" s="4">
        <f>IF($K113="","",M113-T113)</f>
      </c>
      <c r="AC113" s="4">
        <f>IF($K113="","",U113-AB113)</f>
      </c>
    </row>
    <row r="114" spans="1:34" x14ac:dyDescent="0.25">
      <c r="A114" s="8"/>
      <c r="D114" s="9"/>
      <c r="J114" s="4"/>
      <c r="K114" s="4"/>
      <c r="L114" s="4">
        <f>IF($K114="","",K114-J114)</f>
      </c>
      <c r="M114" s="4">
        <f>IF($K114="","",L114*16.67%)</f>
      </c>
      <c r="N114" s="4">
        <f>IF($K114="","",K114*3.96%)</f>
      </c>
      <c r="O114" s="4">
        <f>IF($K114="","",N114*20%)</f>
      </c>
      <c r="P114" s="4">
        <f>IF($K114="","",N114+O114)</f>
      </c>
      <c r="Q114" s="4"/>
      <c r="R114" s="4">
        <f>IF($K114="","",Q114*20%)</f>
      </c>
      <c r="S114" s="4">
        <v>1</v>
      </c>
      <c r="T114" s="4">
        <f>IF($K114="","",R114)</f>
      </c>
      <c r="U114" s="4">
        <f>IF($K114="","",L114-M114-N114-Q114-R114-S114)</f>
      </c>
      <c r="V114" s="4">
        <f>IF($K114="","",(U114-AB114)/J114*100)</f>
      </c>
      <c r="W114" s="4">
        <f>IF($K114="","",M114-T114)</f>
      </c>
      <c r="AC114" s="4">
        <f>IF($K114="","",U114-AB114)</f>
      </c>
    </row>
    <row r="115" spans="1:34" x14ac:dyDescent="0.25">
      <c r="A115" s="8"/>
      <c r="D115" s="9"/>
      <c r="J115" s="4"/>
      <c r="K115" s="4"/>
      <c r="L115" s="4">
        <f>IF($K115="","",K115-J115)</f>
      </c>
      <c r="M115" s="4">
        <f>IF($K115="","",L115*16.67%)</f>
      </c>
      <c r="N115" s="4">
        <f>IF($K115="","",K115*3.96%)</f>
      </c>
      <c r="O115" s="4">
        <f>IF($K115="","",N115*20%)</f>
      </c>
      <c r="P115" s="4">
        <f>IF($K115="","",N115+O115)</f>
      </c>
      <c r="Q115" s="4"/>
      <c r="R115" s="4">
        <f>IF($K115="","",Q115*20%)</f>
      </c>
      <c r="S115" s="4">
        <v>1</v>
      </c>
      <c r="T115" s="4">
        <f>IF($K115="","",R115)</f>
      </c>
      <c r="U115" s="4">
        <f>IF($K115="","",L115-M115-N115-Q115-R115-S115)</f>
      </c>
      <c r="V115" s="4">
        <f>IF($K115="","",(U115-AB115)/J115*100)</f>
      </c>
      <c r="W115" s="4">
        <f>IF($K115="","",M115-T115)</f>
      </c>
      <c r="AC115" s="4">
        <f>IF($K115="","",U115-AB115)</f>
      </c>
    </row>
    <row r="116" spans="1:34" x14ac:dyDescent="0.25">
      <c r="A116" s="8"/>
      <c r="D116" s="9"/>
      <c r="J116" s="4"/>
      <c r="K116" s="4"/>
      <c r="L116" s="4">
        <f>IF($K116="","",K116-J116)</f>
      </c>
      <c r="M116" s="4">
        <f>IF($K116="","",L116*16.67%)</f>
      </c>
      <c r="N116" s="4">
        <f>IF($K116="","",K116*3.96%)</f>
      </c>
      <c r="O116" s="4">
        <f>IF($K116="","",N116*20%)</f>
      </c>
      <c r="P116" s="4">
        <f>IF($K116="","",N116+O116)</f>
      </c>
      <c r="Q116" s="4"/>
      <c r="R116" s="4">
        <f>IF($K116="","",Q116*20%)</f>
      </c>
      <c r="S116" s="4">
        <v>1</v>
      </c>
      <c r="T116" s="4">
        <f>IF($K116="","",R116)</f>
      </c>
      <c r="U116" s="4">
        <f>IF($K116="","",L116-M116-N116-Q116-R116-S116)</f>
      </c>
      <c r="V116" s="4">
        <f>IF($K116="","",(U116-AB116)/J116*100)</f>
      </c>
      <c r="W116" s="4">
        <f>IF($K116="","",M116-T116)</f>
      </c>
      <c r="AC116" s="4">
        <f>IF($K116="","",U116-AB116)</f>
      </c>
    </row>
    <row r="117" spans="1:34" x14ac:dyDescent="0.25">
      <c r="A117" s="8"/>
      <c r="D117" s="9"/>
      <c r="J117" s="4"/>
      <c r="K117" s="4"/>
      <c r="L117" s="4">
        <f>IF($K117="","",K117-J117)</f>
      </c>
      <c r="M117" s="4">
        <f>IF($K117="","",L117*16.67%)</f>
      </c>
      <c r="N117" s="4">
        <f>IF($K117="","",K117*3.96%)</f>
      </c>
      <c r="O117" s="4">
        <f>IF($K117="","",N117*20%)</f>
      </c>
      <c r="P117" s="4">
        <f>IF($K117="","",N117+O117)</f>
      </c>
      <c r="Q117" s="4"/>
      <c r="R117" s="4">
        <f>IF($K117="","",Q117*20%)</f>
      </c>
      <c r="S117" s="4">
        <v>1</v>
      </c>
      <c r="T117" s="4">
        <f>IF($K117="","",R117)</f>
      </c>
      <c r="U117" s="4">
        <f>IF($K117="","",L117-M117-N117-Q117-R117-S117)</f>
      </c>
      <c r="V117" s="4">
        <f>IF($K117="","",(U117-AB117)/J117*100)</f>
      </c>
      <c r="W117" s="4">
        <f>IF($K117="","",M117-T117)</f>
      </c>
      <c r="AC117" s="4">
        <f>IF($K117="","",U117-AB117)</f>
      </c>
    </row>
    <row r="118" spans="1:34" x14ac:dyDescent="0.25">
      <c r="A118" s="8"/>
      <c r="D118" s="9"/>
      <c r="J118" s="4"/>
      <c r="K118" s="4"/>
      <c r="L118" s="4">
        <f>IF($K118="","",K118-J118)</f>
      </c>
      <c r="M118" s="4">
        <f>IF($K118="","",L118*16.67%)</f>
      </c>
      <c r="N118" s="4">
        <f>IF($K118="","",K118*3.96%)</f>
      </c>
      <c r="O118" s="4">
        <f>IF($K118="","",N118*20%)</f>
      </c>
      <c r="P118" s="4">
        <f>IF($K118="","",N118+O118)</f>
      </c>
      <c r="Q118" s="4"/>
      <c r="R118" s="4">
        <f>IF($K118="","",Q118*20%)</f>
      </c>
      <c r="S118" s="4">
        <v>1</v>
      </c>
      <c r="T118" s="4">
        <f>IF($K118="","",R118)</f>
      </c>
      <c r="U118" s="4">
        <f>IF($K118="","",L118-M118-N118-Q118-R118-S118)</f>
      </c>
      <c r="V118" s="4">
        <f>IF($K118="","",(U118-AB118)/J118*100)</f>
      </c>
      <c r="W118" s="4">
        <f>IF($K118="","",M118-T118)</f>
      </c>
      <c r="AC118" s="4">
        <f>IF($K118="","",U118-AB118)</f>
      </c>
    </row>
    <row r="119" spans="1:34" x14ac:dyDescent="0.25">
      <c r="A119" s="8"/>
      <c r="D119" s="9"/>
      <c r="J119" s="4"/>
      <c r="K119" s="4"/>
      <c r="L119" s="4">
        <f>IF($K119="","",K119-J119)</f>
      </c>
      <c r="M119" s="4">
        <f>IF($K119="","",L119*16.67%)</f>
      </c>
      <c r="N119" s="4">
        <f>IF($K119="","",K119*3.96%)</f>
      </c>
      <c r="O119" s="4">
        <f>IF($K119="","",N119*20%)</f>
      </c>
      <c r="P119" s="4">
        <f>IF($K119="","",N119+O119)</f>
      </c>
      <c r="Q119" s="4"/>
      <c r="R119" s="4">
        <f>IF($K119="","",Q119*20%)</f>
      </c>
      <c r="S119" s="4">
        <v>1</v>
      </c>
      <c r="T119" s="4">
        <f>IF($K119="","",R119)</f>
      </c>
      <c r="U119" s="4">
        <f>IF($K119="","",L119-M119-N119-Q119-R119-S119)</f>
      </c>
      <c r="V119" s="4">
        <f>IF($K119="","",(U119-AB119)/J119*100)</f>
      </c>
      <c r="W119" s="4">
        <f>IF($K119="","",M119-T119)</f>
      </c>
      <c r="AC119" s="4">
        <f>IF($K119="","",U119-AB119)</f>
      </c>
    </row>
    <row r="120" spans="1:34" x14ac:dyDescent="0.25">
      <c r="A120" s="8"/>
      <c r="D120" s="9"/>
      <c r="J120" s="4"/>
      <c r="K120" s="4"/>
      <c r="L120" s="4">
        <f>IF($K120="","",K120-J120)</f>
      </c>
      <c r="M120" s="4">
        <f>IF($K120="","",L120*16.67%)</f>
      </c>
      <c r="N120" s="4">
        <f>IF($K120="","",K120*3.96%)</f>
      </c>
      <c r="O120" s="4">
        <f>IF($K120="","",N120*20%)</f>
      </c>
      <c r="P120" s="4">
        <f>IF($K120="","",N120+O120)</f>
      </c>
      <c r="Q120" s="4"/>
      <c r="R120" s="4">
        <f>IF($K120="","",Q120*20%)</f>
      </c>
      <c r="S120" s="4">
        <v>1</v>
      </c>
      <c r="T120" s="4">
        <f>IF($K120="","",R120)</f>
      </c>
      <c r="U120" s="4">
        <f>IF($K120="","",L120-M120-N120-Q120-R120-S120)</f>
      </c>
      <c r="V120" s="4">
        <f>IF($K120="","",(U120-AB120)/J120*100)</f>
      </c>
      <c r="W120" s="4">
        <f>IF($K120="","",M120-T120)</f>
      </c>
      <c r="AC120" s="4">
        <f>IF($K120="","",U120-AB120)</f>
      </c>
    </row>
    <row r="121" spans="1:34" x14ac:dyDescent="0.25">
      <c r="A121" s="8"/>
      <c r="D121" s="9"/>
      <c r="J121" s="4"/>
      <c r="K121" s="4"/>
      <c r="L121" s="4">
        <f>IF($K121="","",K121-J121)</f>
      </c>
      <c r="M121" s="4">
        <f>IF($K121="","",L121*16.67%)</f>
      </c>
      <c r="N121" s="4">
        <f>IF($K121="","",K121*3.96%)</f>
      </c>
      <c r="O121" s="4">
        <f>IF($K121="","",N121*20%)</f>
      </c>
      <c r="P121" s="4">
        <f>IF($K121="","",N121+O121)</f>
      </c>
      <c r="Q121" s="4"/>
      <c r="R121" s="4">
        <f>IF($K121="","",Q121*20%)</f>
      </c>
      <c r="S121" s="4">
        <v>1</v>
      </c>
      <c r="T121" s="4">
        <f>IF($K121="","",R121)</f>
      </c>
      <c r="U121" s="4">
        <f>IF($K121="","",L121-M121-N121-Q121-R121-S121)</f>
      </c>
      <c r="V121" s="4">
        <f>IF($K121="","",(U121-AB121)/J121*100)</f>
      </c>
      <c r="W121" s="4">
        <f>IF($K121="","",M121-T121)</f>
      </c>
      <c r="AC121" s="4">
        <f>IF($K121="","",U121-AB121)</f>
      </c>
    </row>
    <row r="122" spans="1:34" x14ac:dyDescent="0.25">
      <c r="A122" s="8"/>
      <c r="D122" s="9"/>
      <c r="J122" s="4"/>
      <c r="K122" s="4"/>
      <c r="L122" s="4">
        <f>IF($K122="","",K122-J122)</f>
      </c>
      <c r="M122" s="4">
        <f>IF($K122="","",L122*16.67%)</f>
      </c>
      <c r="N122" s="4">
        <f>IF($K122="","",K122*3.96%)</f>
      </c>
      <c r="O122" s="4">
        <f>IF($K122="","",N122*20%)</f>
      </c>
      <c r="P122" s="4">
        <f>IF($K122="","",N122+O122)</f>
      </c>
      <c r="Q122" s="4"/>
      <c r="R122" s="4">
        <f>IF($K122="","",Q122*20%)</f>
      </c>
      <c r="S122" s="4">
        <v>1</v>
      </c>
      <c r="T122" s="4">
        <f>IF($K122="","",R122)</f>
      </c>
      <c r="U122" s="4">
        <f>IF($K122="","",L122-M122-N122-Q122-R122-S122)</f>
      </c>
      <c r="V122" s="4">
        <f>IF($K122="","",(U122-AB122)/J122*100)</f>
      </c>
      <c r="W122" s="4">
        <f>IF($K122="","",M122-T122)</f>
      </c>
      <c r="AC122" s="4">
        <f>IF($K122="","",U122-AB122)</f>
      </c>
    </row>
    <row r="123" spans="1:34" x14ac:dyDescent="0.25">
      <c r="A123" s="8"/>
      <c r="D123" s="9"/>
      <c r="J123" s="4"/>
      <c r="K123" s="4"/>
      <c r="L123" s="4">
        <f>IF($K123="","",K123-J123)</f>
      </c>
      <c r="M123" s="4">
        <f>IF($K123="","",L123*16.67%)</f>
      </c>
      <c r="N123" s="4">
        <f>IF($K123="","",K123*3.96%)</f>
      </c>
      <c r="O123" s="4">
        <f>IF($K123="","",N123*20%)</f>
      </c>
      <c r="P123" s="4">
        <f>IF($K123="","",N123+O123)</f>
      </c>
      <c r="Q123" s="4"/>
      <c r="R123" s="4">
        <f>IF($K123="","",Q123*20%)</f>
      </c>
      <c r="S123" s="4">
        <v>1</v>
      </c>
      <c r="T123" s="4">
        <f>IF($K123="","",R123)</f>
      </c>
      <c r="U123" s="4">
        <f>IF($K123="","",L123-M123-N123-Q123-R123-S123)</f>
      </c>
      <c r="V123" s="4">
        <f>IF($K123="","",(U123-AB123)/J123*100)</f>
      </c>
      <c r="W123" s="4">
        <f>IF($K123="","",M123-T123)</f>
      </c>
      <c r="AC123" s="4">
        <f>IF($K123="","",U123-AB123)</f>
      </c>
    </row>
    <row r="124" spans="1:34" x14ac:dyDescent="0.25">
      <c r="A124" s="8"/>
      <c r="D124" s="9"/>
      <c r="J124" s="4"/>
      <c r="K124" s="4"/>
      <c r="L124" s="4">
        <f>IF($K124="","",K124-J124)</f>
      </c>
      <c r="M124" s="4">
        <f>IF($K124="","",L124*16.67%)</f>
      </c>
      <c r="N124" s="4">
        <f>IF($K124="","",K124*3.96%)</f>
      </c>
      <c r="O124" s="4">
        <f>IF($K124="","",N124*20%)</f>
      </c>
      <c r="P124" s="4">
        <f>IF($K124="","",N124+O124)</f>
      </c>
      <c r="Q124" s="4"/>
      <c r="R124" s="4">
        <f>IF($K124="","",Q124*20%)</f>
      </c>
      <c r="S124" s="4">
        <v>1</v>
      </c>
      <c r="T124" s="4">
        <f>IF($K124="","",R124)</f>
      </c>
      <c r="U124" s="4">
        <f>IF($K124="","",L124-M124-N124-Q124-R124-S124)</f>
      </c>
      <c r="V124" s="4">
        <f>IF($K124="","",(U124-AB124)/J124*100)</f>
      </c>
      <c r="W124" s="4">
        <f>IF($K124="","",M124-T124)</f>
      </c>
      <c r="AC124" s="4">
        <f>IF($K124="","",U124-AB124)</f>
      </c>
    </row>
    <row r="125" spans="1:34" x14ac:dyDescent="0.25">
      <c r="A125" s="8"/>
      <c r="D125" s="9"/>
      <c r="J125" s="4"/>
      <c r="K125" s="4"/>
      <c r="L125" s="4">
        <f>IF($K125="","",K125-J125)</f>
      </c>
      <c r="M125" s="4">
        <f>IF($K125="","",L125*16.67%)</f>
      </c>
      <c r="N125" s="4">
        <f>IF($K125="","",K125*3.96%)</f>
      </c>
      <c r="O125" s="4">
        <f>IF($K125="","",N125*20%)</f>
      </c>
      <c r="P125" s="4">
        <f>IF($K125="","",N125+O125)</f>
      </c>
      <c r="Q125" s="4"/>
      <c r="R125" s="4">
        <f>IF($K125="","",Q125*20%)</f>
      </c>
      <c r="S125" s="4">
        <v>1</v>
      </c>
      <c r="T125" s="4">
        <f>IF($K125="","",R125)</f>
      </c>
      <c r="U125" s="4">
        <f>IF($K125="","",L125-M125-N125-Q125-R125-S125)</f>
      </c>
      <c r="V125" s="4">
        <f>IF($K125="","",(U125-AB125)/J125*100)</f>
      </c>
      <c r="W125" s="4">
        <f>IF($K125="","",M125-T125)</f>
      </c>
      <c r="AC125" s="4">
        <f>IF($K125="","",U125-AB125)</f>
      </c>
    </row>
    <row r="126" spans="1:34" x14ac:dyDescent="0.25">
      <c r="A126" s="8"/>
      <c r="D126" s="9"/>
      <c r="J126" s="4"/>
      <c r="K126" s="4"/>
      <c r="L126" s="4">
        <f>IF($K126="","",K126-J126)</f>
      </c>
      <c r="M126" s="4">
        <f>IF($K126="","",L126*16.67%)</f>
      </c>
      <c r="N126" s="4">
        <f>IF($K126="","",K126*3.96%)</f>
      </c>
      <c r="O126" s="4">
        <f>IF($K126="","",N126*20%)</f>
      </c>
      <c r="P126" s="4">
        <f>IF($K126="","",N126+O126)</f>
      </c>
      <c r="Q126" s="4"/>
      <c r="R126" s="4">
        <f>IF($K126="","",Q126*20%)</f>
      </c>
      <c r="S126" s="4">
        <v>1</v>
      </c>
      <c r="T126" s="4">
        <f>IF($K126="","",R126)</f>
      </c>
      <c r="U126" s="4">
        <f>IF($K126="","",L126-M126-N126-Q126-R126-S126)</f>
      </c>
      <c r="V126" s="4">
        <f>IF($K126="","",(U126-AB126)/J126*100)</f>
      </c>
      <c r="W126" s="4">
        <f>IF($K126="","",M126-T126)</f>
      </c>
      <c r="AC126" s="4">
        <f>IF($K126="","",U126-AB126)</f>
      </c>
    </row>
    <row r="127" spans="1:34" x14ac:dyDescent="0.25">
      <c r="A127" s="8"/>
      <c r="D127" s="9"/>
      <c r="J127" s="4"/>
      <c r="K127" s="4"/>
      <c r="L127" s="4">
        <f>IF($K127="","",K127-J127)</f>
      </c>
      <c r="M127" s="4">
        <f>IF($K127="","",L127*16.67%)</f>
      </c>
      <c r="N127" s="4">
        <f>IF($K127="","",K127*3.96%)</f>
      </c>
      <c r="O127" s="4">
        <f>IF($K127="","",N127*20%)</f>
      </c>
      <c r="P127" s="4">
        <f>IF($K127="","",N127+O127)</f>
      </c>
      <c r="Q127" s="4"/>
      <c r="R127" s="4">
        <f>IF($K127="","",Q127*20%)</f>
      </c>
      <c r="S127" s="4">
        <v>1</v>
      </c>
      <c r="T127" s="4">
        <f>IF($K127="","",R127)</f>
      </c>
      <c r="U127" s="4">
        <f>IF($K127="","",L127-M127-N127-Q127-R127-S127)</f>
      </c>
      <c r="V127" s="4">
        <f>IF($K127="","",(U127-AB127)/J127*100)</f>
      </c>
      <c r="W127" s="4">
        <f>IF($K127="","",M127-T127)</f>
      </c>
      <c r="AC127" s="4">
        <f>IF($K127="","",U127-AB127)</f>
      </c>
    </row>
    <row r="128" spans="1:34" x14ac:dyDescent="0.25">
      <c r="A128" s="8"/>
      <c r="D128" s="9"/>
      <c r="J128" s="4"/>
      <c r="K128" s="4"/>
      <c r="L128" s="4">
        <f>IF($K128="","",K128-J128)</f>
      </c>
      <c r="M128" s="4">
        <f>IF($K128="","",L128*16.67%)</f>
      </c>
      <c r="N128" s="4">
        <f>IF($K128="","",K128*3.96%)</f>
      </c>
      <c r="O128" s="4">
        <f>IF($K128="","",N128*20%)</f>
      </c>
      <c r="P128" s="4">
        <f>IF($K128="","",N128+O128)</f>
      </c>
      <c r="Q128" s="4"/>
      <c r="R128" s="4">
        <f>IF($K128="","",Q128*20%)</f>
      </c>
      <c r="S128" s="4">
        <v>1</v>
      </c>
      <c r="T128" s="4">
        <f>IF($K128="","",R128)</f>
      </c>
      <c r="U128" s="4">
        <f>IF($K128="","",L128-M128-N128-Q128-R128-S128)</f>
      </c>
      <c r="V128" s="4">
        <f>IF($K128="","",(U128-AB128)/J128*100)</f>
      </c>
      <c r="W128" s="4">
        <f>IF($K128="","",M128-T128)</f>
      </c>
      <c r="AC128" s="4">
        <f>IF($K128="","",U128-AB128)</f>
      </c>
    </row>
    <row r="129" spans="1:34" x14ac:dyDescent="0.25">
      <c r="A129" s="8"/>
      <c r="D129" s="9"/>
      <c r="J129" s="4"/>
      <c r="K129" s="4"/>
      <c r="L129" s="4">
        <f>IF($K129="","",K129-J129)</f>
      </c>
      <c r="M129" s="4">
        <f>IF($K129="","",L129*16.67%)</f>
      </c>
      <c r="N129" s="4">
        <f>IF($K129="","",K129*3.96%)</f>
      </c>
      <c r="O129" s="4">
        <f>IF($K129="","",N129*20%)</f>
      </c>
      <c r="P129" s="4">
        <f>IF($K129="","",N129+O129)</f>
      </c>
      <c r="Q129" s="4"/>
      <c r="R129" s="4">
        <f>IF($K129="","",Q129*20%)</f>
      </c>
      <c r="S129" s="4">
        <v>1</v>
      </c>
      <c r="T129" s="4">
        <f>IF($K129="","",R129)</f>
      </c>
      <c r="U129" s="4">
        <f>IF($K129="","",L129-M129-N129-Q129-R129-S129)</f>
      </c>
      <c r="V129" s="4">
        <f>IF($K129="","",(U129-AB129)/J129*100)</f>
      </c>
      <c r="W129" s="4">
        <f>IF($K129="","",M129-T129)</f>
      </c>
      <c r="AC129" s="4">
        <f>IF($K129="","",U129-AB129)</f>
      </c>
    </row>
    <row r="130" spans="1:34" x14ac:dyDescent="0.25">
      <c r="A130" s="8"/>
      <c r="D130" s="9"/>
      <c r="J130" s="4"/>
      <c r="K130" s="4"/>
      <c r="L130" s="4">
        <f>IF($K130="","",K130-J130)</f>
      </c>
      <c r="M130" s="4">
        <f>IF($K130="","",L130*16.67%)</f>
      </c>
      <c r="N130" s="4">
        <f>IF($K130="","",K130*3.96%)</f>
      </c>
      <c r="O130" s="4">
        <f>IF($K130="","",N130*20%)</f>
      </c>
      <c r="P130" s="4">
        <f>IF($K130="","",N130+O130)</f>
      </c>
      <c r="Q130" s="4"/>
      <c r="R130" s="4">
        <f>IF($K130="","",Q130*20%)</f>
      </c>
      <c r="S130" s="4">
        <v>1</v>
      </c>
      <c r="T130" s="4">
        <f>IF($K130="","",R130)</f>
      </c>
      <c r="U130" s="4">
        <f>IF($K130="","",L130-M130-N130-Q130-R130-S130)</f>
      </c>
      <c r="V130" s="4">
        <f>IF($K130="","",(U130-AB130)/J130*100)</f>
      </c>
      <c r="W130" s="4">
        <f>IF($K130="","",M130-T130)</f>
      </c>
      <c r="AC130" s="4">
        <f>IF($K130="","",U130-AB130)</f>
      </c>
    </row>
    <row r="131" spans="1:34" x14ac:dyDescent="0.25">
      <c r="A131" s="8"/>
      <c r="D131" s="9"/>
      <c r="J131" s="4"/>
      <c r="K131" s="4"/>
      <c r="L131" s="4">
        <f>IF($K131="","",K131-J131)</f>
      </c>
      <c r="M131" s="4">
        <f>IF($K131="","",L131*16.67%)</f>
      </c>
      <c r="N131" s="4">
        <f>IF($K131="","",K131*3.96%)</f>
      </c>
      <c r="O131" s="4">
        <f>IF($K131="","",N131*20%)</f>
      </c>
      <c r="P131" s="4">
        <f>IF($K131="","",N131+O131)</f>
      </c>
      <c r="Q131" s="4"/>
      <c r="R131" s="4">
        <f>IF($K131="","",Q131*20%)</f>
      </c>
      <c r="S131" s="4">
        <v>1</v>
      </c>
      <c r="T131" s="4">
        <f>IF($K131="","",R131)</f>
      </c>
      <c r="U131" s="4">
        <f>IF($K131="","",L131-M131-N131-Q131-R131-S131)</f>
      </c>
      <c r="V131" s="4">
        <f>IF($K131="","",(U131-AB131)/J131*100)</f>
      </c>
      <c r="W131" s="4">
        <f>IF($K131="","",M131-T131)</f>
      </c>
      <c r="AC131" s="4">
        <f>IF($K131="","",U131-AB131)</f>
      </c>
    </row>
    <row r="132" spans="1:34" x14ac:dyDescent="0.25">
      <c r="A132" s="8"/>
      <c r="D132" s="9"/>
      <c r="J132" s="4"/>
      <c r="K132" s="4"/>
      <c r="L132" s="4">
        <f>IF($K132="","",K132-J132)</f>
      </c>
      <c r="M132" s="4">
        <f>IF($K132="","",L132*16.67%)</f>
      </c>
      <c r="N132" s="4">
        <f>IF($K132="","",K132*3.96%)</f>
      </c>
      <c r="O132" s="4">
        <f>IF($K132="","",N132*20%)</f>
      </c>
      <c r="P132" s="4">
        <f>IF($K132="","",N132+O132)</f>
      </c>
      <c r="Q132" s="4"/>
      <c r="R132" s="4">
        <f>IF($K132="","",Q132*20%)</f>
      </c>
      <c r="S132" s="4">
        <v>1</v>
      </c>
      <c r="T132" s="4">
        <f>IF($K132="","",R132)</f>
      </c>
      <c r="U132" s="4">
        <f>IF($K132="","",L132-M132-N132-Q132-R132-S132)</f>
      </c>
      <c r="V132" s="4">
        <f>IF($K132="","",(U132-AB132)/J132*100)</f>
      </c>
      <c r="W132" s="4">
        <f>IF($K132="","",M132-T132)</f>
      </c>
      <c r="AC132" s="4">
        <f>IF($K132="","",U132-AB132)</f>
      </c>
    </row>
    <row r="133" spans="1:34" x14ac:dyDescent="0.25">
      <c r="A133" s="8"/>
      <c r="D133" s="9"/>
      <c r="J133" s="4"/>
      <c r="K133" s="4"/>
      <c r="L133" s="4">
        <f>IF($K133="","",K133-J133)</f>
      </c>
      <c r="M133" s="4">
        <f>IF($K133="","",L133*16.67%)</f>
      </c>
      <c r="N133" s="4">
        <f>IF($K133="","",K133*3.96%)</f>
      </c>
      <c r="O133" s="4">
        <f>IF($K133="","",N133*20%)</f>
      </c>
      <c r="P133" s="4">
        <f>IF($K133="","",N133+O133)</f>
      </c>
      <c r="Q133" s="4"/>
      <c r="R133" s="4">
        <f>IF($K133="","",Q133*20%)</f>
      </c>
      <c r="S133" s="4">
        <v>1</v>
      </c>
      <c r="T133" s="4">
        <f>IF($K133="","",R133)</f>
      </c>
      <c r="U133" s="4">
        <f>IF($K133="","",L133-M133-N133-Q133-R133-S133)</f>
      </c>
      <c r="V133" s="4">
        <f>IF($K133="","",(U133-AB133)/J133*100)</f>
      </c>
      <c r="W133" s="4">
        <f>IF($K133="","",M133-T133)</f>
      </c>
      <c r="AC133" s="4">
        <f>IF($K133="","",U133-AB133)</f>
      </c>
    </row>
    <row r="134" spans="1:34" x14ac:dyDescent="0.25">
      <c r="A134" s="8"/>
      <c r="D134" s="9"/>
      <c r="J134" s="4"/>
      <c r="K134" s="4"/>
      <c r="L134" s="4">
        <f>IF($K134="","",K134-J134)</f>
      </c>
      <c r="M134" s="4">
        <f>IF($K134="","",L134*16.67%)</f>
      </c>
      <c r="N134" s="4">
        <f>IF($K134="","",K134*3.96%)</f>
      </c>
      <c r="O134" s="4">
        <f>IF($K134="","",N134*20%)</f>
      </c>
      <c r="P134" s="4">
        <f>IF($K134="","",N134+O134)</f>
      </c>
      <c r="Q134" s="4"/>
      <c r="R134" s="4">
        <f>IF($K134="","",Q134*20%)</f>
      </c>
      <c r="S134" s="4">
        <v>1</v>
      </c>
      <c r="T134" s="4">
        <f>IF($K134="","",R134)</f>
      </c>
      <c r="U134" s="4">
        <f>IF($K134="","",L134-M134-N134-Q134-R134-S134)</f>
      </c>
      <c r="V134" s="4">
        <f>IF($K134="","",(U134-AB134)/J134*100)</f>
      </c>
      <c r="W134" s="4">
        <f>IF($K134="","",M134-T134)</f>
      </c>
      <c r="AC134" s="4">
        <f>IF($K134="","",U134-AB134)</f>
      </c>
    </row>
    <row r="135" spans="1:34" x14ac:dyDescent="0.25">
      <c r="A135" s="8"/>
      <c r="D135" s="9"/>
      <c r="J135" s="4"/>
      <c r="K135" s="4"/>
      <c r="L135" s="4">
        <f>IF($K135="","",K135-J135)</f>
      </c>
      <c r="M135" s="4">
        <f>IF($K135="","",L135*16.67%)</f>
      </c>
      <c r="N135" s="4">
        <f>IF($K135="","",K135*3.96%)</f>
      </c>
      <c r="O135" s="4">
        <f>IF($K135="","",N135*20%)</f>
      </c>
      <c r="P135" s="4">
        <f>IF($K135="","",N135+O135)</f>
      </c>
      <c r="Q135" s="4"/>
      <c r="R135" s="4">
        <f>IF($K135="","",Q135*20%)</f>
      </c>
      <c r="S135" s="4">
        <v>1</v>
      </c>
      <c r="T135" s="4">
        <f>IF($K135="","",R135)</f>
      </c>
      <c r="U135" s="4">
        <f>IF($K135="","",L135-M135-N135-Q135-R135-S135)</f>
      </c>
      <c r="V135" s="4">
        <f>IF($K135="","",(U135-AB135)/J135*100)</f>
      </c>
      <c r="W135" s="4">
        <f>IF($K135="","",M135-T135)</f>
      </c>
      <c r="AC135" s="4">
        <f>IF($K135="","",U135-AB135)</f>
      </c>
    </row>
    <row r="136" spans="1:34" x14ac:dyDescent="0.25">
      <c r="A136" s="8"/>
      <c r="D136" s="9"/>
      <c r="J136" s="4"/>
      <c r="K136" s="4"/>
      <c r="L136" s="4">
        <f>IF($K136="","",K136-J136)</f>
      </c>
      <c r="M136" s="4">
        <f>IF($K136="","",L136*16.67%)</f>
      </c>
      <c r="N136" s="4">
        <f>IF($K136="","",K136*3.96%)</f>
      </c>
      <c r="O136" s="4">
        <f>IF($K136="","",N136*20%)</f>
      </c>
      <c r="P136" s="4">
        <f>IF($K136="","",N136+O136)</f>
      </c>
      <c r="Q136" s="4"/>
      <c r="R136" s="4">
        <f>IF($K136="","",Q136*20%)</f>
      </c>
      <c r="S136" s="4">
        <v>1</v>
      </c>
      <c r="T136" s="4">
        <f>IF($K136="","",R136)</f>
      </c>
      <c r="U136" s="4">
        <f>IF($K136="","",L136-M136-N136-Q136-R136-S136)</f>
      </c>
      <c r="V136" s="4">
        <f>IF($K136="","",(U136-AB136)/J136*100)</f>
      </c>
      <c r="W136" s="4">
        <f>IF($K136="","",M136-T136)</f>
      </c>
      <c r="AC136" s="4">
        <f>IF($K136="","",U136-AB136)</f>
      </c>
    </row>
    <row r="137" spans="1:34" x14ac:dyDescent="0.25">
      <c r="A137" s="8"/>
      <c r="D137" s="9"/>
      <c r="J137" s="4"/>
      <c r="K137" s="4"/>
      <c r="L137" s="4">
        <f>IF($K137="","",K137-J137)</f>
      </c>
      <c r="M137" s="4">
        <f>IF($K137="","",L137*16.67%)</f>
      </c>
      <c r="N137" s="4">
        <f>IF($K137="","",K137*3.96%)</f>
      </c>
      <c r="O137" s="4">
        <f>IF($K137="","",N137*20%)</f>
      </c>
      <c r="P137" s="4">
        <f>IF($K137="","",N137+O137)</f>
      </c>
      <c r="Q137" s="4"/>
      <c r="R137" s="4">
        <f>IF($K137="","",Q137*20%)</f>
      </c>
      <c r="S137" s="4">
        <v>1</v>
      </c>
      <c r="T137" s="4">
        <f>IF($K137="","",R137)</f>
      </c>
      <c r="U137" s="4">
        <f>IF($K137="","",L137-M137-N137-Q137-R137-S137)</f>
      </c>
      <c r="V137" s="4">
        <f>IF($K137="","",(U137-AB137)/J137*100)</f>
      </c>
      <c r="W137" s="4">
        <f>IF($K137="","",M137-T137)</f>
      </c>
      <c r="AC137" s="4">
        <f>IF($K137="","",U137-AB137)</f>
      </c>
    </row>
    <row r="138" spans="1:34" x14ac:dyDescent="0.25">
      <c r="A138" s="8"/>
      <c r="D138" s="9"/>
      <c r="J138" s="4"/>
      <c r="K138" s="4"/>
      <c r="L138" s="4">
        <f>IF($K138="","",K138-J138)</f>
      </c>
      <c r="M138" s="4">
        <f>IF($K138="","",L138*16.67%)</f>
      </c>
      <c r="N138" s="4">
        <f>IF($K138="","",K138*3.96%)</f>
      </c>
      <c r="O138" s="4">
        <f>IF($K138="","",N138*20%)</f>
      </c>
      <c r="P138" s="4">
        <f>IF($K138="","",N138+O138)</f>
      </c>
      <c r="Q138" s="4"/>
      <c r="R138" s="4">
        <f>IF($K138="","",Q138*20%)</f>
      </c>
      <c r="S138" s="4">
        <v>1</v>
      </c>
      <c r="T138" s="4">
        <f>IF($K138="","",R138)</f>
      </c>
      <c r="U138" s="4">
        <f>IF($K138="","",L138-M138-N138-Q138-R138-S138)</f>
      </c>
      <c r="V138" s="4">
        <f>IF($K138="","",(U138-AB138)/J138*100)</f>
      </c>
      <c r="W138" s="4">
        <f>IF($K138="","",M138-T138)</f>
      </c>
      <c r="AC138" s="4">
        <f>IF($K138="","",U138-AB138)</f>
      </c>
    </row>
    <row r="139" spans="1:34" x14ac:dyDescent="0.25">
      <c r="A139" s="8"/>
      <c r="D139" s="9"/>
      <c r="J139" s="4"/>
      <c r="K139" s="4"/>
      <c r="L139" s="4">
        <f>IF($K139="","",K139-J139)</f>
      </c>
      <c r="M139" s="4">
        <f>IF($K139="","",L139*16.67%)</f>
      </c>
      <c r="N139" s="4">
        <f>IF($K139="","",K139*3.96%)</f>
      </c>
      <c r="O139" s="4">
        <f>IF($K139="","",N139*20%)</f>
      </c>
      <c r="P139" s="4">
        <f>IF($K139="","",N139+O139)</f>
      </c>
      <c r="Q139" s="4"/>
      <c r="R139" s="4">
        <f>IF($K139="","",Q139*20%)</f>
      </c>
      <c r="S139" s="4">
        <v>1</v>
      </c>
      <c r="T139" s="4">
        <f>IF($K139="","",R139)</f>
      </c>
      <c r="U139" s="4">
        <f>IF($K139="","",L139-M139-N139-Q139-R139-S139)</f>
      </c>
      <c r="V139" s="4">
        <f>IF($K139="","",(U139-AB139)/J139*100)</f>
      </c>
      <c r="W139" s="4">
        <f>IF($K139="","",M139-T139)</f>
      </c>
      <c r="AC139" s="4">
        <f>IF($K139="","",U139-AB139)</f>
      </c>
    </row>
    <row r="140" spans="1:34" x14ac:dyDescent="0.25">
      <c r="A140" s="8"/>
      <c r="D140" s="9"/>
      <c r="J140" s="4"/>
      <c r="K140" s="4"/>
      <c r="L140" s="4">
        <f>IF($K140="","",K140-J140)</f>
      </c>
      <c r="M140" s="4">
        <f>IF($K140="","",L140*16.67%)</f>
      </c>
      <c r="N140" s="4">
        <f>IF($K140="","",K140*3.96%)</f>
      </c>
      <c r="O140" s="4">
        <f>IF($K140="","",N140*20%)</f>
      </c>
      <c r="P140" s="4">
        <f>IF($K140="","",N140+O140)</f>
      </c>
      <c r="Q140" s="4"/>
      <c r="R140" s="4">
        <f>IF($K140="","",Q140*20%)</f>
      </c>
      <c r="S140" s="4">
        <v>1</v>
      </c>
      <c r="T140" s="4">
        <f>IF($K140="","",R140)</f>
      </c>
      <c r="U140" s="4">
        <f>IF($K140="","",L140-M140-N140-Q140-R140-S140)</f>
      </c>
      <c r="V140" s="4">
        <f>IF($K140="","",(U140-AB140)/J140*100)</f>
      </c>
      <c r="W140" s="4">
        <f>IF($K140="","",M140-T140)</f>
      </c>
      <c r="AC140" s="4">
        <f>IF($K140="","",U140-AB140)</f>
      </c>
    </row>
    <row r="141" spans="1:34" x14ac:dyDescent="0.25">
      <c r="A141" s="8"/>
      <c r="D141" s="9"/>
      <c r="J141" s="4"/>
      <c r="K141" s="4"/>
      <c r="L141" s="4">
        <f>IF($K141="","",K141-J141)</f>
      </c>
      <c r="M141" s="4">
        <f>IF($K141="","",L141*16.67%)</f>
      </c>
      <c r="N141" s="4">
        <f>IF($K141="","",K141*3.96%)</f>
      </c>
      <c r="O141" s="4">
        <f>IF($K141="","",N141*20%)</f>
      </c>
      <c r="P141" s="4">
        <f>IF($K141="","",N141+O141)</f>
      </c>
      <c r="Q141" s="4"/>
      <c r="R141" s="4">
        <f>IF($K141="","",Q141*20%)</f>
      </c>
      <c r="S141" s="4">
        <v>1</v>
      </c>
      <c r="T141" s="4">
        <f>IF($K141="","",R141)</f>
      </c>
      <c r="U141" s="4">
        <f>IF($K141="","",L141-M141-N141-Q141-R141-S141)</f>
      </c>
      <c r="V141" s="4">
        <f>IF($K141="","",(U141-AB141)/J141*100)</f>
      </c>
      <c r="W141" s="4">
        <f>IF($K141="","",M141-T141)</f>
      </c>
      <c r="AC141" s="4">
        <f>IF($K141="","",U141-AB141)</f>
      </c>
    </row>
    <row r="142" spans="1:34" x14ac:dyDescent="0.25">
      <c r="A142" s="8"/>
      <c r="D142" s="9"/>
      <c r="J142" s="4"/>
      <c r="K142" s="4"/>
      <c r="L142" s="4">
        <f>IF($K142="","",K142-J142)</f>
      </c>
      <c r="M142" s="4">
        <f>IF($K142="","",L142*16.67%)</f>
      </c>
      <c r="N142" s="4">
        <f>IF($K142="","",K142*3.96%)</f>
      </c>
      <c r="O142" s="4">
        <f>IF($K142="","",N142*20%)</f>
      </c>
      <c r="P142" s="4">
        <f>IF($K142="","",N142+O142)</f>
      </c>
      <c r="Q142" s="4"/>
      <c r="R142" s="4">
        <f>IF($K142="","",Q142*20%)</f>
      </c>
      <c r="S142" s="4">
        <v>1</v>
      </c>
      <c r="T142" s="4">
        <f>IF($K142="","",R142)</f>
      </c>
      <c r="U142" s="4">
        <f>IF($K142="","",L142-M142-N142-Q142-R142-S142)</f>
      </c>
      <c r="V142" s="4">
        <f>IF($K142="","",(U142-AB142)/J142*100)</f>
      </c>
      <c r="W142" s="4">
        <f>IF($K142="","",M142-T142)</f>
      </c>
      <c r="AC142" s="4">
        <f>IF($K142="","",U142-AB142)</f>
      </c>
    </row>
    <row r="143" spans="1:34" x14ac:dyDescent="0.25">
      <c r="A143" s="8"/>
      <c r="D143" s="9"/>
      <c r="J143" s="4"/>
      <c r="K143" s="4"/>
      <c r="L143" s="4">
        <f>IF($K143="","",K143-J143)</f>
      </c>
      <c r="M143" s="4">
        <f>IF($K143="","",L143*16.67%)</f>
      </c>
      <c r="N143" s="4">
        <f>IF($K143="","",K143*3.96%)</f>
      </c>
      <c r="O143" s="4">
        <f>IF($K143="","",N143*20%)</f>
      </c>
      <c r="P143" s="4">
        <f>IF($K143="","",N143+O143)</f>
      </c>
      <c r="Q143" s="4"/>
      <c r="R143" s="4">
        <f>IF($K143="","",Q143*20%)</f>
      </c>
      <c r="S143" s="4">
        <v>1</v>
      </c>
      <c r="T143" s="4">
        <f>IF($K143="","",R143)</f>
      </c>
      <c r="U143" s="4">
        <f>IF($K143="","",L143-M143-N143-Q143-R143-S143)</f>
      </c>
      <c r="V143" s="4">
        <f>IF($K143="","",(U143-AB143)/J143*100)</f>
      </c>
      <c r="W143" s="4">
        <f>IF($K143="","",M143-T143)</f>
      </c>
      <c r="AC143" s="4">
        <f>IF($K143="","",U143-AB143)</f>
      </c>
    </row>
    <row r="144" spans="1:34" x14ac:dyDescent="0.25">
      <c r="A144" s="8"/>
      <c r="D144" s="9"/>
      <c r="J144" s="4"/>
      <c r="K144" s="4"/>
      <c r="L144" s="4">
        <f>IF($K144="","",K144-J144)</f>
      </c>
      <c r="M144" s="4">
        <f>IF($K144="","",L144*16.67%)</f>
      </c>
      <c r="N144" s="4">
        <f>IF($K144="","",K144*3.96%)</f>
      </c>
      <c r="O144" s="4">
        <f>IF($K144="","",N144*20%)</f>
      </c>
      <c r="P144" s="4">
        <f>IF($K144="","",N144+O144)</f>
      </c>
      <c r="Q144" s="4"/>
      <c r="R144" s="4">
        <f>IF($K144="","",Q144*20%)</f>
      </c>
      <c r="S144" s="4">
        <v>1</v>
      </c>
      <c r="T144" s="4">
        <f>IF($K144="","",R144)</f>
      </c>
      <c r="U144" s="4">
        <f>IF($K144="","",L144-M144-N144-Q144-R144-S144)</f>
      </c>
      <c r="V144" s="4">
        <f>IF($K144="","",(U144-AB144)/J144*100)</f>
      </c>
      <c r="W144" s="4">
        <f>IF($K144="","",M144-T144)</f>
      </c>
      <c r="AC144" s="4">
        <f>IF($K144="","",U144-AB144)</f>
      </c>
    </row>
    <row r="145" spans="1:34" x14ac:dyDescent="0.25">
      <c r="A145" s="8"/>
      <c r="D145" s="9"/>
      <c r="J145" s="4"/>
      <c r="K145" s="4"/>
      <c r="L145" s="4">
        <f>IF($K145="","",K145-J145)</f>
      </c>
      <c r="M145" s="4">
        <f>IF($K145="","",L145*16.67%)</f>
      </c>
      <c r="N145" s="4">
        <f>IF($K145="","",K145*3.96%)</f>
      </c>
      <c r="O145" s="4">
        <f>IF($K145="","",N145*20%)</f>
      </c>
      <c r="P145" s="4">
        <f>IF($K145="","",N145+O145)</f>
      </c>
      <c r="Q145" s="4"/>
      <c r="R145" s="4">
        <f>IF($K145="","",Q145*20%)</f>
      </c>
      <c r="S145" s="4">
        <v>1</v>
      </c>
      <c r="T145" s="4">
        <f>IF($K145="","",R145)</f>
      </c>
      <c r="U145" s="4">
        <f>IF($K145="","",L145-M145-N145-Q145-R145-S145)</f>
      </c>
      <c r="V145" s="4">
        <f>IF($K145="","",(U145-AB145)/J145*100)</f>
      </c>
      <c r="W145" s="4">
        <f>IF($K145="","",M145-T145)</f>
      </c>
      <c r="AC145" s="4">
        <f>IF($K145="","",U145-AB145)</f>
      </c>
    </row>
    <row r="146" spans="1:34" x14ac:dyDescent="0.25">
      <c r="A146" s="8"/>
      <c r="D146" s="9"/>
      <c r="J146" s="4"/>
      <c r="K146" s="4"/>
      <c r="L146" s="4">
        <f>IF($K146="","",K146-J146)</f>
      </c>
      <c r="M146" s="4">
        <f>IF($K146="","",L146*16.67%)</f>
      </c>
      <c r="N146" s="4">
        <f>IF($K146="","",K146*3.96%)</f>
      </c>
      <c r="O146" s="4">
        <f>IF($K146="","",N146*20%)</f>
      </c>
      <c r="P146" s="4">
        <f>IF($K146="","",N146+O146)</f>
      </c>
      <c r="Q146" s="4"/>
      <c r="R146" s="4">
        <f>IF($K146="","",Q146*20%)</f>
      </c>
      <c r="S146" s="4">
        <v>1</v>
      </c>
      <c r="T146" s="4">
        <f>IF($K146="","",R146)</f>
      </c>
      <c r="U146" s="4">
        <f>IF($K146="","",L146-M146-N146-Q146-R146-S146)</f>
      </c>
      <c r="V146" s="4">
        <f>IF($K146="","",(U146-AB146)/J146*100)</f>
      </c>
      <c r="W146" s="4">
        <f>IF($K146="","",M146-T146)</f>
      </c>
      <c r="AC146" s="4">
        <f>IF($K146="","",U146-AB146)</f>
      </c>
    </row>
    <row r="147" spans="1:34" x14ac:dyDescent="0.25">
      <c r="A147" s="8"/>
      <c r="D147" s="9"/>
      <c r="J147" s="4"/>
      <c r="K147" s="4"/>
      <c r="L147" s="4">
        <f>IF($K147="","",K147-J147)</f>
      </c>
      <c r="M147" s="4">
        <f>IF($K147="","",L147*16.67%)</f>
      </c>
      <c r="N147" s="4">
        <f>IF($K147="","",K147*3.96%)</f>
      </c>
      <c r="O147" s="4">
        <f>IF($K147="","",N147*20%)</f>
      </c>
      <c r="P147" s="4">
        <f>IF($K147="","",N147+O147)</f>
      </c>
      <c r="Q147" s="4"/>
      <c r="R147" s="4">
        <f>IF($K147="","",Q147*20%)</f>
      </c>
      <c r="S147" s="4">
        <v>1</v>
      </c>
      <c r="T147" s="4">
        <f>IF($K147="","",R147)</f>
      </c>
      <c r="U147" s="4">
        <f>IF($K147="","",L147-M147-N147-Q147-R147-S147)</f>
      </c>
      <c r="V147" s="4">
        <f>IF($K147="","",(U147-AB147)/J147*100)</f>
      </c>
      <c r="W147" s="4">
        <f>IF($K147="","",M147-T147)</f>
      </c>
      <c r="AC147" s="4">
        <f>IF($K147="","",U147-AB147)</f>
      </c>
    </row>
    <row r="148" spans="1:34" x14ac:dyDescent="0.25">
      <c r="A148" s="8"/>
      <c r="D148" s="9"/>
      <c r="J148" s="4"/>
      <c r="K148" s="4"/>
      <c r="L148" s="4">
        <f>IF($K148="","",K148-J148)</f>
      </c>
      <c r="M148" s="4">
        <f>IF($K148="","",L148*16.67%)</f>
      </c>
      <c r="N148" s="4">
        <f>IF($K148="","",K148*3.96%)</f>
      </c>
      <c r="O148" s="4">
        <f>IF($K148="","",N148*20%)</f>
      </c>
      <c r="P148" s="4">
        <f>IF($K148="","",N148+O148)</f>
      </c>
      <c r="Q148" s="4"/>
      <c r="R148" s="4">
        <f>IF($K148="","",Q148*20%)</f>
      </c>
      <c r="S148" s="4">
        <v>1</v>
      </c>
      <c r="T148" s="4">
        <f>IF($K148="","",R148)</f>
      </c>
      <c r="U148" s="4">
        <f>IF($K148="","",L148-M148-N148-Q148-R148-S148)</f>
      </c>
      <c r="V148" s="4">
        <f>IF($K148="","",(U148-AB148)/J148*100)</f>
      </c>
      <c r="W148" s="4">
        <f>IF($K148="","",M148-T148)</f>
      </c>
      <c r="AC148" s="4">
        <f>IF($K148="","",U148-AB148)</f>
      </c>
    </row>
    <row r="149" spans="1:34" x14ac:dyDescent="0.25">
      <c r="A149" s="8"/>
      <c r="D149" s="9"/>
      <c r="J149" s="4"/>
      <c r="K149" s="4"/>
      <c r="L149" s="4">
        <f>IF($K149="","",K149-J149)</f>
      </c>
      <c r="M149" s="4">
        <f>IF($K149="","",L149*16.67%)</f>
      </c>
      <c r="N149" s="4">
        <f>IF($K149="","",K149*3.96%)</f>
      </c>
      <c r="O149" s="4">
        <f>IF($K149="","",N149*20%)</f>
      </c>
      <c r="P149" s="4">
        <f>IF($K149="","",N149+O149)</f>
      </c>
      <c r="Q149" s="4"/>
      <c r="R149" s="4">
        <f>IF($K149="","",Q149*20%)</f>
      </c>
      <c r="S149" s="4">
        <v>1</v>
      </c>
      <c r="T149" s="4">
        <f>IF($K149="","",R149)</f>
      </c>
      <c r="U149" s="4">
        <f>IF($K149="","",L149-M149-N149-Q149-R149-S149)</f>
      </c>
      <c r="V149" s="4">
        <f>IF($K149="","",(U149-AB149)/J149*100)</f>
      </c>
      <c r="W149" s="4">
        <f>IF($K149="","",M149-T149)</f>
      </c>
      <c r="AC149" s="4">
        <f>IF($K149="","",U149-AB149)</f>
      </c>
    </row>
    <row r="150" spans="1:34" x14ac:dyDescent="0.25">
      <c r="A150" s="8"/>
      <c r="D150" s="9"/>
      <c r="J150" s="4"/>
      <c r="K150" s="4"/>
      <c r="L150" s="4">
        <f>IF($K150="","",K150-J150)</f>
      </c>
      <c r="M150" s="4">
        <f>IF($K150="","",L150*16.67%)</f>
      </c>
      <c r="N150" s="4">
        <f>IF($K150="","",K150*3.96%)</f>
      </c>
      <c r="O150" s="4">
        <f>IF($K150="","",N150*20%)</f>
      </c>
      <c r="P150" s="4">
        <f>IF($K150="","",N150+O150)</f>
      </c>
      <c r="Q150" s="4"/>
      <c r="R150" s="4">
        <f>IF($K150="","",Q150*20%)</f>
      </c>
      <c r="S150" s="4">
        <v>1</v>
      </c>
      <c r="T150" s="4">
        <f>IF($K150="","",R150)</f>
      </c>
      <c r="U150" s="4">
        <f>IF($K150="","",L150-M150-N150-Q150-R150-S150)</f>
      </c>
      <c r="V150" s="4">
        <f>IF($K150="","",(U150-AB150)/J150*100)</f>
      </c>
      <c r="W150" s="4">
        <f>IF($K150="","",M150-T150)</f>
      </c>
      <c r="AC150" s="4">
        <f>IF($K150="","",U150-AB150)</f>
      </c>
    </row>
    <row r="151" spans="1:34" x14ac:dyDescent="0.25">
      <c r="A151" s="8"/>
      <c r="D151" s="9"/>
      <c r="J151" s="4"/>
      <c r="K151" s="4"/>
      <c r="L151" s="4">
        <f>IF($K151="","",K151-J151)</f>
      </c>
      <c r="M151" s="4">
        <f>IF($K151="","",L151*16.67%)</f>
      </c>
      <c r="N151" s="4">
        <f>IF($K151="","",K151*3.96%)</f>
      </c>
      <c r="O151" s="4">
        <f>IF($K151="","",N151*20%)</f>
      </c>
      <c r="P151" s="4">
        <f>IF($K151="","",N151+O151)</f>
      </c>
      <c r="Q151" s="4"/>
      <c r="R151" s="4">
        <f>IF($K151="","",Q151*20%)</f>
      </c>
      <c r="S151" s="4">
        <v>1</v>
      </c>
      <c r="T151" s="4">
        <f>IF($K151="","",R151)</f>
      </c>
      <c r="U151" s="4">
        <f>IF($K151="","",L151-M151-N151-Q151-R151-S151)</f>
      </c>
      <c r="V151" s="4">
        <f>IF($K151="","",(U151-AB151)/J151*100)</f>
      </c>
      <c r="W151" s="4">
        <f>IF($K151="","",M151-T151)</f>
      </c>
      <c r="AC151" s="4">
        <f>IF($K151="","",U151-AB151)</f>
      </c>
    </row>
    <row r="152" spans="1:34" x14ac:dyDescent="0.25">
      <c r="A152" s="8"/>
      <c r="D152" s="9"/>
      <c r="J152" s="4"/>
      <c r="K152" s="4"/>
      <c r="L152" s="4">
        <f>IF($K152="","",K152-J152)</f>
      </c>
      <c r="M152" s="4">
        <f>IF($K152="","",L152*16.67%)</f>
      </c>
      <c r="N152" s="4">
        <f>IF($K152="","",K152*3.96%)</f>
      </c>
      <c r="O152" s="4">
        <f>IF($K152="","",N152*20%)</f>
      </c>
      <c r="P152" s="4">
        <f>IF($K152="","",N152+O152)</f>
      </c>
      <c r="Q152" s="4"/>
      <c r="R152" s="4">
        <f>IF($K152="","",Q152*20%)</f>
      </c>
      <c r="S152" s="4">
        <v>1</v>
      </c>
      <c r="T152" s="4">
        <f>IF($K152="","",R152)</f>
      </c>
      <c r="U152" s="4">
        <f>IF($K152="","",L152-M152-N152-Q152-R152-S152)</f>
      </c>
      <c r="V152" s="4">
        <f>IF($K152="","",(U152-AB152)/J152*100)</f>
      </c>
      <c r="W152" s="4">
        <f>IF($K152="","",M152-T152)</f>
      </c>
      <c r="AC152" s="4">
        <f>IF($K152="","",U152-AB152)</f>
      </c>
    </row>
    <row r="153" spans="1:34" x14ac:dyDescent="0.25">
      <c r="A153" s="8"/>
      <c r="D153" s="9"/>
      <c r="J153" s="4"/>
      <c r="K153" s="4"/>
      <c r="L153" s="4">
        <f>IF($K153="","",K153-J153)</f>
      </c>
      <c r="M153" s="4">
        <f>IF($K153="","",L153*16.67%)</f>
      </c>
      <c r="N153" s="4">
        <f>IF($K153="","",K153*3.96%)</f>
      </c>
      <c r="O153" s="4">
        <f>IF($K153="","",N153*20%)</f>
      </c>
      <c r="P153" s="4">
        <f>IF($K153="","",N153+O153)</f>
      </c>
      <c r="Q153" s="4"/>
      <c r="R153" s="4">
        <f>IF($K153="","",Q153*20%)</f>
      </c>
      <c r="S153" s="4">
        <v>1</v>
      </c>
      <c r="T153" s="4">
        <f>IF($K153="","",R153)</f>
      </c>
      <c r="U153" s="4">
        <f>IF($K153="","",L153-M153-N153-Q153-R153-S153)</f>
      </c>
      <c r="V153" s="4">
        <f>IF($K153="","",(U153-AB153)/J153*100)</f>
      </c>
      <c r="W153" s="4">
        <f>IF($K153="","",M153-T153)</f>
      </c>
      <c r="AC153" s="4">
        <f>IF($K153="","",U153-AB153)</f>
      </c>
    </row>
    <row r="154" spans="1:34" x14ac:dyDescent="0.25">
      <c r="A154" s="8"/>
      <c r="D154" s="9"/>
      <c r="J154" s="4"/>
      <c r="K154" s="4"/>
      <c r="L154" s="4">
        <f>IF($K154="","",K154-J154)</f>
      </c>
      <c r="M154" s="4">
        <f>IF($K154="","",L154*16.67%)</f>
      </c>
      <c r="N154" s="4">
        <f>IF($K154="","",K154*3.96%)</f>
      </c>
      <c r="O154" s="4">
        <f>IF($K154="","",N154*20%)</f>
      </c>
      <c r="P154" s="4">
        <f>IF($K154="","",N154+O154)</f>
      </c>
      <c r="Q154" s="4"/>
      <c r="R154" s="4">
        <f>IF($K154="","",Q154*20%)</f>
      </c>
      <c r="S154" s="4">
        <v>1</v>
      </c>
      <c r="T154" s="4">
        <f>IF($K154="","",R154)</f>
      </c>
      <c r="U154" s="4">
        <f>IF($K154="","",L154-M154-N154-Q154-R154-S154)</f>
      </c>
      <c r="V154" s="4">
        <f>IF($K154="","",(U154-AB154)/J154*100)</f>
      </c>
      <c r="W154" s="4">
        <f>IF($K154="","",M154-T154)</f>
      </c>
      <c r="AC154" s="4">
        <f>IF($K154="","",U154-AB154)</f>
      </c>
    </row>
    <row r="155" spans="1:34" x14ac:dyDescent="0.25">
      <c r="A155" s="8"/>
      <c r="D155" s="9"/>
      <c r="J155" s="4"/>
      <c r="K155" s="4"/>
      <c r="L155" s="4">
        <f>IF($K155="","",K155-J155)</f>
      </c>
      <c r="M155" s="4">
        <f>IF($K155="","",L155*16.67%)</f>
      </c>
      <c r="N155" s="4">
        <f>IF($K155="","",K155*3.96%)</f>
      </c>
      <c r="O155" s="4">
        <f>IF($K155="","",N155*20%)</f>
      </c>
      <c r="P155" s="4">
        <f>IF($K155="","",N155+O155)</f>
      </c>
      <c r="Q155" s="4"/>
      <c r="R155" s="4">
        <f>IF($K155="","",Q155*20%)</f>
      </c>
      <c r="S155" s="4">
        <v>1</v>
      </c>
      <c r="T155" s="4">
        <f>IF($K155="","",R155)</f>
      </c>
      <c r="U155" s="4">
        <f>IF($K155="","",L155-M155-N155-Q155-R155-S155)</f>
      </c>
      <c r="V155" s="4">
        <f>IF($K155="","",(U155-AB155)/J155*100)</f>
      </c>
      <c r="W155" s="4">
        <f>IF($K155="","",M155-T155)</f>
      </c>
      <c r="AC155" s="4">
        <f>IF($K155="","",U155-AB155)</f>
      </c>
    </row>
    <row r="156" spans="1:34" x14ac:dyDescent="0.25">
      <c r="A156" s="8"/>
      <c r="D156" s="9"/>
      <c r="J156" s="4"/>
      <c r="K156" s="4"/>
      <c r="L156" s="4">
        <f>IF($K156="","",K156-J156)</f>
      </c>
      <c r="M156" s="4">
        <f>IF($K156="","",L156*16.67%)</f>
      </c>
      <c r="N156" s="4">
        <f>IF($K156="","",K156*3.96%)</f>
      </c>
      <c r="O156" s="4">
        <f>IF($K156="","",N156*20%)</f>
      </c>
      <c r="P156" s="4">
        <f>IF($K156="","",N156+O156)</f>
      </c>
      <c r="Q156" s="4"/>
      <c r="R156" s="4">
        <f>IF($K156="","",Q156*20%)</f>
      </c>
      <c r="S156" s="4">
        <v>1</v>
      </c>
      <c r="T156" s="4">
        <f>IF($K156="","",R156)</f>
      </c>
      <c r="U156" s="4">
        <f>IF($K156="","",L156-M156-N156-Q156-R156-S156)</f>
      </c>
      <c r="V156" s="4">
        <f>IF($K156="","",(U156-AB156)/J156*100)</f>
      </c>
      <c r="W156" s="4">
        <f>IF($K156="","",M156-T156)</f>
      </c>
      <c r="AC156" s="4">
        <f>IF($K156="","",U156-AB156)</f>
      </c>
    </row>
    <row r="157" spans="1:34" x14ac:dyDescent="0.25">
      <c r="A157" s="8"/>
      <c r="D157" s="9"/>
      <c r="J157" s="4"/>
      <c r="K157" s="4"/>
      <c r="L157" s="4">
        <f>IF($K157="","",K157-J157)</f>
      </c>
      <c r="M157" s="4">
        <f>IF($K157="","",L157*16.67%)</f>
      </c>
      <c r="N157" s="4">
        <f>IF($K157="","",K157*3.96%)</f>
      </c>
      <c r="O157" s="4">
        <f>IF($K157="","",N157*20%)</f>
      </c>
      <c r="P157" s="4">
        <f>IF($K157="","",N157+O157)</f>
      </c>
      <c r="Q157" s="4"/>
      <c r="R157" s="4">
        <f>IF($K157="","",Q157*20%)</f>
      </c>
      <c r="S157" s="4">
        <v>1</v>
      </c>
      <c r="T157" s="4">
        <f>IF($K157="","",R157)</f>
      </c>
      <c r="U157" s="4">
        <f>IF($K157="","",L157-M157-N157-Q157-R157-S157)</f>
      </c>
      <c r="V157" s="4">
        <f>IF($K157="","",(U157-AB157)/J157*100)</f>
      </c>
      <c r="W157" s="4">
        <f>IF($K157="","",M157-T157)</f>
      </c>
      <c r="AC157" s="4">
        <f>IF($K157="","",U157-AB157)</f>
      </c>
    </row>
    <row r="158" spans="1:34" x14ac:dyDescent="0.25">
      <c r="A158" s="8"/>
      <c r="D158" s="9"/>
      <c r="J158" s="4"/>
      <c r="K158" s="4"/>
      <c r="L158" s="4">
        <f>IF($K158="","",K158-J158)</f>
      </c>
      <c r="M158" s="4">
        <f>IF($K158="","",L158*16.67%)</f>
      </c>
      <c r="N158" s="4">
        <f>IF($K158="","",K158*3.96%)</f>
      </c>
      <c r="O158" s="4">
        <f>IF($K158="","",N158*20%)</f>
      </c>
      <c r="P158" s="4">
        <f>IF($K158="","",N158+O158)</f>
      </c>
      <c r="Q158" s="4"/>
      <c r="R158" s="4">
        <f>IF($K158="","",Q158*20%)</f>
      </c>
      <c r="S158" s="4">
        <v>1</v>
      </c>
      <c r="T158" s="4">
        <f>IF($K158="","",R158)</f>
      </c>
      <c r="U158" s="4">
        <f>IF($K158="","",L158-M158-N158-Q158-R158-S158)</f>
      </c>
      <c r="V158" s="4">
        <f>IF($K158="","",(U158-AB158)/J158*100)</f>
      </c>
      <c r="W158" s="4">
        <f>IF($K158="","",M158-T158)</f>
      </c>
      <c r="AC158" s="4">
        <f>IF($K158="","",U158-AB158)</f>
      </c>
    </row>
    <row r="159" spans="1:34" x14ac:dyDescent="0.25">
      <c r="A159" s="8"/>
      <c r="D159" s="9"/>
      <c r="J159" s="4"/>
      <c r="K159" s="4"/>
      <c r="L159" s="4">
        <f>IF($K159="","",K159-J159)</f>
      </c>
      <c r="M159" s="4">
        <f>IF($K159="","",L159*16.67%)</f>
      </c>
      <c r="N159" s="4">
        <f>IF($K159="","",K159*3.96%)</f>
      </c>
      <c r="O159" s="4">
        <f>IF($K159="","",N159*20%)</f>
      </c>
      <c r="P159" s="4">
        <f>IF($K159="","",N159+O159)</f>
      </c>
      <c r="Q159" s="4"/>
      <c r="R159" s="4">
        <f>IF($K159="","",Q159*20%)</f>
      </c>
      <c r="S159" s="4">
        <v>1</v>
      </c>
      <c r="T159" s="4">
        <f>IF($K159="","",R159)</f>
      </c>
      <c r="U159" s="4">
        <f>IF($K159="","",L159-M159-N159-Q159-R159-S159)</f>
      </c>
      <c r="V159" s="4">
        <f>IF($K159="","",(U159-AB159)/J159*100)</f>
      </c>
      <c r="W159" s="4">
        <f>IF($K159="","",M159-T159)</f>
      </c>
      <c r="AC159" s="4">
        <f>IF($K159="","",U159-AB159)</f>
      </c>
    </row>
    <row r="160" spans="1:34" x14ac:dyDescent="0.25">
      <c r="A160" s="8"/>
      <c r="D160" s="9"/>
      <c r="J160" s="4"/>
      <c r="K160" s="4"/>
      <c r="L160" s="4">
        <f>IF($K160="","",K160-J160)</f>
      </c>
      <c r="M160" s="4">
        <f>IF($K160="","",L160*16.67%)</f>
      </c>
      <c r="N160" s="4">
        <f>IF($K160="","",K160*3.96%)</f>
      </c>
      <c r="O160" s="4">
        <f>IF($K160="","",N160*20%)</f>
      </c>
      <c r="P160" s="4">
        <f>IF($K160="","",N160+O160)</f>
      </c>
      <c r="Q160" s="4"/>
      <c r="R160" s="4">
        <f>IF($K160="","",Q160*20%)</f>
      </c>
      <c r="S160" s="4">
        <v>1</v>
      </c>
      <c r="T160" s="4">
        <f>IF($K160="","",R160)</f>
      </c>
      <c r="U160" s="4">
        <f>IF($K160="","",L160-M160-N160-Q160-R160-S160)</f>
      </c>
      <c r="V160" s="4">
        <f>IF($K160="","",(U160-AB160)/J160*100)</f>
      </c>
      <c r="W160" s="4">
        <f>IF($K160="","",M160-T160)</f>
      </c>
      <c r="AC160" s="4">
        <f>IF($K160="","",U160-AB160)</f>
      </c>
    </row>
    <row r="161" spans="1:34" x14ac:dyDescent="0.25">
      <c r="A161" s="8"/>
      <c r="D161" s="9"/>
      <c r="J161" s="4"/>
      <c r="K161" s="4"/>
      <c r="L161" s="4">
        <f>IF($K161="","",K161-J161)</f>
      </c>
      <c r="M161" s="4">
        <f>IF($K161="","",L161*16.67%)</f>
      </c>
      <c r="N161" s="4">
        <f>IF($K161="","",K161*3.96%)</f>
      </c>
      <c r="O161" s="4">
        <f>IF($K161="","",N161*20%)</f>
      </c>
      <c r="P161" s="4">
        <f>IF($K161="","",N161+O161)</f>
      </c>
      <c r="Q161" s="4"/>
      <c r="R161" s="4">
        <f>IF($K161="","",Q161*20%)</f>
      </c>
      <c r="S161" s="4">
        <v>1</v>
      </c>
      <c r="T161" s="4">
        <f>IF($K161="","",R161)</f>
      </c>
      <c r="U161" s="4">
        <f>IF($K161="","",L161-M161-N161-Q161-R161-S161)</f>
      </c>
      <c r="V161" s="4">
        <f>IF($K161="","",(U161-AB161)/J161*100)</f>
      </c>
      <c r="W161" s="4">
        <f>IF($K161="","",M161-T161)</f>
      </c>
      <c r="AC161" s="4">
        <f>IF($K161="","",U161-AB161)</f>
      </c>
    </row>
    <row r="162" spans="1:34" x14ac:dyDescent="0.25">
      <c r="A162" s="8"/>
      <c r="D162" s="9"/>
      <c r="J162" s="4"/>
      <c r="K162" s="4"/>
      <c r="L162" s="4">
        <f>IF($K162="","",K162-J162)</f>
      </c>
      <c r="M162" s="4">
        <f>IF($K162="","",L162*16.67%)</f>
      </c>
      <c r="N162" s="4">
        <f>IF($K162="","",K162*3.96%)</f>
      </c>
      <c r="O162" s="4">
        <f>IF($K162="","",N162*20%)</f>
      </c>
      <c r="P162" s="4">
        <f>IF($K162="","",N162+O162)</f>
      </c>
      <c r="Q162" s="4"/>
      <c r="R162" s="4">
        <f>IF($K162="","",Q162*20%)</f>
      </c>
      <c r="S162" s="4">
        <v>1</v>
      </c>
      <c r="T162" s="4">
        <f>IF($K162="","",R162)</f>
      </c>
      <c r="U162" s="4">
        <f>IF($K162="","",L162-M162-N162-Q162-R162-S162)</f>
      </c>
      <c r="V162" s="4">
        <f>IF($K162="","",(U162-AB162)/J162*100)</f>
      </c>
      <c r="W162" s="4">
        <f>IF($K162="","",M162-T162)</f>
      </c>
      <c r="AC162" s="4">
        <f>IF($K162="","",U162-AB162)</f>
      </c>
    </row>
    <row r="163" spans="1:34" x14ac:dyDescent="0.25">
      <c r="A163" s="8"/>
      <c r="D163" s="9"/>
      <c r="J163" s="4"/>
      <c r="K163" s="4"/>
      <c r="L163" s="4">
        <f>IF($K163="","",K163-J163)</f>
      </c>
      <c r="M163" s="4">
        <f>IF($K163="","",L163*16.67%)</f>
      </c>
      <c r="N163" s="4">
        <f>IF($K163="","",K163*3.96%)</f>
      </c>
      <c r="O163" s="4">
        <f>IF($K163="","",N163*20%)</f>
      </c>
      <c r="P163" s="4">
        <f>IF($K163="","",N163+O163)</f>
      </c>
      <c r="Q163" s="4"/>
      <c r="R163" s="4">
        <f>IF($K163="","",Q163*20%)</f>
      </c>
      <c r="S163" s="4">
        <v>1</v>
      </c>
      <c r="T163" s="4">
        <f>IF($K163="","",R163)</f>
      </c>
      <c r="U163" s="4">
        <f>IF($K163="","",L163-M163-N163-Q163-R163-S163)</f>
      </c>
      <c r="V163" s="4">
        <f>IF($K163="","",(U163-AB163)/J163*100)</f>
      </c>
      <c r="W163" s="4">
        <f>IF($K163="","",M163-T163)</f>
      </c>
      <c r="AC163" s="4">
        <f>IF($K163="","",U163-AB163)</f>
      </c>
    </row>
    <row r="164" spans="1:34" x14ac:dyDescent="0.25">
      <c r="A164" s="8"/>
      <c r="D164" s="9"/>
      <c r="J164" s="4"/>
      <c r="K164" s="4"/>
      <c r="L164" s="4">
        <f>IF($K164="","",K164-J164)</f>
      </c>
      <c r="M164" s="4">
        <f>IF($K164="","",L164*16.67%)</f>
      </c>
      <c r="N164" s="4">
        <f>IF($K164="","",K164*3.96%)</f>
      </c>
      <c r="O164" s="4">
        <f>IF($K164="","",N164*20%)</f>
      </c>
      <c r="P164" s="4">
        <f>IF($K164="","",N164+O164)</f>
      </c>
      <c r="Q164" s="4"/>
      <c r="R164" s="4">
        <f>IF($K164="","",Q164*20%)</f>
      </c>
      <c r="S164" s="4">
        <v>1</v>
      </c>
      <c r="T164" s="4">
        <f>IF($K164="","",R164)</f>
      </c>
      <c r="U164" s="4">
        <f>IF($K164="","",L164-M164-N164-Q164-R164-S164)</f>
      </c>
      <c r="V164" s="4">
        <f>IF($K164="","",(U164-AB164)/J164*100)</f>
      </c>
      <c r="W164" s="4">
        <f>IF($K164="","",M164-T164)</f>
      </c>
      <c r="AC164" s="4">
        <f>IF($K164="","",U164-AB164)</f>
      </c>
    </row>
    <row r="165" spans="1:34" x14ac:dyDescent="0.25">
      <c r="A165" s="8"/>
      <c r="D165" s="9"/>
      <c r="J165" s="4"/>
      <c r="K165" s="4"/>
      <c r="L165" s="4">
        <f>IF($K165="","",K165-J165)</f>
      </c>
      <c r="M165" s="4">
        <f>IF($K165="","",L165*16.67%)</f>
      </c>
      <c r="N165" s="4">
        <f>IF($K165="","",K165*3.96%)</f>
      </c>
      <c r="O165" s="4">
        <f>IF($K165="","",N165*20%)</f>
      </c>
      <c r="P165" s="4">
        <f>IF($K165="","",N165+O165)</f>
      </c>
      <c r="Q165" s="4"/>
      <c r="R165" s="4">
        <f>IF($K165="","",Q165*20%)</f>
      </c>
      <c r="S165" s="4">
        <v>1</v>
      </c>
      <c r="T165" s="4">
        <f>IF($K165="","",R165)</f>
      </c>
      <c r="U165" s="4">
        <f>IF($K165="","",L165-M165-N165-Q165-R165-S165)</f>
      </c>
      <c r="V165" s="4">
        <f>IF($K165="","",(U165-AB165)/J165*100)</f>
      </c>
      <c r="W165" s="4">
        <f>IF($K165="","",M165-T165)</f>
      </c>
      <c r="AC165" s="4">
        <f>IF($K165="","",U165-AB165)</f>
      </c>
    </row>
    <row r="166" spans="1:34" x14ac:dyDescent="0.25">
      <c r="A166" s="8"/>
      <c r="D166" s="9"/>
      <c r="J166" s="4"/>
      <c r="K166" s="4"/>
      <c r="L166" s="4">
        <f>IF($K166="","",K166-J166)</f>
      </c>
      <c r="M166" s="4">
        <f>IF($K166="","",L166*16.67%)</f>
      </c>
      <c r="N166" s="4">
        <f>IF($K166="","",K166*3.96%)</f>
      </c>
      <c r="O166" s="4">
        <f>IF($K166="","",N166*20%)</f>
      </c>
      <c r="P166" s="4">
        <f>IF($K166="","",N166+O166)</f>
      </c>
      <c r="Q166" s="4"/>
      <c r="R166" s="4">
        <f>IF($K166="","",Q166*20%)</f>
      </c>
      <c r="S166" s="4">
        <v>1</v>
      </c>
      <c r="T166" s="4">
        <f>IF($K166="","",R166)</f>
      </c>
      <c r="U166" s="4">
        <f>IF($K166="","",L166-M166-N166-Q166-R166-S166)</f>
      </c>
      <c r="V166" s="4">
        <f>IF($K166="","",(U166-AB166)/J166*100)</f>
      </c>
      <c r="W166" s="4">
        <f>IF($K166="","",M166-T166)</f>
      </c>
      <c r="AC166" s="4">
        <f>IF($K166="","",U166-AB166)</f>
      </c>
    </row>
    <row r="167" spans="1:34" x14ac:dyDescent="0.25">
      <c r="A167" s="8"/>
      <c r="D167" s="9"/>
      <c r="J167" s="4"/>
      <c r="K167" s="4"/>
      <c r="L167" s="4">
        <f>IF($K167="","",K167-J167)</f>
      </c>
      <c r="M167" s="4">
        <f>IF($K167="","",L167*16.67%)</f>
      </c>
      <c r="N167" s="4">
        <f>IF($K167="","",K167*3.96%)</f>
      </c>
      <c r="O167" s="4">
        <f>IF($K167="","",N167*20%)</f>
      </c>
      <c r="P167" s="4">
        <f>IF($K167="","",N167+O167)</f>
      </c>
      <c r="Q167" s="4"/>
      <c r="R167" s="4">
        <f>IF($K167="","",Q167*20%)</f>
      </c>
      <c r="S167" s="4">
        <v>1</v>
      </c>
      <c r="T167" s="4">
        <f>IF($K167="","",R167)</f>
      </c>
      <c r="U167" s="4">
        <f>IF($K167="","",L167-M167-N167-Q167-R167-S167)</f>
      </c>
      <c r="V167" s="4">
        <f>IF($K167="","",(U167-AB167)/J167*100)</f>
      </c>
      <c r="W167" s="4">
        <f>IF($K167="","",M167-T167)</f>
      </c>
      <c r="AC167" s="4">
        <f>IF($K167="","",U167-AB167)</f>
      </c>
    </row>
    <row r="168" spans="1:34" x14ac:dyDescent="0.25">
      <c r="A168" s="8"/>
      <c r="D168" s="9"/>
      <c r="J168" s="4"/>
      <c r="K168" s="4"/>
      <c r="L168" s="4">
        <f>IF($K168="","",K168-J168)</f>
      </c>
      <c r="M168" s="4">
        <f>IF($K168="","",L168*16.67%)</f>
      </c>
      <c r="N168" s="4">
        <f>IF($K168="","",K168*3.96%)</f>
      </c>
      <c r="O168" s="4">
        <f>IF($K168="","",N168*20%)</f>
      </c>
      <c r="P168" s="4">
        <f>IF($K168="","",N168+O168)</f>
      </c>
      <c r="Q168" s="4"/>
      <c r="R168" s="4">
        <f>IF($K168="","",Q168*20%)</f>
      </c>
      <c r="S168" s="4">
        <v>1</v>
      </c>
      <c r="T168" s="4">
        <f>IF($K168="","",R168)</f>
      </c>
      <c r="U168" s="4">
        <f>IF($K168="","",L168-M168-N168-Q168-R168-S168)</f>
      </c>
      <c r="V168" s="4">
        <f>IF($K168="","",(U168-AB168)/J168*100)</f>
      </c>
      <c r="W168" s="4">
        <f>IF($K168="","",M168-T168)</f>
      </c>
      <c r="AC168" s="4">
        <f>IF($K168="","",U168-AB168)</f>
      </c>
    </row>
    <row r="169" spans="1:34" x14ac:dyDescent="0.25">
      <c r="A169" s="8"/>
      <c r="D169" s="9"/>
      <c r="J169" s="4"/>
      <c r="K169" s="4"/>
      <c r="L169" s="4">
        <f>IF($K169="","",K169-J169)</f>
      </c>
      <c r="M169" s="4">
        <f>IF($K169="","",L169*16.67%)</f>
      </c>
      <c r="N169" s="4">
        <f>IF($K169="","",K169*3.96%)</f>
      </c>
      <c r="O169" s="4">
        <f>IF($K169="","",N169*20%)</f>
      </c>
      <c r="P169" s="4">
        <f>IF($K169="","",N169+O169)</f>
      </c>
      <c r="Q169" s="4"/>
      <c r="R169" s="4">
        <f>IF($K169="","",Q169*20%)</f>
      </c>
      <c r="S169" s="4">
        <v>1</v>
      </c>
      <c r="T169" s="4">
        <f>IF($K169="","",R169)</f>
      </c>
      <c r="U169" s="4">
        <f>IF($K169="","",L169-M169-N169-Q169-R169-S169)</f>
      </c>
      <c r="V169" s="4">
        <f>IF($K169="","",(U169-AB169)/J169*100)</f>
      </c>
      <c r="W169" s="4">
        <f>IF($K169="","",M169-T169)</f>
      </c>
      <c r="AC169" s="4">
        <f>IF($K169="","",U169-AB169)</f>
      </c>
    </row>
    <row r="170" spans="1:34" x14ac:dyDescent="0.25">
      <c r="A170" s="8"/>
      <c r="D170" s="9"/>
      <c r="J170" s="4"/>
      <c r="K170" s="4"/>
      <c r="L170" s="4">
        <f>IF($K170="","",K170-J170)</f>
      </c>
      <c r="M170" s="4">
        <f>IF($K170="","",L170*16.67%)</f>
      </c>
      <c r="N170" s="4">
        <f>IF($K170="","",K170*3.96%)</f>
      </c>
      <c r="O170" s="4">
        <f>IF($K170="","",N170*20%)</f>
      </c>
      <c r="P170" s="4">
        <f>IF($K170="","",N170+O170)</f>
      </c>
      <c r="Q170" s="4"/>
      <c r="R170" s="4">
        <f>IF($K170="","",Q170*20%)</f>
      </c>
      <c r="S170" s="4">
        <v>1</v>
      </c>
      <c r="T170" s="4">
        <f>IF($K170="","",R170)</f>
      </c>
      <c r="U170" s="4">
        <f>IF($K170="","",L170-M170-N170-Q170-R170-S170)</f>
      </c>
      <c r="V170" s="4">
        <f>IF($K170="","",(U170-AB170)/J170*100)</f>
      </c>
      <c r="W170" s="4">
        <f>IF($K170="","",M170-T170)</f>
      </c>
      <c r="AC170" s="4">
        <f>IF($K170="","",U170-AB170)</f>
      </c>
    </row>
    <row r="171" spans="1:34" x14ac:dyDescent="0.25">
      <c r="A171" s="8"/>
      <c r="D171" s="9"/>
      <c r="J171" s="4"/>
      <c r="K171" s="4"/>
      <c r="L171" s="4">
        <f>IF($K171="","",K171-J171)</f>
      </c>
      <c r="M171" s="4">
        <f>IF($K171="","",L171*16.67%)</f>
      </c>
      <c r="N171" s="4">
        <f>IF($K171="","",K171*3.96%)</f>
      </c>
      <c r="O171" s="4">
        <f>IF($K171="","",N171*20%)</f>
      </c>
      <c r="P171" s="4">
        <f>IF($K171="","",N171+O171)</f>
      </c>
      <c r="Q171" s="4"/>
      <c r="R171" s="4">
        <f>IF($K171="","",Q171*20%)</f>
      </c>
      <c r="S171" s="4">
        <v>1</v>
      </c>
      <c r="T171" s="4">
        <f>IF($K171="","",R171)</f>
      </c>
      <c r="U171" s="4">
        <f>IF($K171="","",L171-M171-N171-Q171-R171-S171)</f>
      </c>
      <c r="V171" s="4">
        <f>IF($K171="","",(U171-AB171)/J171*100)</f>
      </c>
      <c r="W171" s="4">
        <f>IF($K171="","",M171-T171)</f>
      </c>
      <c r="AC171" s="4">
        <f>IF($K171="","",U171-AB171)</f>
      </c>
    </row>
    <row r="172" spans="1:34" x14ac:dyDescent="0.25">
      <c r="A172" s="8"/>
      <c r="D172" s="9"/>
      <c r="J172" s="4"/>
      <c r="K172" s="4"/>
      <c r="L172" s="4">
        <f>IF($K172="","",K172-J172)</f>
      </c>
      <c r="M172" s="4">
        <f>IF($K172="","",L172*16.67%)</f>
      </c>
      <c r="N172" s="4">
        <f>IF($K172="","",K172*3.96%)</f>
      </c>
      <c r="O172" s="4">
        <f>IF($K172="","",N172*20%)</f>
      </c>
      <c r="P172" s="4">
        <f>IF($K172="","",N172+O172)</f>
      </c>
      <c r="Q172" s="4"/>
      <c r="R172" s="4">
        <f>IF($K172="","",Q172*20%)</f>
      </c>
      <c r="S172" s="4">
        <v>1</v>
      </c>
      <c r="T172" s="4">
        <f>IF($K172="","",R172)</f>
      </c>
      <c r="U172" s="4">
        <f>IF($K172="","",L172-M172-N172-Q172-R172-S172)</f>
      </c>
      <c r="V172" s="4">
        <f>IF($K172="","",(U172-AB172)/J172*100)</f>
      </c>
      <c r="W172" s="4">
        <f>IF($K172="","",M172-T172)</f>
      </c>
      <c r="AC172" s="4">
        <f>IF($K172="","",U172-AB172)</f>
      </c>
    </row>
    <row r="173" spans="1:34" x14ac:dyDescent="0.25">
      <c r="A173" s="8"/>
      <c r="D173" s="9"/>
      <c r="J173" s="4"/>
      <c r="K173" s="4"/>
      <c r="L173" s="4">
        <f>IF($K173="","",K173-J173)</f>
      </c>
      <c r="M173" s="4">
        <f>IF($K173="","",L173*16.67%)</f>
      </c>
      <c r="N173" s="4">
        <f>IF($K173="","",K173*3.96%)</f>
      </c>
      <c r="O173" s="4">
        <f>IF($K173="","",N173*20%)</f>
      </c>
      <c r="P173" s="4">
        <f>IF($K173="","",N173+O173)</f>
      </c>
      <c r="Q173" s="4"/>
      <c r="R173" s="4">
        <f>IF($K173="","",Q173*20%)</f>
      </c>
      <c r="S173" s="4">
        <v>1</v>
      </c>
      <c r="T173" s="4">
        <f>IF($K173="","",R173)</f>
      </c>
      <c r="U173" s="4">
        <f>IF($K173="","",L173-M173-N173-Q173-R173-S173)</f>
      </c>
      <c r="V173" s="4">
        <f>IF($K173="","",(U173-AB173)/J173*100)</f>
      </c>
      <c r="W173" s="4">
        <f>IF($K173="","",M173-T173)</f>
      </c>
      <c r="AC173" s="4">
        <f>IF($K173="","",U173-AB173)</f>
      </c>
    </row>
    <row r="174" spans="1:34" x14ac:dyDescent="0.25">
      <c r="A174" s="8"/>
      <c r="D174" s="9"/>
      <c r="J174" s="4"/>
      <c r="K174" s="4"/>
      <c r="L174" s="4">
        <f>IF($K174="","",K174-J174)</f>
      </c>
      <c r="M174" s="4">
        <f>IF($K174="","",L174*16.67%)</f>
      </c>
      <c r="N174" s="4">
        <f>IF($K174="","",K174*3.96%)</f>
      </c>
      <c r="O174" s="4">
        <f>IF($K174="","",N174*20%)</f>
      </c>
      <c r="P174" s="4">
        <f>IF($K174="","",N174+O174)</f>
      </c>
      <c r="Q174" s="4"/>
      <c r="R174" s="4">
        <f>IF($K174="","",Q174*20%)</f>
      </c>
      <c r="S174" s="4">
        <v>1</v>
      </c>
      <c r="T174" s="4">
        <f>IF($K174="","",R174)</f>
      </c>
      <c r="U174" s="4">
        <f>IF($K174="","",L174-M174-N174-Q174-R174-S174)</f>
      </c>
      <c r="V174" s="4">
        <f>IF($K174="","",(U174-AB174)/J174*100)</f>
      </c>
      <c r="W174" s="4">
        <f>IF($K174="","",M174-T174)</f>
      </c>
      <c r="AC174" s="4">
        <f>IF($K174="","",U174-AB174)</f>
      </c>
    </row>
    <row r="175" spans="1:34" x14ac:dyDescent="0.25">
      <c r="A175" s="8"/>
      <c r="D175" s="9"/>
      <c r="J175" s="4"/>
      <c r="K175" s="4"/>
      <c r="L175" s="4">
        <f>IF($K175="","",K175-J175)</f>
      </c>
      <c r="M175" s="4">
        <f>IF($K175="","",L175*16.67%)</f>
      </c>
      <c r="N175" s="4">
        <f>IF($K175="","",K175*3.96%)</f>
      </c>
      <c r="O175" s="4">
        <f>IF($K175="","",N175*20%)</f>
      </c>
      <c r="P175" s="4">
        <f>IF($K175="","",N175+O175)</f>
      </c>
      <c r="Q175" s="4"/>
      <c r="R175" s="4">
        <f>IF($K175="","",Q175*20%)</f>
      </c>
      <c r="S175" s="4">
        <v>1</v>
      </c>
      <c r="T175" s="4">
        <f>IF($K175="","",R175)</f>
      </c>
      <c r="U175" s="4">
        <f>IF($K175="","",L175-M175-N175-Q175-R175-S175)</f>
      </c>
      <c r="V175" s="4">
        <f>IF($K175="","",(U175-AB175)/J175*100)</f>
      </c>
      <c r="W175" s="4">
        <f>IF($K175="","",M175-T175)</f>
      </c>
      <c r="AC175" s="4">
        <f>IF($K175="","",U175-AB175)</f>
      </c>
    </row>
    <row r="176" spans="1:34" x14ac:dyDescent="0.25">
      <c r="A176" s="8"/>
      <c r="D176" s="9"/>
      <c r="J176" s="4"/>
      <c r="K176" s="4"/>
      <c r="L176" s="4">
        <f>IF($K176="","",K176-J176)</f>
      </c>
      <c r="M176" s="4">
        <f>IF($K176="","",L176*16.67%)</f>
      </c>
      <c r="N176" s="4">
        <f>IF($K176="","",K176*3.96%)</f>
      </c>
      <c r="O176" s="4">
        <f>IF($K176="","",N176*20%)</f>
      </c>
      <c r="P176" s="4">
        <f>IF($K176="","",N176+O176)</f>
      </c>
      <c r="Q176" s="4"/>
      <c r="R176" s="4">
        <f>IF($K176="","",Q176*20%)</f>
      </c>
      <c r="S176" s="4">
        <v>1</v>
      </c>
      <c r="T176" s="4">
        <f>IF($K176="","",R176)</f>
      </c>
      <c r="U176" s="4">
        <f>IF($K176="","",L176-M176-N176-Q176-R176-S176)</f>
      </c>
      <c r="V176" s="4">
        <f>IF($K176="","",(U176-AB176)/J176*100)</f>
      </c>
      <c r="W176" s="4">
        <f>IF($K176="","",M176-T176)</f>
      </c>
      <c r="AC176" s="4">
        <f>IF($K176="","",U176-AB176)</f>
      </c>
    </row>
    <row r="177" spans="1:34" x14ac:dyDescent="0.25">
      <c r="A177" s="8"/>
      <c r="D177" s="9"/>
      <c r="J177" s="4"/>
      <c r="K177" s="4"/>
      <c r="L177" s="4">
        <f>IF($K177="","",K177-J177)</f>
      </c>
      <c r="M177" s="4">
        <f>IF($K177="","",L177*16.67%)</f>
      </c>
      <c r="N177" s="4">
        <f>IF($K177="","",K177*3.96%)</f>
      </c>
      <c r="O177" s="4">
        <f>IF($K177="","",N177*20%)</f>
      </c>
      <c r="P177" s="4">
        <f>IF($K177="","",N177+O177)</f>
      </c>
      <c r="Q177" s="4"/>
      <c r="R177" s="4">
        <f>IF($K177="","",Q177*20%)</f>
      </c>
      <c r="S177" s="4">
        <v>1</v>
      </c>
      <c r="T177" s="4">
        <f>IF($K177="","",R177)</f>
      </c>
      <c r="U177" s="4">
        <f>IF($K177="","",L177-M177-N177-Q177-R177-S177)</f>
      </c>
      <c r="V177" s="4">
        <f>IF($K177="","",(U177-AB177)/J177*100)</f>
      </c>
      <c r="W177" s="4">
        <f>IF($K177="","",M177-T177)</f>
      </c>
      <c r="AC177" s="4">
        <f>IF($K177="","",U177-AB177)</f>
      </c>
    </row>
    <row r="178" spans="1:34" x14ac:dyDescent="0.25">
      <c r="A178" s="8"/>
      <c r="D178" s="9"/>
      <c r="J178" s="4"/>
      <c r="K178" s="4"/>
      <c r="L178" s="4">
        <f>IF($K178="","",K178-J178)</f>
      </c>
      <c r="M178" s="4">
        <f>IF($K178="","",L178*16.67%)</f>
      </c>
      <c r="N178" s="4">
        <f>IF($K178="","",K178*3.96%)</f>
      </c>
      <c r="O178" s="4">
        <f>IF($K178="","",N178*20%)</f>
      </c>
      <c r="P178" s="4">
        <f>IF($K178="","",N178+O178)</f>
      </c>
      <c r="Q178" s="4"/>
      <c r="R178" s="4">
        <f>IF($K178="","",Q178*20%)</f>
      </c>
      <c r="S178" s="4">
        <v>1</v>
      </c>
      <c r="T178" s="4">
        <f>IF($K178="","",R178)</f>
      </c>
      <c r="U178" s="4">
        <f>IF($K178="","",L178-M178-N178-Q178-R178-S178)</f>
      </c>
      <c r="V178" s="4">
        <f>IF($K178="","",(U178-AB178)/J178*100)</f>
      </c>
      <c r="W178" s="4">
        <f>IF($K178="","",M178-T178)</f>
      </c>
      <c r="AC178" s="4">
        <f>IF($K178="","",U178-AB178)</f>
      </c>
    </row>
    <row r="179" spans="1:34" x14ac:dyDescent="0.25">
      <c r="A179" s="8"/>
      <c r="D179" s="9"/>
      <c r="J179" s="4"/>
      <c r="K179" s="4"/>
      <c r="L179" s="4">
        <f>IF($K179="","",K179-J179)</f>
      </c>
      <c r="M179" s="4">
        <f>IF($K179="","",L179*16.67%)</f>
      </c>
      <c r="N179" s="4">
        <f>IF($K179="","",K179*3.96%)</f>
      </c>
      <c r="O179" s="4">
        <f>IF($K179="","",N179*20%)</f>
      </c>
      <c r="P179" s="4">
        <f>IF($K179="","",N179+O179)</f>
      </c>
      <c r="Q179" s="4"/>
      <c r="R179" s="4">
        <f>IF($K179="","",Q179*20%)</f>
      </c>
      <c r="S179" s="4">
        <v>1</v>
      </c>
      <c r="T179" s="4">
        <f>IF($K179="","",R179)</f>
      </c>
      <c r="U179" s="4">
        <f>IF($K179="","",L179-M179-N179-Q179-R179-S179)</f>
      </c>
      <c r="V179" s="4">
        <f>IF($K179="","",(U179-AB179)/J179*100)</f>
      </c>
      <c r="W179" s="4">
        <f>IF($K179="","",M179-T179)</f>
      </c>
      <c r="AC179" s="4">
        <f>IF($K179="","",U179-AB179)</f>
      </c>
    </row>
    <row r="180" spans="1:34" x14ac:dyDescent="0.25">
      <c r="A180" s="8"/>
      <c r="D180" s="9"/>
      <c r="J180" s="4"/>
      <c r="K180" s="4"/>
      <c r="L180" s="4">
        <f>IF($K180="","",K180-J180)</f>
      </c>
      <c r="M180" s="4">
        <f>IF($K180="","",L180*16.67%)</f>
      </c>
      <c r="N180" s="4">
        <f>IF($K180="","",K180*3.96%)</f>
      </c>
      <c r="O180" s="4">
        <f>IF($K180="","",N180*20%)</f>
      </c>
      <c r="P180" s="4">
        <f>IF($K180="","",N180+O180)</f>
      </c>
      <c r="Q180" s="4"/>
      <c r="R180" s="4">
        <f>IF($K180="","",Q180*20%)</f>
      </c>
      <c r="S180" s="4">
        <v>1</v>
      </c>
      <c r="T180" s="4">
        <f>IF($K180="","",R180)</f>
      </c>
      <c r="U180" s="4">
        <f>IF($K180="","",L180-M180-N180-Q180-R180-S180)</f>
      </c>
      <c r="V180" s="4">
        <f>IF($K180="","",(U180-AB180)/J180*100)</f>
      </c>
      <c r="W180" s="4">
        <f>IF($K180="","",M180-T180)</f>
      </c>
      <c r="AC180" s="4">
        <f>IF($K180="","",U180-AB180)</f>
      </c>
    </row>
    <row r="181" spans="1:34" x14ac:dyDescent="0.25">
      <c r="A181" s="8"/>
      <c r="D181" s="9"/>
      <c r="J181" s="4"/>
      <c r="K181" s="4"/>
      <c r="L181" s="4">
        <f>IF($K181="","",K181-J181)</f>
      </c>
      <c r="M181" s="4">
        <f>IF($K181="","",L181*16.67%)</f>
      </c>
      <c r="N181" s="4">
        <f>IF($K181="","",K181*3.96%)</f>
      </c>
      <c r="O181" s="4">
        <f>IF($K181="","",N181*20%)</f>
      </c>
      <c r="P181" s="4">
        <f>IF($K181="","",N181+O181)</f>
      </c>
      <c r="Q181" s="4"/>
      <c r="R181" s="4">
        <f>IF($K181="","",Q181*20%)</f>
      </c>
      <c r="S181" s="4">
        <v>1</v>
      </c>
      <c r="T181" s="4">
        <f>IF($K181="","",R181)</f>
      </c>
      <c r="U181" s="4">
        <f>IF($K181="","",L181-M181-N181-Q181-R181-S181)</f>
      </c>
      <c r="V181" s="4">
        <f>IF($K181="","",(U181-AB181)/J181*100)</f>
      </c>
      <c r="W181" s="4">
        <f>IF($K181="","",M181-T181)</f>
      </c>
      <c r="AC181" s="4">
        <f>IF($K181="","",U181-AB181)</f>
      </c>
    </row>
    <row r="182" spans="1:34" x14ac:dyDescent="0.25">
      <c r="A182" s="8"/>
      <c r="D182" s="9"/>
      <c r="J182" s="4"/>
      <c r="K182" s="4"/>
      <c r="L182" s="4">
        <f>IF($K182="","",K182-J182)</f>
      </c>
      <c r="M182" s="4">
        <f>IF($K182="","",L182*16.67%)</f>
      </c>
      <c r="N182" s="4">
        <f>IF($K182="","",K182*3.96%)</f>
      </c>
      <c r="O182" s="4">
        <f>IF($K182="","",N182*20%)</f>
      </c>
      <c r="P182" s="4">
        <f>IF($K182="","",N182+O182)</f>
      </c>
      <c r="Q182" s="4"/>
      <c r="R182" s="4">
        <f>IF($K182="","",Q182*20%)</f>
      </c>
      <c r="S182" s="4">
        <v>1</v>
      </c>
      <c r="T182" s="4">
        <f>IF($K182="","",R182)</f>
      </c>
      <c r="U182" s="4">
        <f>IF($K182="","",L182-M182-N182-Q182-R182-S182)</f>
      </c>
      <c r="V182" s="4">
        <f>IF($K182="","",(U182-AB182)/J182*100)</f>
      </c>
      <c r="W182" s="4">
        <f>IF($K182="","",M182-T182)</f>
      </c>
      <c r="AC182" s="4">
        <f>IF($K182="","",U182-AB182)</f>
      </c>
    </row>
    <row r="183" spans="1:34" x14ac:dyDescent="0.25">
      <c r="A183" s="8"/>
      <c r="D183" s="9"/>
      <c r="J183" s="4"/>
      <c r="K183" s="4"/>
      <c r="L183" s="4">
        <f>IF($K183="","",K183-J183)</f>
      </c>
      <c r="M183" s="4">
        <f>IF($K183="","",L183*16.67%)</f>
      </c>
      <c r="N183" s="4">
        <f>IF($K183="","",K183*3.96%)</f>
      </c>
      <c r="O183" s="4">
        <f>IF($K183="","",N183*20%)</f>
      </c>
      <c r="P183" s="4">
        <f>IF($K183="","",N183+O183)</f>
      </c>
      <c r="Q183" s="4"/>
      <c r="R183" s="4">
        <f>IF($K183="","",Q183*20%)</f>
      </c>
      <c r="S183" s="4">
        <v>1</v>
      </c>
      <c r="T183" s="4">
        <f>IF($K183="","",R183)</f>
      </c>
      <c r="U183" s="4">
        <f>IF($K183="","",L183-M183-N183-Q183-R183-S183)</f>
      </c>
      <c r="V183" s="4">
        <f>IF($K183="","",(U183-AB183)/J183*100)</f>
      </c>
      <c r="W183" s="4">
        <f>IF($K183="","",M183-T183)</f>
      </c>
      <c r="AC183" s="4">
        <f>IF($K183="","",U183-AB183)</f>
      </c>
    </row>
    <row r="184" spans="1:34" x14ac:dyDescent="0.25">
      <c r="A184" s="8"/>
      <c r="D184" s="9"/>
      <c r="J184" s="4"/>
      <c r="K184" s="4"/>
      <c r="L184" s="4">
        <f>IF($K184="","",K184-J184)</f>
      </c>
      <c r="M184" s="4">
        <f>IF($K184="","",L184*16.67%)</f>
      </c>
      <c r="N184" s="4">
        <f>IF($K184="","",K184*3.96%)</f>
      </c>
      <c r="O184" s="4">
        <f>IF($K184="","",N184*20%)</f>
      </c>
      <c r="P184" s="4">
        <f>IF($K184="","",N184+O184)</f>
      </c>
      <c r="Q184" s="4"/>
      <c r="R184" s="4">
        <f>IF($K184="","",Q184*20%)</f>
      </c>
      <c r="S184" s="4">
        <v>1</v>
      </c>
      <c r="T184" s="4">
        <f>IF($K184="","",R184)</f>
      </c>
      <c r="U184" s="4">
        <f>IF($K184="","",L184-M184-N184-Q184-R184-S184)</f>
      </c>
      <c r="V184" s="4">
        <f>IF($K184="","",(U184-AB184)/J184*100)</f>
      </c>
      <c r="W184" s="4">
        <f>IF($K184="","",M184-T184)</f>
      </c>
      <c r="AC184" s="4">
        <f>IF($K184="","",U184-AB184)</f>
      </c>
    </row>
    <row r="185" spans="1:34" x14ac:dyDescent="0.25">
      <c r="A185" s="8"/>
      <c r="D185" s="9"/>
      <c r="J185" s="4"/>
      <c r="K185" s="4"/>
      <c r="L185" s="4">
        <f>IF($K185="","",K185-J185)</f>
      </c>
      <c r="M185" s="4">
        <f>IF($K185="","",L185*16.67%)</f>
      </c>
      <c r="N185" s="4">
        <f>IF($K185="","",K185*3.96%)</f>
      </c>
      <c r="O185" s="4">
        <f>IF($K185="","",N185*20%)</f>
      </c>
      <c r="P185" s="4">
        <f>IF($K185="","",N185+O185)</f>
      </c>
      <c r="Q185" s="4"/>
      <c r="R185" s="4">
        <f>IF($K185="","",Q185*20%)</f>
      </c>
      <c r="S185" s="4">
        <v>1</v>
      </c>
      <c r="T185" s="4">
        <f>IF($K185="","",R185)</f>
      </c>
      <c r="U185" s="4">
        <f>IF($K185="","",L185-M185-N185-Q185-R185-S185)</f>
      </c>
      <c r="V185" s="4">
        <f>IF($K185="","",(U185-AB185)/J185*100)</f>
      </c>
      <c r="W185" s="4">
        <f>IF($K185="","",M185-T185)</f>
      </c>
      <c r="AC185" s="4">
        <f>IF($K185="","",U185-AB185)</f>
      </c>
    </row>
    <row r="186" spans="1:34" x14ac:dyDescent="0.25">
      <c r="A186" s="8"/>
      <c r="D186" s="9"/>
      <c r="J186" s="4"/>
      <c r="K186" s="4"/>
      <c r="L186" s="4">
        <f>IF($K186="","",K186-J186)</f>
      </c>
      <c r="M186" s="4">
        <f>IF($K186="","",L186*16.67%)</f>
      </c>
      <c r="N186" s="4">
        <f>IF($K186="","",K186*3.96%)</f>
      </c>
      <c r="O186" s="4">
        <f>IF($K186="","",N186*20%)</f>
      </c>
      <c r="P186" s="4">
        <f>IF($K186="","",N186+O186)</f>
      </c>
      <c r="Q186" s="4"/>
      <c r="R186" s="4">
        <f>IF($K186="","",Q186*20%)</f>
      </c>
      <c r="S186" s="4">
        <v>1</v>
      </c>
      <c r="T186" s="4">
        <f>IF($K186="","",R186)</f>
      </c>
      <c r="U186" s="4">
        <f>IF($K186="","",L186-M186-N186-Q186-R186-S186)</f>
      </c>
      <c r="V186" s="4">
        <f>IF($K186="","",(U186-AB186)/J186*100)</f>
      </c>
      <c r="W186" s="4">
        <f>IF($K186="","",M186-T186)</f>
      </c>
      <c r="AC186" s="4">
        <f>IF($K186="","",U186-AB186)</f>
      </c>
    </row>
    <row r="187" spans="1:34" x14ac:dyDescent="0.25">
      <c r="A187" s="8"/>
      <c r="D187" s="9"/>
      <c r="J187" s="4"/>
      <c r="K187" s="4"/>
      <c r="L187" s="4">
        <f>IF($K187="","",K187-J187)</f>
      </c>
      <c r="M187" s="4">
        <f>IF($K187="","",L187*16.67%)</f>
      </c>
      <c r="N187" s="4">
        <f>IF($K187="","",K187*3.96%)</f>
      </c>
      <c r="O187" s="4">
        <f>IF($K187="","",N187*20%)</f>
      </c>
      <c r="P187" s="4">
        <f>IF($K187="","",N187+O187)</f>
      </c>
      <c r="Q187" s="4"/>
      <c r="R187" s="4">
        <f>IF($K187="","",Q187*20%)</f>
      </c>
      <c r="S187" s="4">
        <v>1</v>
      </c>
      <c r="T187" s="4">
        <f>IF($K187="","",R187)</f>
      </c>
      <c r="U187" s="4">
        <f>IF($K187="","",L187-M187-N187-Q187-R187-S187)</f>
      </c>
      <c r="V187" s="4">
        <f>IF($K187="","",(U187-AB187)/J187*100)</f>
      </c>
      <c r="W187" s="4">
        <f>IF($K187="","",M187-T187)</f>
      </c>
      <c r="AC187" s="4">
        <f>IF($K187="","",U187-AB187)</f>
      </c>
    </row>
    <row r="188" spans="1:34" x14ac:dyDescent="0.25">
      <c r="A188" s="8"/>
      <c r="D188" s="9"/>
      <c r="J188" s="4"/>
      <c r="K188" s="4"/>
      <c r="L188" s="4">
        <f>IF($K188="","",K188-J188)</f>
      </c>
      <c r="M188" s="4">
        <f>IF($K188="","",L188*16.67%)</f>
      </c>
      <c r="N188" s="4">
        <f>IF($K188="","",K188*3.96%)</f>
      </c>
      <c r="O188" s="4">
        <f>IF($K188="","",N188*20%)</f>
      </c>
      <c r="P188" s="4">
        <f>IF($K188="","",N188+O188)</f>
      </c>
      <c r="Q188" s="4"/>
      <c r="R188" s="4">
        <f>IF($K188="","",Q188*20%)</f>
      </c>
      <c r="S188" s="4">
        <v>1</v>
      </c>
      <c r="T188" s="4">
        <f>IF($K188="","",R188)</f>
      </c>
      <c r="U188" s="4">
        <f>IF($K188="","",L188-M188-N188-Q188-R188-S188)</f>
      </c>
      <c r="V188" s="4">
        <f>IF($K188="","",(U188-AB188)/J188*100)</f>
      </c>
      <c r="W188" s="4">
        <f>IF($K188="","",M188-T188)</f>
      </c>
      <c r="AC188" s="4">
        <f>IF($K188="","",U188-AB188)</f>
      </c>
    </row>
    <row r="189" spans="1:34" x14ac:dyDescent="0.25">
      <c r="A189" s="8"/>
      <c r="D189" s="9"/>
      <c r="J189" s="4"/>
      <c r="K189" s="4"/>
      <c r="L189" s="4">
        <f>IF($K189="","",K189-J189)</f>
      </c>
      <c r="M189" s="4">
        <f>IF($K189="","",L189*16.67%)</f>
      </c>
      <c r="N189" s="4">
        <f>IF($K189="","",K189*3.96%)</f>
      </c>
      <c r="O189" s="4">
        <f>IF($K189="","",N189*20%)</f>
      </c>
      <c r="P189" s="4">
        <f>IF($K189="","",N189+O189)</f>
      </c>
      <c r="Q189" s="4"/>
      <c r="R189" s="4">
        <f>IF($K189="","",Q189*20%)</f>
      </c>
      <c r="S189" s="4">
        <v>1</v>
      </c>
      <c r="T189" s="4">
        <f>IF($K189="","",R189)</f>
      </c>
      <c r="U189" s="4">
        <f>IF($K189="","",L189-M189-N189-Q189-R189-S189)</f>
      </c>
      <c r="V189" s="4">
        <f>IF($K189="","",(U189-AB189)/J189*100)</f>
      </c>
      <c r="W189" s="4">
        <f>IF($K189="","",M189-T189)</f>
      </c>
      <c r="AC189" s="4">
        <f>IF($K189="","",U189-AB189)</f>
      </c>
    </row>
    <row r="190" spans="1:34" x14ac:dyDescent="0.25">
      <c r="A190" s="8"/>
      <c r="D190" s="9"/>
      <c r="J190" s="4"/>
      <c r="K190" s="4"/>
      <c r="L190" s="4">
        <f>IF($K190="","",K190-J190)</f>
      </c>
      <c r="M190" s="4">
        <f>IF($K190="","",L190*16.67%)</f>
      </c>
      <c r="N190" s="4">
        <f>IF($K190="","",K190*3.96%)</f>
      </c>
      <c r="O190" s="4">
        <f>IF($K190="","",N190*20%)</f>
      </c>
      <c r="P190" s="4">
        <f>IF($K190="","",N190+O190)</f>
      </c>
      <c r="Q190" s="4"/>
      <c r="R190" s="4">
        <f>IF($K190="","",Q190*20%)</f>
      </c>
      <c r="S190" s="4">
        <v>1</v>
      </c>
      <c r="T190" s="4">
        <f>IF($K190="","",R190)</f>
      </c>
      <c r="U190" s="4">
        <f>IF($K190="","",L190-M190-N190-Q190-R190-S190)</f>
      </c>
      <c r="V190" s="4">
        <f>IF($K190="","",(U190-AB190)/J190*100)</f>
      </c>
      <c r="W190" s="4">
        <f>IF($K190="","",M190-T190)</f>
      </c>
      <c r="AC190" s="4">
        <f>IF($K190="","",U190-AB190)</f>
      </c>
    </row>
    <row r="191" spans="1:34" x14ac:dyDescent="0.25">
      <c r="A191" s="8"/>
      <c r="D191" s="9"/>
      <c r="J191" s="4"/>
      <c r="K191" s="4"/>
      <c r="L191" s="4">
        <f>IF($K191="","",K191-J191)</f>
      </c>
      <c r="M191" s="4">
        <f>IF($K191="","",L191*16.67%)</f>
      </c>
      <c r="N191" s="4">
        <f>IF($K191="","",K191*3.96%)</f>
      </c>
      <c r="O191" s="4">
        <f>IF($K191="","",N191*20%)</f>
      </c>
      <c r="P191" s="4">
        <f>IF($K191="","",N191+O191)</f>
      </c>
      <c r="Q191" s="4"/>
      <c r="R191" s="4">
        <f>IF($K191="","",Q191*20%)</f>
      </c>
      <c r="S191" s="4">
        <v>1</v>
      </c>
      <c r="T191" s="4">
        <f>IF($K191="","",R191)</f>
      </c>
      <c r="U191" s="4">
        <f>IF($K191="","",L191-M191-N191-Q191-R191-S191)</f>
      </c>
      <c r="V191" s="4">
        <f>IF($K191="","",(U191-AB191)/J191*100)</f>
      </c>
      <c r="W191" s="4">
        <f>IF($K191="","",M191-T191)</f>
      </c>
      <c r="AC191" s="4">
        <f>IF($K191="","",U191-AB191)</f>
      </c>
    </row>
    <row r="192" spans="1:34" x14ac:dyDescent="0.25">
      <c r="A192" s="8"/>
      <c r="D192" s="9"/>
      <c r="J192" s="4"/>
      <c r="K192" s="4"/>
      <c r="L192" s="4">
        <f>IF($K192="","",K192-J192)</f>
      </c>
      <c r="M192" s="4">
        <f>IF($K192="","",L192*16.67%)</f>
      </c>
      <c r="N192" s="4">
        <f>IF($K192="","",K192*3.96%)</f>
      </c>
      <c r="O192" s="4">
        <f>IF($K192="","",N192*20%)</f>
      </c>
      <c r="P192" s="4">
        <f>IF($K192="","",N192+O192)</f>
      </c>
      <c r="Q192" s="4"/>
      <c r="R192" s="4">
        <f>IF($K192="","",Q192*20%)</f>
      </c>
      <c r="S192" s="4">
        <v>1</v>
      </c>
      <c r="T192" s="4">
        <f>IF($K192="","",R192)</f>
      </c>
      <c r="U192" s="4">
        <f>IF($K192="","",L192-M192-N192-Q192-R192-S192)</f>
      </c>
      <c r="V192" s="4">
        <f>IF($K192="","",(U192-AB192)/J192*100)</f>
      </c>
      <c r="W192" s="4">
        <f>IF($K192="","",M192-T192)</f>
      </c>
      <c r="AC192" s="4">
        <f>IF($K192="","",U192-AB192)</f>
      </c>
    </row>
    <row r="193" spans="1:34" x14ac:dyDescent="0.25">
      <c r="A193" s="8"/>
      <c r="D193" s="9"/>
      <c r="J193" s="4"/>
      <c r="K193" s="4"/>
      <c r="L193" s="4">
        <f>IF($K193="","",K193-J193)</f>
      </c>
      <c r="M193" s="4">
        <f>IF($K193="","",L193*16.67%)</f>
      </c>
      <c r="N193" s="4">
        <f>IF($K193="","",K193*3.96%)</f>
      </c>
      <c r="O193" s="4">
        <f>IF($K193="","",N193*20%)</f>
      </c>
      <c r="P193" s="4">
        <f>IF($K193="","",N193+O193)</f>
      </c>
      <c r="Q193" s="4"/>
      <c r="R193" s="4">
        <f>IF($K193="","",Q193*20%)</f>
      </c>
      <c r="S193" s="4">
        <v>1</v>
      </c>
      <c r="T193" s="4">
        <f>IF($K193="","",R193)</f>
      </c>
      <c r="U193" s="4">
        <f>IF($K193="","",L193-M193-N193-Q193-R193-S193)</f>
      </c>
      <c r="V193" s="4">
        <f>IF($K193="","",(U193-AB193)/J193*100)</f>
      </c>
      <c r="W193" s="4">
        <f>IF($K193="","",M193-T193)</f>
      </c>
      <c r="AC193" s="4">
        <f>IF($K193="","",U193-AB193)</f>
      </c>
    </row>
    <row r="194" spans="1:34" x14ac:dyDescent="0.25">
      <c r="A194" s="8"/>
      <c r="D194" s="9"/>
      <c r="J194" s="4"/>
      <c r="K194" s="4"/>
      <c r="L194" s="4">
        <f>IF($K194="","",K194-J194)</f>
      </c>
      <c r="M194" s="4">
        <f>IF($K194="","",L194*16.67%)</f>
      </c>
      <c r="N194" s="4">
        <f>IF($K194="","",K194*3.96%)</f>
      </c>
      <c r="O194" s="4">
        <f>IF($K194="","",N194*20%)</f>
      </c>
      <c r="P194" s="4">
        <f>IF($K194="","",N194+O194)</f>
      </c>
      <c r="Q194" s="4"/>
      <c r="R194" s="4">
        <f>IF($K194="","",Q194*20%)</f>
      </c>
      <c r="S194" s="4">
        <v>1</v>
      </c>
      <c r="T194" s="4">
        <f>IF($K194="","",R194)</f>
      </c>
      <c r="U194" s="4">
        <f>IF($K194="","",L194-M194-N194-Q194-R194-S194)</f>
      </c>
      <c r="V194" s="4">
        <f>IF($K194="","",(U194-AB194)/J194*100)</f>
      </c>
      <c r="W194" s="4">
        <f>IF($K194="","",M194-T194)</f>
      </c>
      <c r="AC194" s="4">
        <f>IF($K194="","",U194-AB194)</f>
      </c>
    </row>
    <row r="195" spans="1:34" x14ac:dyDescent="0.25">
      <c r="A195" s="8"/>
      <c r="D195" s="9"/>
      <c r="J195" s="4"/>
      <c r="K195" s="4"/>
      <c r="L195" s="4">
        <f>IF($K195="","",K195-J195)</f>
      </c>
      <c r="M195" s="4">
        <f>IF($K195="","",L195*16.67%)</f>
      </c>
      <c r="N195" s="4">
        <f>IF($K195="","",K195*3.96%)</f>
      </c>
      <c r="O195" s="4">
        <f>IF($K195="","",N195*20%)</f>
      </c>
      <c r="P195" s="4">
        <f>IF($K195="","",N195+O195)</f>
      </c>
      <c r="Q195" s="4"/>
      <c r="R195" s="4">
        <f>IF($K195="","",Q195*20%)</f>
      </c>
      <c r="S195" s="4">
        <v>1</v>
      </c>
      <c r="T195" s="4">
        <f>IF($K195="","",R195)</f>
      </c>
      <c r="U195" s="4">
        <f>IF($K195="","",L195-M195-N195-Q195-R195-S195)</f>
      </c>
      <c r="V195" s="4">
        <f>IF($K195="","",(U195-AB195)/J195*100)</f>
      </c>
      <c r="W195" s="4">
        <f>IF($K195="","",M195-T195)</f>
      </c>
      <c r="AC195" s="4">
        <f>IF($K195="","",U195-AB195)</f>
      </c>
    </row>
    <row r="196" spans="1:34" x14ac:dyDescent="0.25">
      <c r="A196" s="8"/>
      <c r="D196" s="9"/>
      <c r="J196" s="4"/>
      <c r="K196" s="4"/>
      <c r="L196" s="4">
        <f>IF($K196="","",K196-J196)</f>
      </c>
      <c r="M196" s="4">
        <f>IF($K196="","",L196*16.67%)</f>
      </c>
      <c r="N196" s="4">
        <f>IF($K196="","",K196*3.96%)</f>
      </c>
      <c r="O196" s="4">
        <f>IF($K196="","",N196*20%)</f>
      </c>
      <c r="P196" s="4">
        <f>IF($K196="","",N196+O196)</f>
      </c>
      <c r="Q196" s="4"/>
      <c r="R196" s="4">
        <f>IF($K196="","",Q196*20%)</f>
      </c>
      <c r="S196" s="4">
        <v>1</v>
      </c>
      <c r="T196" s="4">
        <f>IF($K196="","",R196)</f>
      </c>
      <c r="U196" s="4">
        <f>IF($K196="","",L196-M196-N196-Q196-R196-S196)</f>
      </c>
      <c r="V196" s="4">
        <f>IF($K196="","",(U196-AB196)/J196*100)</f>
      </c>
      <c r="W196" s="4">
        <f>IF($K196="","",M196-T196)</f>
      </c>
      <c r="AC196" s="4">
        <f>IF($K196="","",U196-AB196)</f>
      </c>
    </row>
    <row r="197" spans="1:34" x14ac:dyDescent="0.25">
      <c r="A197" s="8"/>
      <c r="D197" s="9"/>
      <c r="J197" s="4"/>
      <c r="K197" s="4"/>
      <c r="L197" s="4">
        <f>IF($K197="","",K197-J197)</f>
      </c>
      <c r="M197" s="4">
        <f>IF($K197="","",L197*16.67%)</f>
      </c>
      <c r="N197" s="4">
        <f>IF($K197="","",K197*3.96%)</f>
      </c>
      <c r="O197" s="4">
        <f>IF($K197="","",N197*20%)</f>
      </c>
      <c r="P197" s="4">
        <f>IF($K197="","",N197+O197)</f>
      </c>
      <c r="Q197" s="4"/>
      <c r="R197" s="4">
        <f>IF($K197="","",Q197*20%)</f>
      </c>
      <c r="S197" s="4">
        <v>1</v>
      </c>
      <c r="T197" s="4">
        <f>IF($K197="","",R197)</f>
      </c>
      <c r="U197" s="4">
        <f>IF($K197="","",L197-M197-N197-Q197-R197-S197)</f>
      </c>
      <c r="V197" s="4">
        <f>IF($K197="","",(U197-AB197)/J197*100)</f>
      </c>
      <c r="W197" s="4">
        <f>IF($K197="","",M197-T197)</f>
      </c>
      <c r="AC197" s="4">
        <f>IF($K197="","",U197-AB197)</f>
      </c>
    </row>
    <row r="198" spans="1:34" x14ac:dyDescent="0.25">
      <c r="A198" s="8"/>
      <c r="D198" s="9"/>
      <c r="J198" s="4"/>
      <c r="K198" s="4"/>
      <c r="L198" s="4">
        <f>IF($K198="","",K198-J198)</f>
      </c>
      <c r="M198" s="4">
        <f>IF($K198="","",L198*16.67%)</f>
      </c>
      <c r="N198" s="4">
        <f>IF($K198="","",K198*3.96%)</f>
      </c>
      <c r="O198" s="4">
        <f>IF($K198="","",N198*20%)</f>
      </c>
      <c r="P198" s="4">
        <f>IF($K198="","",N198+O198)</f>
      </c>
      <c r="Q198" s="4"/>
      <c r="R198" s="4">
        <f>IF($K198="","",Q198*20%)</f>
      </c>
      <c r="S198" s="4">
        <v>1</v>
      </c>
      <c r="T198" s="4">
        <f>IF($K198="","",R198)</f>
      </c>
      <c r="U198" s="4">
        <f>IF($K198="","",L198-M198-N198-Q198-R198-S198)</f>
      </c>
      <c r="V198" s="4">
        <f>IF($K198="","",(U198-AB198)/J198*100)</f>
      </c>
      <c r="W198" s="4">
        <f>IF($K198="","",M198-T198)</f>
      </c>
      <c r="AC198" s="4">
        <f>IF($K198="","",U198-AB198)</f>
      </c>
    </row>
    <row r="199" spans="1:34" x14ac:dyDescent="0.25">
      <c r="A199" s="8"/>
      <c r="D199" s="9"/>
      <c r="J199" s="4"/>
      <c r="K199" s="4"/>
      <c r="L199" s="4">
        <f>IF($K199="","",K199-J199)</f>
      </c>
      <c r="M199" s="4">
        <f>IF($K199="","",L199*16.67%)</f>
      </c>
      <c r="N199" s="4">
        <f>IF($K199="","",K199*3.96%)</f>
      </c>
      <c r="O199" s="4">
        <f>IF($K199="","",N199*20%)</f>
      </c>
      <c r="P199" s="4">
        <f>IF($K199="","",N199+O199)</f>
      </c>
      <c r="Q199" s="4"/>
      <c r="R199" s="4">
        <f>IF($K199="","",Q199*20%)</f>
      </c>
      <c r="S199" s="4">
        <v>1</v>
      </c>
      <c r="T199" s="4">
        <f>IF($K199="","",R199)</f>
      </c>
      <c r="U199" s="4">
        <f>IF($K199="","",L199-M199-N199-Q199-R199-S199)</f>
      </c>
      <c r="V199" s="4">
        <f>IF($K199="","",(U199-AB199)/J199*100)</f>
      </c>
      <c r="W199" s="4">
        <f>IF($K199="","",M199-T199)</f>
      </c>
      <c r="AC199" s="4">
        <f>IF($K199="","",U199-AB199)</f>
      </c>
    </row>
    <row r="200" spans="1:34" x14ac:dyDescent="0.25">
      <c r="A200" s="8"/>
      <c r="D200" s="9"/>
      <c r="J200" s="4"/>
      <c r="K200" s="4"/>
      <c r="L200" s="4">
        <f>IF($K200="","",K200-J200)</f>
      </c>
      <c r="M200" s="4">
        <f>IF($K200="","",L200*16.67%)</f>
      </c>
      <c r="N200" s="4">
        <f>IF($K200="","",K200*3.96%)</f>
      </c>
      <c r="O200" s="4">
        <f>IF($K200="","",N200*20%)</f>
      </c>
      <c r="P200" s="4">
        <f>IF($K200="","",N200+O200)</f>
      </c>
      <c r="Q200" s="4"/>
      <c r="R200" s="4">
        <f>IF($K200="","",Q200*20%)</f>
      </c>
      <c r="S200" s="4">
        <v>1</v>
      </c>
      <c r="T200" s="4">
        <f>IF($K200="","",R200)</f>
      </c>
      <c r="U200" s="4">
        <f>IF($K200="","",L200-M200-N200-Q200-R200-S200)</f>
      </c>
      <c r="V200" s="4">
        <f>IF($K200="","",(U200-AB200)/J200*100)</f>
      </c>
      <c r="W200" s="4">
        <f>IF($K200="","",M200-T200)</f>
      </c>
      <c r="AC200" s="4">
        <f>IF($K200="","",U200-AB200)</f>
      </c>
    </row>
    <row r="201" spans="1:34" x14ac:dyDescent="0.25">
      <c r="A201" s="8"/>
      <c r="D201" s="9"/>
      <c r="J201" s="4"/>
      <c r="K201" s="4"/>
      <c r="L201" s="4">
        <f>IF($K201="","",K201-J201)</f>
      </c>
      <c r="M201" s="4">
        <f>IF($K201="","",L201*16.67%)</f>
      </c>
      <c r="N201" s="4">
        <f>IF($K201="","",K201*3.96%)</f>
      </c>
      <c r="O201" s="4">
        <f>IF($K201="","",N201*20%)</f>
      </c>
      <c r="P201" s="4">
        <f>IF($K201="","",N201+O201)</f>
      </c>
      <c r="Q201" s="4"/>
      <c r="R201" s="4">
        <f>IF($K201="","",Q201*20%)</f>
      </c>
      <c r="S201" s="4">
        <v>1</v>
      </c>
      <c r="T201" s="4">
        <f>IF($K201="","",R201)</f>
      </c>
      <c r="U201" s="4">
        <f>IF($K201="","",L201-M201-N201-Q201-R201-S201)</f>
      </c>
      <c r="V201" s="4">
        <f>IF($K201="","",(U201-AB201)/J201*100)</f>
      </c>
      <c r="W201" s="4">
        <f>IF($K201="","",M201-T201)</f>
      </c>
      <c r="AC201" s="4">
        <f>IF($K201="","",U201-AB201)</f>
      </c>
    </row>
    <row r="202" spans="1:34" x14ac:dyDescent="0.25">
      <c r="A202" s="8"/>
      <c r="D202" s="9"/>
      <c r="J202" s="4"/>
      <c r="K202" s="4"/>
      <c r="L202" s="4">
        <f>IF($K202="","",K202-J202)</f>
      </c>
      <c r="M202" s="4">
        <f>IF($K202="","",L202*16.67%)</f>
      </c>
      <c r="N202" s="4">
        <f>IF($K202="","",K202*3.96%)</f>
      </c>
      <c r="O202" s="4">
        <f>IF($K202="","",N202*20%)</f>
      </c>
      <c r="P202" s="4">
        <f>IF($K202="","",N202+O202)</f>
      </c>
      <c r="Q202" s="4"/>
      <c r="R202" s="4">
        <f>IF($K202="","",Q202*20%)</f>
      </c>
      <c r="S202" s="4">
        <v>1</v>
      </c>
      <c r="T202" s="4">
        <f>IF($K202="","",R202)</f>
      </c>
      <c r="U202" s="4">
        <f>IF($K202="","",L202-M202-N202-Q202-R202-S202)</f>
      </c>
      <c r="V202" s="4">
        <f>IF($K202="","",(U202-AB202)/J202*100)</f>
      </c>
      <c r="W202" s="4">
        <f>IF($K202="","",M202-T202)</f>
      </c>
      <c r="AC202" s="4">
        <f>IF($K202="","",U202-AB202)</f>
      </c>
    </row>
    <row r="203" spans="1:34" x14ac:dyDescent="0.25">
      <c r="A203" s="8"/>
      <c r="D203" s="9"/>
      <c r="J203" s="4"/>
      <c r="K203" s="4"/>
      <c r="L203" s="4">
        <f>IF($K203="","",K203-J203)</f>
      </c>
      <c r="M203" s="4">
        <f>IF($K203="","",L203*16.67%)</f>
      </c>
      <c r="N203" s="4">
        <f>IF($K203="","",K203*3.96%)</f>
      </c>
      <c r="O203" s="4">
        <f>IF($K203="","",N203*20%)</f>
      </c>
      <c r="P203" s="4">
        <f>IF($K203="","",N203+O203)</f>
      </c>
      <c r="Q203" s="4"/>
      <c r="R203" s="4">
        <f>IF($K203="","",Q203*20%)</f>
      </c>
      <c r="S203" s="4">
        <v>1</v>
      </c>
      <c r="T203" s="4">
        <f>IF($K203="","",R203)</f>
      </c>
      <c r="U203" s="4">
        <f>IF($K203="","",L203-M203-N203-Q203-R203-S203)</f>
      </c>
      <c r="V203" s="4">
        <f>IF($K203="","",(U203-AB203)/J203*100)</f>
      </c>
      <c r="W203" s="4">
        <f>IF($K203="","",M203-T203)</f>
      </c>
      <c r="AC203" s="4">
        <f>IF($K203="","",U203-AB203)</f>
      </c>
    </row>
    <row r="204" spans="1:34" x14ac:dyDescent="0.25">
      <c r="A204" s="8"/>
      <c r="D204" s="9"/>
      <c r="J204" s="4"/>
      <c r="K204" s="4"/>
      <c r="L204" s="4">
        <f>IF($K204="","",K204-J204)</f>
      </c>
      <c r="M204" s="4">
        <f>IF($K204="","",L204*16.67%)</f>
      </c>
      <c r="N204" s="4">
        <f>IF($K204="","",K204*3.96%)</f>
      </c>
      <c r="O204" s="4">
        <f>IF($K204="","",N204*20%)</f>
      </c>
      <c r="P204" s="4">
        <f>IF($K204="","",N204+O204)</f>
      </c>
      <c r="Q204" s="4"/>
      <c r="R204" s="4">
        <f>IF($K204="","",Q204*20%)</f>
      </c>
      <c r="S204" s="4">
        <v>1</v>
      </c>
      <c r="T204" s="4">
        <f>IF($K204="","",R204)</f>
      </c>
      <c r="U204" s="4">
        <f>IF($K204="","",L204-M204-N204-Q204-R204-S204)</f>
      </c>
      <c r="V204" s="4">
        <f>IF($K204="","",(U204-AB204)/J204*100)</f>
      </c>
      <c r="W204" s="4">
        <f>IF($K204="","",M204-T204)</f>
      </c>
      <c r="AC204" s="4">
        <f>IF($K204="","",U204-AB204)</f>
      </c>
    </row>
    <row r="205" spans="1:34" x14ac:dyDescent="0.25">
      <c r="A205" s="8"/>
      <c r="D205" s="9"/>
      <c r="J205" s="4"/>
      <c r="K205" s="4"/>
      <c r="L205" s="4">
        <f>IF($K205="","",K205-J205)</f>
      </c>
      <c r="M205" s="4">
        <f>IF($K205="","",L205*16.67%)</f>
      </c>
      <c r="N205" s="4">
        <f>IF($K205="","",K205*3.96%)</f>
      </c>
      <c r="O205" s="4">
        <f>IF($K205="","",N205*20%)</f>
      </c>
      <c r="P205" s="4">
        <f>IF($K205="","",N205+O205)</f>
      </c>
      <c r="Q205" s="4"/>
      <c r="R205" s="4">
        <f>IF($K205="","",Q205*20%)</f>
      </c>
      <c r="S205" s="4">
        <v>1</v>
      </c>
      <c r="T205" s="4">
        <f>IF($K205="","",R205)</f>
      </c>
      <c r="U205" s="4">
        <f>IF($K205="","",L205-M205-N205-Q205-R205-S205)</f>
      </c>
      <c r="V205" s="4">
        <f>IF($K205="","",(U205-AB205)/J205*100)</f>
      </c>
      <c r="W205" s="4">
        <f>IF($K205="","",M205-T205)</f>
      </c>
      <c r="AC205" s="4">
        <f>IF($K205="","",U205-AB205)</f>
      </c>
    </row>
    <row r="206" spans="1:34" x14ac:dyDescent="0.25">
      <c r="A206" s="8"/>
      <c r="D206" s="9"/>
      <c r="J206" s="4"/>
      <c r="K206" s="4"/>
      <c r="L206" s="4">
        <f>IF($K206="","",K206-J206)</f>
      </c>
      <c r="M206" s="4">
        <f>IF($K206="","",L206*16.67%)</f>
      </c>
      <c r="N206" s="4">
        <f>IF($K206="","",K206*3.96%)</f>
      </c>
      <c r="O206" s="4">
        <f>IF($K206="","",N206*20%)</f>
      </c>
      <c r="P206" s="4">
        <f>IF($K206="","",N206+O206)</f>
      </c>
      <c r="Q206" s="4"/>
      <c r="R206" s="4">
        <f>IF($K206="","",Q206*20%)</f>
      </c>
      <c r="S206" s="4">
        <v>1</v>
      </c>
      <c r="T206" s="4">
        <f>IF($K206="","",R206)</f>
      </c>
      <c r="U206" s="4">
        <f>IF($K206="","",L206-M206-N206-Q206-R206-S206)</f>
      </c>
      <c r="V206" s="4">
        <f>IF($K206="","",(U206-AB206)/J206*100)</f>
      </c>
      <c r="W206" s="4">
        <f>IF($K206="","",M206-T206)</f>
      </c>
      <c r="AC206" s="4">
        <f>IF($K206="","",U206-AB206)</f>
      </c>
    </row>
    <row r="207" spans="1:34" x14ac:dyDescent="0.25">
      <c r="A207" s="8"/>
      <c r="D207" s="9"/>
      <c r="J207" s="4"/>
      <c r="K207" s="4"/>
      <c r="L207" s="4">
        <f>IF($K207="","",K207-J207)</f>
      </c>
      <c r="M207" s="4">
        <f>IF($K207="","",L207*16.67%)</f>
      </c>
      <c r="N207" s="4">
        <f>IF($K207="","",K207*3.96%)</f>
      </c>
      <c r="O207" s="4">
        <f>IF($K207="","",N207*20%)</f>
      </c>
      <c r="P207" s="4">
        <f>IF($K207="","",N207+O207)</f>
      </c>
      <c r="Q207" s="4"/>
      <c r="R207" s="4">
        <f>IF($K207="","",Q207*20%)</f>
      </c>
      <c r="S207" s="4">
        <v>1</v>
      </c>
      <c r="T207" s="4">
        <f>IF($K207="","",R207)</f>
      </c>
      <c r="U207" s="4">
        <f>IF($K207="","",L207-M207-N207-Q207-R207-S207)</f>
      </c>
      <c r="V207" s="4">
        <f>IF($K207="","",(U207-AB207)/J207*100)</f>
      </c>
      <c r="W207" s="4">
        <f>IF($K207="","",M207-T207)</f>
      </c>
      <c r="AC207" s="4">
        <f>IF($K207="","",U207-AB207)</f>
      </c>
    </row>
    <row r="208" spans="1:34" x14ac:dyDescent="0.25">
      <c r="A208" s="8"/>
      <c r="D208" s="9"/>
      <c r="J208" s="4"/>
      <c r="K208" s="4"/>
      <c r="L208" s="4">
        <f>IF($K208="","",K208-J208)</f>
      </c>
      <c r="M208" s="4">
        <f>IF($K208="","",L208*16.67%)</f>
      </c>
      <c r="N208" s="4">
        <f>IF($K208="","",K208*3.96%)</f>
      </c>
      <c r="O208" s="4">
        <f>IF($K208="","",N208*20%)</f>
      </c>
      <c r="P208" s="4">
        <f>IF($K208="","",N208+O208)</f>
      </c>
      <c r="Q208" s="4"/>
      <c r="R208" s="4">
        <f>IF($K208="","",Q208*20%)</f>
      </c>
      <c r="S208" s="4">
        <v>1</v>
      </c>
      <c r="T208" s="4">
        <f>IF($K208="","",R208)</f>
      </c>
      <c r="U208" s="4">
        <f>IF($K208="","",L208-M208-N208-Q208-R208-S208)</f>
      </c>
      <c r="V208" s="4">
        <f>IF($K208="","",(U208-AB208)/J208*100)</f>
      </c>
      <c r="W208" s="4">
        <f>IF($K208="","",M208-T208)</f>
      </c>
      <c r="AC208" s="4">
        <f>IF($K208="","",U208-AB208)</f>
      </c>
    </row>
    <row r="209" spans="1:34" x14ac:dyDescent="0.25">
      <c r="A209" s="8"/>
      <c r="D209" s="9"/>
      <c r="J209" s="4"/>
      <c r="K209" s="4"/>
      <c r="L209" s="4">
        <f>IF($K209="","",K209-J209)</f>
      </c>
      <c r="M209" s="4">
        <f>IF($K209="","",L209*16.67%)</f>
      </c>
      <c r="N209" s="4">
        <f>IF($K209="","",K209*3.96%)</f>
      </c>
      <c r="O209" s="4">
        <f>IF($K209="","",N209*20%)</f>
      </c>
      <c r="P209" s="4">
        <f>IF($K209="","",N209+O209)</f>
      </c>
      <c r="Q209" s="4"/>
      <c r="R209" s="4">
        <f>IF($K209="","",Q209*20%)</f>
      </c>
      <c r="S209" s="4">
        <v>1</v>
      </c>
      <c r="T209" s="4">
        <f>IF($K209="","",R209)</f>
      </c>
      <c r="U209" s="4">
        <f>IF($K209="","",L209-M209-N209-Q209-R209-S209)</f>
      </c>
      <c r="V209" s="4">
        <f>IF($K209="","",(U209-AB209)/J209*100)</f>
      </c>
      <c r="W209" s="4">
        <f>IF($K209="","",M209-T209)</f>
      </c>
      <c r="AC209" s="4">
        <f>IF($K209="","",U209-AB209)</f>
      </c>
    </row>
    <row r="210" spans="1:34" x14ac:dyDescent="0.25">
      <c r="A210" s="8"/>
      <c r="D210" s="9"/>
      <c r="J210" s="4"/>
      <c r="K210" s="4"/>
      <c r="L210" s="4">
        <f>IF($K210="","",K210-J210)</f>
      </c>
      <c r="M210" s="4">
        <f>IF($K210="","",L210*16.67%)</f>
      </c>
      <c r="N210" s="4">
        <f>IF($K210="","",K210*3.96%)</f>
      </c>
      <c r="O210" s="4">
        <f>IF($K210="","",N210*20%)</f>
      </c>
      <c r="P210" s="4">
        <f>IF($K210="","",N210+O210)</f>
      </c>
      <c r="Q210" s="4"/>
      <c r="R210" s="4">
        <f>IF($K210="","",Q210*20%)</f>
      </c>
      <c r="S210" s="4">
        <v>1</v>
      </c>
      <c r="T210" s="4">
        <f>IF($K210="","",R210)</f>
      </c>
      <c r="U210" s="4">
        <f>IF($K210="","",L210-M210-N210-Q210-R210-S210)</f>
      </c>
      <c r="V210" s="4">
        <f>IF($K210="","",(U210-AB210)/J210*100)</f>
      </c>
      <c r="W210" s="4">
        <f>IF($K210="","",M210-T210)</f>
      </c>
      <c r="AC210" s="4">
        <f>IF($K210="","",U210-AB210)</f>
      </c>
    </row>
    <row r="211" spans="1:34" x14ac:dyDescent="0.25">
      <c r="A211" s="8"/>
      <c r="D211" s="9"/>
      <c r="J211" s="4"/>
      <c r="K211" s="4"/>
      <c r="L211" s="4">
        <f>IF($K211="","",K211-J211)</f>
      </c>
      <c r="M211" s="4">
        <f>IF($K211="","",L211*16.67%)</f>
      </c>
      <c r="N211" s="4">
        <f>IF($K211="","",K211*3.96%)</f>
      </c>
      <c r="O211" s="4">
        <f>IF($K211="","",N211*20%)</f>
      </c>
      <c r="P211" s="4">
        <f>IF($K211="","",N211+O211)</f>
      </c>
      <c r="Q211" s="4"/>
      <c r="R211" s="4">
        <f>IF($K211="","",Q211*20%)</f>
      </c>
      <c r="S211" s="4">
        <v>1</v>
      </c>
      <c r="T211" s="4">
        <f>IF($K211="","",R211)</f>
      </c>
      <c r="U211" s="4">
        <f>IF($K211="","",L211-M211-N211-Q211-R211-S211)</f>
      </c>
      <c r="V211" s="4">
        <f>IF($K211="","",(U211-AB211)/J211*100)</f>
      </c>
      <c r="W211" s="4">
        <f>IF($K211="","",M211-T211)</f>
      </c>
      <c r="AC211" s="4">
        <f>IF($K211="","",U211-AB211)</f>
      </c>
    </row>
    <row r="212" spans="1:34" x14ac:dyDescent="0.25">
      <c r="A212" s="8"/>
      <c r="D212" s="9"/>
      <c r="J212" s="4"/>
      <c r="K212" s="4"/>
      <c r="L212" s="4">
        <f>IF($K212="","",K212-J212)</f>
      </c>
      <c r="M212" s="4">
        <f>IF($K212="","",L212*16.67%)</f>
      </c>
      <c r="N212" s="4">
        <f>IF($K212="","",K212*3.96%)</f>
      </c>
      <c r="O212" s="4">
        <f>IF($K212="","",N212*20%)</f>
      </c>
      <c r="P212" s="4">
        <f>IF($K212="","",N212+O212)</f>
      </c>
      <c r="Q212" s="4"/>
      <c r="R212" s="4">
        <f>IF($K212="","",Q212*20%)</f>
      </c>
      <c r="S212" s="4">
        <v>1</v>
      </c>
      <c r="T212" s="4">
        <f>IF($K212="","",R212)</f>
      </c>
      <c r="U212" s="4">
        <f>IF($K212="","",L212-M212-N212-Q212-R212-S212)</f>
      </c>
      <c r="V212" s="4">
        <f>IF($K212="","",(U212-AB212)/J212*100)</f>
      </c>
      <c r="W212" s="4">
        <f>IF($K212="","",M212-T212)</f>
      </c>
      <c r="AC212" s="4">
        <f>IF($K212="","",U212-AB212)</f>
      </c>
    </row>
    <row r="213" spans="1:34" x14ac:dyDescent="0.25">
      <c r="A213" s="8"/>
      <c r="D213" s="9"/>
      <c r="J213" s="4"/>
      <c r="K213" s="4"/>
      <c r="L213" s="4">
        <f>IF($K213="","",K213-J213)</f>
      </c>
      <c r="M213" s="4">
        <f>IF($K213="","",L213*16.67%)</f>
      </c>
      <c r="N213" s="4">
        <f>IF($K213="","",K213*3.96%)</f>
      </c>
      <c r="O213" s="4">
        <f>IF($K213="","",N213*20%)</f>
      </c>
      <c r="P213" s="4">
        <f>IF($K213="","",N213+O213)</f>
      </c>
      <c r="Q213" s="4"/>
      <c r="R213" s="4">
        <f>IF($K213="","",Q213*20%)</f>
      </c>
      <c r="S213" s="4">
        <v>1</v>
      </c>
      <c r="T213" s="4">
        <f>IF($K213="","",R213)</f>
      </c>
      <c r="U213" s="4">
        <f>IF($K213="","",L213-M213-N213-Q213-R213-S213)</f>
      </c>
      <c r="V213" s="4">
        <f>IF($K213="","",(U213-AB213)/J213*100)</f>
      </c>
      <c r="W213" s="4">
        <f>IF($K213="","",M213-T213)</f>
      </c>
      <c r="AC213" s="4">
        <f>IF($K213="","",U213-AB213)</f>
      </c>
    </row>
    <row r="214" spans="1:34" x14ac:dyDescent="0.25">
      <c r="A214" s="8"/>
      <c r="D214" s="9"/>
      <c r="J214" s="4"/>
      <c r="K214" s="4"/>
      <c r="L214" s="4">
        <f>IF($K214="","",K214-J214)</f>
      </c>
      <c r="M214" s="4">
        <f>IF($K214="","",L214*16.67%)</f>
      </c>
      <c r="N214" s="4">
        <f>IF($K214="","",K214*3.96%)</f>
      </c>
      <c r="O214" s="4">
        <f>IF($K214="","",N214*20%)</f>
      </c>
      <c r="P214" s="4">
        <f>IF($K214="","",N214+O214)</f>
      </c>
      <c r="Q214" s="4"/>
      <c r="R214" s="4">
        <f>IF($K214="","",Q214*20%)</f>
      </c>
      <c r="S214" s="4">
        <v>1</v>
      </c>
      <c r="T214" s="4">
        <f>IF($K214="","",R214)</f>
      </c>
      <c r="U214" s="4">
        <f>IF($K214="","",L214-M214-N214-Q214-R214-S214)</f>
      </c>
      <c r="V214" s="4">
        <f>IF($K214="","",(U214-AB214)/J214*100)</f>
      </c>
      <c r="W214" s="4">
        <f>IF($K214="","",M214-T214)</f>
      </c>
      <c r="AC214" s="4">
        <f>IF($K214="","",U214-AB214)</f>
      </c>
    </row>
    <row r="215" spans="1:34" x14ac:dyDescent="0.25">
      <c r="A215" s="8"/>
      <c r="D215" s="9"/>
      <c r="J215" s="4"/>
      <c r="K215" s="4"/>
      <c r="L215" s="4">
        <f>IF($K215="","",K215-J215)</f>
      </c>
      <c r="M215" s="4">
        <f>IF($K215="","",L215*16.67%)</f>
      </c>
      <c r="N215" s="4">
        <f>IF($K215="","",K215*3.96%)</f>
      </c>
      <c r="O215" s="4">
        <f>IF($K215="","",N215*20%)</f>
      </c>
      <c r="P215" s="4">
        <f>IF($K215="","",N215+O215)</f>
      </c>
      <c r="Q215" s="4"/>
      <c r="R215" s="4">
        <f>IF($K215="","",Q215*20%)</f>
      </c>
      <c r="S215" s="4">
        <v>1</v>
      </c>
      <c r="T215" s="4">
        <f>IF($K215="","",R215)</f>
      </c>
      <c r="U215" s="4">
        <f>IF($K215="","",L215-M215-N215-Q215-R215-S215)</f>
      </c>
      <c r="V215" s="4">
        <f>IF($K215="","",(U215-AB215)/J215*100)</f>
      </c>
      <c r="W215" s="4">
        <f>IF($K215="","",M215-T215)</f>
      </c>
      <c r="AC215" s="4">
        <f>IF($K215="","",U215-AB215)</f>
      </c>
    </row>
    <row r="216" spans="1:34" x14ac:dyDescent="0.25">
      <c r="A216" s="8"/>
      <c r="D216" s="9"/>
      <c r="J216" s="4"/>
      <c r="K216" s="4"/>
      <c r="L216" s="4">
        <f>IF($K216="","",K216-J216)</f>
      </c>
      <c r="M216" s="4">
        <f>IF($K216="","",L216*16.67%)</f>
      </c>
      <c r="N216" s="4">
        <f>IF($K216="","",K216*3.96%)</f>
      </c>
      <c r="O216" s="4">
        <f>IF($K216="","",N216*20%)</f>
      </c>
      <c r="P216" s="4">
        <f>IF($K216="","",N216+O216)</f>
      </c>
      <c r="Q216" s="4"/>
      <c r="R216" s="4">
        <f>IF($K216="","",Q216*20%)</f>
      </c>
      <c r="S216" s="4">
        <v>1</v>
      </c>
      <c r="T216" s="4">
        <f>IF($K216="","",R216)</f>
      </c>
      <c r="U216" s="4">
        <f>IF($K216="","",L216-M216-N216-Q216-R216-S216)</f>
      </c>
      <c r="V216" s="4">
        <f>IF($K216="","",(U216-AB216)/J216*100)</f>
      </c>
      <c r="W216" s="4">
        <f>IF($K216="","",M216-T216)</f>
      </c>
      <c r="AC216" s="4">
        <f>IF($K216="","",U216-AB216)</f>
      </c>
    </row>
    <row r="217" spans="1:34" x14ac:dyDescent="0.25">
      <c r="A217" s="8"/>
      <c r="D217" s="9"/>
      <c r="J217" s="4"/>
      <c r="K217" s="4"/>
      <c r="L217" s="4">
        <f>IF($K217="","",K217-J217)</f>
      </c>
      <c r="M217" s="4">
        <f>IF($K217="","",L217*16.67%)</f>
      </c>
      <c r="N217" s="4">
        <f>IF($K217="","",K217*3.96%)</f>
      </c>
      <c r="O217" s="4">
        <f>IF($K217="","",N217*20%)</f>
      </c>
      <c r="P217" s="4">
        <f>IF($K217="","",N217+O217)</f>
      </c>
      <c r="Q217" s="4"/>
      <c r="R217" s="4">
        <f>IF($K217="","",Q217*20%)</f>
      </c>
      <c r="S217" s="4">
        <v>1</v>
      </c>
      <c r="T217" s="4">
        <f>IF($K217="","",R217)</f>
      </c>
      <c r="U217" s="4">
        <f>IF($K217="","",L217-M217-N217-Q217-R217-S217)</f>
      </c>
      <c r="V217" s="4">
        <f>IF($K217="","",(U217-AB217)/J217*100)</f>
      </c>
      <c r="W217" s="4">
        <f>IF($K217="","",M217-T217)</f>
      </c>
      <c r="AC217" s="4">
        <f>IF($K217="","",U217-AB217)</f>
      </c>
    </row>
    <row r="218" spans="1:34" x14ac:dyDescent="0.25">
      <c r="A218" s="8"/>
      <c r="D218" s="9"/>
      <c r="J218" s="4"/>
      <c r="K218" s="4"/>
      <c r="L218" s="4">
        <f>IF($K218="","",K218-J218)</f>
      </c>
      <c r="M218" s="4">
        <f>IF($K218="","",L218*16.67%)</f>
      </c>
      <c r="N218" s="4">
        <f>IF($K218="","",K218*3.96%)</f>
      </c>
      <c r="O218" s="4">
        <f>IF($K218="","",N218*20%)</f>
      </c>
      <c r="P218" s="4">
        <f>IF($K218="","",N218+O218)</f>
      </c>
      <c r="Q218" s="4"/>
      <c r="R218" s="4">
        <f>IF($K218="","",Q218*20%)</f>
      </c>
      <c r="S218" s="4">
        <v>1</v>
      </c>
      <c r="T218" s="4">
        <f>IF($K218="","",R218)</f>
      </c>
      <c r="U218" s="4">
        <f>IF($K218="","",L218-M218-N218-Q218-R218-S218)</f>
      </c>
      <c r="V218" s="4">
        <f>IF($K218="","",(U218-AB218)/J218*100)</f>
      </c>
      <c r="W218" s="4">
        <f>IF($K218="","",M218-T218)</f>
      </c>
      <c r="AC218" s="4">
        <f>IF($K218="","",U218-AB218)</f>
      </c>
    </row>
    <row r="219" spans="1:34" x14ac:dyDescent="0.25">
      <c r="A219" s="8"/>
      <c r="D219" s="9"/>
      <c r="J219" s="4"/>
      <c r="K219" s="4"/>
      <c r="L219" s="4">
        <f>IF($K219="","",K219-J219)</f>
      </c>
      <c r="M219" s="4">
        <f>IF($K219="","",L219*16.67%)</f>
      </c>
      <c r="N219" s="4">
        <f>IF($K219="","",K219*3.96%)</f>
      </c>
      <c r="O219" s="4">
        <f>IF($K219="","",N219*20%)</f>
      </c>
      <c r="P219" s="4">
        <f>IF($K219="","",N219+O219)</f>
      </c>
      <c r="Q219" s="4"/>
      <c r="R219" s="4">
        <f>IF($K219="","",Q219*20%)</f>
      </c>
      <c r="S219" s="4">
        <v>1</v>
      </c>
      <c r="T219" s="4">
        <f>IF($K219="","",R219)</f>
      </c>
      <c r="U219" s="4">
        <f>IF($K219="","",L219-M219-N219-Q219-R219-S219)</f>
      </c>
      <c r="V219" s="4">
        <f>IF($K219="","",(U219-AB219)/J219*100)</f>
      </c>
      <c r="W219" s="4">
        <f>IF($K219="","",M219-T219)</f>
      </c>
      <c r="AC219" s="4">
        <f>IF($K219="","",U219-AB219)</f>
      </c>
    </row>
    <row r="220" spans="1:34" x14ac:dyDescent="0.25">
      <c r="A220" s="8"/>
      <c r="D220" s="9"/>
      <c r="J220" s="4"/>
      <c r="K220" s="4"/>
      <c r="L220" s="4">
        <f>IF($K220="","",K220-J220)</f>
      </c>
      <c r="M220" s="4">
        <f>IF($K220="","",L220*16.67%)</f>
      </c>
      <c r="N220" s="4">
        <f>IF($K220="","",K220*3.96%)</f>
      </c>
      <c r="O220" s="4">
        <f>IF($K220="","",N220*20%)</f>
      </c>
      <c r="P220" s="4">
        <f>IF($K220="","",N220+O220)</f>
      </c>
      <c r="Q220" s="4"/>
      <c r="R220" s="4">
        <f>IF($K220="","",Q220*20%)</f>
      </c>
      <c r="S220" s="4">
        <v>1</v>
      </c>
      <c r="T220" s="4">
        <f>IF($K220="","",R220)</f>
      </c>
      <c r="U220" s="4">
        <f>IF($K220="","",L220-M220-N220-Q220-R220-S220)</f>
      </c>
      <c r="V220" s="4">
        <f>IF($K220="","",(U220-AB220)/J220*100)</f>
      </c>
      <c r="W220" s="4">
        <f>IF($K220="","",M220-T220)</f>
      </c>
      <c r="AC220" s="4">
        <f>IF($K220="","",U220-AB220)</f>
      </c>
    </row>
    <row r="221" spans="1:34" x14ac:dyDescent="0.25">
      <c r="A221" s="8"/>
      <c r="D221" s="9"/>
      <c r="J221" s="4"/>
      <c r="K221" s="4"/>
      <c r="L221" s="4">
        <f>IF($K221="","",K221-J221)</f>
      </c>
      <c r="M221" s="4">
        <f>IF($K221="","",L221*16.67%)</f>
      </c>
      <c r="N221" s="4">
        <f>IF($K221="","",K221*3.96%)</f>
      </c>
      <c r="O221" s="4">
        <f>IF($K221="","",N221*20%)</f>
      </c>
      <c r="P221" s="4">
        <f>IF($K221="","",N221+O221)</f>
      </c>
      <c r="Q221" s="4"/>
      <c r="R221" s="4">
        <f>IF($K221="","",Q221*20%)</f>
      </c>
      <c r="S221" s="4">
        <v>1</v>
      </c>
      <c r="T221" s="4">
        <f>IF($K221="","",R221)</f>
      </c>
      <c r="U221" s="4">
        <f>IF($K221="","",L221-M221-N221-Q221-R221-S221)</f>
      </c>
      <c r="V221" s="4">
        <f>IF($K221="","",(U221-AB221)/J221*100)</f>
      </c>
      <c r="W221" s="4">
        <f>IF($K221="","",M221-T221)</f>
      </c>
      <c r="AC221" s="4">
        <f>IF($K221="","",U221-AB221)</f>
      </c>
    </row>
    <row r="222" spans="1:34" s="7" customFormat="1" x14ac:dyDescent="0.25">
      <c r="A222" s="3" t="s">
        <v>18</v>
      </c>
      <c r="B222" s="7"/>
      <c r="C222" s="7"/>
      <c r="D222" s="7"/>
      <c r="E222" s="7"/>
      <c r="F222" s="7"/>
      <c r="G222" s="7"/>
      <c r="H222" s="7"/>
      <c r="I222" s="10">
        <f>SUM(I2:I221)</f>
      </c>
      <c r="J222" s="10">
        <f>SUM(J2:J221)</f>
      </c>
      <c r="K222" s="10">
        <f>SUM(K2:K221)</f>
      </c>
      <c r="L222" s="10">
        <f>SUM(L2:L221)</f>
      </c>
      <c r="M222" s="10">
        <f>SUM(M2:M221)</f>
      </c>
      <c r="N222" s="10">
        <f>SUM(N2:N221)</f>
      </c>
      <c r="O222" s="10">
        <f>SUM(O2:O221)</f>
      </c>
      <c r="P222" s="10">
        <f>SUM(P2:P221)</f>
      </c>
      <c r="Q222" s="10">
        <f>SUM(Q2:Q221)</f>
      </c>
      <c r="R222" s="10">
        <f>SUM(R2:R221)</f>
      </c>
      <c r="S222" s="10">
        <f>SUM(S2:S221)</f>
      </c>
      <c r="T222" s="10">
        <f>SUM(T2:T221)</f>
      </c>
      <c r="U222" s="10">
        <f>SUM(U2:U221)</f>
      </c>
      <c r="V222" s="10">
        <f>IFERROR((U222-AB222)/J222*100,0)</f>
      </c>
      <c r="W222" s="10">
        <f>SUM(W2:W221)</f>
      </c>
      <c r="X222" s="10">
        <f>SUM(X2:X221)</f>
      </c>
      <c r="Y222" s="10">
        <f>SUM(Y2:Y221)</f>
      </c>
      <c r="Z222" s="10">
        <f>SUM(Z2:Z221)</f>
      </c>
      <c r="AA222" s="10">
        <f>SUM(AA2:AA221)</f>
      </c>
      <c r="AB222" s="10">
        <f>SUM(AB2:AB221)</f>
      </c>
      <c r="AC222" s="10">
        <f>SUM(AC2:AC221)</f>
      </c>
      <c r="AD222" s="7"/>
      <c r="AE222" s="7"/>
      <c r="AF222" s="7"/>
      <c r="AG222" s="7"/>
      <c r="AH22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FormatPr defaultRowHeight="15" outlineLevelRow="0" outlineLevelCol="0" x14ac:dyDescent="55"/>
  <cols>
    <col min="1" max="1" width="16" customWidth="1"/>
    <col min="2" max="15" width="14" customWidth="1"/>
    <col min="16" max="16" width="18" customWidth="1"/>
    <col min="17" max="17" width="14" customWidth="1"/>
  </cols>
  <sheetData>
    <row r="1" spans="1:1" s="1" customFormat="1" x14ac:dyDescent="0.25">
      <c r="A1" s="1" t="s">
        <v>329</v>
      </c>
    </row>
    <row r="2" ht="46" customHeight="1" spans="1:1" x14ac:dyDescent="0.25">
      <c r="A2" s="2" t="s">
        <v>330</v>
      </c>
    </row>
    <row r="4" spans="1:17" s="3" customFormat="1" x14ac:dyDescent="0.25">
      <c r="A4" s="3" t="s">
        <v>4</v>
      </c>
      <c r="B4" s="3" t="s">
        <v>5</v>
      </c>
      <c r="C4" s="3" t="s">
        <v>331</v>
      </c>
      <c r="D4" s="3" t="s">
        <v>9</v>
      </c>
      <c r="E4" s="3" t="s">
        <v>332</v>
      </c>
      <c r="F4" s="3" t="s">
        <v>6</v>
      </c>
      <c r="G4" s="3" t="s">
        <v>7</v>
      </c>
      <c r="H4" s="3" t="s">
        <v>8</v>
      </c>
      <c r="I4" s="3" t="s">
        <v>333</v>
      </c>
      <c r="J4" s="3" t="s">
        <v>334</v>
      </c>
      <c r="K4" s="3" t="s">
        <v>335</v>
      </c>
      <c r="L4" s="3" t="s">
        <v>336</v>
      </c>
      <c r="M4" s="3" t="s">
        <v>337</v>
      </c>
      <c r="N4" s="3" t="s">
        <v>10</v>
      </c>
      <c r="O4" s="3" t="s">
        <v>11</v>
      </c>
      <c r="P4" s="3" t="s">
        <v>12</v>
      </c>
      <c r="Q4" s="3" t="s">
        <v>338</v>
      </c>
    </row>
    <row r="5" spans="1:17" x14ac:dyDescent="0.25">
      <c r="A5" t="s">
        <v>13</v>
      </c>
      <c r="B5">
        <v>21</v>
      </c>
      <c r="C5" s="4">
        <v>8888.369999999999</v>
      </c>
      <c r="D5" s="4">
        <v>1112.38</v>
      </c>
      <c r="E5">
        <v>0</v>
      </c>
      <c r="F5">
        <v>0</v>
      </c>
      <c r="G5">
        <v>0</v>
      </c>
      <c r="H5">
        <v>0</v>
      </c>
      <c r="I5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1112.38</v>
      </c>
      <c r="P5" s="4">
        <v>12.515005563449769</v>
      </c>
      <c r="Q5" t="s">
        <v>1</v>
      </c>
    </row>
    <row r="6" spans="1:17" x14ac:dyDescent="0.25">
      <c r="A6" t="s">
        <v>14</v>
      </c>
      <c r="B6">
        <v>20</v>
      </c>
      <c r="C6" s="4">
        <v>9225.029999999999</v>
      </c>
      <c r="D6" s="4">
        <v>664.49</v>
      </c>
      <c r="E6">
        <v>0</v>
      </c>
      <c r="F6">
        <v>0</v>
      </c>
      <c r="G6">
        <v>0</v>
      </c>
      <c r="H6">
        <v>0</v>
      </c>
      <c r="I6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664.49</v>
      </c>
      <c r="P6" s="4">
        <v>7.203120206655155</v>
      </c>
      <c r="Q6" t="s">
        <v>1</v>
      </c>
    </row>
    <row r="7" spans="1:17" x14ac:dyDescent="0.25">
      <c r="A7" t="s">
        <v>15</v>
      </c>
      <c r="B7">
        <v>20</v>
      </c>
      <c r="C7" s="4">
        <v>9017.5</v>
      </c>
      <c r="D7" s="4">
        <v>1278.2499999999998</v>
      </c>
      <c r="E7">
        <v>0</v>
      </c>
      <c r="F7">
        <v>0</v>
      </c>
      <c r="G7">
        <v>0</v>
      </c>
      <c r="H7">
        <v>0</v>
      </c>
      <c r="I7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1278.2499999999998</v>
      </c>
      <c r="P7" s="4">
        <v>14.175214859994453</v>
      </c>
      <c r="Q7" t="s">
        <v>1</v>
      </c>
    </row>
    <row r="8" spans="1:17" x14ac:dyDescent="0.25">
      <c r="A8" t="s">
        <v>16</v>
      </c>
      <c r="B8">
        <v>20</v>
      </c>
      <c r="C8" s="4">
        <v>8972.5</v>
      </c>
      <c r="D8" s="4">
        <v>1133.34</v>
      </c>
      <c r="E8">
        <v>0</v>
      </c>
      <c r="F8">
        <v>0</v>
      </c>
      <c r="G8">
        <v>0</v>
      </c>
      <c r="H8">
        <v>0</v>
      </c>
      <c r="I8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1133.34</v>
      </c>
      <c r="P8" s="4">
        <v>12.631262190025074</v>
      </c>
      <c r="Q8" t="s">
        <v>1</v>
      </c>
    </row>
    <row r="9" spans="1:17" x14ac:dyDescent="0.25">
      <c r="A9" t="s">
        <v>17</v>
      </c>
      <c r="B9">
        <v>20</v>
      </c>
      <c r="C9" s="4">
        <v>9347.15</v>
      </c>
      <c r="D9" s="4">
        <v>1336.79</v>
      </c>
      <c r="E9">
        <v>0</v>
      </c>
      <c r="F9">
        <v>0</v>
      </c>
      <c r="G9">
        <v>0</v>
      </c>
      <c r="H9">
        <v>0</v>
      </c>
      <c r="I9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1336.79</v>
      </c>
      <c r="P9" s="4">
        <v>14.301578556030448</v>
      </c>
      <c r="Q9" t="s">
        <v>1</v>
      </c>
    </row>
    <row r="10" spans="1:17" s="3" customFormat="1" x14ac:dyDescent="0.25">
      <c r="A10" s="3" t="s">
        <v>18</v>
      </c>
      <c r="B10" s="3">
        <v>101</v>
      </c>
      <c r="C10" s="11">
        <v>45450.549999999996</v>
      </c>
      <c r="D10" s="11">
        <v>5525.25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5525.25</v>
      </c>
      <c r="P10" s="11">
        <v>12.156618566772021</v>
      </c>
      <c r="Q10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4" width="14" customWidth="1"/>
    <col min="5" max="5" width="26" customWidth="1"/>
    <col min="6" max="11" width="14" customWidth="1"/>
    <col min="12" max="12" width="28" customWidth="1"/>
  </cols>
  <sheetData>
    <row r="1" spans="1:12" s="7" customFormat="1" x14ac:dyDescent="0.25">
      <c r="A1" s="7" t="s">
        <v>28</v>
      </c>
      <c r="B1" s="7" t="s">
        <v>4</v>
      </c>
      <c r="C1" s="7" t="s">
        <v>29</v>
      </c>
      <c r="D1" s="7" t="s">
        <v>30</v>
      </c>
      <c r="E1" s="7" t="s">
        <v>339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49</v>
      </c>
      <c r="K1" s="7" t="s">
        <v>50</v>
      </c>
      <c r="L1" s="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7" t="s">
        <v>340</v>
      </c>
      <c r="B1" t="s">
        <v>341</v>
      </c>
    </row>
    <row r="2" spans="1:2" x14ac:dyDescent="0.25">
      <c r="A2" s="7" t="s">
        <v>342</v>
      </c>
      <c r="B2">
        <v>0</v>
      </c>
    </row>
    <row r="3" spans="1:2" x14ac:dyDescent="0.25">
      <c r="A3" s="7" t="s">
        <v>6</v>
      </c>
      <c r="B3">
        <v>0</v>
      </c>
    </row>
    <row r="4" spans="1:2" x14ac:dyDescent="0.25">
      <c r="A4" s="7" t="s">
        <v>7</v>
      </c>
      <c r="B4">
        <v>0</v>
      </c>
    </row>
    <row r="5" spans="1:2" x14ac:dyDescent="0.25">
      <c r="A5" s="7" t="s">
        <v>8</v>
      </c>
      <c r="B5">
        <v>0</v>
      </c>
    </row>
    <row r="6" spans="1:2" x14ac:dyDescent="0.25">
      <c r="A6" s="7" t="s">
        <v>343</v>
      </c>
      <c r="B6" s="4">
        <v>0</v>
      </c>
    </row>
    <row r="7" spans="1:2" x14ac:dyDescent="0.25">
      <c r="A7" s="7" t="s">
        <v>344</v>
      </c>
      <c r="B7" s="4">
        <v>0</v>
      </c>
    </row>
    <row r="9" spans="1:2" x14ac:dyDescent="0.25">
      <c r="A9" s="7" t="s">
        <v>345</v>
      </c>
      <c r="B9" t="s">
        <v>1</v>
      </c>
    </row>
    <row r="10" spans="1:2" x14ac:dyDescent="0.25">
      <c r="A10" t="s">
        <v>346</v>
      </c>
      <c r="B10" t="s">
        <v>347</v>
      </c>
    </row>
    <row r="11" spans="1:2" x14ac:dyDescent="0.25">
      <c r="A11" t="s">
        <v>348</v>
      </c>
      <c r="B11" t="s">
        <v>349</v>
      </c>
    </row>
    <row r="12" spans="1:2" x14ac:dyDescent="0.25">
      <c r="A12" t="s">
        <v>350</v>
      </c>
      <c r="B12" t="s">
        <v>351</v>
      </c>
    </row>
    <row r="14" spans="1:2" x14ac:dyDescent="0.25">
      <c r="A14" s="7" t="s">
        <v>352</v>
      </c>
      <c r="B14" t="s">
        <v>1</v>
      </c>
    </row>
    <row r="15" spans="1:2" x14ac:dyDescent="0.25">
      <c r="A15" t="s">
        <v>353</v>
      </c>
      <c r="B15" t="s">
        <v>354</v>
      </c>
    </row>
    <row r="16" spans="1:2" x14ac:dyDescent="0.25">
      <c r="A16" t="s">
        <v>355</v>
      </c>
      <c r="B1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57</v>
      </c>
      <c r="B1" t="s">
        <v>356</v>
      </c>
      <c r="C1" t="s">
        <v>32</v>
      </c>
      <c r="D1" t="s">
        <v>34</v>
      </c>
      <c r="E1" t="s">
        <v>33</v>
      </c>
      <c r="F1" t="s">
        <v>35</v>
      </c>
      <c r="G1" t="s">
        <v>357</v>
      </c>
      <c r="H1" t="s">
        <v>358</v>
      </c>
      <c r="I1" t="s">
        <v>4</v>
      </c>
      <c r="J1" t="s">
        <v>359</v>
      </c>
      <c r="K1" t="s">
        <v>58</v>
      </c>
      <c r="L1" t="s">
        <v>360</v>
      </c>
      <c r="M1" t="s">
        <v>61</v>
      </c>
      <c r="N1" t="s">
        <v>361</v>
      </c>
      <c r="O1" t="s">
        <v>59</v>
      </c>
      <c r="P1" t="s">
        <v>362</v>
      </c>
      <c r="Q1" t="s">
        <v>363</v>
      </c>
      <c r="R1" t="s">
        <v>364</v>
      </c>
    </row>
    <row r="2" spans="1:1" x14ac:dyDescent="0.25">
      <c r="A2" s="12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356</v>
      </c>
      <c r="B1" t="s">
        <v>32</v>
      </c>
      <c r="C1" t="s">
        <v>366</v>
      </c>
      <c r="D1" t="s">
        <v>367</v>
      </c>
      <c r="E1" t="s">
        <v>368</v>
      </c>
      <c r="F1" t="s">
        <v>369</v>
      </c>
      <c r="G1" t="s">
        <v>61</v>
      </c>
    </row>
    <row r="2" spans="1:1" x14ac:dyDescent="0.25">
      <c r="A2" s="12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AMAZON</vt:lpstr>
      <vt:lpstr>BM</vt:lpstr>
      <vt:lpstr>EBAY</vt:lpstr>
      <vt:lpstr>ONBUY</vt:lpstr>
      <vt:lpstr>TEMU</vt:lpstr>
      <vt:lpstr>Returns &amp; Profit</vt:lpstr>
      <vt:lpstr>Accessories</vt:lpstr>
      <vt:lpstr>Returns 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2026-09-09T09:29:58Z</dcterms:created>
  <dcterms:modified xsi:type="dcterms:W3CDTF">2026-09-09T09:29:58Z</dcterms:modified>
</cp:coreProperties>
</file>