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Summary" state="visible" r:id="rId10"/>
    <sheet sheetId="8" name="Returns Detail" state="visible" r:id="rId11"/>
    <sheet sheetId="9" name="Unit Histories" state="visible" r:id="rId12"/>
  </sheets>
  <calcPr calcId="171027"/>
</workbook>
</file>

<file path=xl/sharedStrings.xml><?xml version="1.0" encoding="utf-8"?>
<sst xmlns="http://schemas.openxmlformats.org/spreadsheetml/2006/main" count="321" uniqueCount="126">
  <si>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</si>
  <si>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</si>
  <si>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</si>
  <si>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</si>
  <si>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</si>
  <si>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</si>
  <si>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</si>
  <si>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</si>
  <si>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</si>
  <si>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</si>
  <si>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</si>
  <si>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</si>
  <si>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</si>
  <si>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</si>
  <si>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</si>
  <si>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</si>
  <si>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</si>
  <si>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</si>
  <si>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</si>
  <si>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</si>
  <si>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</si>
  <si>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</si>
  <si>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</si>
  <si>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</si>
  <si>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</si>
  <si>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</si>
  <si>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</si>
  <si>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</si>
  <si>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</si>
  <si>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</si>
  <si>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</si>
  <si>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</si>
  <si>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</si>
  <si>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</si>
  <si>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</si>
  <si>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</si>
  <si>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</si>
  <si>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</si>
  <si>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</si>
  <si>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</si>
  <si>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</si>
  <si>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</si>
  <si>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</si>
  <si>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</si>
  <si>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</si>
  <si>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</si>
  <si>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</si>
  <si>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Return Date</t>
  </si>
  <si>
    <t>Outcome</t>
  </si>
  <si>
    <t>Return Reason</t>
  </si>
  <si>
    <t>Shipping Legs</t>
  </si>
  <si>
    <t>Postage Loss</t>
  </si>
  <si>
    <t>AMZ-2222</t>
  </si>
  <si>
    <t>IP14-128-BLK</t>
  </si>
  <si>
    <t>350190000092222</t>
  </si>
  <si>
    <t>MOBILE WHOLESALE LTD</t>
  </si>
  <si>
    <t>Refund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</si>
  <si>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</si>
  <si>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</si>
  <si>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</si>
  <si>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</si>
  <si>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</si>
  <si>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AMZ-1111</t>
  </si>
  <si>
    <t>350190000091111</t>
  </si>
  <si>
    <t>Refund — Customer changed mind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</si>
  <si>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</si>
  <si>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</si>
  <si>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</si>
  <si>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</si>
  <si>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</si>
  <si>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</si>
  <si>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</si>
  <si>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</si>
  <si>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</si>
  <si>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</si>
  <si>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</si>
  <si>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</si>
  <si>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</si>
  <si>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</si>
  <si>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</si>
  <si>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</si>
  <si>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</si>
  <si>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</si>
  <si>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</si>
  <si>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</si>
  <si>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</si>
  <si>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</si>
  <si>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</si>
  <si>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</si>
  <si>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</si>
  <si>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</si>
  <si>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</si>
  <si>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2026-07-27</t>
  </si>
  <si>
    <t>Uncosted (pre-tracking) returns</t>
  </si>
  <si>
    <t>Unit IMEI</t>
  </si>
  <si>
    <t>Model</t>
  </si>
  <si>
    <t>Storage</t>
  </si>
  <si>
    <t>Colour</t>
  </si>
  <si>
    <t>Original Sale Date</t>
  </si>
  <si>
    <t>Original Sale Price</t>
  </si>
  <si>
    <t>Return Type</t>
  </si>
  <si>
    <t>Reason</t>
  </si>
  <si>
    <t>Leg Cost £</t>
  </si>
  <si>
    <t>IPHONE 14</t>
  </si>
  <si>
    <t>128GB</t>
  </si>
  <si>
    <t>BLACK</t>
  </si>
  <si>
    <t>Back to Inventory</t>
  </si>
  <si>
    <t>Customer changed mind</t>
  </si>
  <si>
    <t>Customer: Customer says it stopped charging. · Tech QC: QC: confirmed fault, unit otherwise clean.</t>
  </si>
  <si>
    <t>To Supplier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</si>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</sst>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3" x14ac:knownFonts="1">
    <font>
      <color theme="1"/>
      <family val="2"/>
      <scheme val="minor"/>
      <sz val="11"/>
      <name val="Calibri"/>
    </font>
    <font>
      <b/>
      <sz val="13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2</v>
      </c>
      <c r="D5">
        <v>0</v>
      </c>
      <c r="E5">
        <v>1</v>
      </c>
      <c r="F5" s="3">
        <v>0</v>
      </c>
      <c r="G5" s="3">
        <v>57.6</v>
      </c>
      <c r="H5" s="3">
        <v>-57.6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2</v>
      </c>
      <c r="D10" s="4">
        <v>0</v>
      </c>
      <c r="E10" s="4">
        <v>1</v>
      </c>
      <c r="F10" s="5">
        <v>0</v>
      </c>
      <c r="G10" s="5">
        <v>57.6</v>
      </c>
      <c r="H10" s="5">
        <v>-57.6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10</v>
      </c>
    </row>
    <row r="2" spans="1:28" x14ac:dyDescent="0.25">
      <c r="A2" s="7">
        <v>46213.5</v>
      </c>
      <c r="B2" s="8" t="s">
        <v>52</v>
      </c>
      <c r="C2" s="8" t="s">
        <v>53</v>
      </c>
      <c r="D2" s="9" t="s">
        <v>54</v>
      </c>
      <c r="E2" s="8" t="s">
        <v>55</v>
      </c>
      <c r="F2" s="8">
        <v>1</v>
      </c>
      <c r="G2" s="10">
        <v>350</v>
      </c>
      <c r="H2" s="10">
        <v>500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8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(S2-AA2)/G2*100</f>
      </c>
      <c r="U2" s="10">
        <f>J2-R2</f>
      </c>
      <c r="V2" s="8" t="s">
        <v>1</v>
      </c>
      <c r="W2" s="7">
        <v>46230.5</v>
      </c>
      <c r="X2" s="8" t="s">
        <v>56</v>
      </c>
      <c r="Y2" s="8" t="s">
        <v>57</v>
      </c>
      <c r="Z2" s="8">
        <v>2</v>
      </c>
      <c r="AA2" s="10">
        <v>19.2</v>
      </c>
      <c r="AB2" s="10">
        <f>S2-AA2</f>
      </c>
    </row>
    <row r="3" spans="1:28" x14ac:dyDescent="0.25">
      <c r="A3" s="7">
        <v>46213.5</v>
      </c>
      <c r="B3" s="8" t="s">
        <v>58</v>
      </c>
      <c r="C3" s="8" t="s">
        <v>53</v>
      </c>
      <c r="D3" s="9" t="s">
        <v>59</v>
      </c>
      <c r="E3" s="8" t="s">
        <v>55</v>
      </c>
      <c r="F3" s="8">
        <v>1</v>
      </c>
      <c r="G3" s="10">
        <v>350</v>
      </c>
      <c r="H3" s="10">
        <v>500</v>
      </c>
      <c r="I3" s="10">
        <f>H3-G3</f>
      </c>
      <c r="J3" s="10">
        <f>I3*16.67%</f>
      </c>
      <c r="K3" s="10">
        <f>H3/100*7</f>
      </c>
      <c r="L3" s="10">
        <f>K3*20%</f>
      </c>
      <c r="M3" s="10">
        <f>K3*2%</f>
      </c>
      <c r="N3" s="10">
        <f>M3*20%</f>
      </c>
      <c r="O3" s="10">
        <v>8</v>
      </c>
      <c r="P3" s="10">
        <f>O3*20%</f>
      </c>
      <c r="Q3" s="10">
        <v>1</v>
      </c>
      <c r="R3" s="10">
        <f>L3+N3+P3</f>
      </c>
      <c r="S3" s="10">
        <f>I3-J3-K3-L3-M3-N3-O3-P3-Q3</f>
      </c>
      <c r="T3" s="10">
        <f>(S3-AA3)/G3*100</f>
      </c>
      <c r="U3" s="10">
        <f>J3-R3</f>
      </c>
      <c r="V3" s="8" t="s">
        <v>1</v>
      </c>
      <c r="W3" s="7">
        <v>46230.5</v>
      </c>
      <c r="X3" s="8" t="s">
        <v>60</v>
      </c>
      <c r="Y3" s="8" t="s">
        <v>61</v>
      </c>
      <c r="Z3" s="8">
        <v>2</v>
      </c>
      <c r="AA3" s="10">
        <v>19.2</v>
      </c>
      <c r="AB3" s="10">
        <f>S3-AA3</f>
      </c>
    </row>
    <row r="4" spans="1:28" x14ac:dyDescent="0.25">
      <c r="A4" s="7">
        <v>46213.5</v>
      </c>
      <c r="B4" s="8" t="s">
        <v>62</v>
      </c>
      <c r="C4" s="8" t="s">
        <v>53</v>
      </c>
      <c r="D4" s="9" t="s">
        <v>63</v>
      </c>
      <c r="E4" s="8" t="s">
        <v>55</v>
      </c>
      <c r="F4" s="8">
        <v>1</v>
      </c>
      <c r="G4" s="10">
        <v>350</v>
      </c>
      <c r="H4" s="10">
        <v>500</v>
      </c>
      <c r="I4" s="10">
        <f>H4-G4</f>
      </c>
      <c r="J4" s="10">
        <f>I4*16.67%</f>
      </c>
      <c r="K4" s="10">
        <f>H4/100*7</f>
      </c>
      <c r="L4" s="10">
        <f>K4*20%</f>
      </c>
      <c r="M4" s="10">
        <f>K4*2%</f>
      </c>
      <c r="N4" s="10">
        <f>M4*20%</f>
      </c>
      <c r="O4" s="10">
        <v>8</v>
      </c>
      <c r="P4" s="10">
        <f>O4*20%</f>
      </c>
      <c r="Q4" s="10">
        <v>1</v>
      </c>
      <c r="R4" s="10">
        <f>L4+N4+P4</f>
      </c>
      <c r="S4" s="10">
        <f>I4-J4-K4-L4-M4-N4-O4-P4-Q4</f>
      </c>
      <c r="T4" s="10">
        <f>(S4-AA4)/G4*100</f>
      </c>
      <c r="U4" s="10">
        <f>J4-R4</f>
      </c>
      <c r="V4" s="8" t="s">
        <v>1</v>
      </c>
      <c r="W4" s="7">
        <v>46230.5</v>
      </c>
      <c r="X4" s="8" t="s">
        <v>56</v>
      </c>
      <c r="Y4" s="8" t="s">
        <v>64</v>
      </c>
      <c r="Z4" s="8">
        <v>2</v>
      </c>
      <c r="AA4" s="10">
        <v>19.2</v>
      </c>
      <c r="AB4" s="10">
        <f>S4-AA4</f>
      </c>
    </row>
    <row r="5" spans="1:28" s="6" customFormat="1" x14ac:dyDescent="0.25">
      <c r="A5" s="2" t="s">
        <v>17</v>
      </c>
      <c r="B5" s="6"/>
      <c r="C5" s="6"/>
      <c r="D5" s="6"/>
      <c r="E5" s="6"/>
      <c r="F5" s="11">
        <f>SUM(F2:F4)</f>
      </c>
      <c r="G5" s="11">
        <f>SUM(G2:G4)</f>
      </c>
      <c r="H5" s="11">
        <f>SUM(H2:H4)</f>
      </c>
      <c r="I5" s="11">
        <f>SUM(I2:I4)</f>
      </c>
      <c r="J5" s="11">
        <f>SUM(J2:J4)</f>
      </c>
      <c r="K5" s="11">
        <f>SUM(K2:K4)</f>
      </c>
      <c r="L5" s="11">
        <f>SUM(L2:L4)</f>
      </c>
      <c r="M5" s="11">
        <f>SUM(M2:M4)</f>
      </c>
      <c r="N5" s="11">
        <f>SUM(N2:N4)</f>
      </c>
      <c r="O5" s="11">
        <f>SUM(O2:O4)</f>
      </c>
      <c r="P5" s="11">
        <f>SUM(P2:P4)</f>
      </c>
      <c r="Q5" s="11">
        <f>SUM(Q2:Q4)</f>
      </c>
      <c r="R5" s="11">
        <f>SUM(R2:R4)</f>
      </c>
      <c r="S5" s="11">
        <f>SUM(S2:S4)</f>
      </c>
      <c r="T5" s="11">
        <f>IFERROR((S5-AA5)/G5*100,0)</f>
      </c>
      <c r="U5" s="11">
        <f>SUM(U2:U4)</f>
      </c>
      <c r="V5" s="6"/>
      <c r="W5" s="6"/>
      <c r="X5" s="6"/>
      <c r="Y5" s="6"/>
      <c r="Z5" s="6"/>
      <c r="AA5" s="11">
        <f>SUM(AA2:AA4)</f>
      </c>
      <c r="AB5" s="11">
        <f>SUM(AB2:AB4)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65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66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67</v>
      </c>
      <c r="M1" t="s">
        <v>68</v>
      </c>
      <c r="N1" t="s">
        <v>69</v>
      </c>
      <c r="O1" t="s">
        <v>70</v>
      </c>
      <c r="P1" t="s">
        <v>39</v>
      </c>
      <c r="Q1" t="s">
        <v>40</v>
      </c>
      <c r="R1" t="s">
        <v>71</v>
      </c>
      <c r="S1" t="s">
        <v>72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73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FormatPr defaultRowHeight="15" outlineLevelRow="0" outlineLevelCol="0" x14ac:dyDescent="55"/>
  <sheetData>
    <row r="1" spans="1:26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74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75</v>
      </c>
      <c r="B1" t="s">
        <v>76</v>
      </c>
    </row>
    <row r="2" spans="1:2" x14ac:dyDescent="0.25">
      <c r="A2" s="6" t="s">
        <v>77</v>
      </c>
      <c r="B2">
        <v>3</v>
      </c>
    </row>
    <row r="3" spans="1:2" x14ac:dyDescent="0.25">
      <c r="A3" s="6" t="s">
        <v>5</v>
      </c>
      <c r="B3">
        <v>2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1</v>
      </c>
    </row>
    <row r="6" spans="1:2" x14ac:dyDescent="0.25">
      <c r="A6" s="6" t="s">
        <v>78</v>
      </c>
      <c r="B6" s="3">
        <v>57.6</v>
      </c>
    </row>
    <row r="7" spans="1:2" x14ac:dyDescent="0.25">
      <c r="A7" s="6" t="s">
        <v>79</v>
      </c>
      <c r="B7" s="3">
        <v>19.2</v>
      </c>
    </row>
    <row r="9" spans="1:2" x14ac:dyDescent="0.25">
      <c r="A9" s="6" t="s">
        <v>80</v>
      </c>
      <c r="B9" s="6" t="s">
        <v>81</v>
      </c>
    </row>
    <row r="10" spans="1:2" x14ac:dyDescent="0.25">
      <c r="A10" s="6" t="s">
        <v>12</v>
      </c>
      <c r="B10" t="s">
        <v>82</v>
      </c>
    </row>
    <row r="12" spans="1:2" x14ac:dyDescent="0.25">
      <c r="A12" s="6" t="s">
        <v>83</v>
      </c>
      <c r="B12" t="s">
        <v>1</v>
      </c>
    </row>
    <row r="13" spans="1:2" x14ac:dyDescent="0.25">
      <c r="A13" t="s">
        <v>84</v>
      </c>
      <c r="B13" t="s">
        <v>85</v>
      </c>
    </row>
    <row r="14" spans="1:2" x14ac:dyDescent="0.25">
      <c r="A14" t="s">
        <v>86</v>
      </c>
      <c r="B14" t="s">
        <v>87</v>
      </c>
    </row>
    <row r="15" spans="1:2" x14ac:dyDescent="0.25">
      <c r="A15" t="s">
        <v>88</v>
      </c>
      <c r="B15" t="s">
        <v>89</v>
      </c>
    </row>
    <row r="17" spans="1:2" x14ac:dyDescent="0.25">
      <c r="A17" s="6" t="s">
        <v>90</v>
      </c>
      <c r="B17" t="s">
        <v>1</v>
      </c>
    </row>
    <row r="18" spans="1:2" x14ac:dyDescent="0.25">
      <c r="A18" t="s">
        <v>91</v>
      </c>
      <c r="B18" t="s">
        <v>92</v>
      </c>
    </row>
    <row r="19" spans="1:2" x14ac:dyDescent="0.25">
      <c r="A19" t="s">
        <v>93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"/>
  <sheetFormatPr defaultRowHeight="15" outlineLevelRow="0" outlineLevelCol="0" x14ac:dyDescent="55"/>
  <sheetData>
    <row r="1" spans="1:16" x14ac:dyDescent="0.25">
      <c r="A1" t="s">
        <v>47</v>
      </c>
      <c r="B1" t="s">
        <v>94</v>
      </c>
      <c r="C1" t="s">
        <v>95</v>
      </c>
      <c r="D1" t="s">
        <v>96</v>
      </c>
      <c r="E1" t="s">
        <v>97</v>
      </c>
      <c r="F1" t="s">
        <v>29</v>
      </c>
      <c r="G1" t="s">
        <v>98</v>
      </c>
      <c r="H1" t="s">
        <v>99</v>
      </c>
      <c r="I1" t="s">
        <v>3</v>
      </c>
      <c r="J1" t="s">
        <v>100</v>
      </c>
      <c r="K1" t="s">
        <v>48</v>
      </c>
      <c r="L1" t="s">
        <v>101</v>
      </c>
      <c r="M1" t="s">
        <v>46</v>
      </c>
      <c r="N1" t="s">
        <v>102</v>
      </c>
      <c r="O1" t="s">
        <v>50</v>
      </c>
      <c r="P1" t="s">
        <v>9</v>
      </c>
    </row>
    <row r="2" spans="1:16" x14ac:dyDescent="0.25">
      <c r="A2" s="7">
        <v>46230.5</v>
      </c>
      <c r="B2" s="9" t="s">
        <v>63</v>
      </c>
      <c r="C2" s="8" t="s">
        <v>103</v>
      </c>
      <c r="D2" s="8" t="s">
        <v>104</v>
      </c>
      <c r="E2" s="8" t="s">
        <v>105</v>
      </c>
      <c r="F2" s="8" t="s">
        <v>55</v>
      </c>
      <c r="G2" s="7">
        <v>46213.5</v>
      </c>
      <c r="H2" s="10">
        <v>500</v>
      </c>
      <c r="I2" s="8" t="s">
        <v>12</v>
      </c>
      <c r="J2" s="8" t="s">
        <v>106</v>
      </c>
      <c r="K2" s="8" t="s">
        <v>56</v>
      </c>
      <c r="L2" s="8" t="s">
        <v>107</v>
      </c>
      <c r="M2" s="8" t="s">
        <v>108</v>
      </c>
      <c r="N2" s="10">
        <v>9.6</v>
      </c>
      <c r="O2" s="8">
        <v>2</v>
      </c>
      <c r="P2" s="10">
        <v>19.2</v>
      </c>
    </row>
    <row r="3" spans="1:16" x14ac:dyDescent="0.25">
      <c r="A3" s="7">
        <v>46230.5</v>
      </c>
      <c r="B3" s="9" t="s">
        <v>54</v>
      </c>
      <c r="C3" s="8" t="s">
        <v>103</v>
      </c>
      <c r="D3" s="8" t="s">
        <v>104</v>
      </c>
      <c r="E3" s="8" t="s">
        <v>105</v>
      </c>
      <c r="F3" s="8" t="s">
        <v>55</v>
      </c>
      <c r="G3" s="7">
        <v>46213.5</v>
      </c>
      <c r="H3" s="10">
        <v>500</v>
      </c>
      <c r="I3" s="8" t="s">
        <v>12</v>
      </c>
      <c r="J3" s="8" t="s">
        <v>109</v>
      </c>
      <c r="K3" s="8" t="s">
        <v>56</v>
      </c>
      <c r="L3" s="8" t="s">
        <v>110</v>
      </c>
      <c r="M3" s="8" t="s">
        <v>108</v>
      </c>
      <c r="N3" s="10">
        <v>9.6</v>
      </c>
      <c r="O3" s="8">
        <v>2</v>
      </c>
      <c r="P3" s="10">
        <v>19.2</v>
      </c>
    </row>
    <row r="4" spans="1:16" x14ac:dyDescent="0.25">
      <c r="A4" s="7">
        <v>46230.5</v>
      </c>
      <c r="B4" s="9" t="s">
        <v>59</v>
      </c>
      <c r="C4" s="8" t="s">
        <v>103</v>
      </c>
      <c r="D4" s="8" t="s">
        <v>104</v>
      </c>
      <c r="E4" s="8" t="s">
        <v>105</v>
      </c>
      <c r="F4" s="8" t="s">
        <v>55</v>
      </c>
      <c r="G4" s="7">
        <v>46213.5</v>
      </c>
      <c r="H4" s="10">
        <v>500</v>
      </c>
      <c r="I4" s="8" t="s">
        <v>12</v>
      </c>
      <c r="J4" s="8" t="s">
        <v>60</v>
      </c>
      <c r="K4" s="8" t="s">
        <v>60</v>
      </c>
      <c r="L4" s="8" t="s">
        <v>111</v>
      </c>
      <c r="M4" s="8" t="s">
        <v>108</v>
      </c>
      <c r="N4" s="10">
        <v>9.6</v>
      </c>
      <c r="O4" s="8">
        <v>2</v>
      </c>
      <c r="P4" s="10">
        <v>19.2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94</v>
      </c>
      <c r="B1" t="s">
        <v>95</v>
      </c>
      <c r="C1" t="s">
        <v>112</v>
      </c>
      <c r="D1" t="s">
        <v>113</v>
      </c>
      <c r="E1" t="s">
        <v>114</v>
      </c>
      <c r="F1" t="s">
        <v>115</v>
      </c>
      <c r="G1" t="s">
        <v>46</v>
      </c>
    </row>
    <row r="2" spans="1:7" x14ac:dyDescent="0.25">
      <c r="A2" s="12" t="s">
        <v>63</v>
      </c>
      <c r="B2" t="s">
        <v>103</v>
      </c>
      <c r="C2" s="13">
        <v>46174.5</v>
      </c>
      <c r="D2" t="s">
        <v>116</v>
      </c>
      <c r="E2" t="s">
        <v>55</v>
      </c>
      <c r="F2" s="3">
        <v>350</v>
      </c>
      <c r="G2" t="s">
        <v>1</v>
      </c>
    </row>
    <row r="3" spans="1:7" x14ac:dyDescent="0.25">
      <c r="A3" s="12" t="s">
        <v>63</v>
      </c>
      <c r="B3" t="s">
        <v>103</v>
      </c>
      <c r="C3" s="13">
        <v>46213.5</v>
      </c>
      <c r="D3" t="s">
        <v>117</v>
      </c>
      <c r="E3" t="s">
        <v>118</v>
      </c>
      <c r="F3" s="3">
        <v>500</v>
      </c>
      <c r="G3" t="s">
        <v>1</v>
      </c>
    </row>
    <row r="4" spans="1:7" x14ac:dyDescent="0.25">
      <c r="A4" s="9" t="s">
        <v>63</v>
      </c>
      <c r="B4" s="8" t="s">
        <v>103</v>
      </c>
      <c r="C4" s="7">
        <v>46230.5</v>
      </c>
      <c r="D4" s="8" t="s">
        <v>119</v>
      </c>
      <c r="E4" s="8" t="s">
        <v>120</v>
      </c>
      <c r="F4" s="10">
        <v>-19.2</v>
      </c>
      <c r="G4" s="8" t="s">
        <v>108</v>
      </c>
    </row>
    <row r="5" spans="1:7" x14ac:dyDescent="0.25">
      <c r="A5" s="12" t="s">
        <v>54</v>
      </c>
      <c r="B5" t="s">
        <v>103</v>
      </c>
      <c r="C5" s="13">
        <v>46174.5</v>
      </c>
      <c r="D5" t="s">
        <v>116</v>
      </c>
      <c r="E5" t="s">
        <v>55</v>
      </c>
      <c r="F5" s="3">
        <v>350</v>
      </c>
      <c r="G5" t="s">
        <v>1</v>
      </c>
    </row>
    <row r="6" spans="1:7" x14ac:dyDescent="0.25">
      <c r="A6" s="12" t="s">
        <v>54</v>
      </c>
      <c r="B6" t="s">
        <v>103</v>
      </c>
      <c r="C6" s="13">
        <v>46213.5</v>
      </c>
      <c r="D6" t="s">
        <v>117</v>
      </c>
      <c r="E6" t="s">
        <v>121</v>
      </c>
      <c r="F6" s="3">
        <v>500</v>
      </c>
      <c r="G6" t="s">
        <v>1</v>
      </c>
    </row>
    <row r="7" spans="1:7" x14ac:dyDescent="0.25">
      <c r="A7" s="9" t="s">
        <v>54</v>
      </c>
      <c r="B7" s="8" t="s">
        <v>103</v>
      </c>
      <c r="C7" s="7">
        <v>46230.5</v>
      </c>
      <c r="D7" s="8" t="s">
        <v>119</v>
      </c>
      <c r="E7" s="8" t="s">
        <v>122</v>
      </c>
      <c r="F7" s="10">
        <v>-19.2</v>
      </c>
      <c r="G7" s="8" t="s">
        <v>108</v>
      </c>
    </row>
    <row r="8" spans="1:7" x14ac:dyDescent="0.25">
      <c r="A8" s="12" t="s">
        <v>54</v>
      </c>
      <c r="B8" t="s">
        <v>103</v>
      </c>
      <c r="C8" s="13">
        <v>46230.5</v>
      </c>
      <c r="D8" t="s">
        <v>123</v>
      </c>
      <c r="E8" t="s">
        <v>109</v>
      </c>
      <c r="F8" s="3"/>
      <c r="G8" t="s">
        <v>1</v>
      </c>
    </row>
    <row r="9" spans="1:7" x14ac:dyDescent="0.25">
      <c r="A9" s="12" t="s">
        <v>59</v>
      </c>
      <c r="B9" t="s">
        <v>103</v>
      </c>
      <c r="C9" s="13">
        <v>46174.5</v>
      </c>
      <c r="D9" t="s">
        <v>116</v>
      </c>
      <c r="E9" t="s">
        <v>55</v>
      </c>
      <c r="F9" s="3">
        <v>350</v>
      </c>
      <c r="G9" t="s">
        <v>1</v>
      </c>
    </row>
    <row r="10" spans="1:7" x14ac:dyDescent="0.25">
      <c r="A10" s="12" t="s">
        <v>59</v>
      </c>
      <c r="B10" t="s">
        <v>103</v>
      </c>
      <c r="C10" s="13">
        <v>46213.5</v>
      </c>
      <c r="D10" t="s">
        <v>117</v>
      </c>
      <c r="E10" t="s">
        <v>124</v>
      </c>
      <c r="F10" s="3">
        <v>500</v>
      </c>
      <c r="G10" t="s">
        <v>1</v>
      </c>
    </row>
    <row r="11" spans="1:7" x14ac:dyDescent="0.25">
      <c r="A11" s="9" t="s">
        <v>59</v>
      </c>
      <c r="B11" s="8" t="s">
        <v>103</v>
      </c>
      <c r="C11" s="7">
        <v>46230.5</v>
      </c>
      <c r="D11" s="8" t="s">
        <v>119</v>
      </c>
      <c r="E11" s="8" t="s">
        <v>125</v>
      </c>
      <c r="F11" s="10">
        <v>-19.2</v>
      </c>
      <c r="G11" s="8" t="s">
        <v>108</v>
      </c>
    </row>
    <row r="12" spans="1:7" x14ac:dyDescent="0.25">
      <c r="A12" s="12" t="s">
        <v>59</v>
      </c>
      <c r="B12" t="s">
        <v>103</v>
      </c>
      <c r="C12" s="13">
        <v>46230.5</v>
      </c>
      <c r="D12" t="s">
        <v>123</v>
      </c>
      <c r="E12" t="s">
        <v>60</v>
      </c>
      <c r="F12" s="3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AMAZON</vt:lpstr>
      <vt:lpstr>BM</vt:lpstr>
      <vt:lpstr>EBAY</vt:lpstr>
      <vt:lpstr>ONBUY</vt:lpstr>
      <vt:lpstr>TEMU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2026-07-27T14:58:21Z</dcterms:created>
  <dcterms:modified xsi:type="dcterms:W3CDTF">2026-07-27T14:58:21Z</dcterms:modified>
</cp:coreProperties>
</file>