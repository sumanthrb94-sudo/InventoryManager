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<sst xmlns="http://schemas.openxmlformats.org/spreadsheetml/2006/main" count="411" uniqueCount="151">
  <si>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</si>
  <si>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</si>
  <si>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</si>
  <si>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</si>
  <si>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</si>
  <si>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</si>
  <si>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</si>
  <si>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</si>
  <si>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</si>
  <si>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</si>
  <si>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</si>
  <si>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</si>
  <si>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</si>
  <si>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</si>
  <si>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</si>
  <si>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</si>
  <si>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</si>
  <si>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</si>
  <si>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</si>
  <si>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</si>
  <si>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</si>
  <si>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</si>
  <si>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</si>
  <si>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</si>
  <si>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</si>
  <si>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</si>
  <si>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</si>
  <si>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</si>
  <si>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</si>
  <si>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</si>
  <si>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</si>
  <si>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</si>
  <si>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</si>
  <si>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</si>
  <si>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</si>
  <si>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</si>
  <si>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</si>
  <si>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</si>
  <si>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</si>
  <si>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</si>
  <si>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</si>
  <si>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</si>
  <si>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</si>
  <si>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</si>
  <si>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</si>
  <si>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</si>
  <si>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</si>
  <si>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</si>
  <si>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</si>
  <si>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</si>
  <si>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</si>
  <si>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</si>
  <si>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</si>
  <si>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</si>
  <si>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</si>
  <si>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</si>
  <si>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</si>
  <si>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</si>
  <si>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</si>
  <si>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</si>
  <si>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</si>
  <si>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</si>
  <si>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AMZ-1111</t>
  </si>
  <si>
    <t>IP14-128-BLK</t>
  </si>
  <si>
    <t>350190000091111</t>
  </si>
  <si>
    <t>iPhone 14</t>
  </si>
  <si>
    <t>BLACK</t>
  </si>
  <si>
    <t>128GB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</si>
  <si>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</si>
  <si>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</si>
  <si>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</si>
  <si>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</si>
  <si>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</si>
  <si>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</si>
  <si>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</si>
  <si>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</si>
  <si>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</si>
  <si>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</si>
  <si>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</si>
  <si>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</si>
  <si>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</si>
  <si>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</si>
  <si>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</si>
  <si>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</si>
  <si>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</si>
  <si>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</si>
  <si>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</si>
  <si>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</si>
  <si>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</si>
  <si>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</si>
  <si>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</si>
  <si>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</si>
  <si>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</si>
  <si>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</si>
  <si>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</si>
  <si>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</si>
  <si>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</si>
  <si>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</si>
  <si>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</si>
  <si>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</si>
  <si>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</si>
  <si>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</si>
  <si>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</si>
  <si>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</si>
  <si>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</si>
  <si>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</si>
  <si>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</si>
  <si>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</si>
  <si>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</si>
  <si>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</si>
  <si>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</si>
  <si>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</si>
  <si>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</si>
  <si>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</si>
  <si>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</si>
  <si>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</si>
  <si>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</si>
  <si>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</si>
  <si>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</si>
  <si>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</si>
  <si>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2026-08-29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</si>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</sst>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0.00+SUM('AMAZON'!$V$5:$V$204)</f>
      </c>
      <c r="G6" s="4">
        <v>69.6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5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46213.5</v>
      </c>
      <c r="B2" s="9" t="s">
        <v>62</v>
      </c>
      <c r="C2" s="9" t="s">
        <v>63</v>
      </c>
      <c r="D2" s="10" t="s">
        <v>64</v>
      </c>
      <c r="E2" s="9" t="s">
        <v>65</v>
      </c>
      <c r="F2" s="9" t="s">
        <v>66</v>
      </c>
      <c r="G2" s="9" t="s">
        <v>67</v>
      </c>
      <c r="H2" s="9" t="s">
        <v>68</v>
      </c>
      <c r="I2" s="9">
        <v>1</v>
      </c>
      <c r="J2" s="11">
        <v>350</v>
      </c>
      <c r="K2" s="11">
        <v>500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8</v>
      </c>
      <c r="S2" s="11">
        <f>R2*20%</f>
      </c>
      <c r="T2" s="11">
        <v>1</v>
      </c>
      <c r="U2" s="11">
        <f>O2+Q2+S2</f>
      </c>
      <c r="V2" s="11">
        <v>0</v>
      </c>
      <c r="W2" s="11">
        <f>(V2-AC2)/J2*100</f>
      </c>
      <c r="X2" s="11">
        <f>M2-U2</f>
      </c>
      <c r="Y2" s="11">
        <v>19.2</v>
      </c>
      <c r="Z2" s="11">
        <v>6</v>
      </c>
      <c r="AA2" s="9"/>
      <c r="AB2" s="9"/>
      <c r="AC2" s="11">
        <f>Y2+Z2+AA2-AB2</f>
      </c>
      <c r="AD2" s="11">
        <f>V2-AC2</f>
      </c>
      <c r="AE2" s="8">
        <v>46263.5</v>
      </c>
      <c r="AF2" s="9" t="s">
        <v>69</v>
      </c>
      <c r="AG2" s="9">
        <v>2</v>
      </c>
      <c r="AH2" s="9" t="s">
        <v>70</v>
      </c>
      <c r="AI2" s="9" t="s">
        <v>1</v>
      </c>
    </row>
    <row r="3" spans="1:35" x14ac:dyDescent="0.25">
      <c r="A3" s="8">
        <v>46213.5</v>
      </c>
      <c r="B3" s="9" t="s">
        <v>71</v>
      </c>
      <c r="C3" s="9" t="s">
        <v>63</v>
      </c>
      <c r="D3" s="10" t="s">
        <v>72</v>
      </c>
      <c r="E3" s="9" t="s">
        <v>65</v>
      </c>
      <c r="F3" s="9" t="s">
        <v>66</v>
      </c>
      <c r="G3" s="9" t="s">
        <v>67</v>
      </c>
      <c r="H3" s="9" t="s">
        <v>68</v>
      </c>
      <c r="I3" s="9">
        <v>1</v>
      </c>
      <c r="J3" s="11">
        <v>350</v>
      </c>
      <c r="K3" s="11">
        <v>500</v>
      </c>
      <c r="L3" s="11">
        <f>K3-J3</f>
      </c>
      <c r="M3" s="11">
        <f>L3*16.67%</f>
      </c>
      <c r="N3" s="11">
        <f>K3/100*7</f>
      </c>
      <c r="O3" s="11">
        <f>N3*20%</f>
      </c>
      <c r="P3" s="11">
        <f>N3*2%</f>
      </c>
      <c r="Q3" s="11">
        <f>P3*20%</f>
      </c>
      <c r="R3" s="11">
        <v>8</v>
      </c>
      <c r="S3" s="11">
        <f>R3*20%</f>
      </c>
      <c r="T3" s="11">
        <v>1</v>
      </c>
      <c r="U3" s="11">
        <f>O3+Q3+S3</f>
      </c>
      <c r="V3" s="11">
        <v>0</v>
      </c>
      <c r="W3" s="11">
        <f>(V3-AC3)/J3*100</f>
      </c>
      <c r="X3" s="11">
        <f>M3-U3</f>
      </c>
      <c r="Y3" s="11">
        <v>19.2</v>
      </c>
      <c r="Z3" s="11">
        <v>6</v>
      </c>
      <c r="AA3" s="9"/>
      <c r="AB3" s="9"/>
      <c r="AC3" s="11">
        <f>Y3+Z3+AA3-AB3</f>
      </c>
      <c r="AD3" s="11">
        <f>V3-AC3</f>
      </c>
      <c r="AE3" s="8">
        <v>46263.5</v>
      </c>
      <c r="AF3" s="9" t="s">
        <v>69</v>
      </c>
      <c r="AG3" s="9">
        <v>2</v>
      </c>
      <c r="AH3" s="9" t="s">
        <v>73</v>
      </c>
      <c r="AI3" s="9" t="s">
        <v>1</v>
      </c>
    </row>
    <row r="4" spans="1:35" x14ac:dyDescent="0.25">
      <c r="A4" s="8">
        <v>46213.5</v>
      </c>
      <c r="B4" s="9" t="s">
        <v>74</v>
      </c>
      <c r="C4" s="9" t="s">
        <v>63</v>
      </c>
      <c r="D4" s="10" t="s">
        <v>75</v>
      </c>
      <c r="E4" s="9" t="s">
        <v>65</v>
      </c>
      <c r="F4" s="9" t="s">
        <v>66</v>
      </c>
      <c r="G4" s="9" t="s">
        <v>67</v>
      </c>
      <c r="H4" s="9" t="s">
        <v>68</v>
      </c>
      <c r="I4" s="9">
        <v>1</v>
      </c>
      <c r="J4" s="11">
        <v>350</v>
      </c>
      <c r="K4" s="11">
        <v>500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8</v>
      </c>
      <c r="S4" s="11">
        <f>R4*20%</f>
      </c>
      <c r="T4" s="11">
        <v>1</v>
      </c>
      <c r="U4" s="11">
        <f>O4+Q4+S4</f>
      </c>
      <c r="V4" s="11">
        <f>L4-M4-N4-O4-P4-Q4-R4-S4-T4</f>
      </c>
      <c r="W4" s="11">
        <f>(V4-AC4)/J4*100</f>
      </c>
      <c r="X4" s="11">
        <f>M4-U4</f>
      </c>
      <c r="Y4" s="11">
        <v>19.2</v>
      </c>
      <c r="Z4" s="9"/>
      <c r="AA4" s="9"/>
      <c r="AB4" s="9"/>
      <c r="AC4" s="11">
        <f>Y4+Z4+AA4-AB4</f>
      </c>
      <c r="AD4" s="11">
        <f>V4-AC4</f>
      </c>
      <c r="AE4" s="8">
        <v>46263.5</v>
      </c>
      <c r="AF4" s="9" t="s">
        <v>76</v>
      </c>
      <c r="AG4" s="9">
        <v>3</v>
      </c>
      <c r="AH4" s="9" t="s">
        <v>77</v>
      </c>
      <c r="AI4" s="9" t="s">
        <v>1</v>
      </c>
    </row>
    <row r="5" spans="1:35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IF($K5="","",(V5-AC5)/J5*100)</f>
      </c>
      <c r="X5" s="4">
        <f>IF($K5="","",M5-U5)</f>
      </c>
      <c r="AD5" s="4">
        <f>IF($K5="","",V5-AC5)</f>
      </c>
    </row>
    <row r="6" spans="1:35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IF($K6="","",(V6-AC6)/J6*100)</f>
      </c>
      <c r="X6" s="4">
        <f>IF($K6="","",M6-U6)</f>
      </c>
      <c r="AD6" s="4">
        <f>IF($K6="","",V6-AC6)</f>
      </c>
    </row>
    <row r="7" spans="1:35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IF($K7="","",(V7-AC7)/J7*100)</f>
      </c>
      <c r="X7" s="4">
        <f>IF($K7="","",M7-U7)</f>
      </c>
      <c r="AD7" s="4">
        <f>IF($K7="","",V7-AC7)</f>
      </c>
    </row>
    <row r="8" spans="1:35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IF($K8="","",(V8-AC8)/J8*100)</f>
      </c>
      <c r="X8" s="4">
        <f>IF($K8="","",M8-U8)</f>
      </c>
      <c r="AD8" s="4">
        <f>IF($K8="","",V8-AC8)</f>
      </c>
    </row>
    <row r="9" spans="1:35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IF($K203="","",(V203-AC203)/J203*100)</f>
      </c>
      <c r="X203" s="4">
        <f>IF($K203="","",M203-U203)</f>
      </c>
      <c r="AD203" s="4">
        <f>IF($K203="","",V203-AC203)</f>
      </c>
    </row>
    <row r="204" spans="1:35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IF($K204="","",(V204-AC204)/J204*100)</f>
      </c>
      <c r="X204" s="4">
        <f>IF($K204="","",M204-U204)</f>
      </c>
      <c r="AD204" s="4">
        <f>IF($K204="","",V204-AC204)</f>
      </c>
    </row>
    <row r="205" spans="1:35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IFERROR((V205-AC205)/J205*100,0)</f>
      </c>
      <c r="X205" s="14">
        <f>SUM(X2:X204)</f>
      </c>
      <c r="Y205" s="14">
        <f>SUM(Y2:Y204)</f>
      </c>
      <c r="Z205" s="14">
        <f>SUM(Z2:Z204)</f>
      </c>
      <c r="AA205" s="14">
        <f>SUM(AA2:AA204)</f>
      </c>
      <c r="AB205" s="14">
        <f>SUM(AB2:AB204)</f>
      </c>
      <c r="AC205" s="14">
        <f>SUM(AC2:AC204)</f>
      </c>
      <c r="AD205" s="14">
        <f>SUM(AD2:AD204)</f>
      </c>
      <c r="AE205" s="7"/>
      <c r="AF205" s="7"/>
      <c r="AG205" s="7"/>
      <c r="AH205" s="7"/>
      <c r="AI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78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79</v>
      </c>
      <c r="Q1" t="s">
        <v>80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IFERROR((U202-AB202)/K202*100,0)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81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82</v>
      </c>
      <c r="P1" t="s">
        <v>83</v>
      </c>
      <c r="Q1" t="s">
        <v>84</v>
      </c>
      <c r="R1" t="s">
        <v>85</v>
      </c>
      <c r="S1" t="s">
        <v>45</v>
      </c>
      <c r="T1" t="s">
        <v>46</v>
      </c>
      <c r="U1" t="s">
        <v>86</v>
      </c>
      <c r="V1" t="s">
        <v>87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IFERROR((Y202-AF202)/K202*100,0)</f>
      </c>
      <c r="AA202" s="14">
        <f>SUM(AA2:AA201)</f>
      </c>
      <c r="AB202" s="14">
        <f>SUM(AB2:AB201)</f>
      </c>
      <c r="AC202" s="14">
        <f>SUM(AC2:AC201)</f>
      </c>
      <c r="AD202" s="14">
        <f>SUM(AD2:AD201)</f>
      </c>
      <c r="AE202" s="14">
        <f>SUM(AE2:AE201)</f>
      </c>
      <c r="AF202" s="14">
        <f>SUM(AF2:AF201)</f>
      </c>
      <c r="AG202" s="14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88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IFERROR((S202-Z202)/I202*100,0)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89</v>
      </c>
      <c r="P1" t="s">
        <v>90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IF($K2="","",(U2-AB2)/J2*100)</f>
      </c>
      <c r="W2" s="4">
        <f>IF($K2="","",M2-T2)</f>
      </c>
      <c r="AC2" s="4">
        <f>IF($K2="","",U2-AB2)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IFERROR((U202-AB202)/J202*100,0)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91</v>
      </c>
    </row>
    <row r="2" ht="46" customHeight="1" spans="1:1" x14ac:dyDescent="0.25">
      <c r="A2" s="2" t="s">
        <v>92</v>
      </c>
    </row>
    <row r="4" spans="1:17" s="3" customFormat="1" x14ac:dyDescent="0.25">
      <c r="A4" s="3" t="s">
        <v>4</v>
      </c>
      <c r="B4" s="3" t="s">
        <v>5</v>
      </c>
      <c r="C4" s="3" t="s">
        <v>93</v>
      </c>
      <c r="D4" s="3" t="s">
        <v>9</v>
      </c>
      <c r="E4" s="3" t="s">
        <v>94</v>
      </c>
      <c r="F4" s="3" t="s">
        <v>6</v>
      </c>
      <c r="G4" s="3" t="s">
        <v>7</v>
      </c>
      <c r="H4" s="3" t="s">
        <v>8</v>
      </c>
      <c r="I4" s="3" t="s">
        <v>95</v>
      </c>
      <c r="J4" s="3" t="s">
        <v>96</v>
      </c>
      <c r="K4" s="3" t="s">
        <v>97</v>
      </c>
      <c r="L4" s="3" t="s">
        <v>98</v>
      </c>
      <c r="M4" s="3" t="s">
        <v>99</v>
      </c>
      <c r="N4" s="3" t="s">
        <v>10</v>
      </c>
      <c r="O4" s="3" t="s">
        <v>11</v>
      </c>
      <c r="P4" s="3" t="s">
        <v>12</v>
      </c>
      <c r="Q4" s="3" t="s">
        <v>100</v>
      </c>
    </row>
    <row r="5" spans="1:17" x14ac:dyDescent="0.25">
      <c r="A5" t="s">
        <v>13</v>
      </c>
      <c r="B5">
        <v>1</v>
      </c>
      <c r="C5" s="4">
        <v>500</v>
      </c>
      <c r="D5" s="4">
        <v>71.56</v>
      </c>
      <c r="E5">
        <v>3</v>
      </c>
      <c r="F5">
        <v>2</v>
      </c>
      <c r="G5">
        <v>0</v>
      </c>
      <c r="H5">
        <v>1</v>
      </c>
      <c r="I5">
        <v>1</v>
      </c>
      <c r="J5" s="4">
        <v>57.599999999999994</v>
      </c>
      <c r="K5" s="4">
        <v>0</v>
      </c>
      <c r="L5" s="4">
        <v>0</v>
      </c>
      <c r="M5" s="4">
        <v>12</v>
      </c>
      <c r="N5" s="4">
        <v>69.6</v>
      </c>
      <c r="O5" s="4">
        <v>1.960000000000008</v>
      </c>
      <c r="P5" s="4">
        <v>0.39200000000000157</v>
      </c>
      <c r="Q5">
        <v>2</v>
      </c>
    </row>
    <row r="6" spans="1:17" s="3" customFormat="1" x14ac:dyDescent="0.25">
      <c r="A6" s="3" t="s">
        <v>18</v>
      </c>
      <c r="B6" s="3">
        <v>1</v>
      </c>
      <c r="C6" s="15">
        <v>500</v>
      </c>
      <c r="D6" s="15">
        <v>71.56</v>
      </c>
      <c r="E6" s="3">
        <v>3</v>
      </c>
      <c r="F6" s="3">
        <v>2</v>
      </c>
      <c r="G6" s="3">
        <v>0</v>
      </c>
      <c r="H6" s="3">
        <v>1</v>
      </c>
      <c r="I6" s="3">
        <v>1</v>
      </c>
      <c r="J6" s="15">
        <v>57.599999999999994</v>
      </c>
      <c r="K6" s="15">
        <v>0</v>
      </c>
      <c r="L6" s="15">
        <v>0</v>
      </c>
      <c r="M6" s="15">
        <v>12</v>
      </c>
      <c r="N6" s="15">
        <v>69.6</v>
      </c>
      <c r="O6" s="15">
        <v>1.960000000000008</v>
      </c>
      <c r="P6" s="15">
        <v>0.39200000000000157</v>
      </c>
      <c r="Q6" s="3">
        <v>2</v>
      </c>
    </row>
    <row r="8" ht="28" customHeight="1" spans="1:1" x14ac:dyDescent="0.25">
      <c r="A8" s="16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102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103</v>
      </c>
      <c r="B1" t="s">
        <v>104</v>
      </c>
    </row>
    <row r="2" spans="1:2" x14ac:dyDescent="0.25">
      <c r="A2" s="7" t="s">
        <v>105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106</v>
      </c>
      <c r="B6" s="4">
        <v>57.6</v>
      </c>
    </row>
    <row r="7" spans="1:2" x14ac:dyDescent="0.25">
      <c r="A7" s="7" t="s">
        <v>107</v>
      </c>
      <c r="B7" s="4">
        <v>19.2</v>
      </c>
    </row>
    <row r="9" spans="1:2" x14ac:dyDescent="0.25">
      <c r="A9" s="7" t="s">
        <v>108</v>
      </c>
      <c r="B9" s="7" t="s">
        <v>109</v>
      </c>
    </row>
    <row r="10" spans="1:2" x14ac:dyDescent="0.25">
      <c r="A10" s="7" t="s">
        <v>13</v>
      </c>
      <c r="B10" t="s">
        <v>110</v>
      </c>
    </row>
    <row r="12" spans="1:2" x14ac:dyDescent="0.25">
      <c r="A12" s="7" t="s">
        <v>111</v>
      </c>
      <c r="B12" t="s">
        <v>1</v>
      </c>
    </row>
    <row r="13" spans="1:2" x14ac:dyDescent="0.25">
      <c r="A13" t="s">
        <v>112</v>
      </c>
      <c r="B13" t="s">
        <v>113</v>
      </c>
    </row>
    <row r="14" spans="1:2" x14ac:dyDescent="0.25">
      <c r="A14" t="s">
        <v>114</v>
      </c>
      <c r="B14" t="s">
        <v>115</v>
      </c>
    </row>
    <row r="15" spans="1:2" x14ac:dyDescent="0.25">
      <c r="A15" t="s">
        <v>116</v>
      </c>
      <c r="B15" t="s">
        <v>117</v>
      </c>
    </row>
    <row r="17" spans="1:2" x14ac:dyDescent="0.25">
      <c r="A17" s="7" t="s">
        <v>118</v>
      </c>
      <c r="B17" t="s">
        <v>1</v>
      </c>
    </row>
    <row r="18" spans="1:2" x14ac:dyDescent="0.25">
      <c r="A18" t="s">
        <v>119</v>
      </c>
      <c r="B18" t="s">
        <v>120</v>
      </c>
    </row>
    <row r="19" spans="1:2" x14ac:dyDescent="0.25">
      <c r="A19" t="s">
        <v>121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FormatPr defaultRowHeight="15" outlineLevelRow="0" outlineLevelCol="0" x14ac:dyDescent="55"/>
  <sheetData>
    <row r="1" spans="1:18" x14ac:dyDescent="0.25">
      <c r="A1" t="s">
        <v>57</v>
      </c>
      <c r="B1" t="s">
        <v>122</v>
      </c>
      <c r="C1" t="s">
        <v>32</v>
      </c>
      <c r="D1" t="s">
        <v>34</v>
      </c>
      <c r="E1" t="s">
        <v>33</v>
      </c>
      <c r="F1" t="s">
        <v>35</v>
      </c>
      <c r="G1" t="s">
        <v>123</v>
      </c>
      <c r="H1" t="s">
        <v>124</v>
      </c>
      <c r="I1" t="s">
        <v>4</v>
      </c>
      <c r="J1" t="s">
        <v>125</v>
      </c>
      <c r="K1" t="s">
        <v>58</v>
      </c>
      <c r="L1" t="s">
        <v>126</v>
      </c>
      <c r="M1" t="s">
        <v>61</v>
      </c>
      <c r="N1" t="s">
        <v>127</v>
      </c>
      <c r="O1" t="s">
        <v>59</v>
      </c>
      <c r="P1" t="s">
        <v>128</v>
      </c>
      <c r="Q1" t="s">
        <v>129</v>
      </c>
      <c r="R1" t="s">
        <v>130</v>
      </c>
    </row>
    <row r="2" spans="1:18" x14ac:dyDescent="0.25">
      <c r="A2" s="8">
        <v>46263.5</v>
      </c>
      <c r="B2" s="10" t="s">
        <v>64</v>
      </c>
      <c r="C2" s="9" t="s">
        <v>131</v>
      </c>
      <c r="D2" s="9" t="s">
        <v>67</v>
      </c>
      <c r="E2" s="9" t="s">
        <v>66</v>
      </c>
      <c r="F2" s="9" t="s">
        <v>68</v>
      </c>
      <c r="G2" s="8">
        <v>46213.5</v>
      </c>
      <c r="H2" s="11">
        <v>500</v>
      </c>
      <c r="I2" s="9" t="s">
        <v>13</v>
      </c>
      <c r="J2" s="9" t="s">
        <v>132</v>
      </c>
      <c r="K2" s="9" t="s">
        <v>69</v>
      </c>
      <c r="L2" s="9" t="s">
        <v>133</v>
      </c>
      <c r="M2" s="9" t="s">
        <v>134</v>
      </c>
      <c r="N2" s="11">
        <v>9.6</v>
      </c>
      <c r="O2" s="9">
        <v>2</v>
      </c>
      <c r="P2" s="11">
        <v>19.2</v>
      </c>
      <c r="Q2" s="11">
        <v>6</v>
      </c>
      <c r="R2" s="8">
        <v>46174.5</v>
      </c>
    </row>
    <row r="3" spans="1:18" x14ac:dyDescent="0.25">
      <c r="A3" s="8">
        <v>46263.5</v>
      </c>
      <c r="B3" s="10" t="s">
        <v>72</v>
      </c>
      <c r="C3" s="9" t="s">
        <v>131</v>
      </c>
      <c r="D3" s="9" t="s">
        <v>67</v>
      </c>
      <c r="E3" s="9" t="s">
        <v>66</v>
      </c>
      <c r="F3" s="9" t="s">
        <v>68</v>
      </c>
      <c r="G3" s="8">
        <v>46213.5</v>
      </c>
      <c r="H3" s="11">
        <v>500</v>
      </c>
      <c r="I3" s="9" t="s">
        <v>13</v>
      </c>
      <c r="J3" s="9" t="s">
        <v>95</v>
      </c>
      <c r="K3" s="9" t="s">
        <v>69</v>
      </c>
      <c r="L3" s="9" t="s">
        <v>135</v>
      </c>
      <c r="M3" s="9" t="s">
        <v>134</v>
      </c>
      <c r="N3" s="11">
        <v>9.6</v>
      </c>
      <c r="O3" s="9">
        <v>2</v>
      </c>
      <c r="P3" s="11">
        <v>19.2</v>
      </c>
      <c r="Q3" s="11">
        <v>6</v>
      </c>
      <c r="R3" s="8">
        <v>46174.5</v>
      </c>
    </row>
    <row r="4" spans="1:18" x14ac:dyDescent="0.25">
      <c r="A4" s="8">
        <v>46263.5</v>
      </c>
      <c r="B4" s="10" t="s">
        <v>75</v>
      </c>
      <c r="C4" s="9" t="s">
        <v>131</v>
      </c>
      <c r="D4" s="9" t="s">
        <v>67</v>
      </c>
      <c r="E4" s="9" t="s">
        <v>66</v>
      </c>
      <c r="F4" s="9" t="s">
        <v>68</v>
      </c>
      <c r="G4" s="8">
        <v>46213.5</v>
      </c>
      <c r="H4" s="11">
        <v>500</v>
      </c>
      <c r="I4" s="9" t="s">
        <v>13</v>
      </c>
      <c r="J4" s="9" t="s">
        <v>76</v>
      </c>
      <c r="K4" s="9" t="s">
        <v>76</v>
      </c>
      <c r="L4" s="9" t="s">
        <v>136</v>
      </c>
      <c r="M4" s="9" t="s">
        <v>134</v>
      </c>
      <c r="N4" s="11">
        <v>9.6</v>
      </c>
      <c r="O4" s="9">
        <v>2</v>
      </c>
      <c r="P4" s="11">
        <v>19.2</v>
      </c>
      <c r="Q4" s="11"/>
      <c r="R4" s="8">
        <v>46174.5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122</v>
      </c>
      <c r="B1" t="s">
        <v>32</v>
      </c>
      <c r="C1" t="s">
        <v>137</v>
      </c>
      <c r="D1" t="s">
        <v>138</v>
      </c>
      <c r="E1" t="s">
        <v>139</v>
      </c>
      <c r="F1" t="s">
        <v>140</v>
      </c>
      <c r="G1" t="s">
        <v>61</v>
      </c>
    </row>
    <row r="2" spans="1:7" x14ac:dyDescent="0.25">
      <c r="A2" s="13" t="s">
        <v>64</v>
      </c>
      <c r="B2" t="s">
        <v>131</v>
      </c>
      <c r="C2" s="12">
        <v>46174.5</v>
      </c>
      <c r="D2" t="s">
        <v>141</v>
      </c>
      <c r="E2" t="s">
        <v>68</v>
      </c>
      <c r="F2" s="4">
        <v>350</v>
      </c>
      <c r="G2" t="s">
        <v>1</v>
      </c>
    </row>
    <row r="3" spans="1:7" x14ac:dyDescent="0.25">
      <c r="A3" s="13" t="s">
        <v>64</v>
      </c>
      <c r="B3" t="s">
        <v>131</v>
      </c>
      <c r="C3" s="12">
        <v>46213.5</v>
      </c>
      <c r="D3" t="s">
        <v>142</v>
      </c>
      <c r="E3" t="s">
        <v>143</v>
      </c>
      <c r="F3" s="4">
        <v>500</v>
      </c>
      <c r="G3" t="s">
        <v>1</v>
      </c>
    </row>
    <row r="4" spans="1:7" x14ac:dyDescent="0.25">
      <c r="A4" s="10" t="s">
        <v>64</v>
      </c>
      <c r="B4" s="9" t="s">
        <v>131</v>
      </c>
      <c r="C4" s="8">
        <v>46263.5</v>
      </c>
      <c r="D4" s="9" t="s">
        <v>144</v>
      </c>
      <c r="E4" s="9" t="s">
        <v>145</v>
      </c>
      <c r="F4" s="11">
        <v>-19.2</v>
      </c>
      <c r="G4" s="9" t="s">
        <v>134</v>
      </c>
    </row>
    <row r="5" spans="1:7" x14ac:dyDescent="0.25">
      <c r="A5" s="13" t="s">
        <v>72</v>
      </c>
      <c r="B5" t="s">
        <v>131</v>
      </c>
      <c r="C5" s="12">
        <v>46174.5</v>
      </c>
      <c r="D5" t="s">
        <v>141</v>
      </c>
      <c r="E5" t="s">
        <v>68</v>
      </c>
      <c r="F5" s="4">
        <v>350</v>
      </c>
      <c r="G5" t="s">
        <v>1</v>
      </c>
    </row>
    <row r="6" spans="1:7" x14ac:dyDescent="0.25">
      <c r="A6" s="13" t="s">
        <v>72</v>
      </c>
      <c r="B6" t="s">
        <v>131</v>
      </c>
      <c r="C6" s="12">
        <v>46213.5</v>
      </c>
      <c r="D6" t="s">
        <v>142</v>
      </c>
      <c r="E6" t="s">
        <v>146</v>
      </c>
      <c r="F6" s="4">
        <v>500</v>
      </c>
      <c r="G6" t="s">
        <v>1</v>
      </c>
    </row>
    <row r="7" spans="1:7" x14ac:dyDescent="0.25">
      <c r="A7" s="10" t="s">
        <v>72</v>
      </c>
      <c r="B7" s="9" t="s">
        <v>131</v>
      </c>
      <c r="C7" s="8">
        <v>46263.5</v>
      </c>
      <c r="D7" s="9" t="s">
        <v>144</v>
      </c>
      <c r="E7" s="9" t="s">
        <v>147</v>
      </c>
      <c r="F7" s="11">
        <v>-19.2</v>
      </c>
      <c r="G7" s="9" t="s">
        <v>134</v>
      </c>
    </row>
    <row r="8" spans="1:7" x14ac:dyDescent="0.25">
      <c r="A8" s="13" t="s">
        <v>72</v>
      </c>
      <c r="B8" t="s">
        <v>131</v>
      </c>
      <c r="C8" s="12">
        <v>46263.5</v>
      </c>
      <c r="D8" t="s">
        <v>148</v>
      </c>
      <c r="E8" t="s">
        <v>95</v>
      </c>
      <c r="F8" s="4"/>
      <c r="G8" t="s">
        <v>1</v>
      </c>
    </row>
    <row r="9" spans="1:7" x14ac:dyDescent="0.25">
      <c r="A9" s="13" t="s">
        <v>75</v>
      </c>
      <c r="B9" t="s">
        <v>131</v>
      </c>
      <c r="C9" s="12">
        <v>46174.5</v>
      </c>
      <c r="D9" t="s">
        <v>141</v>
      </c>
      <c r="E9" t="s">
        <v>68</v>
      </c>
      <c r="F9" s="4">
        <v>350</v>
      </c>
      <c r="G9" t="s">
        <v>1</v>
      </c>
    </row>
    <row r="10" spans="1:7" x14ac:dyDescent="0.25">
      <c r="A10" s="13" t="s">
        <v>75</v>
      </c>
      <c r="B10" t="s">
        <v>131</v>
      </c>
      <c r="C10" s="12">
        <v>46213.5</v>
      </c>
      <c r="D10" t="s">
        <v>142</v>
      </c>
      <c r="E10" t="s">
        <v>149</v>
      </c>
      <c r="F10" s="4">
        <v>500</v>
      </c>
      <c r="G10" t="s">
        <v>1</v>
      </c>
    </row>
    <row r="11" spans="1:7" x14ac:dyDescent="0.25">
      <c r="A11" s="10" t="s">
        <v>75</v>
      </c>
      <c r="B11" s="9" t="s">
        <v>131</v>
      </c>
      <c r="C11" s="8">
        <v>46263.5</v>
      </c>
      <c r="D11" s="9" t="s">
        <v>144</v>
      </c>
      <c r="E11" s="9" t="s">
        <v>150</v>
      </c>
      <c r="F11" s="11">
        <v>-19.2</v>
      </c>
      <c r="G11" s="9" t="s">
        <v>134</v>
      </c>
    </row>
    <row r="12" spans="1:7" x14ac:dyDescent="0.25">
      <c r="A12" s="13" t="s">
        <v>75</v>
      </c>
      <c r="B12" t="s">
        <v>131</v>
      </c>
      <c r="C12" s="12">
        <v>46263.5</v>
      </c>
      <c r="D12" t="s">
        <v>148</v>
      </c>
      <c r="E12" t="s">
        <v>76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2026-08-29T07:10:18Z</dcterms:created>
  <dcterms:modified xsi:type="dcterms:W3CDTF">2026-08-29T07:10:18Z</dcterms:modified>
</cp:coreProperties>
</file>