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<sst xmlns="http://schemas.openxmlformats.org/spreadsheetml/2006/main" count="304" uniqueCount="113">
  <si>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</si>
  <si>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</si>
  <si>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</si>
  <si>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</si>
  <si>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</si>
  <si>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</si>
  <si>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</si>
  <si>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</si>
  <si>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</si>
  <si>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</si>
  <si>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</si>
  <si>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</si>
  <si>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</si>
  <si>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</si>
  <si>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</si>
  <si>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</si>
  <si>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</si>
  <si>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</si>
  <si>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</si>
  <si>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</si>
  <si>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</si>
  <si>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</si>
  <si>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</si>
  <si>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</si>
  <si>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</si>
  <si>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</si>
  <si>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</si>
  <si>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</si>
  <si>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</si>
  <si>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</si>
  <si>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</si>
  <si>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</si>
  <si>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</si>
  <si>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</si>
  <si>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</si>
  <si>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</si>
  <si>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</si>
  <si>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</si>
  <si>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</si>
  <si>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</si>
  <si>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</si>
  <si>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</si>
  <si>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</si>
  <si>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</si>
  <si>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</si>
  <si>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</si>
  <si>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</si>
  <si>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</si>
  <si>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</si>
  <si>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</si>
  <si>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</si>
  <si>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</si>
  <si>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</si>
  <si>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</si>
  <si>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</si>
  <si>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</si>
  <si>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</si>
  <si>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</si>
  <si>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</si>
  <si>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</si>
  <si>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</si>
  <si>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</si>
  <si>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</si>
  <si>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</si>
  <si>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</si>
  <si>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</si>
  <si>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</si>
  <si>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</si>
  <si>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</si>
  <si>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</si>
  <si>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</si>
  <si>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</si>
  <si>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</si>
  <si>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</si>
  <si>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</si>
  <si>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</si>
  <si>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</si>
  <si>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</si>
  <si>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</si>
  <si>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</si>
  <si>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</si>
  <si>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</si>
  <si>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</si>
  <si>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</si>
  <si>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</si>
  <si>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</si>
  <si>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</si>
  <si>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</si>
  <si>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</si>
  <si>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</si>
  <si>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</si>
  <si>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</si>
  <si>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</si>
  <si>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</si>
  <si>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</si>
  <si>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</si>
  <si>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</si>
  <si>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</si>
  <si>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</si>
  <si>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2026-08-11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</si>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</sst>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165" fontId="0" fillId="4" borderId="0" xfId="0" applyNumberFormat="1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0+COUNT('AMAZON'!$H$3:$H$202)</f>
      </c>
      <c r="C6">
        <v>1</v>
      </c>
      <c r="D6">
        <v>0</v>
      </c>
      <c r="E6">
        <v>0</v>
      </c>
      <c r="F6" s="4">
        <f>0.00+SUM('AMAZON'!$V$3:$V$202)</f>
      </c>
      <c r="G6" s="4">
        <v>15.12</v>
      </c>
      <c r="H6" s="4">
        <f>F6-G6</f>
      </c>
      <c r="I6" s="4">
        <f>IFERROR((F6-G6)/(0.00+SUM('AMAZON'!$G$3:$G$202))*100,0)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IFERROR((F11-G11)/(0.00+SUM('AMAZON'!$G$3:$G$202)+SUM('BM'!$G$2:$G$201)+SUM('EBAY'!$G$2:$G$201)+SUM('ONBUY'!$F$2:$F$201)+SUM('TEMU'!$G$2:$G$201))*100,0)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3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46245.5</v>
      </c>
      <c r="B2" s="9" t="s">
        <v>56</v>
      </c>
      <c r="C2" s="9" t="s">
        <v>57</v>
      </c>
      <c r="D2" s="10" t="s">
        <v>1</v>
      </c>
      <c r="E2" s="9" t="s">
        <v>57</v>
      </c>
      <c r="F2" s="9" t="s">
        <v>1</v>
      </c>
      <c r="G2" s="9" t="s">
        <v>1</v>
      </c>
      <c r="H2" s="9" t="s">
        <v>1</v>
      </c>
      <c r="I2" s="9">
        <v>3</v>
      </c>
      <c r="J2" s="11">
        <v>10.5</v>
      </c>
      <c r="K2" s="11">
        <v>26.97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6.3</v>
      </c>
      <c r="S2" s="11">
        <f>R2*20%</f>
      </c>
      <c r="T2" s="11">
        <v>0</v>
      </c>
      <c r="U2" s="11">
        <f>O2+Q2+S2</f>
      </c>
      <c r="V2" s="11">
        <f>L2-M2-N2-O2-P2-Q2-R2-S2-T2</f>
      </c>
      <c r="W2" s="11">
        <f>(V2-Y2)/J2*100</f>
      </c>
      <c r="X2" s="11">
        <f>M2-U2</f>
      </c>
      <c r="Y2" s="11">
        <v>15.12</v>
      </c>
      <c r="Z2" s="11">
        <f>V2-Y2</f>
      </c>
      <c r="AA2" s="8">
        <v>46245.5</v>
      </c>
      <c r="AB2" s="9" t="s">
        <v>58</v>
      </c>
      <c r="AC2" s="9">
        <v>2</v>
      </c>
      <c r="AD2" s="9" t="s">
        <v>59</v>
      </c>
      <c r="AE2" s="9" t="s">
        <v>1</v>
      </c>
    </row>
    <row r="3" spans="1:31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IF($K3="","",K3/100*7)</f>
      </c>
      <c r="O3" s="4">
        <f>IF($K3="","",N3*20%)</f>
      </c>
      <c r="P3" s="4">
        <f>IF($K3="","",N3*2%)</f>
      </c>
      <c r="Q3" s="4">
        <f>IF($K3="","",P3*20%)</f>
      </c>
      <c r="R3" s="4"/>
      <c r="S3" s="4">
        <f>IF($K3="","",R3*20%)</f>
      </c>
      <c r="T3" s="4">
        <v>1</v>
      </c>
      <c r="U3" s="4">
        <f>IF($K3="","",O3+Q3+S3)</f>
      </c>
      <c r="V3" s="4">
        <f>IF($K3="","",L3-M3-N3-O3-P3-Q3-R3-S3-T3)</f>
      </c>
      <c r="W3" s="4">
        <f>IF($K3="","",(V3-Y3)/J3*100)</f>
      </c>
      <c r="X3" s="4">
        <f>IF($K3="","",M3-U3)</f>
      </c>
      <c r="Z3" s="4">
        <f>IF($K3="","",V3-Y3)</f>
      </c>
    </row>
    <row r="4" spans="1:31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IF($K4="","",K4/100*7)</f>
      </c>
      <c r="O4" s="4">
        <f>IF($K4="","",N4*20%)</f>
      </c>
      <c r="P4" s="4">
        <f>IF($K4="","",N4*2%)</f>
      </c>
      <c r="Q4" s="4">
        <f>IF($K4="","",P4*20%)</f>
      </c>
      <c r="R4" s="4"/>
      <c r="S4" s="4">
        <f>IF($K4="","",R4*20%)</f>
      </c>
      <c r="T4" s="4">
        <v>1</v>
      </c>
      <c r="U4" s="4">
        <f>IF($K4="","",O4+Q4+S4)</f>
      </c>
      <c r="V4" s="4">
        <f>IF($K4="","",L4-M4-N4-O4-P4-Q4-R4-S4-T4)</f>
      </c>
      <c r="W4" s="4">
        <f>IF($K4="","",(V4-Y4)/J4*100)</f>
      </c>
      <c r="X4" s="4">
        <f>IF($K4="","",M4-U4)</f>
      </c>
      <c r="Z4" s="4">
        <f>IF($K4="","",V4-Y4)</f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SUM(T2:T202)</f>
      </c>
      <c r="U203" s="14">
        <f>SUM(U2:U202)</f>
      </c>
      <c r="V203" s="14">
        <f>SUM(V2:V202)</f>
      </c>
      <c r="W203" s="14">
        <f>IFERROR((V203-Y203)/J203*100,0)</f>
      </c>
      <c r="X203" s="14">
        <f>SUM(X2:X202)</f>
      </c>
      <c r="Y203" s="14">
        <f>SUM(Y2:Y202)</f>
      </c>
      <c r="Z203" s="14">
        <f>SUM(Z2:Z202)</f>
      </c>
      <c r="AA203" s="7"/>
      <c r="AB203" s="7"/>
      <c r="AC203" s="7"/>
      <c r="AD203" s="7"/>
      <c r="AE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60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61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62</v>
      </c>
      <c r="P1" t="s">
        <v>63</v>
      </c>
      <c r="Q1" t="s">
        <v>64</v>
      </c>
      <c r="R1" t="s">
        <v>65</v>
      </c>
      <c r="S1" t="s">
        <v>43</v>
      </c>
      <c r="T1" t="s">
        <v>44</v>
      </c>
      <c r="U1" t="s">
        <v>66</v>
      </c>
      <c r="V1" t="s">
        <v>67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68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69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70</v>
      </c>
    </row>
    <row r="2" ht="46" customHeight="1" spans="1:1" x14ac:dyDescent="0.25">
      <c r="A2" s="2" t="s">
        <v>71</v>
      </c>
    </row>
    <row r="4" spans="1:16" s="3" customFormat="1" x14ac:dyDescent="0.25">
      <c r="A4" s="3" t="s">
        <v>4</v>
      </c>
      <c r="B4" s="3" t="s">
        <v>5</v>
      </c>
      <c r="C4" s="3" t="s">
        <v>72</v>
      </c>
      <c r="D4" s="3" t="s">
        <v>9</v>
      </c>
      <c r="E4" s="3" t="s">
        <v>73</v>
      </c>
      <c r="F4" s="3" t="s">
        <v>6</v>
      </c>
      <c r="G4" s="3" t="s">
        <v>7</v>
      </c>
      <c r="H4" s="3" t="s">
        <v>8</v>
      </c>
      <c r="I4" s="3" t="s">
        <v>74</v>
      </c>
      <c r="J4" s="3" t="s">
        <v>75</v>
      </c>
      <c r="K4" s="3" t="s">
        <v>76</v>
      </c>
      <c r="L4" s="3" t="s">
        <v>77</v>
      </c>
      <c r="M4" s="3" t="s">
        <v>78</v>
      </c>
      <c r="N4" s="3" t="s">
        <v>11</v>
      </c>
      <c r="O4" s="3" t="s">
        <v>12</v>
      </c>
      <c r="P4" s="3" t="s">
        <v>79</v>
      </c>
    </row>
    <row r="5" spans="1:16" x14ac:dyDescent="0.25">
      <c r="A5" t="s">
        <v>13</v>
      </c>
      <c r="B5">
        <v>0</v>
      </c>
      <c r="C5" s="4">
        <v>0</v>
      </c>
      <c r="D5" s="4">
        <v>0</v>
      </c>
      <c r="E5">
        <v>1</v>
      </c>
      <c r="F5">
        <v>1</v>
      </c>
      <c r="G5">
        <v>0</v>
      </c>
      <c r="H5">
        <v>0</v>
      </c>
      <c r="I5">
        <v>0</v>
      </c>
      <c r="J5" s="4">
        <v>15.12</v>
      </c>
      <c r="K5" s="4">
        <v>0</v>
      </c>
      <c r="L5" s="4">
        <v>0</v>
      </c>
      <c r="M5" s="4">
        <v>15.12</v>
      </c>
      <c r="N5" s="4">
        <v>-15.12</v>
      </c>
      <c r="O5" s="4">
        <v>0</v>
      </c>
      <c r="P5" t="s">
        <v>1</v>
      </c>
    </row>
    <row r="6" spans="1:16" s="3" customFormat="1" x14ac:dyDescent="0.25">
      <c r="A6" s="3" t="s">
        <v>18</v>
      </c>
      <c r="B6" s="3">
        <v>0</v>
      </c>
      <c r="C6" s="15">
        <v>0</v>
      </c>
      <c r="D6" s="15">
        <v>0</v>
      </c>
      <c r="E6" s="3">
        <v>1</v>
      </c>
      <c r="F6" s="3">
        <v>1</v>
      </c>
      <c r="G6" s="3">
        <v>0</v>
      </c>
      <c r="H6" s="3">
        <v>0</v>
      </c>
      <c r="I6" s="3">
        <v>0</v>
      </c>
      <c r="J6" s="15">
        <v>15.12</v>
      </c>
      <c r="K6" s="15">
        <v>0</v>
      </c>
      <c r="L6" s="15">
        <v>0</v>
      </c>
      <c r="M6" s="15">
        <v>15.12</v>
      </c>
      <c r="N6" s="15">
        <v>-15.12</v>
      </c>
      <c r="O6" s="15">
        <v>0</v>
      </c>
      <c r="P6" s="3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80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8">
        <v>46245.5</v>
      </c>
      <c r="B2" s="9" t="s">
        <v>13</v>
      </c>
      <c r="C2" s="9" t="s">
        <v>56</v>
      </c>
      <c r="D2" s="9" t="s">
        <v>57</v>
      </c>
      <c r="E2" s="9" t="s">
        <v>81</v>
      </c>
      <c r="F2" s="9" t="s">
        <v>1</v>
      </c>
      <c r="G2" s="9">
        <v>3</v>
      </c>
      <c r="H2" s="11">
        <v>10.5</v>
      </c>
      <c r="I2" s="11">
        <v>26.97</v>
      </c>
      <c r="J2" s="11">
        <v>3.85</v>
      </c>
      <c r="K2" s="16">
        <v>36.7</v>
      </c>
      <c r="L2" s="9" t="s">
        <v>1</v>
      </c>
    </row>
    <row r="3" spans="1:12" s="7" customFormat="1" x14ac:dyDescent="0.25">
      <c r="A3" s="7" t="s">
        <v>18</v>
      </c>
      <c r="B3" s="7" t="s">
        <v>1</v>
      </c>
      <c r="C3" s="7" t="s">
        <v>1</v>
      </c>
      <c r="D3" s="7" t="s">
        <v>1</v>
      </c>
      <c r="E3" s="7" t="s">
        <v>1</v>
      </c>
      <c r="F3" s="7" t="s">
        <v>1</v>
      </c>
      <c r="G3" s="7">
        <f>SUM(G2:G2)</f>
      </c>
      <c r="H3" s="14">
        <f>SUM(H2:H2)</f>
      </c>
      <c r="I3" s="14">
        <f>SUM(I2:I2)</f>
      </c>
      <c r="J3" s="14">
        <f>SUM(J2:J2)</f>
      </c>
      <c r="K3" s="7" t="s">
        <v>1</v>
      </c>
      <c r="L3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82</v>
      </c>
      <c r="B1" t="s">
        <v>83</v>
      </c>
    </row>
    <row r="2" spans="1:2" x14ac:dyDescent="0.25">
      <c r="A2" s="7" t="s">
        <v>84</v>
      </c>
      <c r="B2">
        <v>1</v>
      </c>
    </row>
    <row r="3" spans="1:2" x14ac:dyDescent="0.25">
      <c r="A3" s="7" t="s">
        <v>6</v>
      </c>
      <c r="B3">
        <v>1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0</v>
      </c>
    </row>
    <row r="6" spans="1:2" x14ac:dyDescent="0.25">
      <c r="A6" s="7" t="s">
        <v>85</v>
      </c>
      <c r="B6" s="4">
        <v>15.12</v>
      </c>
    </row>
    <row r="7" spans="1:2" x14ac:dyDescent="0.25">
      <c r="A7" s="7" t="s">
        <v>86</v>
      </c>
      <c r="B7" s="4">
        <v>15.12</v>
      </c>
    </row>
    <row r="9" spans="1:2" x14ac:dyDescent="0.25">
      <c r="A9" s="7" t="s">
        <v>87</v>
      </c>
      <c r="B9" s="7" t="s">
        <v>88</v>
      </c>
    </row>
    <row r="10" spans="1:2" x14ac:dyDescent="0.25">
      <c r="A10" s="7" t="s">
        <v>13</v>
      </c>
      <c r="B10" t="s">
        <v>89</v>
      </c>
    </row>
    <row r="12" spans="1:2" x14ac:dyDescent="0.25">
      <c r="A12" s="7" t="s">
        <v>90</v>
      </c>
      <c r="B12" t="s">
        <v>1</v>
      </c>
    </row>
    <row r="13" spans="1:2" x14ac:dyDescent="0.25">
      <c r="A13" t="s">
        <v>91</v>
      </c>
      <c r="B13" t="s">
        <v>92</v>
      </c>
    </row>
    <row r="14" spans="1:2" x14ac:dyDescent="0.25">
      <c r="A14" t="s">
        <v>93</v>
      </c>
      <c r="B14" t="s">
        <v>94</v>
      </c>
    </row>
    <row r="15" spans="1:2" x14ac:dyDescent="0.25">
      <c r="A15" t="s">
        <v>95</v>
      </c>
      <c r="B15" t="s">
        <v>96</v>
      </c>
    </row>
    <row r="17" spans="1:2" x14ac:dyDescent="0.25">
      <c r="A17" s="7" t="s">
        <v>97</v>
      </c>
      <c r="B17" t="s">
        <v>1</v>
      </c>
    </row>
    <row r="18" spans="1:2" x14ac:dyDescent="0.25">
      <c r="A18" t="s">
        <v>98</v>
      </c>
      <c r="B18" t="s">
        <v>99</v>
      </c>
    </row>
    <row r="19" spans="1:2" x14ac:dyDescent="0.25">
      <c r="A19" t="s">
        <v>100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51</v>
      </c>
      <c r="B1" t="s">
        <v>101</v>
      </c>
      <c r="C1" t="s">
        <v>30</v>
      </c>
      <c r="D1" t="s">
        <v>32</v>
      </c>
      <c r="E1" t="s">
        <v>31</v>
      </c>
      <c r="F1" t="s">
        <v>33</v>
      </c>
      <c r="G1" t="s">
        <v>102</v>
      </c>
      <c r="H1" t="s">
        <v>103</v>
      </c>
      <c r="I1" t="s">
        <v>4</v>
      </c>
      <c r="J1" t="s">
        <v>104</v>
      </c>
      <c r="K1" t="s">
        <v>52</v>
      </c>
      <c r="L1" t="s">
        <v>105</v>
      </c>
      <c r="M1" t="s">
        <v>55</v>
      </c>
      <c r="N1" t="s">
        <v>106</v>
      </c>
      <c r="O1" t="s">
        <v>53</v>
      </c>
      <c r="P1" t="s">
        <v>10</v>
      </c>
    </row>
    <row r="2" spans="1:16" x14ac:dyDescent="0.25">
      <c r="A2" s="8">
        <v>46245.5</v>
      </c>
      <c r="B2" s="10" t="s">
        <v>1</v>
      </c>
      <c r="C2" s="9" t="s">
        <v>81</v>
      </c>
      <c r="D2" s="9" t="s">
        <v>1</v>
      </c>
      <c r="E2" s="9" t="s">
        <v>1</v>
      </c>
      <c r="F2" s="9" t="s">
        <v>1</v>
      </c>
      <c r="G2" s="8">
        <v>46245.5</v>
      </c>
      <c r="H2" s="11">
        <v>26.97</v>
      </c>
      <c r="I2" s="9" t="s">
        <v>13</v>
      </c>
      <c r="J2" s="9" t="s">
        <v>107</v>
      </c>
      <c r="K2" s="9" t="s">
        <v>58</v>
      </c>
      <c r="L2" s="9" t="s">
        <v>59</v>
      </c>
      <c r="M2" s="9" t="s">
        <v>1</v>
      </c>
      <c r="N2" s="11">
        <v>7.56</v>
      </c>
      <c r="O2" s="9">
        <v>2</v>
      </c>
      <c r="P2" s="11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101</v>
      </c>
      <c r="B1" t="s">
        <v>30</v>
      </c>
      <c r="C1" t="s">
        <v>108</v>
      </c>
      <c r="D1" t="s">
        <v>109</v>
      </c>
      <c r="E1" t="s">
        <v>110</v>
      </c>
      <c r="F1" t="s">
        <v>111</v>
      </c>
      <c r="G1" t="s">
        <v>55</v>
      </c>
    </row>
    <row r="2" spans="1:1" x14ac:dyDescent="0.25">
      <c r="A2" s="17" t="s">
        <v>112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2026-08-11T15:49:48Z</dcterms:created>
  <dcterms:modified xsi:type="dcterms:W3CDTF">2026-08-11T15:49:48Z</dcterms:modified>
</cp:coreProperties>
</file>