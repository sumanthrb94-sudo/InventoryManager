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<sst xmlns="http://schemas.openxmlformats.org/spreadsheetml/2006/main" count="332" uniqueCount="125">
  <si>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</si>
  <si>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</si>
  <si>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</si>
  <si>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</si>
  <si>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</si>
  <si>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</si>
  <si>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</si>
  <si>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</si>
  <si>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</si>
  <si>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</si>
  <si>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Return Cost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</si>
  <si>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</si>
  <si>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</si>
  <si>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</si>
  <si>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</si>
  <si>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</si>
  <si>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</si>
  <si>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</si>
  <si>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</si>
  <si>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</si>
  <si>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</si>
  <si>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</si>
  <si>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 eBay legs carry no VAT — its shipping is zero-rated.</t>
  </si>
  <si>
    <t>• Fees Kept = what the marketplace did not give back on a refund: Amazon min(20% × commission, £5) + VAT; eBay the fixed £0.40 + VAT; Back Market / OnBuy / Temu keep every fee they charged. Blank on replacements — no refund reached the marketplace.</t>
  </si>
  <si>
    <t>• Return Cost = Postage Loss + Fees Kept + Repair Cost − Supplier Credit (a live formula on each returned row). A blank Repair Cost means the invoice has not been entered yet — the Returns page flags these.</t>
  </si>
  <si>
    <t>• Net GP = Gross GP − Return Cost.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</si>
  <si>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</si>
  <si>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</si>
  <si>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</si>
  <si>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</si>
  <si>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</si>
  <si>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</si>
  <si>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</si>
  <si>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</si>
  <si>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</si>
  <si>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</si>
  <si>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</si>
  <si>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</si>
  <si>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</si>
  <si>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</si>
  <si>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</si>
  <si>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</si>
  <si>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</si>
  <si>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</si>
  <si>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</si>
  <si>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</si>
  <si>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</si>
  <si>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</si>
  <si>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</si>
  <si>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</si>
  <si>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</si>
  <si>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</si>
  <si>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</si>
  <si>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</si>
  <si>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</si>
  <si>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</si>
  <si>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</si>
  <si>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Return Date</t>
  </si>
  <si>
    <t>Outcome</t>
  </si>
  <si>
    <t>Shipping Legs</t>
  </si>
  <si>
    <t>Return Reason</t>
  </si>
  <si>
    <t>Comments</t>
  </si>
  <si>
    <t>ACC-RP-4001</t>
  </si>
  <si>
    <t>USB-C-20W</t>
  </si>
  <si>
    <t>Refund</t>
  </si>
  <si>
    <t>faulty on arrival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</si>
  <si>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</si>
  <si>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</si>
  <si>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</si>
  <si>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</si>
  <si>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</si>
  <si>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</si>
  <si>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</si>
  <si>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</si>
  <si>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</si>
  <si>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</si>
  <si>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</si>
  <si>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</si>
  <si>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</si>
  <si>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</si>
  <si>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</si>
  <si>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</si>
  <si>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</si>
  <si>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</si>
  <si>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</si>
  <si>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</si>
  <si>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</si>
  <si>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</si>
  <si>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Costs Outstanding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</si>
  <si>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</si>
  <si>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</si>
  <si>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</si>
  <si>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</si>
  <si>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</si>
  <si>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</si>
  <si>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</si>
  <si>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</si>
  <si>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</si>
  <si>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</si>
  <si>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</si>
  <si>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</si>
  <si>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</si>
  <si>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</si>
  <si>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</si>
  <si>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</si>
  <si>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</si>
  <si>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</si>
  <si>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</si>
  <si>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2026-09-09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</si>
  <si>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</si>
  <si>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</si>
  <si>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</si>
  <si>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</si>
  <si>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</si>
  <si>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</si>
  <si>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</si>
  <si>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Postage Loss £</t>
  </si>
  <si>
    <t>Fee Loss £</t>
  </si>
  <si>
    <t>Stock In Date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</si>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</sst>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165" fontId="0" fillId="4" borderId="0" xfId="0" applyNumberForma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0+COUNT('AMAZON'!$H$3:$H$202)</f>
      </c>
      <c r="C6">
        <v>1</v>
      </c>
      <c r="D6">
        <v>0</v>
      </c>
      <c r="E6">
        <v>0</v>
      </c>
      <c r="F6" s="4">
        <f>0.00+SUM('AMAZON'!$V$3:$V$202)</f>
      </c>
      <c r="G6" s="4">
        <v>15.57</v>
      </c>
      <c r="H6" s="4">
        <f>F6-G6</f>
      </c>
      <c r="I6" s="4">
        <f>IFERROR((F6-G6)/(0.00+SUM('AMAZON'!$G$3:$G$202))*100,0)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IFERROR((F11-G11)/(0.00+SUM('AMAZON'!$G$3:$G$202)+SUM('BM'!$G$2:$G$201)+SUM('EBAY'!$G$2:$G$201)+SUM('ONBUY'!$F$2:$F$201)+SUM('TEMU'!$G$2:$G$201))*100,0)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  <row r="20" spans="1:1" x14ac:dyDescent="0.25">
      <c r="A20" t="s">
        <v>26</v>
      </c>
    </row>
    <row r="21" spans="1:1" x14ac:dyDescent="0.25">
      <c r="A21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3"/>
  <sheetFormatPr defaultRowHeight="15" outlineLevelRow="0" outlineLevelCol="0" x14ac:dyDescent="55"/>
  <sheetData>
    <row r="1" spans="1:3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11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</row>
    <row r="2" spans="1:35" x14ac:dyDescent="0.25">
      <c r="A2" s="8">
        <v>46274.5</v>
      </c>
      <c r="B2" s="9" t="s">
        <v>62</v>
      </c>
      <c r="C2" s="9" t="s">
        <v>63</v>
      </c>
      <c r="D2" s="10" t="s">
        <v>1</v>
      </c>
      <c r="E2" s="9" t="s">
        <v>63</v>
      </c>
      <c r="F2" s="9" t="s">
        <v>1</v>
      </c>
      <c r="G2" s="9" t="s">
        <v>1</v>
      </c>
      <c r="H2" s="9" t="s">
        <v>1</v>
      </c>
      <c r="I2" s="9">
        <v>3</v>
      </c>
      <c r="J2" s="11">
        <v>10.5</v>
      </c>
      <c r="K2" s="11">
        <v>26.97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0</v>
      </c>
      <c r="U2" s="11">
        <f>O2+Q2+S2</f>
      </c>
      <c r="V2" s="11">
        <f>L2-M2-N2-O2-P2-Q2-R2-S2-T2</f>
      </c>
      <c r="W2" s="11">
        <f>(V2-AC2)/J2*100</f>
      </c>
      <c r="X2" s="11">
        <f>M2-U2</f>
      </c>
      <c r="Y2" s="11">
        <v>15.12</v>
      </c>
      <c r="Z2" s="11">
        <v>0.45</v>
      </c>
      <c r="AA2" s="9"/>
      <c r="AB2" s="9"/>
      <c r="AC2" s="11">
        <f>Y2+Z2+AA2-AB2</f>
      </c>
      <c r="AD2" s="11">
        <f>V2-AC2</f>
      </c>
      <c r="AE2" s="8">
        <v>46274.5</v>
      </c>
      <c r="AF2" s="9" t="s">
        <v>64</v>
      </c>
      <c r="AG2" s="9">
        <v>2</v>
      </c>
      <c r="AH2" s="9" t="s">
        <v>65</v>
      </c>
      <c r="AI2" s="9" t="s">
        <v>1</v>
      </c>
    </row>
    <row r="3" spans="1:35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IF($K3="","",K3/100*7)</f>
      </c>
      <c r="O3" s="4">
        <f>IF($K3="","",N3*20%)</f>
      </c>
      <c r="P3" s="4">
        <f>IF($K3="","",N3*2%)</f>
      </c>
      <c r="Q3" s="4">
        <f>IF($K3="","",P3*20%)</f>
      </c>
      <c r="R3" s="4"/>
      <c r="S3" s="4">
        <f>IF($K3="","",R3*20%)</f>
      </c>
      <c r="T3" s="4">
        <v>1</v>
      </c>
      <c r="U3" s="4">
        <f>IF($K3="","",O3+Q3+S3)</f>
      </c>
      <c r="V3" s="4">
        <f>IF($K3="","",L3-M3-N3-O3-P3-Q3-R3-S3-T3)</f>
      </c>
      <c r="W3" s="4">
        <f>IF($K3="","",(V3-AC3)/J3*100)</f>
      </c>
      <c r="X3" s="4">
        <f>IF($K3="","",M3-U3)</f>
      </c>
      <c r="AD3" s="4">
        <f>IF($K3="","",V3-AC3)</f>
      </c>
    </row>
    <row r="4" spans="1:35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IF($K4="","",K4/100*7)</f>
      </c>
      <c r="O4" s="4">
        <f>IF($K4="","",N4*20%)</f>
      </c>
      <c r="P4" s="4">
        <f>IF($K4="","",N4*2%)</f>
      </c>
      <c r="Q4" s="4">
        <f>IF($K4="","",P4*20%)</f>
      </c>
      <c r="R4" s="4"/>
      <c r="S4" s="4">
        <f>IF($K4="","",R4*20%)</f>
      </c>
      <c r="T4" s="4">
        <v>1</v>
      </c>
      <c r="U4" s="4">
        <f>IF($K4="","",O4+Q4+S4)</f>
      </c>
      <c r="V4" s="4">
        <f>IF($K4="","",L4-M4-N4-O4-P4-Q4-R4-S4-T4)</f>
      </c>
      <c r="W4" s="4">
        <f>IF($K4="","",(V4-AC4)/J4*100)</f>
      </c>
      <c r="X4" s="4">
        <f>IF($K4="","",M4-U4)</f>
      </c>
      <c r="AD4" s="4">
        <f>IF($K4="","",V4-AC4)</f>
      </c>
    </row>
    <row r="5" spans="1:35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IF($K5="","",(V5-AC5)/J5*100)</f>
      </c>
      <c r="X5" s="4">
        <f>IF($K5="","",M5-U5)</f>
      </c>
      <c r="AD5" s="4">
        <f>IF($K5="","",V5-AC5)</f>
      </c>
    </row>
    <row r="6" spans="1:35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IF($K6="","",(V6-AC6)/J6*100)</f>
      </c>
      <c r="X6" s="4">
        <f>IF($K6="","",M6-U6)</f>
      </c>
      <c r="AD6" s="4">
        <f>IF($K6="","",V6-AC6)</f>
      </c>
    </row>
    <row r="7" spans="1:35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IF($K7="","",(V7-AC7)/J7*100)</f>
      </c>
      <c r="X7" s="4">
        <f>IF($K7="","",M7-U7)</f>
      </c>
      <c r="AD7" s="4">
        <f>IF($K7="","",V7-AC7)</f>
      </c>
    </row>
    <row r="8" spans="1:35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IF($K8="","",(V8-AC8)/J8*100)</f>
      </c>
      <c r="X8" s="4">
        <f>IF($K8="","",M8-U8)</f>
      </c>
      <c r="AD8" s="4">
        <f>IF($K8="","",V8-AC8)</f>
      </c>
    </row>
    <row r="9" spans="1:35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IF($K9="","",(V9-AC9)/J9*100)</f>
      </c>
      <c r="X9" s="4">
        <f>IF($K9="","",M9-U9)</f>
      </c>
      <c r="AD9" s="4">
        <f>IF($K9="","",V9-AC9)</f>
      </c>
    </row>
    <row r="10" spans="1:35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IF($K10="","",(V10-AC10)/J10*100)</f>
      </c>
      <c r="X10" s="4">
        <f>IF($K10="","",M10-U10)</f>
      </c>
      <c r="AD10" s="4">
        <f>IF($K10="","",V10-AC10)</f>
      </c>
    </row>
    <row r="11" spans="1:35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IF($K11="","",(V11-AC11)/J11*100)</f>
      </c>
      <c r="X11" s="4">
        <f>IF($K11="","",M11-U11)</f>
      </c>
      <c r="AD11" s="4">
        <f>IF($K11="","",V11-AC11)</f>
      </c>
    </row>
    <row r="12" spans="1:35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IF($K12="","",(V12-AC12)/J12*100)</f>
      </c>
      <c r="X12" s="4">
        <f>IF($K12="","",M12-U12)</f>
      </c>
      <c r="AD12" s="4">
        <f>IF($K12="","",V12-AC12)</f>
      </c>
    </row>
    <row r="13" spans="1:35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IF($K13="","",(V13-AC13)/J13*100)</f>
      </c>
      <c r="X13" s="4">
        <f>IF($K13="","",M13-U13)</f>
      </c>
      <c r="AD13" s="4">
        <f>IF($K13="","",V13-AC13)</f>
      </c>
    </row>
    <row r="14" spans="1:35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IF($K14="","",(V14-AC14)/J14*100)</f>
      </c>
      <c r="X14" s="4">
        <f>IF($K14="","",M14-U14)</f>
      </c>
      <c r="AD14" s="4">
        <f>IF($K14="","",V14-AC14)</f>
      </c>
    </row>
    <row r="15" spans="1:35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IF($K15="","",(V15-AC15)/J15*100)</f>
      </c>
      <c r="X15" s="4">
        <f>IF($K15="","",M15-U15)</f>
      </c>
      <c r="AD15" s="4">
        <f>IF($K15="","",V15-AC15)</f>
      </c>
    </row>
    <row r="16" spans="1:35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IF($K16="","",(V16-AC16)/J16*100)</f>
      </c>
      <c r="X16" s="4">
        <f>IF($K16="","",M16-U16)</f>
      </c>
      <c r="AD16" s="4">
        <f>IF($K16="","",V16-AC16)</f>
      </c>
    </row>
    <row r="17" spans="1:35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IF($K17="","",(V17-AC17)/J17*100)</f>
      </c>
      <c r="X17" s="4">
        <f>IF($K17="","",M17-U17)</f>
      </c>
      <c r="AD17" s="4">
        <f>IF($K17="","",V17-AC17)</f>
      </c>
    </row>
    <row r="18" spans="1:35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IF($K18="","",(V18-AC18)/J18*100)</f>
      </c>
      <c r="X18" s="4">
        <f>IF($K18="","",M18-U18)</f>
      </c>
      <c r="AD18" s="4">
        <f>IF($K18="","",V18-AC18)</f>
      </c>
    </row>
    <row r="19" spans="1:35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IF($K19="","",(V19-AC19)/J19*100)</f>
      </c>
      <c r="X19" s="4">
        <f>IF($K19="","",M19-U19)</f>
      </c>
      <c r="AD19" s="4">
        <f>IF($K19="","",V19-AC19)</f>
      </c>
    </row>
    <row r="20" spans="1:35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IF($K20="","",(V20-AC20)/J20*100)</f>
      </c>
      <c r="X20" s="4">
        <f>IF($K20="","",M20-U20)</f>
      </c>
      <c r="AD20" s="4">
        <f>IF($K20="","",V20-AC20)</f>
      </c>
    </row>
    <row r="21" spans="1:35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IF($K21="","",(V21-AC21)/J21*100)</f>
      </c>
      <c r="X21" s="4">
        <f>IF($K21="","",M21-U21)</f>
      </c>
      <c r="AD21" s="4">
        <f>IF($K21="","",V21-AC21)</f>
      </c>
    </row>
    <row r="22" spans="1:35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IF($K22="","",(V22-AC22)/J22*100)</f>
      </c>
      <c r="X22" s="4">
        <f>IF($K22="","",M22-U22)</f>
      </c>
      <c r="AD22" s="4">
        <f>IF($K22="","",V22-AC22)</f>
      </c>
    </row>
    <row r="23" spans="1:35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IF($K23="","",(V23-AC23)/J23*100)</f>
      </c>
      <c r="X23" s="4">
        <f>IF($K23="","",M23-U23)</f>
      </c>
      <c r="AD23" s="4">
        <f>IF($K23="","",V23-AC23)</f>
      </c>
    </row>
    <row r="24" spans="1:35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IF($K24="","",(V24-AC24)/J24*100)</f>
      </c>
      <c r="X24" s="4">
        <f>IF($K24="","",M24-U24)</f>
      </c>
      <c r="AD24" s="4">
        <f>IF($K24="","",V24-AC24)</f>
      </c>
    </row>
    <row r="25" spans="1:35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IF($K25="","",(V25-AC25)/J25*100)</f>
      </c>
      <c r="X25" s="4">
        <f>IF($K25="","",M25-U25)</f>
      </c>
      <c r="AD25" s="4">
        <f>IF($K25="","",V25-AC25)</f>
      </c>
    </row>
    <row r="26" spans="1:35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IF($K26="","",(V26-AC26)/J26*100)</f>
      </c>
      <c r="X26" s="4">
        <f>IF($K26="","",M26-U26)</f>
      </c>
      <c r="AD26" s="4">
        <f>IF($K26="","",V26-AC26)</f>
      </c>
    </row>
    <row r="27" spans="1:35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IF($K27="","",(V27-AC27)/J27*100)</f>
      </c>
      <c r="X27" s="4">
        <f>IF($K27="","",M27-U27)</f>
      </c>
      <c r="AD27" s="4">
        <f>IF($K27="","",V27-AC27)</f>
      </c>
    </row>
    <row r="28" spans="1:35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IF($K28="","",(V28-AC28)/J28*100)</f>
      </c>
      <c r="X28" s="4">
        <f>IF($K28="","",M28-U28)</f>
      </c>
      <c r="AD28" s="4">
        <f>IF($K28="","",V28-AC28)</f>
      </c>
    </row>
    <row r="29" spans="1:35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IF($K29="","",(V29-AC29)/J29*100)</f>
      </c>
      <c r="X29" s="4">
        <f>IF($K29="","",M29-U29)</f>
      </c>
      <c r="AD29" s="4">
        <f>IF($K29="","",V29-AC29)</f>
      </c>
    </row>
    <row r="30" spans="1:35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IF($K30="","",(V30-AC30)/J30*100)</f>
      </c>
      <c r="X30" s="4">
        <f>IF($K30="","",M30-U30)</f>
      </c>
      <c r="AD30" s="4">
        <f>IF($K30="","",V30-AC30)</f>
      </c>
    </row>
    <row r="31" spans="1:35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IF($K31="","",(V31-AC31)/J31*100)</f>
      </c>
      <c r="X31" s="4">
        <f>IF($K31="","",M31-U31)</f>
      </c>
      <c r="AD31" s="4">
        <f>IF($K31="","",V31-AC31)</f>
      </c>
    </row>
    <row r="32" spans="1:35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IF($K32="","",(V32-AC32)/J32*100)</f>
      </c>
      <c r="X32" s="4">
        <f>IF($K32="","",M32-U32)</f>
      </c>
      <c r="AD32" s="4">
        <f>IF($K32="","",V32-AC32)</f>
      </c>
    </row>
    <row r="33" spans="1:35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IF($K33="","",(V33-AC33)/J33*100)</f>
      </c>
      <c r="X33" s="4">
        <f>IF($K33="","",M33-U33)</f>
      </c>
      <c r="AD33" s="4">
        <f>IF($K33="","",V33-AC33)</f>
      </c>
    </row>
    <row r="34" spans="1:35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IF($K34="","",(V34-AC34)/J34*100)</f>
      </c>
      <c r="X34" s="4">
        <f>IF($K34="","",M34-U34)</f>
      </c>
      <c r="AD34" s="4">
        <f>IF($K34="","",V34-AC34)</f>
      </c>
    </row>
    <row r="35" spans="1:35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IF($K35="","",(V35-AC35)/J35*100)</f>
      </c>
      <c r="X35" s="4">
        <f>IF($K35="","",M35-U35)</f>
      </c>
      <c r="AD35" s="4">
        <f>IF($K35="","",V35-AC35)</f>
      </c>
    </row>
    <row r="36" spans="1:35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IF($K36="","",(V36-AC36)/J36*100)</f>
      </c>
      <c r="X36" s="4">
        <f>IF($K36="","",M36-U36)</f>
      </c>
      <c r="AD36" s="4">
        <f>IF($K36="","",V36-AC36)</f>
      </c>
    </row>
    <row r="37" spans="1:35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IF($K37="","",(V37-AC37)/J37*100)</f>
      </c>
      <c r="X37" s="4">
        <f>IF($K37="","",M37-U37)</f>
      </c>
      <c r="AD37" s="4">
        <f>IF($K37="","",V37-AC37)</f>
      </c>
    </row>
    <row r="38" spans="1:35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IF($K38="","",(V38-AC38)/J38*100)</f>
      </c>
      <c r="X38" s="4">
        <f>IF($K38="","",M38-U38)</f>
      </c>
      <c r="AD38" s="4">
        <f>IF($K38="","",V38-AC38)</f>
      </c>
    </row>
    <row r="39" spans="1:35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IF($K39="","",(V39-AC39)/J39*100)</f>
      </c>
      <c r="X39" s="4">
        <f>IF($K39="","",M39-U39)</f>
      </c>
      <c r="AD39" s="4">
        <f>IF($K39="","",V39-AC39)</f>
      </c>
    </row>
    <row r="40" spans="1:35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IF($K40="","",(V40-AC40)/J40*100)</f>
      </c>
      <c r="X40" s="4">
        <f>IF($K40="","",M40-U40)</f>
      </c>
      <c r="AD40" s="4">
        <f>IF($K40="","",V40-AC40)</f>
      </c>
    </row>
    <row r="41" spans="1:35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IF($K41="","",(V41-AC41)/J41*100)</f>
      </c>
      <c r="X41" s="4">
        <f>IF($K41="","",M41-U41)</f>
      </c>
      <c r="AD41" s="4">
        <f>IF($K41="","",V41-AC41)</f>
      </c>
    </row>
    <row r="42" spans="1:35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IF($K42="","",(V42-AC42)/J42*100)</f>
      </c>
      <c r="X42" s="4">
        <f>IF($K42="","",M42-U42)</f>
      </c>
      <c r="AD42" s="4">
        <f>IF($K42="","",V42-AC42)</f>
      </c>
    </row>
    <row r="43" spans="1:35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IF($K43="","",(V43-AC43)/J43*100)</f>
      </c>
      <c r="X43" s="4">
        <f>IF($K43="","",M43-U43)</f>
      </c>
      <c r="AD43" s="4">
        <f>IF($K43="","",V43-AC43)</f>
      </c>
    </row>
    <row r="44" spans="1:35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IF($K44="","",(V44-AC44)/J44*100)</f>
      </c>
      <c r="X44" s="4">
        <f>IF($K44="","",M44-U44)</f>
      </c>
      <c r="AD44" s="4">
        <f>IF($K44="","",V44-AC44)</f>
      </c>
    </row>
    <row r="45" spans="1:35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IF($K45="","",(V45-AC45)/J45*100)</f>
      </c>
      <c r="X45" s="4">
        <f>IF($K45="","",M45-U45)</f>
      </c>
      <c r="AD45" s="4">
        <f>IF($K45="","",V45-AC45)</f>
      </c>
    </row>
    <row r="46" spans="1:35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IF($K46="","",(V46-AC46)/J46*100)</f>
      </c>
      <c r="X46" s="4">
        <f>IF($K46="","",M46-U46)</f>
      </c>
      <c r="AD46" s="4">
        <f>IF($K46="","",V46-AC46)</f>
      </c>
    </row>
    <row r="47" spans="1:35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IF($K47="","",(V47-AC47)/J47*100)</f>
      </c>
      <c r="X47" s="4">
        <f>IF($K47="","",M47-U47)</f>
      </c>
      <c r="AD47" s="4">
        <f>IF($K47="","",V47-AC47)</f>
      </c>
    </row>
    <row r="48" spans="1:35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IF($K48="","",(V48-AC48)/J48*100)</f>
      </c>
      <c r="X48" s="4">
        <f>IF($K48="","",M48-U48)</f>
      </c>
      <c r="AD48" s="4">
        <f>IF($K48="","",V48-AC48)</f>
      </c>
    </row>
    <row r="49" spans="1:35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IF($K49="","",(V49-AC49)/J49*100)</f>
      </c>
      <c r="X49" s="4">
        <f>IF($K49="","",M49-U49)</f>
      </c>
      <c r="AD49" s="4">
        <f>IF($K49="","",V49-AC49)</f>
      </c>
    </row>
    <row r="50" spans="1:35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IF($K50="","",(V50-AC50)/J50*100)</f>
      </c>
      <c r="X50" s="4">
        <f>IF($K50="","",M50-U50)</f>
      </c>
      <c r="AD50" s="4">
        <f>IF($K50="","",V50-AC50)</f>
      </c>
    </row>
    <row r="51" spans="1:35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IF($K51="","",(V51-AC51)/J51*100)</f>
      </c>
      <c r="X51" s="4">
        <f>IF($K51="","",M51-U51)</f>
      </c>
      <c r="AD51" s="4">
        <f>IF($K51="","",V51-AC51)</f>
      </c>
    </row>
    <row r="52" spans="1:35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IF($K52="","",(V52-AC52)/J52*100)</f>
      </c>
      <c r="X52" s="4">
        <f>IF($K52="","",M52-U52)</f>
      </c>
      <c r="AD52" s="4">
        <f>IF($K52="","",V52-AC52)</f>
      </c>
    </row>
    <row r="53" spans="1:35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IF($K53="","",(V53-AC53)/J53*100)</f>
      </c>
      <c r="X53" s="4">
        <f>IF($K53="","",M53-U53)</f>
      </c>
      <c r="AD53" s="4">
        <f>IF($K53="","",V53-AC53)</f>
      </c>
    </row>
    <row r="54" spans="1:35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IF($K54="","",(V54-AC54)/J54*100)</f>
      </c>
      <c r="X54" s="4">
        <f>IF($K54="","",M54-U54)</f>
      </c>
      <c r="AD54" s="4">
        <f>IF($K54="","",V54-AC54)</f>
      </c>
    </row>
    <row r="55" spans="1:35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IF($K55="","",(V55-AC55)/J55*100)</f>
      </c>
      <c r="X55" s="4">
        <f>IF($K55="","",M55-U55)</f>
      </c>
      <c r="AD55" s="4">
        <f>IF($K55="","",V55-AC55)</f>
      </c>
    </row>
    <row r="56" spans="1:35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IF($K56="","",(V56-AC56)/J56*100)</f>
      </c>
      <c r="X56" s="4">
        <f>IF($K56="","",M56-U56)</f>
      </c>
      <c r="AD56" s="4">
        <f>IF($K56="","",V56-AC56)</f>
      </c>
    </row>
    <row r="57" spans="1:35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IF($K57="","",(V57-AC57)/J57*100)</f>
      </c>
      <c r="X57" s="4">
        <f>IF($K57="","",M57-U57)</f>
      </c>
      <c r="AD57" s="4">
        <f>IF($K57="","",V57-AC57)</f>
      </c>
    </row>
    <row r="58" spans="1:35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IF($K58="","",(V58-AC58)/J58*100)</f>
      </c>
      <c r="X58" s="4">
        <f>IF($K58="","",M58-U58)</f>
      </c>
      <c r="AD58" s="4">
        <f>IF($K58="","",V58-AC58)</f>
      </c>
    </row>
    <row r="59" spans="1:35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IF($K59="","",(V59-AC59)/J59*100)</f>
      </c>
      <c r="X59" s="4">
        <f>IF($K59="","",M59-U59)</f>
      </c>
      <c r="AD59" s="4">
        <f>IF($K59="","",V59-AC59)</f>
      </c>
    </row>
    <row r="60" spans="1:35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IF($K60="","",(V60-AC60)/J60*100)</f>
      </c>
      <c r="X60" s="4">
        <f>IF($K60="","",M60-U60)</f>
      </c>
      <c r="AD60" s="4">
        <f>IF($K60="","",V60-AC60)</f>
      </c>
    </row>
    <row r="61" spans="1:35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IF($K61="","",(V61-AC61)/J61*100)</f>
      </c>
      <c r="X61" s="4">
        <f>IF($K61="","",M61-U61)</f>
      </c>
      <c r="AD61" s="4">
        <f>IF($K61="","",V61-AC61)</f>
      </c>
    </row>
    <row r="62" spans="1:35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IF($K62="","",(V62-AC62)/J62*100)</f>
      </c>
      <c r="X62" s="4">
        <f>IF($K62="","",M62-U62)</f>
      </c>
      <c r="AD62" s="4">
        <f>IF($K62="","",V62-AC62)</f>
      </c>
    </row>
    <row r="63" spans="1:35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IF($K63="","",(V63-AC63)/J63*100)</f>
      </c>
      <c r="X63" s="4">
        <f>IF($K63="","",M63-U63)</f>
      </c>
      <c r="AD63" s="4">
        <f>IF($K63="","",V63-AC63)</f>
      </c>
    </row>
    <row r="64" spans="1:35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IF($K64="","",(V64-AC64)/J64*100)</f>
      </c>
      <c r="X64" s="4">
        <f>IF($K64="","",M64-U64)</f>
      </c>
      <c r="AD64" s="4">
        <f>IF($K64="","",V64-AC64)</f>
      </c>
    </row>
    <row r="65" spans="1:35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IF($K65="","",(V65-AC65)/J65*100)</f>
      </c>
      <c r="X65" s="4">
        <f>IF($K65="","",M65-U65)</f>
      </c>
      <c r="AD65" s="4">
        <f>IF($K65="","",V65-AC65)</f>
      </c>
    </row>
    <row r="66" spans="1:35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IF($K66="","",(V66-AC66)/J66*100)</f>
      </c>
      <c r="X66" s="4">
        <f>IF($K66="","",M66-U66)</f>
      </c>
      <c r="AD66" s="4">
        <f>IF($K66="","",V66-AC66)</f>
      </c>
    </row>
    <row r="67" spans="1:35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IF($K67="","",(V67-AC67)/J67*100)</f>
      </c>
      <c r="X67" s="4">
        <f>IF($K67="","",M67-U67)</f>
      </c>
      <c r="AD67" s="4">
        <f>IF($K67="","",V67-AC67)</f>
      </c>
    </row>
    <row r="68" spans="1:35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IF($K68="","",(V68-AC68)/J68*100)</f>
      </c>
      <c r="X68" s="4">
        <f>IF($K68="","",M68-U68)</f>
      </c>
      <c r="AD68" s="4">
        <f>IF($K68="","",V68-AC68)</f>
      </c>
    </row>
    <row r="69" spans="1:35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IF($K69="","",(V69-AC69)/J69*100)</f>
      </c>
      <c r="X69" s="4">
        <f>IF($K69="","",M69-U69)</f>
      </c>
      <c r="AD69" s="4">
        <f>IF($K69="","",V69-AC69)</f>
      </c>
    </row>
    <row r="70" spans="1:35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IF($K70="","",(V70-AC70)/J70*100)</f>
      </c>
      <c r="X70" s="4">
        <f>IF($K70="","",M70-U70)</f>
      </c>
      <c r="AD70" s="4">
        <f>IF($K70="","",V70-AC70)</f>
      </c>
    </row>
    <row r="71" spans="1:35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IF($K71="","",(V71-AC71)/J71*100)</f>
      </c>
      <c r="X71" s="4">
        <f>IF($K71="","",M71-U71)</f>
      </c>
      <c r="AD71" s="4">
        <f>IF($K71="","",V71-AC71)</f>
      </c>
    </row>
    <row r="72" spans="1:35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IF($K72="","",(V72-AC72)/J72*100)</f>
      </c>
      <c r="X72" s="4">
        <f>IF($K72="","",M72-U72)</f>
      </c>
      <c r="AD72" s="4">
        <f>IF($K72="","",V72-AC72)</f>
      </c>
    </row>
    <row r="73" spans="1:35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IF($K73="","",(V73-AC73)/J73*100)</f>
      </c>
      <c r="X73" s="4">
        <f>IF($K73="","",M73-U73)</f>
      </c>
      <c r="AD73" s="4">
        <f>IF($K73="","",V73-AC73)</f>
      </c>
    </row>
    <row r="74" spans="1:35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IF($K74="","",(V74-AC74)/J74*100)</f>
      </c>
      <c r="X74" s="4">
        <f>IF($K74="","",M74-U74)</f>
      </c>
      <c r="AD74" s="4">
        <f>IF($K74="","",V74-AC74)</f>
      </c>
    </row>
    <row r="75" spans="1:35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IF($K75="","",(V75-AC75)/J75*100)</f>
      </c>
      <c r="X75" s="4">
        <f>IF($K75="","",M75-U75)</f>
      </c>
      <c r="AD75" s="4">
        <f>IF($K75="","",V75-AC75)</f>
      </c>
    </row>
    <row r="76" spans="1:35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IF($K76="","",(V76-AC76)/J76*100)</f>
      </c>
      <c r="X76" s="4">
        <f>IF($K76="","",M76-U76)</f>
      </c>
      <c r="AD76" s="4">
        <f>IF($K76="","",V76-AC76)</f>
      </c>
    </row>
    <row r="77" spans="1:35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IF($K77="","",(V77-AC77)/J77*100)</f>
      </c>
      <c r="X77" s="4">
        <f>IF($K77="","",M77-U77)</f>
      </c>
      <c r="AD77" s="4">
        <f>IF($K77="","",V77-AC77)</f>
      </c>
    </row>
    <row r="78" spans="1:35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IF($K78="","",(V78-AC78)/J78*100)</f>
      </c>
      <c r="X78" s="4">
        <f>IF($K78="","",M78-U78)</f>
      </c>
      <c r="AD78" s="4">
        <f>IF($K78="","",V78-AC78)</f>
      </c>
    </row>
    <row r="79" spans="1:35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IF($K79="","",(V79-AC79)/J79*100)</f>
      </c>
      <c r="X79" s="4">
        <f>IF($K79="","",M79-U79)</f>
      </c>
      <c r="AD79" s="4">
        <f>IF($K79="","",V79-AC79)</f>
      </c>
    </row>
    <row r="80" spans="1:35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IF($K80="","",(V80-AC80)/J80*100)</f>
      </c>
      <c r="X80" s="4">
        <f>IF($K80="","",M80-U80)</f>
      </c>
      <c r="AD80" s="4">
        <f>IF($K80="","",V80-AC80)</f>
      </c>
    </row>
    <row r="81" spans="1:35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IF($K81="","",(V81-AC81)/J81*100)</f>
      </c>
      <c r="X81" s="4">
        <f>IF($K81="","",M81-U81)</f>
      </c>
      <c r="AD81" s="4">
        <f>IF($K81="","",V81-AC81)</f>
      </c>
    </row>
    <row r="82" spans="1:35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IF($K82="","",(V82-AC82)/J82*100)</f>
      </c>
      <c r="X82" s="4">
        <f>IF($K82="","",M82-U82)</f>
      </c>
      <c r="AD82" s="4">
        <f>IF($K82="","",V82-AC82)</f>
      </c>
    </row>
    <row r="83" spans="1:35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IF($K83="","",(V83-AC83)/J83*100)</f>
      </c>
      <c r="X83" s="4">
        <f>IF($K83="","",M83-U83)</f>
      </c>
      <c r="AD83" s="4">
        <f>IF($K83="","",V83-AC83)</f>
      </c>
    </row>
    <row r="84" spans="1:35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IF($K84="","",(V84-AC84)/J84*100)</f>
      </c>
      <c r="X84" s="4">
        <f>IF($K84="","",M84-U84)</f>
      </c>
      <c r="AD84" s="4">
        <f>IF($K84="","",V84-AC84)</f>
      </c>
    </row>
    <row r="85" spans="1:35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IF($K85="","",(V85-AC85)/J85*100)</f>
      </c>
      <c r="X85" s="4">
        <f>IF($K85="","",M85-U85)</f>
      </c>
      <c r="AD85" s="4">
        <f>IF($K85="","",V85-AC85)</f>
      </c>
    </row>
    <row r="86" spans="1:35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IF($K86="","",(V86-AC86)/J86*100)</f>
      </c>
      <c r="X86" s="4">
        <f>IF($K86="","",M86-U86)</f>
      </c>
      <c r="AD86" s="4">
        <f>IF($K86="","",V86-AC86)</f>
      </c>
    </row>
    <row r="87" spans="1:35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IF($K87="","",(V87-AC87)/J87*100)</f>
      </c>
      <c r="X87" s="4">
        <f>IF($K87="","",M87-U87)</f>
      </c>
      <c r="AD87" s="4">
        <f>IF($K87="","",V87-AC87)</f>
      </c>
    </row>
    <row r="88" spans="1:35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IF($K88="","",(V88-AC88)/J88*100)</f>
      </c>
      <c r="X88" s="4">
        <f>IF($K88="","",M88-U88)</f>
      </c>
      <c r="AD88" s="4">
        <f>IF($K88="","",V88-AC88)</f>
      </c>
    </row>
    <row r="89" spans="1:35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IF($K89="","",(V89-AC89)/J89*100)</f>
      </c>
      <c r="X89" s="4">
        <f>IF($K89="","",M89-U89)</f>
      </c>
      <c r="AD89" s="4">
        <f>IF($K89="","",V89-AC89)</f>
      </c>
    </row>
    <row r="90" spans="1:35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IF($K90="","",(V90-AC90)/J90*100)</f>
      </c>
      <c r="X90" s="4">
        <f>IF($K90="","",M90-U90)</f>
      </c>
      <c r="AD90" s="4">
        <f>IF($K90="","",V90-AC90)</f>
      </c>
    </row>
    <row r="91" spans="1:35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IF($K91="","",(V91-AC91)/J91*100)</f>
      </c>
      <c r="X91" s="4">
        <f>IF($K91="","",M91-U91)</f>
      </c>
      <c r="AD91" s="4">
        <f>IF($K91="","",V91-AC91)</f>
      </c>
    </row>
    <row r="92" spans="1:35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IF($K92="","",(V92-AC92)/J92*100)</f>
      </c>
      <c r="X92" s="4">
        <f>IF($K92="","",M92-U92)</f>
      </c>
      <c r="AD92" s="4">
        <f>IF($K92="","",V92-AC92)</f>
      </c>
    </row>
    <row r="93" spans="1:35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IF($K93="","",(V93-AC93)/J93*100)</f>
      </c>
      <c r="X93" s="4">
        <f>IF($K93="","",M93-U93)</f>
      </c>
      <c r="AD93" s="4">
        <f>IF($K93="","",V93-AC93)</f>
      </c>
    </row>
    <row r="94" spans="1:35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IF($K94="","",(V94-AC94)/J94*100)</f>
      </c>
      <c r="X94" s="4">
        <f>IF($K94="","",M94-U94)</f>
      </c>
      <c r="AD94" s="4">
        <f>IF($K94="","",V94-AC94)</f>
      </c>
    </row>
    <row r="95" spans="1:35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IF($K95="","",(V95-AC95)/J95*100)</f>
      </c>
      <c r="X95" s="4">
        <f>IF($K95="","",M95-U95)</f>
      </c>
      <c r="AD95" s="4">
        <f>IF($K95="","",V95-AC95)</f>
      </c>
    </row>
    <row r="96" spans="1:35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IF($K96="","",(V96-AC96)/J96*100)</f>
      </c>
      <c r="X96" s="4">
        <f>IF($K96="","",M96-U96)</f>
      </c>
      <c r="AD96" s="4">
        <f>IF($K96="","",V96-AC96)</f>
      </c>
    </row>
    <row r="97" spans="1:35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IF($K97="","",(V97-AC97)/J97*100)</f>
      </c>
      <c r="X97" s="4">
        <f>IF($K97="","",M97-U97)</f>
      </c>
      <c r="AD97" s="4">
        <f>IF($K97="","",V97-AC97)</f>
      </c>
    </row>
    <row r="98" spans="1:35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IF($K98="","",(V98-AC98)/J98*100)</f>
      </c>
      <c r="X98" s="4">
        <f>IF($K98="","",M98-U98)</f>
      </c>
      <c r="AD98" s="4">
        <f>IF($K98="","",V98-AC98)</f>
      </c>
    </row>
    <row r="99" spans="1:35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IF($K99="","",(V99-AC99)/J99*100)</f>
      </c>
      <c r="X99" s="4">
        <f>IF($K99="","",M99-U99)</f>
      </c>
      <c r="AD99" s="4">
        <f>IF($K99="","",V99-AC99)</f>
      </c>
    </row>
    <row r="100" spans="1:35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IF($K100="","",(V100-AC100)/J100*100)</f>
      </c>
      <c r="X100" s="4">
        <f>IF($K100="","",M100-U100)</f>
      </c>
      <c r="AD100" s="4">
        <f>IF($K100="","",V100-AC100)</f>
      </c>
    </row>
    <row r="101" spans="1:35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IF($K101="","",(V101-AC101)/J101*100)</f>
      </c>
      <c r="X101" s="4">
        <f>IF($K101="","",M101-U101)</f>
      </c>
      <c r="AD101" s="4">
        <f>IF($K101="","",V101-AC101)</f>
      </c>
    </row>
    <row r="102" spans="1:35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IF($K102="","",(V102-AC102)/J102*100)</f>
      </c>
      <c r="X102" s="4">
        <f>IF($K102="","",M102-U102)</f>
      </c>
      <c r="AD102" s="4">
        <f>IF($K102="","",V102-AC102)</f>
      </c>
    </row>
    <row r="103" spans="1:35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IF($K103="","",(V103-AC103)/J103*100)</f>
      </c>
      <c r="X103" s="4">
        <f>IF($K103="","",M103-U103)</f>
      </c>
      <c r="AD103" s="4">
        <f>IF($K103="","",V103-AC103)</f>
      </c>
    </row>
    <row r="104" spans="1:35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IF($K104="","",(V104-AC104)/J104*100)</f>
      </c>
      <c r="X104" s="4">
        <f>IF($K104="","",M104-U104)</f>
      </c>
      <c r="AD104" s="4">
        <f>IF($K104="","",V104-AC104)</f>
      </c>
    </row>
    <row r="105" spans="1:35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IF($K105="","",(V105-AC105)/J105*100)</f>
      </c>
      <c r="X105" s="4">
        <f>IF($K105="","",M105-U105)</f>
      </c>
      <c r="AD105" s="4">
        <f>IF($K105="","",V105-AC105)</f>
      </c>
    </row>
    <row r="106" spans="1:35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IF($K106="","",(V106-AC106)/J106*100)</f>
      </c>
      <c r="X106" s="4">
        <f>IF($K106="","",M106-U106)</f>
      </c>
      <c r="AD106" s="4">
        <f>IF($K106="","",V106-AC106)</f>
      </c>
    </row>
    <row r="107" spans="1:35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IF($K107="","",(V107-AC107)/J107*100)</f>
      </c>
      <c r="X107" s="4">
        <f>IF($K107="","",M107-U107)</f>
      </c>
      <c r="AD107" s="4">
        <f>IF($K107="","",V107-AC107)</f>
      </c>
    </row>
    <row r="108" spans="1:35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IF($K108="","",(V108-AC108)/J108*100)</f>
      </c>
      <c r="X108" s="4">
        <f>IF($K108="","",M108-U108)</f>
      </c>
      <c r="AD108" s="4">
        <f>IF($K108="","",V108-AC108)</f>
      </c>
    </row>
    <row r="109" spans="1:35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IF($K109="","",(V109-AC109)/J109*100)</f>
      </c>
      <c r="X109" s="4">
        <f>IF($K109="","",M109-U109)</f>
      </c>
      <c r="AD109" s="4">
        <f>IF($K109="","",V109-AC109)</f>
      </c>
    </row>
    <row r="110" spans="1:35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IF($K110="","",(V110-AC110)/J110*100)</f>
      </c>
      <c r="X110" s="4">
        <f>IF($K110="","",M110-U110)</f>
      </c>
      <c r="AD110" s="4">
        <f>IF($K110="","",V110-AC110)</f>
      </c>
    </row>
    <row r="111" spans="1:35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IF($K111="","",(V111-AC111)/J111*100)</f>
      </c>
      <c r="X111" s="4">
        <f>IF($K111="","",M111-U111)</f>
      </c>
      <c r="AD111" s="4">
        <f>IF($K111="","",V111-AC111)</f>
      </c>
    </row>
    <row r="112" spans="1:35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IF($K112="","",(V112-AC112)/J112*100)</f>
      </c>
      <c r="X112" s="4">
        <f>IF($K112="","",M112-U112)</f>
      </c>
      <c r="AD112" s="4">
        <f>IF($K112="","",V112-AC112)</f>
      </c>
    </row>
    <row r="113" spans="1:35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IF($K113="","",(V113-AC113)/J113*100)</f>
      </c>
      <c r="X113" s="4">
        <f>IF($K113="","",M113-U113)</f>
      </c>
      <c r="AD113" s="4">
        <f>IF($K113="","",V113-AC113)</f>
      </c>
    </row>
    <row r="114" spans="1:35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IF($K114="","",(V114-AC114)/J114*100)</f>
      </c>
      <c r="X114" s="4">
        <f>IF($K114="","",M114-U114)</f>
      </c>
      <c r="AD114" s="4">
        <f>IF($K114="","",V114-AC114)</f>
      </c>
    </row>
    <row r="115" spans="1:35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IF($K115="","",(V115-AC115)/J115*100)</f>
      </c>
      <c r="X115" s="4">
        <f>IF($K115="","",M115-U115)</f>
      </c>
      <c r="AD115" s="4">
        <f>IF($K115="","",V115-AC115)</f>
      </c>
    </row>
    <row r="116" spans="1:35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IF($K116="","",(V116-AC116)/J116*100)</f>
      </c>
      <c r="X116" s="4">
        <f>IF($K116="","",M116-U116)</f>
      </c>
      <c r="AD116" s="4">
        <f>IF($K116="","",V116-AC116)</f>
      </c>
    </row>
    <row r="117" spans="1:35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IF($K117="","",(V117-AC117)/J117*100)</f>
      </c>
      <c r="X117" s="4">
        <f>IF($K117="","",M117-U117)</f>
      </c>
      <c r="AD117" s="4">
        <f>IF($K117="","",V117-AC117)</f>
      </c>
    </row>
    <row r="118" spans="1:35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IF($K118="","",(V118-AC118)/J118*100)</f>
      </c>
      <c r="X118" s="4">
        <f>IF($K118="","",M118-U118)</f>
      </c>
      <c r="AD118" s="4">
        <f>IF($K118="","",V118-AC118)</f>
      </c>
    </row>
    <row r="119" spans="1:35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IF($K119="","",(V119-AC119)/J119*100)</f>
      </c>
      <c r="X119" s="4">
        <f>IF($K119="","",M119-U119)</f>
      </c>
      <c r="AD119" s="4">
        <f>IF($K119="","",V119-AC119)</f>
      </c>
    </row>
    <row r="120" spans="1:35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IF($K120="","",(V120-AC120)/J120*100)</f>
      </c>
      <c r="X120" s="4">
        <f>IF($K120="","",M120-U120)</f>
      </c>
      <c r="AD120" s="4">
        <f>IF($K120="","",V120-AC120)</f>
      </c>
    </row>
    <row r="121" spans="1:35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IF($K121="","",(V121-AC121)/J121*100)</f>
      </c>
      <c r="X121" s="4">
        <f>IF($K121="","",M121-U121)</f>
      </c>
      <c r="AD121" s="4">
        <f>IF($K121="","",V121-AC121)</f>
      </c>
    </row>
    <row r="122" spans="1:35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IF($K122="","",(V122-AC122)/J122*100)</f>
      </c>
      <c r="X122" s="4">
        <f>IF($K122="","",M122-U122)</f>
      </c>
      <c r="AD122" s="4">
        <f>IF($K122="","",V122-AC122)</f>
      </c>
    </row>
    <row r="123" spans="1:35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IF($K123="","",(V123-AC123)/J123*100)</f>
      </c>
      <c r="X123" s="4">
        <f>IF($K123="","",M123-U123)</f>
      </c>
      <c r="AD123" s="4">
        <f>IF($K123="","",V123-AC123)</f>
      </c>
    </row>
    <row r="124" spans="1:35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IF($K124="","",(V124-AC124)/J124*100)</f>
      </c>
      <c r="X124" s="4">
        <f>IF($K124="","",M124-U124)</f>
      </c>
      <c r="AD124" s="4">
        <f>IF($K124="","",V124-AC124)</f>
      </c>
    </row>
    <row r="125" spans="1:35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IF($K125="","",(V125-AC125)/J125*100)</f>
      </c>
      <c r="X125" s="4">
        <f>IF($K125="","",M125-U125)</f>
      </c>
      <c r="AD125" s="4">
        <f>IF($K125="","",V125-AC125)</f>
      </c>
    </row>
    <row r="126" spans="1:35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IF($K126="","",(V126-AC126)/J126*100)</f>
      </c>
      <c r="X126" s="4">
        <f>IF($K126="","",M126-U126)</f>
      </c>
      <c r="AD126" s="4">
        <f>IF($K126="","",V126-AC126)</f>
      </c>
    </row>
    <row r="127" spans="1:35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IF($K127="","",(V127-AC127)/J127*100)</f>
      </c>
      <c r="X127" s="4">
        <f>IF($K127="","",M127-U127)</f>
      </c>
      <c r="AD127" s="4">
        <f>IF($K127="","",V127-AC127)</f>
      </c>
    </row>
    <row r="128" spans="1:35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IF($K128="","",(V128-AC128)/J128*100)</f>
      </c>
      <c r="X128" s="4">
        <f>IF($K128="","",M128-U128)</f>
      </c>
      <c r="AD128" s="4">
        <f>IF($K128="","",V128-AC128)</f>
      </c>
    </row>
    <row r="129" spans="1:35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IF($K129="","",(V129-AC129)/J129*100)</f>
      </c>
      <c r="X129" s="4">
        <f>IF($K129="","",M129-U129)</f>
      </c>
      <c r="AD129" s="4">
        <f>IF($K129="","",V129-AC129)</f>
      </c>
    </row>
    <row r="130" spans="1:35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IF($K130="","",(V130-AC130)/J130*100)</f>
      </c>
      <c r="X130" s="4">
        <f>IF($K130="","",M130-U130)</f>
      </c>
      <c r="AD130" s="4">
        <f>IF($K130="","",V130-AC130)</f>
      </c>
    </row>
    <row r="131" spans="1:35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IF($K131="","",(V131-AC131)/J131*100)</f>
      </c>
      <c r="X131" s="4">
        <f>IF($K131="","",M131-U131)</f>
      </c>
      <c r="AD131" s="4">
        <f>IF($K131="","",V131-AC131)</f>
      </c>
    </row>
    <row r="132" spans="1:35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IF($K132="","",(V132-AC132)/J132*100)</f>
      </c>
      <c r="X132" s="4">
        <f>IF($K132="","",M132-U132)</f>
      </c>
      <c r="AD132" s="4">
        <f>IF($K132="","",V132-AC132)</f>
      </c>
    </row>
    <row r="133" spans="1:35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IF($K133="","",(V133-AC133)/J133*100)</f>
      </c>
      <c r="X133" s="4">
        <f>IF($K133="","",M133-U133)</f>
      </c>
      <c r="AD133" s="4">
        <f>IF($K133="","",V133-AC133)</f>
      </c>
    </row>
    <row r="134" spans="1:35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IF($K134="","",(V134-AC134)/J134*100)</f>
      </c>
      <c r="X134" s="4">
        <f>IF($K134="","",M134-U134)</f>
      </c>
      <c r="AD134" s="4">
        <f>IF($K134="","",V134-AC134)</f>
      </c>
    </row>
    <row r="135" spans="1:35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IF($K135="","",(V135-AC135)/J135*100)</f>
      </c>
      <c r="X135" s="4">
        <f>IF($K135="","",M135-U135)</f>
      </c>
      <c r="AD135" s="4">
        <f>IF($K135="","",V135-AC135)</f>
      </c>
    </row>
    <row r="136" spans="1:35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IF($K136="","",(V136-AC136)/J136*100)</f>
      </c>
      <c r="X136" s="4">
        <f>IF($K136="","",M136-U136)</f>
      </c>
      <c r="AD136" s="4">
        <f>IF($K136="","",V136-AC136)</f>
      </c>
    </row>
    <row r="137" spans="1:35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IF($K137="","",(V137-AC137)/J137*100)</f>
      </c>
      <c r="X137" s="4">
        <f>IF($K137="","",M137-U137)</f>
      </c>
      <c r="AD137" s="4">
        <f>IF($K137="","",V137-AC137)</f>
      </c>
    </row>
    <row r="138" spans="1:35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IF($K138="","",(V138-AC138)/J138*100)</f>
      </c>
      <c r="X138" s="4">
        <f>IF($K138="","",M138-U138)</f>
      </c>
      <c r="AD138" s="4">
        <f>IF($K138="","",V138-AC138)</f>
      </c>
    </row>
    <row r="139" spans="1:35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IF($K139="","",(V139-AC139)/J139*100)</f>
      </c>
      <c r="X139" s="4">
        <f>IF($K139="","",M139-U139)</f>
      </c>
      <c r="AD139" s="4">
        <f>IF($K139="","",V139-AC139)</f>
      </c>
    </row>
    <row r="140" spans="1:35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IF($K140="","",(V140-AC140)/J140*100)</f>
      </c>
      <c r="X140" s="4">
        <f>IF($K140="","",M140-U140)</f>
      </c>
      <c r="AD140" s="4">
        <f>IF($K140="","",V140-AC140)</f>
      </c>
    </row>
    <row r="141" spans="1:35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IF($K141="","",(V141-AC141)/J141*100)</f>
      </c>
      <c r="X141" s="4">
        <f>IF($K141="","",M141-U141)</f>
      </c>
      <c r="AD141" s="4">
        <f>IF($K141="","",V141-AC141)</f>
      </c>
    </row>
    <row r="142" spans="1:35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IF($K142="","",(V142-AC142)/J142*100)</f>
      </c>
      <c r="X142" s="4">
        <f>IF($K142="","",M142-U142)</f>
      </c>
      <c r="AD142" s="4">
        <f>IF($K142="","",V142-AC142)</f>
      </c>
    </row>
    <row r="143" spans="1:35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IF($K143="","",(V143-AC143)/J143*100)</f>
      </c>
      <c r="X143" s="4">
        <f>IF($K143="","",M143-U143)</f>
      </c>
      <c r="AD143" s="4">
        <f>IF($K143="","",V143-AC143)</f>
      </c>
    </row>
    <row r="144" spans="1:35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IF($K144="","",(V144-AC144)/J144*100)</f>
      </c>
      <c r="X144" s="4">
        <f>IF($K144="","",M144-U144)</f>
      </c>
      <c r="AD144" s="4">
        <f>IF($K144="","",V144-AC144)</f>
      </c>
    </row>
    <row r="145" spans="1:35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IF($K145="","",(V145-AC145)/J145*100)</f>
      </c>
      <c r="X145" s="4">
        <f>IF($K145="","",M145-U145)</f>
      </c>
      <c r="AD145" s="4">
        <f>IF($K145="","",V145-AC145)</f>
      </c>
    </row>
    <row r="146" spans="1:35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IF($K146="","",(V146-AC146)/J146*100)</f>
      </c>
      <c r="X146" s="4">
        <f>IF($K146="","",M146-U146)</f>
      </c>
      <c r="AD146" s="4">
        <f>IF($K146="","",V146-AC146)</f>
      </c>
    </row>
    <row r="147" spans="1:35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IF($K147="","",(V147-AC147)/J147*100)</f>
      </c>
      <c r="X147" s="4">
        <f>IF($K147="","",M147-U147)</f>
      </c>
      <c r="AD147" s="4">
        <f>IF($K147="","",V147-AC147)</f>
      </c>
    </row>
    <row r="148" spans="1:35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IF($K148="","",(V148-AC148)/J148*100)</f>
      </c>
      <c r="X148" s="4">
        <f>IF($K148="","",M148-U148)</f>
      </c>
      <c r="AD148" s="4">
        <f>IF($K148="","",V148-AC148)</f>
      </c>
    </row>
    <row r="149" spans="1:35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IF($K149="","",(V149-AC149)/J149*100)</f>
      </c>
      <c r="X149" s="4">
        <f>IF($K149="","",M149-U149)</f>
      </c>
      <c r="AD149" s="4">
        <f>IF($K149="","",V149-AC149)</f>
      </c>
    </row>
    <row r="150" spans="1:35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IF($K150="","",(V150-AC150)/J150*100)</f>
      </c>
      <c r="X150" s="4">
        <f>IF($K150="","",M150-U150)</f>
      </c>
      <c r="AD150" s="4">
        <f>IF($K150="","",V150-AC150)</f>
      </c>
    </row>
    <row r="151" spans="1:35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IF($K151="","",(V151-AC151)/J151*100)</f>
      </c>
      <c r="X151" s="4">
        <f>IF($K151="","",M151-U151)</f>
      </c>
      <c r="AD151" s="4">
        <f>IF($K151="","",V151-AC151)</f>
      </c>
    </row>
    <row r="152" spans="1:35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IF($K152="","",(V152-AC152)/J152*100)</f>
      </c>
      <c r="X152" s="4">
        <f>IF($K152="","",M152-U152)</f>
      </c>
      <c r="AD152" s="4">
        <f>IF($K152="","",V152-AC152)</f>
      </c>
    </row>
    <row r="153" spans="1:35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IF($K153="","",(V153-AC153)/J153*100)</f>
      </c>
      <c r="X153" s="4">
        <f>IF($K153="","",M153-U153)</f>
      </c>
      <c r="AD153" s="4">
        <f>IF($K153="","",V153-AC153)</f>
      </c>
    </row>
    <row r="154" spans="1:35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IF($K154="","",(V154-AC154)/J154*100)</f>
      </c>
      <c r="X154" s="4">
        <f>IF($K154="","",M154-U154)</f>
      </c>
      <c r="AD154" s="4">
        <f>IF($K154="","",V154-AC154)</f>
      </c>
    </row>
    <row r="155" spans="1:35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IF($K155="","",(V155-AC155)/J155*100)</f>
      </c>
      <c r="X155" s="4">
        <f>IF($K155="","",M155-U155)</f>
      </c>
      <c r="AD155" s="4">
        <f>IF($K155="","",V155-AC155)</f>
      </c>
    </row>
    <row r="156" spans="1:35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IF($K156="","",(V156-AC156)/J156*100)</f>
      </c>
      <c r="X156" s="4">
        <f>IF($K156="","",M156-U156)</f>
      </c>
      <c r="AD156" s="4">
        <f>IF($K156="","",V156-AC156)</f>
      </c>
    </row>
    <row r="157" spans="1:35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IF($K157="","",(V157-AC157)/J157*100)</f>
      </c>
      <c r="X157" s="4">
        <f>IF($K157="","",M157-U157)</f>
      </c>
      <c r="AD157" s="4">
        <f>IF($K157="","",V157-AC157)</f>
      </c>
    </row>
    <row r="158" spans="1:35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IF($K158="","",(V158-AC158)/J158*100)</f>
      </c>
      <c r="X158" s="4">
        <f>IF($K158="","",M158-U158)</f>
      </c>
      <c r="AD158" s="4">
        <f>IF($K158="","",V158-AC158)</f>
      </c>
    </row>
    <row r="159" spans="1:35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IF($K159="","",(V159-AC159)/J159*100)</f>
      </c>
      <c r="X159" s="4">
        <f>IF($K159="","",M159-U159)</f>
      </c>
      <c r="AD159" s="4">
        <f>IF($K159="","",V159-AC159)</f>
      </c>
    </row>
    <row r="160" spans="1:35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IF($K160="","",(V160-AC160)/J160*100)</f>
      </c>
      <c r="X160" s="4">
        <f>IF($K160="","",M160-U160)</f>
      </c>
      <c r="AD160" s="4">
        <f>IF($K160="","",V160-AC160)</f>
      </c>
    </row>
    <row r="161" spans="1:35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IF($K161="","",(V161-AC161)/J161*100)</f>
      </c>
      <c r="X161" s="4">
        <f>IF($K161="","",M161-U161)</f>
      </c>
      <c r="AD161" s="4">
        <f>IF($K161="","",V161-AC161)</f>
      </c>
    </row>
    <row r="162" spans="1:35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IF($K162="","",(V162-AC162)/J162*100)</f>
      </c>
      <c r="X162" s="4">
        <f>IF($K162="","",M162-U162)</f>
      </c>
      <c r="AD162" s="4">
        <f>IF($K162="","",V162-AC162)</f>
      </c>
    </row>
    <row r="163" spans="1:35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IF($K163="","",(V163-AC163)/J163*100)</f>
      </c>
      <c r="X163" s="4">
        <f>IF($K163="","",M163-U163)</f>
      </c>
      <c r="AD163" s="4">
        <f>IF($K163="","",V163-AC163)</f>
      </c>
    </row>
    <row r="164" spans="1:35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IF($K164="","",(V164-AC164)/J164*100)</f>
      </c>
      <c r="X164" s="4">
        <f>IF($K164="","",M164-U164)</f>
      </c>
      <c r="AD164" s="4">
        <f>IF($K164="","",V164-AC164)</f>
      </c>
    </row>
    <row r="165" spans="1:35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IF($K165="","",(V165-AC165)/J165*100)</f>
      </c>
      <c r="X165" s="4">
        <f>IF($K165="","",M165-U165)</f>
      </c>
      <c r="AD165" s="4">
        <f>IF($K165="","",V165-AC165)</f>
      </c>
    </row>
    <row r="166" spans="1:35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IF($K166="","",(V166-AC166)/J166*100)</f>
      </c>
      <c r="X166" s="4">
        <f>IF($K166="","",M166-U166)</f>
      </c>
      <c r="AD166" s="4">
        <f>IF($K166="","",V166-AC166)</f>
      </c>
    </row>
    <row r="167" spans="1:35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IF($K167="","",(V167-AC167)/J167*100)</f>
      </c>
      <c r="X167" s="4">
        <f>IF($K167="","",M167-U167)</f>
      </c>
      <c r="AD167" s="4">
        <f>IF($K167="","",V167-AC167)</f>
      </c>
    </row>
    <row r="168" spans="1:35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IF($K168="","",(V168-AC168)/J168*100)</f>
      </c>
      <c r="X168" s="4">
        <f>IF($K168="","",M168-U168)</f>
      </c>
      <c r="AD168" s="4">
        <f>IF($K168="","",V168-AC168)</f>
      </c>
    </row>
    <row r="169" spans="1:35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IF($K169="","",(V169-AC169)/J169*100)</f>
      </c>
      <c r="X169" s="4">
        <f>IF($K169="","",M169-U169)</f>
      </c>
      <c r="AD169" s="4">
        <f>IF($K169="","",V169-AC169)</f>
      </c>
    </row>
    <row r="170" spans="1:35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IF($K170="","",(V170-AC170)/J170*100)</f>
      </c>
      <c r="X170" s="4">
        <f>IF($K170="","",M170-U170)</f>
      </c>
      <c r="AD170" s="4">
        <f>IF($K170="","",V170-AC170)</f>
      </c>
    </row>
    <row r="171" spans="1:35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IF($K171="","",(V171-AC171)/J171*100)</f>
      </c>
      <c r="X171" s="4">
        <f>IF($K171="","",M171-U171)</f>
      </c>
      <c r="AD171" s="4">
        <f>IF($K171="","",V171-AC171)</f>
      </c>
    </row>
    <row r="172" spans="1:35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IF($K172="","",(V172-AC172)/J172*100)</f>
      </c>
      <c r="X172" s="4">
        <f>IF($K172="","",M172-U172)</f>
      </c>
      <c r="AD172" s="4">
        <f>IF($K172="","",V172-AC172)</f>
      </c>
    </row>
    <row r="173" spans="1:35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IF($K173="","",(V173-AC173)/J173*100)</f>
      </c>
      <c r="X173" s="4">
        <f>IF($K173="","",M173-U173)</f>
      </c>
      <c r="AD173" s="4">
        <f>IF($K173="","",V173-AC173)</f>
      </c>
    </row>
    <row r="174" spans="1:35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IF($K174="","",(V174-AC174)/J174*100)</f>
      </c>
      <c r="X174" s="4">
        <f>IF($K174="","",M174-U174)</f>
      </c>
      <c r="AD174" s="4">
        <f>IF($K174="","",V174-AC174)</f>
      </c>
    </row>
    <row r="175" spans="1:35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IF($K175="","",(V175-AC175)/J175*100)</f>
      </c>
      <c r="X175" s="4">
        <f>IF($K175="","",M175-U175)</f>
      </c>
      <c r="AD175" s="4">
        <f>IF($K175="","",V175-AC175)</f>
      </c>
    </row>
    <row r="176" spans="1:35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IF($K176="","",(V176-AC176)/J176*100)</f>
      </c>
      <c r="X176" s="4">
        <f>IF($K176="","",M176-U176)</f>
      </c>
      <c r="AD176" s="4">
        <f>IF($K176="","",V176-AC176)</f>
      </c>
    </row>
    <row r="177" spans="1:35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IF($K177="","",(V177-AC177)/J177*100)</f>
      </c>
      <c r="X177" s="4">
        <f>IF($K177="","",M177-U177)</f>
      </c>
      <c r="AD177" s="4">
        <f>IF($K177="","",V177-AC177)</f>
      </c>
    </row>
    <row r="178" spans="1:35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IF($K178="","",(V178-AC178)/J178*100)</f>
      </c>
      <c r="X178" s="4">
        <f>IF($K178="","",M178-U178)</f>
      </c>
      <c r="AD178" s="4">
        <f>IF($K178="","",V178-AC178)</f>
      </c>
    </row>
    <row r="179" spans="1:35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IF($K179="","",(V179-AC179)/J179*100)</f>
      </c>
      <c r="X179" s="4">
        <f>IF($K179="","",M179-U179)</f>
      </c>
      <c r="AD179" s="4">
        <f>IF($K179="","",V179-AC179)</f>
      </c>
    </row>
    <row r="180" spans="1:35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IF($K180="","",(V180-AC180)/J180*100)</f>
      </c>
      <c r="X180" s="4">
        <f>IF($K180="","",M180-U180)</f>
      </c>
      <c r="AD180" s="4">
        <f>IF($K180="","",V180-AC180)</f>
      </c>
    </row>
    <row r="181" spans="1:35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IF($K181="","",(V181-AC181)/J181*100)</f>
      </c>
      <c r="X181" s="4">
        <f>IF($K181="","",M181-U181)</f>
      </c>
      <c r="AD181" s="4">
        <f>IF($K181="","",V181-AC181)</f>
      </c>
    </row>
    <row r="182" spans="1:35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IF($K182="","",(V182-AC182)/J182*100)</f>
      </c>
      <c r="X182" s="4">
        <f>IF($K182="","",M182-U182)</f>
      </c>
      <c r="AD182" s="4">
        <f>IF($K182="","",V182-AC182)</f>
      </c>
    </row>
    <row r="183" spans="1:35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IF($K183="","",(V183-AC183)/J183*100)</f>
      </c>
      <c r="X183" s="4">
        <f>IF($K183="","",M183-U183)</f>
      </c>
      <c r="AD183" s="4">
        <f>IF($K183="","",V183-AC183)</f>
      </c>
    </row>
    <row r="184" spans="1:35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IF($K184="","",(V184-AC184)/J184*100)</f>
      </c>
      <c r="X184" s="4">
        <f>IF($K184="","",M184-U184)</f>
      </c>
      <c r="AD184" s="4">
        <f>IF($K184="","",V184-AC184)</f>
      </c>
    </row>
    <row r="185" spans="1:35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IF($K185="","",(V185-AC185)/J185*100)</f>
      </c>
      <c r="X185" s="4">
        <f>IF($K185="","",M185-U185)</f>
      </c>
      <c r="AD185" s="4">
        <f>IF($K185="","",V185-AC185)</f>
      </c>
    </row>
    <row r="186" spans="1:35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IF($K186="","",(V186-AC186)/J186*100)</f>
      </c>
      <c r="X186" s="4">
        <f>IF($K186="","",M186-U186)</f>
      </c>
      <c r="AD186" s="4">
        <f>IF($K186="","",V186-AC186)</f>
      </c>
    </row>
    <row r="187" spans="1:35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IF($K187="","",(V187-AC187)/J187*100)</f>
      </c>
      <c r="X187" s="4">
        <f>IF($K187="","",M187-U187)</f>
      </c>
      <c r="AD187" s="4">
        <f>IF($K187="","",V187-AC187)</f>
      </c>
    </row>
    <row r="188" spans="1:35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IF($K188="","",(V188-AC188)/J188*100)</f>
      </c>
      <c r="X188" s="4">
        <f>IF($K188="","",M188-U188)</f>
      </c>
      <c r="AD188" s="4">
        <f>IF($K188="","",V188-AC188)</f>
      </c>
    </row>
    <row r="189" spans="1:35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IF($K189="","",(V189-AC189)/J189*100)</f>
      </c>
      <c r="X189" s="4">
        <f>IF($K189="","",M189-U189)</f>
      </c>
      <c r="AD189" s="4">
        <f>IF($K189="","",V189-AC189)</f>
      </c>
    </row>
    <row r="190" spans="1:35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IF($K190="","",(V190-AC190)/J190*100)</f>
      </c>
      <c r="X190" s="4">
        <f>IF($K190="","",M190-U190)</f>
      </c>
      <c r="AD190" s="4">
        <f>IF($K190="","",V190-AC190)</f>
      </c>
    </row>
    <row r="191" spans="1:35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IF($K191="","",(V191-AC191)/J191*100)</f>
      </c>
      <c r="X191" s="4">
        <f>IF($K191="","",M191-U191)</f>
      </c>
      <c r="AD191" s="4">
        <f>IF($K191="","",V191-AC191)</f>
      </c>
    </row>
    <row r="192" spans="1:35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IF($K192="","",(V192-AC192)/J192*100)</f>
      </c>
      <c r="X192" s="4">
        <f>IF($K192="","",M192-U192)</f>
      </c>
      <c r="AD192" s="4">
        <f>IF($K192="","",V192-AC192)</f>
      </c>
    </row>
    <row r="193" spans="1:35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IF($K193="","",(V193-AC193)/J193*100)</f>
      </c>
      <c r="X193" s="4">
        <f>IF($K193="","",M193-U193)</f>
      </c>
      <c r="AD193" s="4">
        <f>IF($K193="","",V193-AC193)</f>
      </c>
    </row>
    <row r="194" spans="1:35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IF($K194="","",(V194-AC194)/J194*100)</f>
      </c>
      <c r="X194" s="4">
        <f>IF($K194="","",M194-U194)</f>
      </c>
      <c r="AD194" s="4">
        <f>IF($K194="","",V194-AC194)</f>
      </c>
    </row>
    <row r="195" spans="1:35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IF($K195="","",(V195-AC195)/J195*100)</f>
      </c>
      <c r="X195" s="4">
        <f>IF($K195="","",M195-U195)</f>
      </c>
      <c r="AD195" s="4">
        <f>IF($K195="","",V195-AC195)</f>
      </c>
    </row>
    <row r="196" spans="1:35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IF($K196="","",(V196-AC196)/J196*100)</f>
      </c>
      <c r="X196" s="4">
        <f>IF($K196="","",M196-U196)</f>
      </c>
      <c r="AD196" s="4">
        <f>IF($K196="","",V196-AC196)</f>
      </c>
    </row>
    <row r="197" spans="1:35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IF($K197="","",(V197-AC197)/J197*100)</f>
      </c>
      <c r="X197" s="4">
        <f>IF($K197="","",M197-U197)</f>
      </c>
      <c r="AD197" s="4">
        <f>IF($K197="","",V197-AC197)</f>
      </c>
    </row>
    <row r="198" spans="1:35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IF($K198="","",(V198-AC198)/J198*100)</f>
      </c>
      <c r="X198" s="4">
        <f>IF($K198="","",M198-U198)</f>
      </c>
      <c r="AD198" s="4">
        <f>IF($K198="","",V198-AC198)</f>
      </c>
    </row>
    <row r="199" spans="1:35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IF($K199="","",(V199-AC199)/J199*100)</f>
      </c>
      <c r="X199" s="4">
        <f>IF($K199="","",M199-U199)</f>
      </c>
      <c r="AD199" s="4">
        <f>IF($K199="","",V199-AC199)</f>
      </c>
    </row>
    <row r="200" spans="1:35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IF($K200="","",(V200-AC200)/J200*100)</f>
      </c>
      <c r="X200" s="4">
        <f>IF($K200="","",M200-U200)</f>
      </c>
      <c r="AD200" s="4">
        <f>IF($K200="","",V200-AC200)</f>
      </c>
    </row>
    <row r="201" spans="1:35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IF($K201="","",(V201-AC201)/J201*100)</f>
      </c>
      <c r="X201" s="4">
        <f>IF($K201="","",M201-U201)</f>
      </c>
      <c r="AD201" s="4">
        <f>IF($K201="","",V201-AC201)</f>
      </c>
    </row>
    <row r="202" spans="1:35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IF($K202="","",(V202-AC202)/J202*100)</f>
      </c>
      <c r="X202" s="4">
        <f>IF($K202="","",M202-U202)</f>
      </c>
      <c r="AD202" s="4">
        <f>IF($K202="","",V202-AC202)</f>
      </c>
    </row>
    <row r="203" spans="1:35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SUM(T2:T202)</f>
      </c>
      <c r="U203" s="14">
        <f>SUM(U2:U202)</f>
      </c>
      <c r="V203" s="14">
        <f>SUM(V2:V202)</f>
      </c>
      <c r="W203" s="14">
        <f>IFERROR((V203-AC203)/J203*100,0)</f>
      </c>
      <c r="X203" s="14">
        <f>SUM(X2:X202)</f>
      </c>
      <c r="Y203" s="14">
        <f>SUM(Y2:Y202)</f>
      </c>
      <c r="Z203" s="14">
        <f>SUM(Z2:Z202)</f>
      </c>
      <c r="AA203" s="14">
        <f>SUM(AA2:AA202)</f>
      </c>
      <c r="AB203" s="14">
        <f>SUM(AB2:AB202)</f>
      </c>
      <c r="AC203" s="14">
        <f>SUM(AC2:AC202)</f>
      </c>
      <c r="AD203" s="14">
        <f>SUM(AD2:AD202)</f>
      </c>
      <c r="AE203" s="7"/>
      <c r="AF203" s="7"/>
      <c r="AG203" s="7"/>
      <c r="AH203" s="7"/>
      <c r="AI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66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67</v>
      </c>
      <c r="Q1" t="s">
        <v>68</v>
      </c>
      <c r="R1" t="s">
        <v>45</v>
      </c>
      <c r="S1" t="s">
        <v>46</v>
      </c>
      <c r="T1" t="s">
        <v>47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IF($L2="","",(U2-AB2)/K2*100)</f>
      </c>
      <c r="W2" s="4">
        <f>IF($L2="","",N2-S2)</f>
      </c>
      <c r="AC2" s="4">
        <f>IF($L2="","",U2-AB2)</f>
      </c>
    </row>
    <row r="3" spans="1:34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IF($L3="","",(U3-AB3)/K3*100)</f>
      </c>
      <c r="W3" s="4">
        <f>IF($L3="","",N3-S3)</f>
      </c>
      <c r="AC3" s="4">
        <f>IF($L3="","",U3-AB3)</f>
      </c>
    </row>
    <row r="4" spans="1:34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IF($L4="","",(U4-AB4)/K4*100)</f>
      </c>
      <c r="W4" s="4">
        <f>IF($L4="","",N4-S4)</f>
      </c>
      <c r="AC4" s="4">
        <f>IF($L4="","",U4-AB4)</f>
      </c>
    </row>
    <row r="5" spans="1:34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IF($L5="","",(U5-AB5)/K5*100)</f>
      </c>
      <c r="W5" s="4">
        <f>IF($L5="","",N5-S5)</f>
      </c>
      <c r="AC5" s="4">
        <f>IF($L5="","",U5-AB5)</f>
      </c>
    </row>
    <row r="6" spans="1:34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IF($L6="","",(U6-AB6)/K6*100)</f>
      </c>
      <c r="W6" s="4">
        <f>IF($L6="","",N6-S6)</f>
      </c>
      <c r="AC6" s="4">
        <f>IF($L6="","",U6-AB6)</f>
      </c>
    </row>
    <row r="7" spans="1:34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IF($L7="","",(U7-AB7)/K7*100)</f>
      </c>
      <c r="W7" s="4">
        <f>IF($L7="","",N7-S7)</f>
      </c>
      <c r="AC7" s="4">
        <f>IF($L7="","",U7-AB7)</f>
      </c>
    </row>
    <row r="8" spans="1:34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IF($L8="","",(U8-AB8)/K8*100)</f>
      </c>
      <c r="W8" s="4">
        <f>IF($L8="","",N8-S8)</f>
      </c>
      <c r="AC8" s="4">
        <f>IF($L8="","",U8-AB8)</f>
      </c>
    </row>
    <row r="9" spans="1:34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IF($L9="","",(U9-AB9)/K9*100)</f>
      </c>
      <c r="W9" s="4">
        <f>IF($L9="","",N9-S9)</f>
      </c>
      <c r="AC9" s="4">
        <f>IF($L9="","",U9-AB9)</f>
      </c>
    </row>
    <row r="10" spans="1:34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IF($L10="","",(U10-AB10)/K10*100)</f>
      </c>
      <c r="W10" s="4">
        <f>IF($L10="","",N10-S10)</f>
      </c>
      <c r="AC10" s="4">
        <f>IF($L10="","",U10-AB10)</f>
      </c>
    </row>
    <row r="11" spans="1:34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IF($L11="","",(U11-AB11)/K11*100)</f>
      </c>
      <c r="W11" s="4">
        <f>IF($L11="","",N11-S11)</f>
      </c>
      <c r="AC11" s="4">
        <f>IF($L11="","",U11-AB11)</f>
      </c>
    </row>
    <row r="12" spans="1:34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IF($L12="","",(U12-AB12)/K12*100)</f>
      </c>
      <c r="W12" s="4">
        <f>IF($L12="","",N12-S12)</f>
      </c>
      <c r="AC12" s="4">
        <f>IF($L12="","",U12-AB12)</f>
      </c>
    </row>
    <row r="13" spans="1:34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IF($L13="","",(U13-AB13)/K13*100)</f>
      </c>
      <c r="W13" s="4">
        <f>IF($L13="","",N13-S13)</f>
      </c>
      <c r="AC13" s="4">
        <f>IF($L13="","",U13-AB13)</f>
      </c>
    </row>
    <row r="14" spans="1:34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IF($L14="","",(U14-AB14)/K14*100)</f>
      </c>
      <c r="W14" s="4">
        <f>IF($L14="","",N14-S14)</f>
      </c>
      <c r="AC14" s="4">
        <f>IF($L14="","",U14-AB14)</f>
      </c>
    </row>
    <row r="15" spans="1:34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IF($L15="","",(U15-AB15)/K15*100)</f>
      </c>
      <c r="W15" s="4">
        <f>IF($L15="","",N15-S15)</f>
      </c>
      <c r="AC15" s="4">
        <f>IF($L15="","",U15-AB15)</f>
      </c>
    </row>
    <row r="16" spans="1:34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IF($L16="","",(U16-AB16)/K16*100)</f>
      </c>
      <c r="W16" s="4">
        <f>IF($L16="","",N16-S16)</f>
      </c>
      <c r="AC16" s="4">
        <f>IF($L16="","",U16-AB16)</f>
      </c>
    </row>
    <row r="17" spans="1:34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IF($L17="","",(U17-AB17)/K17*100)</f>
      </c>
      <c r="W17" s="4">
        <f>IF($L17="","",N17-S17)</f>
      </c>
      <c r="AC17" s="4">
        <f>IF($L17="","",U17-AB17)</f>
      </c>
    </row>
    <row r="18" spans="1:34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IF($L18="","",(U18-AB18)/K18*100)</f>
      </c>
      <c r="W18" s="4">
        <f>IF($L18="","",N18-S18)</f>
      </c>
      <c r="AC18" s="4">
        <f>IF($L18="","",U18-AB18)</f>
      </c>
    </row>
    <row r="19" spans="1:34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IF($L19="","",(U19-AB19)/K19*100)</f>
      </c>
      <c r="W19" s="4">
        <f>IF($L19="","",N19-S19)</f>
      </c>
      <c r="AC19" s="4">
        <f>IF($L19="","",U19-AB19)</f>
      </c>
    </row>
    <row r="20" spans="1:34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IF($L20="","",(U20-AB20)/K20*100)</f>
      </c>
      <c r="W20" s="4">
        <f>IF($L20="","",N20-S20)</f>
      </c>
      <c r="AC20" s="4">
        <f>IF($L20="","",U20-AB20)</f>
      </c>
    </row>
    <row r="21" spans="1:34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IF($L21="","",(U21-AB21)/K21*100)</f>
      </c>
      <c r="W21" s="4">
        <f>IF($L21="","",N21-S21)</f>
      </c>
      <c r="AC21" s="4">
        <f>IF($L21="","",U21-AB21)</f>
      </c>
    </row>
    <row r="22" spans="1:34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IF($L22="","",(U22-AB22)/K22*100)</f>
      </c>
      <c r="W22" s="4">
        <f>IF($L22="","",N22-S22)</f>
      </c>
      <c r="AC22" s="4">
        <f>IF($L22="","",U22-AB22)</f>
      </c>
    </row>
    <row r="23" spans="1:34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IF($L23="","",(U23-AB23)/K23*100)</f>
      </c>
      <c r="W23" s="4">
        <f>IF($L23="","",N23-S23)</f>
      </c>
      <c r="AC23" s="4">
        <f>IF($L23="","",U23-AB23)</f>
      </c>
    </row>
    <row r="24" spans="1:34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IF($L24="","",(U24-AB24)/K24*100)</f>
      </c>
      <c r="W24" s="4">
        <f>IF($L24="","",N24-S24)</f>
      </c>
      <c r="AC24" s="4">
        <f>IF($L24="","",U24-AB24)</f>
      </c>
    </row>
    <row r="25" spans="1:34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IF($L25="","",(U25-AB25)/K25*100)</f>
      </c>
      <c r="W25" s="4">
        <f>IF($L25="","",N25-S25)</f>
      </c>
      <c r="AC25" s="4">
        <f>IF($L25="","",U25-AB25)</f>
      </c>
    </row>
    <row r="26" spans="1:34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IF($L26="","",(U26-AB26)/K26*100)</f>
      </c>
      <c r="W26" s="4">
        <f>IF($L26="","",N26-S26)</f>
      </c>
      <c r="AC26" s="4">
        <f>IF($L26="","",U26-AB26)</f>
      </c>
    </row>
    <row r="27" spans="1:34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IF($L27="","",(U27-AB27)/K27*100)</f>
      </c>
      <c r="W27" s="4">
        <f>IF($L27="","",N27-S27)</f>
      </c>
      <c r="AC27" s="4">
        <f>IF($L27="","",U27-AB27)</f>
      </c>
    </row>
    <row r="28" spans="1:34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IF($L28="","",(U28-AB28)/K28*100)</f>
      </c>
      <c r="W28" s="4">
        <f>IF($L28="","",N28-S28)</f>
      </c>
      <c r="AC28" s="4">
        <f>IF($L28="","",U28-AB28)</f>
      </c>
    </row>
    <row r="29" spans="1:34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IF($L29="","",(U29-AB29)/K29*100)</f>
      </c>
      <c r="W29" s="4">
        <f>IF($L29="","",N29-S29)</f>
      </c>
      <c r="AC29" s="4">
        <f>IF($L29="","",U29-AB29)</f>
      </c>
    </row>
    <row r="30" spans="1:34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IF($L30="","",(U30-AB30)/K30*100)</f>
      </c>
      <c r="W30" s="4">
        <f>IF($L30="","",N30-S30)</f>
      </c>
      <c r="AC30" s="4">
        <f>IF($L30="","",U30-AB30)</f>
      </c>
    </row>
    <row r="31" spans="1:34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IF($L31="","",(U31-AB31)/K31*100)</f>
      </c>
      <c r="W31" s="4">
        <f>IF($L31="","",N31-S31)</f>
      </c>
      <c r="AC31" s="4">
        <f>IF($L31="","",U31-AB31)</f>
      </c>
    </row>
    <row r="32" spans="1:34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IF($L32="","",(U32-AB32)/K32*100)</f>
      </c>
      <c r="W32" s="4">
        <f>IF($L32="","",N32-S32)</f>
      </c>
      <c r="AC32" s="4">
        <f>IF($L32="","",U32-AB32)</f>
      </c>
    </row>
    <row r="33" spans="1:34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IF($L33="","",(U33-AB33)/K33*100)</f>
      </c>
      <c r="W33" s="4">
        <f>IF($L33="","",N33-S33)</f>
      </c>
      <c r="AC33" s="4">
        <f>IF($L33="","",U33-AB33)</f>
      </c>
    </row>
    <row r="34" spans="1:34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IF($L34="","",(U34-AB34)/K34*100)</f>
      </c>
      <c r="W34" s="4">
        <f>IF($L34="","",N34-S34)</f>
      </c>
      <c r="AC34" s="4">
        <f>IF($L34="","",U34-AB34)</f>
      </c>
    </row>
    <row r="35" spans="1:34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IF($L35="","",(U35-AB35)/K35*100)</f>
      </c>
      <c r="W35" s="4">
        <f>IF($L35="","",N35-S35)</f>
      </c>
      <c r="AC35" s="4">
        <f>IF($L35="","",U35-AB35)</f>
      </c>
    </row>
    <row r="36" spans="1:34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IF($L36="","",(U36-AB36)/K36*100)</f>
      </c>
      <c r="W36" s="4">
        <f>IF($L36="","",N36-S36)</f>
      </c>
      <c r="AC36" s="4">
        <f>IF($L36="","",U36-AB36)</f>
      </c>
    </row>
    <row r="37" spans="1:34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IF($L37="","",(U37-AB37)/K37*100)</f>
      </c>
      <c r="W37" s="4">
        <f>IF($L37="","",N37-S37)</f>
      </c>
      <c r="AC37" s="4">
        <f>IF($L37="","",U37-AB37)</f>
      </c>
    </row>
    <row r="38" spans="1:34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IF($L38="","",(U38-AB38)/K38*100)</f>
      </c>
      <c r="W38" s="4">
        <f>IF($L38="","",N38-S38)</f>
      </c>
      <c r="AC38" s="4">
        <f>IF($L38="","",U38-AB38)</f>
      </c>
    </row>
    <row r="39" spans="1:34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IF($L39="","",(U39-AB39)/K39*100)</f>
      </c>
      <c r="W39" s="4">
        <f>IF($L39="","",N39-S39)</f>
      </c>
      <c r="AC39" s="4">
        <f>IF($L39="","",U39-AB39)</f>
      </c>
    </row>
    <row r="40" spans="1:34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IF($L40="","",(U40-AB40)/K40*100)</f>
      </c>
      <c r="W40" s="4">
        <f>IF($L40="","",N40-S40)</f>
      </c>
      <c r="AC40" s="4">
        <f>IF($L40="","",U40-AB40)</f>
      </c>
    </row>
    <row r="41" spans="1:34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IF($L41="","",(U41-AB41)/K41*100)</f>
      </c>
      <c r="W41" s="4">
        <f>IF($L41="","",N41-S41)</f>
      </c>
      <c r="AC41" s="4">
        <f>IF($L41="","",U41-AB41)</f>
      </c>
    </row>
    <row r="42" spans="1:34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IF($L42="","",(U42-AB42)/K42*100)</f>
      </c>
      <c r="W42" s="4">
        <f>IF($L42="","",N42-S42)</f>
      </c>
      <c r="AC42" s="4">
        <f>IF($L42="","",U42-AB42)</f>
      </c>
    </row>
    <row r="43" spans="1:34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IF($L43="","",(U43-AB43)/K43*100)</f>
      </c>
      <c r="W43" s="4">
        <f>IF($L43="","",N43-S43)</f>
      </c>
      <c r="AC43" s="4">
        <f>IF($L43="","",U43-AB43)</f>
      </c>
    </row>
    <row r="44" spans="1:34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IF($L44="","",(U44-AB44)/K44*100)</f>
      </c>
      <c r="W44" s="4">
        <f>IF($L44="","",N44-S44)</f>
      </c>
      <c r="AC44" s="4">
        <f>IF($L44="","",U44-AB44)</f>
      </c>
    </row>
    <row r="45" spans="1:34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IF($L45="","",(U45-AB45)/K45*100)</f>
      </c>
      <c r="W45" s="4">
        <f>IF($L45="","",N45-S45)</f>
      </c>
      <c r="AC45" s="4">
        <f>IF($L45="","",U45-AB45)</f>
      </c>
    </row>
    <row r="46" spans="1:34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IF($L46="","",(U46-AB46)/K46*100)</f>
      </c>
      <c r="W46" s="4">
        <f>IF($L46="","",N46-S46)</f>
      </c>
      <c r="AC46" s="4">
        <f>IF($L46="","",U46-AB46)</f>
      </c>
    </row>
    <row r="47" spans="1:34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IF($L47="","",(U47-AB47)/K47*100)</f>
      </c>
      <c r="W47" s="4">
        <f>IF($L47="","",N47-S47)</f>
      </c>
      <c r="AC47" s="4">
        <f>IF($L47="","",U47-AB47)</f>
      </c>
    </row>
    <row r="48" spans="1:34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IF($L48="","",(U48-AB48)/K48*100)</f>
      </c>
      <c r="W48" s="4">
        <f>IF($L48="","",N48-S48)</f>
      </c>
      <c r="AC48" s="4">
        <f>IF($L48="","",U48-AB48)</f>
      </c>
    </row>
    <row r="49" spans="1:34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IF($L49="","",(U49-AB49)/K49*100)</f>
      </c>
      <c r="W49" s="4">
        <f>IF($L49="","",N49-S49)</f>
      </c>
      <c r="AC49" s="4">
        <f>IF($L49="","",U49-AB49)</f>
      </c>
    </row>
    <row r="50" spans="1:34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IF($L50="","",(U50-AB50)/K50*100)</f>
      </c>
      <c r="W50" s="4">
        <f>IF($L50="","",N50-S50)</f>
      </c>
      <c r="AC50" s="4">
        <f>IF($L50="","",U50-AB50)</f>
      </c>
    </row>
    <row r="51" spans="1:34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IF($L51="","",(U51-AB51)/K51*100)</f>
      </c>
      <c r="W51" s="4">
        <f>IF($L51="","",N51-S51)</f>
      </c>
      <c r="AC51" s="4">
        <f>IF($L51="","",U51-AB51)</f>
      </c>
    </row>
    <row r="52" spans="1:34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IF($L52="","",(U52-AB52)/K52*100)</f>
      </c>
      <c r="W52" s="4">
        <f>IF($L52="","",N52-S52)</f>
      </c>
      <c r="AC52" s="4">
        <f>IF($L52="","",U52-AB52)</f>
      </c>
    </row>
    <row r="53" spans="1:34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IF($L53="","",(U53-AB53)/K53*100)</f>
      </c>
      <c r="W53" s="4">
        <f>IF($L53="","",N53-S53)</f>
      </c>
      <c r="AC53" s="4">
        <f>IF($L53="","",U53-AB53)</f>
      </c>
    </row>
    <row r="54" spans="1:34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IF($L54="","",(U54-AB54)/K54*100)</f>
      </c>
      <c r="W54" s="4">
        <f>IF($L54="","",N54-S54)</f>
      </c>
      <c r="AC54" s="4">
        <f>IF($L54="","",U54-AB54)</f>
      </c>
    </row>
    <row r="55" spans="1:34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IF($L55="","",(U55-AB55)/K55*100)</f>
      </c>
      <c r="W55" s="4">
        <f>IF($L55="","",N55-S55)</f>
      </c>
      <c r="AC55" s="4">
        <f>IF($L55="","",U55-AB55)</f>
      </c>
    </row>
    <row r="56" spans="1:34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IF($L56="","",(U56-AB56)/K56*100)</f>
      </c>
      <c r="W56" s="4">
        <f>IF($L56="","",N56-S56)</f>
      </c>
      <c r="AC56" s="4">
        <f>IF($L56="","",U56-AB56)</f>
      </c>
    </row>
    <row r="57" spans="1:34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IF($L57="","",(U57-AB57)/K57*100)</f>
      </c>
      <c r="W57" s="4">
        <f>IF($L57="","",N57-S57)</f>
      </c>
      <c r="AC57" s="4">
        <f>IF($L57="","",U57-AB57)</f>
      </c>
    </row>
    <row r="58" spans="1:34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IF($L58="","",(U58-AB58)/K58*100)</f>
      </c>
      <c r="W58" s="4">
        <f>IF($L58="","",N58-S58)</f>
      </c>
      <c r="AC58" s="4">
        <f>IF($L58="","",U58-AB58)</f>
      </c>
    </row>
    <row r="59" spans="1:34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IF($L59="","",(U59-AB59)/K59*100)</f>
      </c>
      <c r="W59" s="4">
        <f>IF($L59="","",N59-S59)</f>
      </c>
      <c r="AC59" s="4">
        <f>IF($L59="","",U59-AB59)</f>
      </c>
    </row>
    <row r="60" spans="1:34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IF($L60="","",(U60-AB60)/K60*100)</f>
      </c>
      <c r="W60" s="4">
        <f>IF($L60="","",N60-S60)</f>
      </c>
      <c r="AC60" s="4">
        <f>IF($L60="","",U60-AB60)</f>
      </c>
    </row>
    <row r="61" spans="1:34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IF($L61="","",(U61-AB61)/K61*100)</f>
      </c>
      <c r="W61" s="4">
        <f>IF($L61="","",N61-S61)</f>
      </c>
      <c r="AC61" s="4">
        <f>IF($L61="","",U61-AB61)</f>
      </c>
    </row>
    <row r="62" spans="1:34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IF($L62="","",(U62-AB62)/K62*100)</f>
      </c>
      <c r="W62" s="4">
        <f>IF($L62="","",N62-S62)</f>
      </c>
      <c r="AC62" s="4">
        <f>IF($L62="","",U62-AB62)</f>
      </c>
    </row>
    <row r="63" spans="1:34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IF($L63="","",(U63-AB63)/K63*100)</f>
      </c>
      <c r="W63" s="4">
        <f>IF($L63="","",N63-S63)</f>
      </c>
      <c r="AC63" s="4">
        <f>IF($L63="","",U63-AB63)</f>
      </c>
    </row>
    <row r="64" spans="1:34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IF($L64="","",(U64-AB64)/K64*100)</f>
      </c>
      <c r="W64" s="4">
        <f>IF($L64="","",N64-S64)</f>
      </c>
      <c r="AC64" s="4">
        <f>IF($L64="","",U64-AB64)</f>
      </c>
    </row>
    <row r="65" spans="1:34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IF($L65="","",(U65-AB65)/K65*100)</f>
      </c>
      <c r="W65" s="4">
        <f>IF($L65="","",N65-S65)</f>
      </c>
      <c r="AC65" s="4">
        <f>IF($L65="","",U65-AB65)</f>
      </c>
    </row>
    <row r="66" spans="1:34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IF($L66="","",(U66-AB66)/K66*100)</f>
      </c>
      <c r="W66" s="4">
        <f>IF($L66="","",N66-S66)</f>
      </c>
      <c r="AC66" s="4">
        <f>IF($L66="","",U66-AB66)</f>
      </c>
    </row>
    <row r="67" spans="1:34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IF($L67="","",(U67-AB67)/K67*100)</f>
      </c>
      <c r="W67" s="4">
        <f>IF($L67="","",N67-S67)</f>
      </c>
      <c r="AC67" s="4">
        <f>IF($L67="","",U67-AB67)</f>
      </c>
    </row>
    <row r="68" spans="1:34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IF($L68="","",(U68-AB68)/K68*100)</f>
      </c>
      <c r="W68" s="4">
        <f>IF($L68="","",N68-S68)</f>
      </c>
      <c r="AC68" s="4">
        <f>IF($L68="","",U68-AB68)</f>
      </c>
    </row>
    <row r="69" spans="1:34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IF($L69="","",(U69-AB69)/K69*100)</f>
      </c>
      <c r="W69" s="4">
        <f>IF($L69="","",N69-S69)</f>
      </c>
      <c r="AC69" s="4">
        <f>IF($L69="","",U69-AB69)</f>
      </c>
    </row>
    <row r="70" spans="1:34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IF($L70="","",(U70-AB70)/K70*100)</f>
      </c>
      <c r="W70" s="4">
        <f>IF($L70="","",N70-S70)</f>
      </c>
      <c r="AC70" s="4">
        <f>IF($L70="","",U70-AB70)</f>
      </c>
    </row>
    <row r="71" spans="1:34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IF($L71="","",(U71-AB71)/K71*100)</f>
      </c>
      <c r="W71" s="4">
        <f>IF($L71="","",N71-S71)</f>
      </c>
      <c r="AC71" s="4">
        <f>IF($L71="","",U71-AB71)</f>
      </c>
    </row>
    <row r="72" spans="1:34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IF($L72="","",(U72-AB72)/K72*100)</f>
      </c>
      <c r="W72" s="4">
        <f>IF($L72="","",N72-S72)</f>
      </c>
      <c r="AC72" s="4">
        <f>IF($L72="","",U72-AB72)</f>
      </c>
    </row>
    <row r="73" spans="1:34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IF($L73="","",(U73-AB73)/K73*100)</f>
      </c>
      <c r="W73" s="4">
        <f>IF($L73="","",N73-S73)</f>
      </c>
      <c r="AC73" s="4">
        <f>IF($L73="","",U73-AB73)</f>
      </c>
    </row>
    <row r="74" spans="1:34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IF($L74="","",(U74-AB74)/K74*100)</f>
      </c>
      <c r="W74" s="4">
        <f>IF($L74="","",N74-S74)</f>
      </c>
      <c r="AC74" s="4">
        <f>IF($L74="","",U74-AB74)</f>
      </c>
    </row>
    <row r="75" spans="1:34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IF($L75="","",(U75-AB75)/K75*100)</f>
      </c>
      <c r="W75" s="4">
        <f>IF($L75="","",N75-S75)</f>
      </c>
      <c r="AC75" s="4">
        <f>IF($L75="","",U75-AB75)</f>
      </c>
    </row>
    <row r="76" spans="1:34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IF($L76="","",(U76-AB76)/K76*100)</f>
      </c>
      <c r="W76" s="4">
        <f>IF($L76="","",N76-S76)</f>
      </c>
      <c r="AC76" s="4">
        <f>IF($L76="","",U76-AB76)</f>
      </c>
    </row>
    <row r="77" spans="1:34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IF($L77="","",(U77-AB77)/K77*100)</f>
      </c>
      <c r="W77" s="4">
        <f>IF($L77="","",N77-S77)</f>
      </c>
      <c r="AC77" s="4">
        <f>IF($L77="","",U77-AB77)</f>
      </c>
    </row>
    <row r="78" spans="1:34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IF($L78="","",(U78-AB78)/K78*100)</f>
      </c>
      <c r="W78" s="4">
        <f>IF($L78="","",N78-S78)</f>
      </c>
      <c r="AC78" s="4">
        <f>IF($L78="","",U78-AB78)</f>
      </c>
    </row>
    <row r="79" spans="1:34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IF($L79="","",(U79-AB79)/K79*100)</f>
      </c>
      <c r="W79" s="4">
        <f>IF($L79="","",N79-S79)</f>
      </c>
      <c r="AC79" s="4">
        <f>IF($L79="","",U79-AB79)</f>
      </c>
    </row>
    <row r="80" spans="1:34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IF($L80="","",(U80-AB80)/K80*100)</f>
      </c>
      <c r="W80" s="4">
        <f>IF($L80="","",N80-S80)</f>
      </c>
      <c r="AC80" s="4">
        <f>IF($L80="","",U80-AB80)</f>
      </c>
    </row>
    <row r="81" spans="1:34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IF($L81="","",(U81-AB81)/K81*100)</f>
      </c>
      <c r="W81" s="4">
        <f>IF($L81="","",N81-S81)</f>
      </c>
      <c r="AC81" s="4">
        <f>IF($L81="","",U81-AB81)</f>
      </c>
    </row>
    <row r="82" spans="1:34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IF($L82="","",(U82-AB82)/K82*100)</f>
      </c>
      <c r="W82" s="4">
        <f>IF($L82="","",N82-S82)</f>
      </c>
      <c r="AC82" s="4">
        <f>IF($L82="","",U82-AB82)</f>
      </c>
    </row>
    <row r="83" spans="1:34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IF($L83="","",(U83-AB83)/K83*100)</f>
      </c>
      <c r="W83" s="4">
        <f>IF($L83="","",N83-S83)</f>
      </c>
      <c r="AC83" s="4">
        <f>IF($L83="","",U83-AB83)</f>
      </c>
    </row>
    <row r="84" spans="1:34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IF($L84="","",(U84-AB84)/K84*100)</f>
      </c>
      <c r="W84" s="4">
        <f>IF($L84="","",N84-S84)</f>
      </c>
      <c r="AC84" s="4">
        <f>IF($L84="","",U84-AB84)</f>
      </c>
    </row>
    <row r="85" spans="1:34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IF($L85="","",(U85-AB85)/K85*100)</f>
      </c>
      <c r="W85" s="4">
        <f>IF($L85="","",N85-S85)</f>
      </c>
      <c r="AC85" s="4">
        <f>IF($L85="","",U85-AB85)</f>
      </c>
    </row>
    <row r="86" spans="1:34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IF($L86="","",(U86-AB86)/K86*100)</f>
      </c>
      <c r="W86" s="4">
        <f>IF($L86="","",N86-S86)</f>
      </c>
      <c r="AC86" s="4">
        <f>IF($L86="","",U86-AB86)</f>
      </c>
    </row>
    <row r="87" spans="1:34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IF($L87="","",(U87-AB87)/K87*100)</f>
      </c>
      <c r="W87" s="4">
        <f>IF($L87="","",N87-S87)</f>
      </c>
      <c r="AC87" s="4">
        <f>IF($L87="","",U87-AB87)</f>
      </c>
    </row>
    <row r="88" spans="1:34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IF($L88="","",(U88-AB88)/K88*100)</f>
      </c>
      <c r="W88" s="4">
        <f>IF($L88="","",N88-S88)</f>
      </c>
      <c r="AC88" s="4">
        <f>IF($L88="","",U88-AB88)</f>
      </c>
    </row>
    <row r="89" spans="1:34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IF($L89="","",(U89-AB89)/K89*100)</f>
      </c>
      <c r="W89" s="4">
        <f>IF($L89="","",N89-S89)</f>
      </c>
      <c r="AC89" s="4">
        <f>IF($L89="","",U89-AB89)</f>
      </c>
    </row>
    <row r="90" spans="1:34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IF($L90="","",(U90-AB90)/K90*100)</f>
      </c>
      <c r="W90" s="4">
        <f>IF($L90="","",N90-S90)</f>
      </c>
      <c r="AC90" s="4">
        <f>IF($L90="","",U90-AB90)</f>
      </c>
    </row>
    <row r="91" spans="1:34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IF($L91="","",(U91-AB91)/K91*100)</f>
      </c>
      <c r="W91" s="4">
        <f>IF($L91="","",N91-S91)</f>
      </c>
      <c r="AC91" s="4">
        <f>IF($L91="","",U91-AB91)</f>
      </c>
    </row>
    <row r="92" spans="1:34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IF($L92="","",(U92-AB92)/K92*100)</f>
      </c>
      <c r="W92" s="4">
        <f>IF($L92="","",N92-S92)</f>
      </c>
      <c r="AC92" s="4">
        <f>IF($L92="","",U92-AB92)</f>
      </c>
    </row>
    <row r="93" spans="1:34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IF($L93="","",(U93-AB93)/K93*100)</f>
      </c>
      <c r="W93" s="4">
        <f>IF($L93="","",N93-S93)</f>
      </c>
      <c r="AC93" s="4">
        <f>IF($L93="","",U93-AB93)</f>
      </c>
    </row>
    <row r="94" spans="1:34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IF($L94="","",(U94-AB94)/K94*100)</f>
      </c>
      <c r="W94" s="4">
        <f>IF($L94="","",N94-S94)</f>
      </c>
      <c r="AC94" s="4">
        <f>IF($L94="","",U94-AB94)</f>
      </c>
    </row>
    <row r="95" spans="1:34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IF($L95="","",(U95-AB95)/K95*100)</f>
      </c>
      <c r="W95" s="4">
        <f>IF($L95="","",N95-S95)</f>
      </c>
      <c r="AC95" s="4">
        <f>IF($L95="","",U95-AB95)</f>
      </c>
    </row>
    <row r="96" spans="1:34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IF($L96="","",(U96-AB96)/K96*100)</f>
      </c>
      <c r="W96" s="4">
        <f>IF($L96="","",N96-S96)</f>
      </c>
      <c r="AC96" s="4">
        <f>IF($L96="","",U96-AB96)</f>
      </c>
    </row>
    <row r="97" spans="1:34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IF($L97="","",(U97-AB97)/K97*100)</f>
      </c>
      <c r="W97" s="4">
        <f>IF($L97="","",N97-S97)</f>
      </c>
      <c r="AC97" s="4">
        <f>IF($L97="","",U97-AB97)</f>
      </c>
    </row>
    <row r="98" spans="1:34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IF($L98="","",(U98-AB98)/K98*100)</f>
      </c>
      <c r="W98" s="4">
        <f>IF($L98="","",N98-S98)</f>
      </c>
      <c r="AC98" s="4">
        <f>IF($L98="","",U98-AB98)</f>
      </c>
    </row>
    <row r="99" spans="1:34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IF($L99="","",(U99-AB99)/K99*100)</f>
      </c>
      <c r="W99" s="4">
        <f>IF($L99="","",N99-S99)</f>
      </c>
      <c r="AC99" s="4">
        <f>IF($L99="","",U99-AB99)</f>
      </c>
    </row>
    <row r="100" spans="1:34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IF($L100="","",(U100-AB100)/K100*100)</f>
      </c>
      <c r="W100" s="4">
        <f>IF($L100="","",N100-S100)</f>
      </c>
      <c r="AC100" s="4">
        <f>IF($L100="","",U100-AB100)</f>
      </c>
    </row>
    <row r="101" spans="1:34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IF($L101="","",(U101-AB101)/K101*100)</f>
      </c>
      <c r="W101" s="4">
        <f>IF($L101="","",N101-S101)</f>
      </c>
      <c r="AC101" s="4">
        <f>IF($L101="","",U101-AB101)</f>
      </c>
    </row>
    <row r="102" spans="1:34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IF($L102="","",(U102-AB102)/K102*100)</f>
      </c>
      <c r="W102" s="4">
        <f>IF($L102="","",N102-S102)</f>
      </c>
      <c r="AC102" s="4">
        <f>IF($L102="","",U102-AB102)</f>
      </c>
    </row>
    <row r="103" spans="1:34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IF($L103="","",(U103-AB103)/K103*100)</f>
      </c>
      <c r="W103" s="4">
        <f>IF($L103="","",N103-S103)</f>
      </c>
      <c r="AC103" s="4">
        <f>IF($L103="","",U103-AB103)</f>
      </c>
    </row>
    <row r="104" spans="1:34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IF($L104="","",(U104-AB104)/K104*100)</f>
      </c>
      <c r="W104" s="4">
        <f>IF($L104="","",N104-S104)</f>
      </c>
      <c r="AC104" s="4">
        <f>IF($L104="","",U104-AB104)</f>
      </c>
    </row>
    <row r="105" spans="1:34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IF($L105="","",(U105-AB105)/K105*100)</f>
      </c>
      <c r="W105" s="4">
        <f>IF($L105="","",N105-S105)</f>
      </c>
      <c r="AC105" s="4">
        <f>IF($L105="","",U105-AB105)</f>
      </c>
    </row>
    <row r="106" spans="1:34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IF($L106="","",(U106-AB106)/K106*100)</f>
      </c>
      <c r="W106" s="4">
        <f>IF($L106="","",N106-S106)</f>
      </c>
      <c r="AC106" s="4">
        <f>IF($L106="","",U106-AB106)</f>
      </c>
    </row>
    <row r="107" spans="1:34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IF($L107="","",(U107-AB107)/K107*100)</f>
      </c>
      <c r="W107" s="4">
        <f>IF($L107="","",N107-S107)</f>
      </c>
      <c r="AC107" s="4">
        <f>IF($L107="","",U107-AB107)</f>
      </c>
    </row>
    <row r="108" spans="1:34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IF($L108="","",(U108-AB108)/K108*100)</f>
      </c>
      <c r="W108" s="4">
        <f>IF($L108="","",N108-S108)</f>
      </c>
      <c r="AC108" s="4">
        <f>IF($L108="","",U108-AB108)</f>
      </c>
    </row>
    <row r="109" spans="1:34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IF($L109="","",(U109-AB109)/K109*100)</f>
      </c>
      <c r="W109" s="4">
        <f>IF($L109="","",N109-S109)</f>
      </c>
      <c r="AC109" s="4">
        <f>IF($L109="","",U109-AB109)</f>
      </c>
    </row>
    <row r="110" spans="1:34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IF($L110="","",(U110-AB110)/K110*100)</f>
      </c>
      <c r="W110" s="4">
        <f>IF($L110="","",N110-S110)</f>
      </c>
      <c r="AC110" s="4">
        <f>IF($L110="","",U110-AB110)</f>
      </c>
    </row>
    <row r="111" spans="1:34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IF($L111="","",(U111-AB111)/K111*100)</f>
      </c>
      <c r="W111" s="4">
        <f>IF($L111="","",N111-S111)</f>
      </c>
      <c r="AC111" s="4">
        <f>IF($L111="","",U111-AB111)</f>
      </c>
    </row>
    <row r="112" spans="1:34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IF($L112="","",(U112-AB112)/K112*100)</f>
      </c>
      <c r="W112" s="4">
        <f>IF($L112="","",N112-S112)</f>
      </c>
      <c r="AC112" s="4">
        <f>IF($L112="","",U112-AB112)</f>
      </c>
    </row>
    <row r="113" spans="1:34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IF($L113="","",(U113-AB113)/K113*100)</f>
      </c>
      <c r="W113" s="4">
        <f>IF($L113="","",N113-S113)</f>
      </c>
      <c r="AC113" s="4">
        <f>IF($L113="","",U113-AB113)</f>
      </c>
    </row>
    <row r="114" spans="1:34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IF($L114="","",(U114-AB114)/K114*100)</f>
      </c>
      <c r="W114" s="4">
        <f>IF($L114="","",N114-S114)</f>
      </c>
      <c r="AC114" s="4">
        <f>IF($L114="","",U114-AB114)</f>
      </c>
    </row>
    <row r="115" spans="1:34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IF($L115="","",(U115-AB115)/K115*100)</f>
      </c>
      <c r="W115" s="4">
        <f>IF($L115="","",N115-S115)</f>
      </c>
      <c r="AC115" s="4">
        <f>IF($L115="","",U115-AB115)</f>
      </c>
    </row>
    <row r="116" spans="1:34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IF($L116="","",(U116-AB116)/K116*100)</f>
      </c>
      <c r="W116" s="4">
        <f>IF($L116="","",N116-S116)</f>
      </c>
      <c r="AC116" s="4">
        <f>IF($L116="","",U116-AB116)</f>
      </c>
    </row>
    <row r="117" spans="1:34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IF($L117="","",(U117-AB117)/K117*100)</f>
      </c>
      <c r="W117" s="4">
        <f>IF($L117="","",N117-S117)</f>
      </c>
      <c r="AC117" s="4">
        <f>IF($L117="","",U117-AB117)</f>
      </c>
    </row>
    <row r="118" spans="1:34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IF($L118="","",(U118-AB118)/K118*100)</f>
      </c>
      <c r="W118" s="4">
        <f>IF($L118="","",N118-S118)</f>
      </c>
      <c r="AC118" s="4">
        <f>IF($L118="","",U118-AB118)</f>
      </c>
    </row>
    <row r="119" spans="1:34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IF($L119="","",(U119-AB119)/K119*100)</f>
      </c>
      <c r="W119" s="4">
        <f>IF($L119="","",N119-S119)</f>
      </c>
      <c r="AC119" s="4">
        <f>IF($L119="","",U119-AB119)</f>
      </c>
    </row>
    <row r="120" spans="1:34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IF($L120="","",(U120-AB120)/K120*100)</f>
      </c>
      <c r="W120" s="4">
        <f>IF($L120="","",N120-S120)</f>
      </c>
      <c r="AC120" s="4">
        <f>IF($L120="","",U120-AB120)</f>
      </c>
    </row>
    <row r="121" spans="1:34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IF($L121="","",(U121-AB121)/K121*100)</f>
      </c>
      <c r="W121" s="4">
        <f>IF($L121="","",N121-S121)</f>
      </c>
      <c r="AC121" s="4">
        <f>IF($L121="","",U121-AB121)</f>
      </c>
    </row>
    <row r="122" spans="1:34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IF($L122="","",(U122-AB122)/K122*100)</f>
      </c>
      <c r="W122" s="4">
        <f>IF($L122="","",N122-S122)</f>
      </c>
      <c r="AC122" s="4">
        <f>IF($L122="","",U122-AB122)</f>
      </c>
    </row>
    <row r="123" spans="1:34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IF($L123="","",(U123-AB123)/K123*100)</f>
      </c>
      <c r="W123" s="4">
        <f>IF($L123="","",N123-S123)</f>
      </c>
      <c r="AC123" s="4">
        <f>IF($L123="","",U123-AB123)</f>
      </c>
    </row>
    <row r="124" spans="1:34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IF($L124="","",(U124-AB124)/K124*100)</f>
      </c>
      <c r="W124" s="4">
        <f>IF($L124="","",N124-S124)</f>
      </c>
      <c r="AC124" s="4">
        <f>IF($L124="","",U124-AB124)</f>
      </c>
    </row>
    <row r="125" spans="1:34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IF($L125="","",(U125-AB125)/K125*100)</f>
      </c>
      <c r="W125" s="4">
        <f>IF($L125="","",N125-S125)</f>
      </c>
      <c r="AC125" s="4">
        <f>IF($L125="","",U125-AB125)</f>
      </c>
    </row>
    <row r="126" spans="1:34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IF($L126="","",(U126-AB126)/K126*100)</f>
      </c>
      <c r="W126" s="4">
        <f>IF($L126="","",N126-S126)</f>
      </c>
      <c r="AC126" s="4">
        <f>IF($L126="","",U126-AB126)</f>
      </c>
    </row>
    <row r="127" spans="1:34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IF($L127="","",(U127-AB127)/K127*100)</f>
      </c>
      <c r="W127" s="4">
        <f>IF($L127="","",N127-S127)</f>
      </c>
      <c r="AC127" s="4">
        <f>IF($L127="","",U127-AB127)</f>
      </c>
    </row>
    <row r="128" spans="1:34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IF($L128="","",(U128-AB128)/K128*100)</f>
      </c>
      <c r="W128" s="4">
        <f>IF($L128="","",N128-S128)</f>
      </c>
      <c r="AC128" s="4">
        <f>IF($L128="","",U128-AB128)</f>
      </c>
    </row>
    <row r="129" spans="1:34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IF($L129="","",(U129-AB129)/K129*100)</f>
      </c>
      <c r="W129" s="4">
        <f>IF($L129="","",N129-S129)</f>
      </c>
      <c r="AC129" s="4">
        <f>IF($L129="","",U129-AB129)</f>
      </c>
    </row>
    <row r="130" spans="1:34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IF($L130="","",(U130-AB130)/K130*100)</f>
      </c>
      <c r="W130" s="4">
        <f>IF($L130="","",N130-S130)</f>
      </c>
      <c r="AC130" s="4">
        <f>IF($L130="","",U130-AB130)</f>
      </c>
    </row>
    <row r="131" spans="1:34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IF($L131="","",(U131-AB131)/K131*100)</f>
      </c>
      <c r="W131" s="4">
        <f>IF($L131="","",N131-S131)</f>
      </c>
      <c r="AC131" s="4">
        <f>IF($L131="","",U131-AB131)</f>
      </c>
    </row>
    <row r="132" spans="1:34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IF($L132="","",(U132-AB132)/K132*100)</f>
      </c>
      <c r="W132" s="4">
        <f>IF($L132="","",N132-S132)</f>
      </c>
      <c r="AC132" s="4">
        <f>IF($L132="","",U132-AB132)</f>
      </c>
    </row>
    <row r="133" spans="1:34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IF($L133="","",(U133-AB133)/K133*100)</f>
      </c>
      <c r="W133" s="4">
        <f>IF($L133="","",N133-S133)</f>
      </c>
      <c r="AC133" s="4">
        <f>IF($L133="","",U133-AB133)</f>
      </c>
    </row>
    <row r="134" spans="1:34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IF($L134="","",(U134-AB134)/K134*100)</f>
      </c>
      <c r="W134" s="4">
        <f>IF($L134="","",N134-S134)</f>
      </c>
      <c r="AC134" s="4">
        <f>IF($L134="","",U134-AB134)</f>
      </c>
    </row>
    <row r="135" spans="1:34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IF($L135="","",(U135-AB135)/K135*100)</f>
      </c>
      <c r="W135" s="4">
        <f>IF($L135="","",N135-S135)</f>
      </c>
      <c r="AC135" s="4">
        <f>IF($L135="","",U135-AB135)</f>
      </c>
    </row>
    <row r="136" spans="1:34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IF($L136="","",(U136-AB136)/K136*100)</f>
      </c>
      <c r="W136" s="4">
        <f>IF($L136="","",N136-S136)</f>
      </c>
      <c r="AC136" s="4">
        <f>IF($L136="","",U136-AB136)</f>
      </c>
    </row>
    <row r="137" spans="1:34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IF($L137="","",(U137-AB137)/K137*100)</f>
      </c>
      <c r="W137" s="4">
        <f>IF($L137="","",N137-S137)</f>
      </c>
      <c r="AC137" s="4">
        <f>IF($L137="","",U137-AB137)</f>
      </c>
    </row>
    <row r="138" spans="1:34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IF($L138="","",(U138-AB138)/K138*100)</f>
      </c>
      <c r="W138" s="4">
        <f>IF($L138="","",N138-S138)</f>
      </c>
      <c r="AC138" s="4">
        <f>IF($L138="","",U138-AB138)</f>
      </c>
    </row>
    <row r="139" spans="1:34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IF($L139="","",(U139-AB139)/K139*100)</f>
      </c>
      <c r="W139" s="4">
        <f>IF($L139="","",N139-S139)</f>
      </c>
      <c r="AC139" s="4">
        <f>IF($L139="","",U139-AB139)</f>
      </c>
    </row>
    <row r="140" spans="1:34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IF($L140="","",(U140-AB140)/K140*100)</f>
      </c>
      <c r="W140" s="4">
        <f>IF($L140="","",N140-S140)</f>
      </c>
      <c r="AC140" s="4">
        <f>IF($L140="","",U140-AB140)</f>
      </c>
    </row>
    <row r="141" spans="1:34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IF($L141="","",(U141-AB141)/K141*100)</f>
      </c>
      <c r="W141" s="4">
        <f>IF($L141="","",N141-S141)</f>
      </c>
      <c r="AC141" s="4">
        <f>IF($L141="","",U141-AB141)</f>
      </c>
    </row>
    <row r="142" spans="1:34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IF($L142="","",(U142-AB142)/K142*100)</f>
      </c>
      <c r="W142" s="4">
        <f>IF($L142="","",N142-S142)</f>
      </c>
      <c r="AC142" s="4">
        <f>IF($L142="","",U142-AB142)</f>
      </c>
    </row>
    <row r="143" spans="1:34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IF($L143="","",(U143-AB143)/K143*100)</f>
      </c>
      <c r="W143" s="4">
        <f>IF($L143="","",N143-S143)</f>
      </c>
      <c r="AC143" s="4">
        <f>IF($L143="","",U143-AB143)</f>
      </c>
    </row>
    <row r="144" spans="1:34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IF($L144="","",(U144-AB144)/K144*100)</f>
      </c>
      <c r="W144" s="4">
        <f>IF($L144="","",N144-S144)</f>
      </c>
      <c r="AC144" s="4">
        <f>IF($L144="","",U144-AB144)</f>
      </c>
    </row>
    <row r="145" spans="1:34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IF($L145="","",(U145-AB145)/K145*100)</f>
      </c>
      <c r="W145" s="4">
        <f>IF($L145="","",N145-S145)</f>
      </c>
      <c r="AC145" s="4">
        <f>IF($L145="","",U145-AB145)</f>
      </c>
    </row>
    <row r="146" spans="1:34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IF($L146="","",(U146-AB146)/K146*100)</f>
      </c>
      <c r="W146" s="4">
        <f>IF($L146="","",N146-S146)</f>
      </c>
      <c r="AC146" s="4">
        <f>IF($L146="","",U146-AB146)</f>
      </c>
    </row>
    <row r="147" spans="1:34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IF($L147="","",(U147-AB147)/K147*100)</f>
      </c>
      <c r="W147" s="4">
        <f>IF($L147="","",N147-S147)</f>
      </c>
      <c r="AC147" s="4">
        <f>IF($L147="","",U147-AB147)</f>
      </c>
    </row>
    <row r="148" spans="1:34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IF($L148="","",(U148-AB148)/K148*100)</f>
      </c>
      <c r="W148" s="4">
        <f>IF($L148="","",N148-S148)</f>
      </c>
      <c r="AC148" s="4">
        <f>IF($L148="","",U148-AB148)</f>
      </c>
    </row>
    <row r="149" spans="1:34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IF($L149="","",(U149-AB149)/K149*100)</f>
      </c>
      <c r="W149" s="4">
        <f>IF($L149="","",N149-S149)</f>
      </c>
      <c r="AC149" s="4">
        <f>IF($L149="","",U149-AB149)</f>
      </c>
    </row>
    <row r="150" spans="1:34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IF($L150="","",(U150-AB150)/K150*100)</f>
      </c>
      <c r="W150" s="4">
        <f>IF($L150="","",N150-S150)</f>
      </c>
      <c r="AC150" s="4">
        <f>IF($L150="","",U150-AB150)</f>
      </c>
    </row>
    <row r="151" spans="1:34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IF($L151="","",(U151-AB151)/K151*100)</f>
      </c>
      <c r="W151" s="4">
        <f>IF($L151="","",N151-S151)</f>
      </c>
      <c r="AC151" s="4">
        <f>IF($L151="","",U151-AB151)</f>
      </c>
    </row>
    <row r="152" spans="1:34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IF($L152="","",(U152-AB152)/K152*100)</f>
      </c>
      <c r="W152" s="4">
        <f>IF($L152="","",N152-S152)</f>
      </c>
      <c r="AC152" s="4">
        <f>IF($L152="","",U152-AB152)</f>
      </c>
    </row>
    <row r="153" spans="1:34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IF($L153="","",(U153-AB153)/K153*100)</f>
      </c>
      <c r="W153" s="4">
        <f>IF($L153="","",N153-S153)</f>
      </c>
      <c r="AC153" s="4">
        <f>IF($L153="","",U153-AB153)</f>
      </c>
    </row>
    <row r="154" spans="1:34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IF($L154="","",(U154-AB154)/K154*100)</f>
      </c>
      <c r="W154" s="4">
        <f>IF($L154="","",N154-S154)</f>
      </c>
      <c r="AC154" s="4">
        <f>IF($L154="","",U154-AB154)</f>
      </c>
    </row>
    <row r="155" spans="1:34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IF($L155="","",(U155-AB155)/K155*100)</f>
      </c>
      <c r="W155" s="4">
        <f>IF($L155="","",N155-S155)</f>
      </c>
      <c r="AC155" s="4">
        <f>IF($L155="","",U155-AB155)</f>
      </c>
    </row>
    <row r="156" spans="1:34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IF($L156="","",(U156-AB156)/K156*100)</f>
      </c>
      <c r="W156" s="4">
        <f>IF($L156="","",N156-S156)</f>
      </c>
      <c r="AC156" s="4">
        <f>IF($L156="","",U156-AB156)</f>
      </c>
    </row>
    <row r="157" spans="1:34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IF($L157="","",(U157-AB157)/K157*100)</f>
      </c>
      <c r="W157" s="4">
        <f>IF($L157="","",N157-S157)</f>
      </c>
      <c r="AC157" s="4">
        <f>IF($L157="","",U157-AB157)</f>
      </c>
    </row>
    <row r="158" spans="1:34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IF($L158="","",(U158-AB158)/K158*100)</f>
      </c>
      <c r="W158" s="4">
        <f>IF($L158="","",N158-S158)</f>
      </c>
      <c r="AC158" s="4">
        <f>IF($L158="","",U158-AB158)</f>
      </c>
    </row>
    <row r="159" spans="1:34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IF($L159="","",(U159-AB159)/K159*100)</f>
      </c>
      <c r="W159" s="4">
        <f>IF($L159="","",N159-S159)</f>
      </c>
      <c r="AC159" s="4">
        <f>IF($L159="","",U159-AB159)</f>
      </c>
    </row>
    <row r="160" spans="1:34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IF($L160="","",(U160-AB160)/K160*100)</f>
      </c>
      <c r="W160" s="4">
        <f>IF($L160="","",N160-S160)</f>
      </c>
      <c r="AC160" s="4">
        <f>IF($L160="","",U160-AB160)</f>
      </c>
    </row>
    <row r="161" spans="1:34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IF($L161="","",(U161-AB161)/K161*100)</f>
      </c>
      <c r="W161" s="4">
        <f>IF($L161="","",N161-S161)</f>
      </c>
      <c r="AC161" s="4">
        <f>IF($L161="","",U161-AB161)</f>
      </c>
    </row>
    <row r="162" spans="1:34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IF($L162="","",(U162-AB162)/K162*100)</f>
      </c>
      <c r="W162" s="4">
        <f>IF($L162="","",N162-S162)</f>
      </c>
      <c r="AC162" s="4">
        <f>IF($L162="","",U162-AB162)</f>
      </c>
    </row>
    <row r="163" spans="1:34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IF($L163="","",(U163-AB163)/K163*100)</f>
      </c>
      <c r="W163" s="4">
        <f>IF($L163="","",N163-S163)</f>
      </c>
      <c r="AC163" s="4">
        <f>IF($L163="","",U163-AB163)</f>
      </c>
    </row>
    <row r="164" spans="1:34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IF($L164="","",(U164-AB164)/K164*100)</f>
      </c>
      <c r="W164" s="4">
        <f>IF($L164="","",N164-S164)</f>
      </c>
      <c r="AC164" s="4">
        <f>IF($L164="","",U164-AB164)</f>
      </c>
    </row>
    <row r="165" spans="1:34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IF($L165="","",(U165-AB165)/K165*100)</f>
      </c>
      <c r="W165" s="4">
        <f>IF($L165="","",N165-S165)</f>
      </c>
      <c r="AC165" s="4">
        <f>IF($L165="","",U165-AB165)</f>
      </c>
    </row>
    <row r="166" spans="1:34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IF($L166="","",(U166-AB166)/K166*100)</f>
      </c>
      <c r="W166" s="4">
        <f>IF($L166="","",N166-S166)</f>
      </c>
      <c r="AC166" s="4">
        <f>IF($L166="","",U166-AB166)</f>
      </c>
    </row>
    <row r="167" spans="1:34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IF($L167="","",(U167-AB167)/K167*100)</f>
      </c>
      <c r="W167" s="4">
        <f>IF($L167="","",N167-S167)</f>
      </c>
      <c r="AC167" s="4">
        <f>IF($L167="","",U167-AB167)</f>
      </c>
    </row>
    <row r="168" spans="1:34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IF($L168="","",(U168-AB168)/K168*100)</f>
      </c>
      <c r="W168" s="4">
        <f>IF($L168="","",N168-S168)</f>
      </c>
      <c r="AC168" s="4">
        <f>IF($L168="","",U168-AB168)</f>
      </c>
    </row>
    <row r="169" spans="1:34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IF($L169="","",(U169-AB169)/K169*100)</f>
      </c>
      <c r="W169" s="4">
        <f>IF($L169="","",N169-S169)</f>
      </c>
      <c r="AC169" s="4">
        <f>IF($L169="","",U169-AB169)</f>
      </c>
    </row>
    <row r="170" spans="1:34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IF($L170="","",(U170-AB170)/K170*100)</f>
      </c>
      <c r="W170" s="4">
        <f>IF($L170="","",N170-S170)</f>
      </c>
      <c r="AC170" s="4">
        <f>IF($L170="","",U170-AB170)</f>
      </c>
    </row>
    <row r="171" spans="1:34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IF($L171="","",(U171-AB171)/K171*100)</f>
      </c>
      <c r="W171" s="4">
        <f>IF($L171="","",N171-S171)</f>
      </c>
      <c r="AC171" s="4">
        <f>IF($L171="","",U171-AB171)</f>
      </c>
    </row>
    <row r="172" spans="1:34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IF($L172="","",(U172-AB172)/K172*100)</f>
      </c>
      <c r="W172" s="4">
        <f>IF($L172="","",N172-S172)</f>
      </c>
      <c r="AC172" s="4">
        <f>IF($L172="","",U172-AB172)</f>
      </c>
    </row>
    <row r="173" spans="1:34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IF($L173="","",(U173-AB173)/K173*100)</f>
      </c>
      <c r="W173" s="4">
        <f>IF($L173="","",N173-S173)</f>
      </c>
      <c r="AC173" s="4">
        <f>IF($L173="","",U173-AB173)</f>
      </c>
    </row>
    <row r="174" spans="1:34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IF($L174="","",(U174-AB174)/K174*100)</f>
      </c>
      <c r="W174" s="4">
        <f>IF($L174="","",N174-S174)</f>
      </c>
      <c r="AC174" s="4">
        <f>IF($L174="","",U174-AB174)</f>
      </c>
    </row>
    <row r="175" spans="1:34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IF($L175="","",(U175-AB175)/K175*100)</f>
      </c>
      <c r="W175" s="4">
        <f>IF($L175="","",N175-S175)</f>
      </c>
      <c r="AC175" s="4">
        <f>IF($L175="","",U175-AB175)</f>
      </c>
    </row>
    <row r="176" spans="1:34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IF($L176="","",(U176-AB176)/K176*100)</f>
      </c>
      <c r="W176" s="4">
        <f>IF($L176="","",N176-S176)</f>
      </c>
      <c r="AC176" s="4">
        <f>IF($L176="","",U176-AB176)</f>
      </c>
    </row>
    <row r="177" spans="1:34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IF($L177="","",(U177-AB177)/K177*100)</f>
      </c>
      <c r="W177" s="4">
        <f>IF($L177="","",N177-S177)</f>
      </c>
      <c r="AC177" s="4">
        <f>IF($L177="","",U177-AB177)</f>
      </c>
    </row>
    <row r="178" spans="1:34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IF($L178="","",(U178-AB178)/K178*100)</f>
      </c>
      <c r="W178" s="4">
        <f>IF($L178="","",N178-S178)</f>
      </c>
      <c r="AC178" s="4">
        <f>IF($L178="","",U178-AB178)</f>
      </c>
    </row>
    <row r="179" spans="1:34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IF($L179="","",(U179-AB179)/K179*100)</f>
      </c>
      <c r="W179" s="4">
        <f>IF($L179="","",N179-S179)</f>
      </c>
      <c r="AC179" s="4">
        <f>IF($L179="","",U179-AB179)</f>
      </c>
    </row>
    <row r="180" spans="1:34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IF($L180="","",(U180-AB180)/K180*100)</f>
      </c>
      <c r="W180" s="4">
        <f>IF($L180="","",N180-S180)</f>
      </c>
      <c r="AC180" s="4">
        <f>IF($L180="","",U180-AB180)</f>
      </c>
    </row>
    <row r="181" spans="1:34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IF($L181="","",(U181-AB181)/K181*100)</f>
      </c>
      <c r="W181" s="4">
        <f>IF($L181="","",N181-S181)</f>
      </c>
      <c r="AC181" s="4">
        <f>IF($L181="","",U181-AB181)</f>
      </c>
    </row>
    <row r="182" spans="1:34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IF($L182="","",(U182-AB182)/K182*100)</f>
      </c>
      <c r="W182" s="4">
        <f>IF($L182="","",N182-S182)</f>
      </c>
      <c r="AC182" s="4">
        <f>IF($L182="","",U182-AB182)</f>
      </c>
    </row>
    <row r="183" spans="1:34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IF($L183="","",(U183-AB183)/K183*100)</f>
      </c>
      <c r="W183" s="4">
        <f>IF($L183="","",N183-S183)</f>
      </c>
      <c r="AC183" s="4">
        <f>IF($L183="","",U183-AB183)</f>
      </c>
    </row>
    <row r="184" spans="1:34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IF($L184="","",(U184-AB184)/K184*100)</f>
      </c>
      <c r="W184" s="4">
        <f>IF($L184="","",N184-S184)</f>
      </c>
      <c r="AC184" s="4">
        <f>IF($L184="","",U184-AB184)</f>
      </c>
    </row>
    <row r="185" spans="1:34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IF($L185="","",(U185-AB185)/K185*100)</f>
      </c>
      <c r="W185" s="4">
        <f>IF($L185="","",N185-S185)</f>
      </c>
      <c r="AC185" s="4">
        <f>IF($L185="","",U185-AB185)</f>
      </c>
    </row>
    <row r="186" spans="1:34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IF($L186="","",(U186-AB186)/K186*100)</f>
      </c>
      <c r="W186" s="4">
        <f>IF($L186="","",N186-S186)</f>
      </c>
      <c r="AC186" s="4">
        <f>IF($L186="","",U186-AB186)</f>
      </c>
    </row>
    <row r="187" spans="1:34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IF($L187="","",(U187-AB187)/K187*100)</f>
      </c>
      <c r="W187" s="4">
        <f>IF($L187="","",N187-S187)</f>
      </c>
      <c r="AC187" s="4">
        <f>IF($L187="","",U187-AB187)</f>
      </c>
    </row>
    <row r="188" spans="1:34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IF($L188="","",(U188-AB188)/K188*100)</f>
      </c>
      <c r="W188" s="4">
        <f>IF($L188="","",N188-S188)</f>
      </c>
      <c r="AC188" s="4">
        <f>IF($L188="","",U188-AB188)</f>
      </c>
    </row>
    <row r="189" spans="1:34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IF($L189="","",(U189-AB189)/K189*100)</f>
      </c>
      <c r="W189" s="4">
        <f>IF($L189="","",N189-S189)</f>
      </c>
      <c r="AC189" s="4">
        <f>IF($L189="","",U189-AB189)</f>
      </c>
    </row>
    <row r="190" spans="1:34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IF($L190="","",(U190-AB190)/K190*100)</f>
      </c>
      <c r="W190" s="4">
        <f>IF($L190="","",N190-S190)</f>
      </c>
      <c r="AC190" s="4">
        <f>IF($L190="","",U190-AB190)</f>
      </c>
    </row>
    <row r="191" spans="1:34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IF($L191="","",(U191-AB191)/K191*100)</f>
      </c>
      <c r="W191" s="4">
        <f>IF($L191="","",N191-S191)</f>
      </c>
      <c r="AC191" s="4">
        <f>IF($L191="","",U191-AB191)</f>
      </c>
    </row>
    <row r="192" spans="1:34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IF($L192="","",(U192-AB192)/K192*100)</f>
      </c>
      <c r="W192" s="4">
        <f>IF($L192="","",N192-S192)</f>
      </c>
      <c r="AC192" s="4">
        <f>IF($L192="","",U192-AB192)</f>
      </c>
    </row>
    <row r="193" spans="1:34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IF($L193="","",(U193-AB193)/K193*100)</f>
      </c>
      <c r="W193" s="4">
        <f>IF($L193="","",N193-S193)</f>
      </c>
      <c r="AC193" s="4">
        <f>IF($L193="","",U193-AB193)</f>
      </c>
    </row>
    <row r="194" spans="1:34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IF($L194="","",(U194-AB194)/K194*100)</f>
      </c>
      <c r="W194" s="4">
        <f>IF($L194="","",N194-S194)</f>
      </c>
      <c r="AC194" s="4">
        <f>IF($L194="","",U194-AB194)</f>
      </c>
    </row>
    <row r="195" spans="1:34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IF($L195="","",(U195-AB195)/K195*100)</f>
      </c>
      <c r="W195" s="4">
        <f>IF($L195="","",N195-S195)</f>
      </c>
      <c r="AC195" s="4">
        <f>IF($L195="","",U195-AB195)</f>
      </c>
    </row>
    <row r="196" spans="1:34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IF($L196="","",(U196-AB196)/K196*100)</f>
      </c>
      <c r="W196" s="4">
        <f>IF($L196="","",N196-S196)</f>
      </c>
      <c r="AC196" s="4">
        <f>IF($L196="","",U196-AB196)</f>
      </c>
    </row>
    <row r="197" spans="1:34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IF($L197="","",(U197-AB197)/K197*100)</f>
      </c>
      <c r="W197" s="4">
        <f>IF($L197="","",N197-S197)</f>
      </c>
      <c r="AC197" s="4">
        <f>IF($L197="","",U197-AB197)</f>
      </c>
    </row>
    <row r="198" spans="1:34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IF($L198="","",(U198-AB198)/K198*100)</f>
      </c>
      <c r="W198" s="4">
        <f>IF($L198="","",N198-S198)</f>
      </c>
      <c r="AC198" s="4">
        <f>IF($L198="","",U198-AB198)</f>
      </c>
    </row>
    <row r="199" spans="1:34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IF($L199="","",(U199-AB199)/K199*100)</f>
      </c>
      <c r="W199" s="4">
        <f>IF($L199="","",N199-S199)</f>
      </c>
      <c r="AC199" s="4">
        <f>IF($L199="","",U199-AB199)</f>
      </c>
    </row>
    <row r="200" spans="1:34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IF($L200="","",(U200-AB200)/K200*100)</f>
      </c>
      <c r="W200" s="4">
        <f>IF($L200="","",N200-S200)</f>
      </c>
      <c r="AC200" s="4">
        <f>IF($L200="","",U200-AB200)</f>
      </c>
    </row>
    <row r="201" spans="1:34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IF($L201="","",(U201-AB201)/K201*100)</f>
      </c>
      <c r="W201" s="4">
        <f>IF($L201="","",N201-S201)</f>
      </c>
      <c r="AC201" s="4">
        <f>IF($L201="","",U201-AB201)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IFERROR((U202-AB202)/K202*100,0)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2"/>
  <sheetFormatPr defaultRowHeight="15" outlineLevelRow="0" outlineLevelCol="0" x14ac:dyDescent="55"/>
  <sheetData>
    <row r="1" spans="1:38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69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70</v>
      </c>
      <c r="P1" t="s">
        <v>71</v>
      </c>
      <c r="Q1" t="s">
        <v>72</v>
      </c>
      <c r="R1" t="s">
        <v>73</v>
      </c>
      <c r="S1" t="s">
        <v>45</v>
      </c>
      <c r="T1" t="s">
        <v>46</v>
      </c>
      <c r="U1" t="s">
        <v>74</v>
      </c>
      <c r="V1" t="s">
        <v>75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11</v>
      </c>
      <c r="AH1" t="s">
        <v>57</v>
      </c>
      <c r="AI1" t="s">
        <v>58</v>
      </c>
      <c r="AJ1" t="s">
        <v>59</v>
      </c>
      <c r="AK1" t="s">
        <v>60</v>
      </c>
      <c r="AL1" t="s">
        <v>61</v>
      </c>
    </row>
    <row r="2" spans="1:3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IF($K2="","",(Y2-AF2)/J2*100)</f>
      </c>
      <c r="AA2" s="4">
        <f>IF($K2="","",M2-X2)</f>
      </c>
      <c r="AG2" s="4">
        <f>IF($K2="","",Y2-AF2)</f>
      </c>
    </row>
    <row r="3" spans="1:3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IF($K3="","",(Y3-AF3)/J3*100)</f>
      </c>
      <c r="AA3" s="4">
        <f>IF($K3="","",M3-X3)</f>
      </c>
      <c r="AG3" s="4">
        <f>IF($K3="","",Y3-AF3)</f>
      </c>
    </row>
    <row r="4" spans="1:3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IF($K4="","",(Y4-AF4)/J4*100)</f>
      </c>
      <c r="AA4" s="4">
        <f>IF($K4="","",M4-X4)</f>
      </c>
      <c r="AG4" s="4">
        <f>IF($K4="","",Y4-AF4)</f>
      </c>
    </row>
    <row r="5" spans="1:3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IF($K5="","",(Y5-AF5)/J5*100)</f>
      </c>
      <c r="AA5" s="4">
        <f>IF($K5="","",M5-X5)</f>
      </c>
      <c r="AG5" s="4">
        <f>IF($K5="","",Y5-AF5)</f>
      </c>
    </row>
    <row r="6" spans="1:3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IF($K6="","",(Y6-AF6)/J6*100)</f>
      </c>
      <c r="AA6" s="4">
        <f>IF($K6="","",M6-X6)</f>
      </c>
      <c r="AG6" s="4">
        <f>IF($K6="","",Y6-AF6)</f>
      </c>
    </row>
    <row r="7" spans="1:3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IF($K7="","",(Y7-AF7)/J7*100)</f>
      </c>
      <c r="AA7" s="4">
        <f>IF($K7="","",M7-X7)</f>
      </c>
      <c r="AG7" s="4">
        <f>IF($K7="","",Y7-AF7)</f>
      </c>
    </row>
    <row r="8" spans="1:3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IF($K8="","",(Y8-AF8)/J8*100)</f>
      </c>
      <c r="AA8" s="4">
        <f>IF($K8="","",M8-X8)</f>
      </c>
      <c r="AG8" s="4">
        <f>IF($K8="","",Y8-AF8)</f>
      </c>
    </row>
    <row r="9" spans="1:3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IF($K9="","",(Y9-AF9)/J9*100)</f>
      </c>
      <c r="AA9" s="4">
        <f>IF($K9="","",M9-X9)</f>
      </c>
      <c r="AG9" s="4">
        <f>IF($K9="","",Y9-AF9)</f>
      </c>
    </row>
    <row r="10" spans="1:3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IF($K10="","",(Y10-AF10)/J10*100)</f>
      </c>
      <c r="AA10" s="4">
        <f>IF($K10="","",M10-X10)</f>
      </c>
      <c r="AG10" s="4">
        <f>IF($K10="","",Y10-AF10)</f>
      </c>
    </row>
    <row r="11" spans="1:3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IF($K11="","",(Y11-AF11)/J11*100)</f>
      </c>
      <c r="AA11" s="4">
        <f>IF($K11="","",M11-X11)</f>
      </c>
      <c r="AG11" s="4">
        <f>IF($K11="","",Y11-AF11)</f>
      </c>
    </row>
    <row r="12" spans="1:3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IF($K12="","",(Y12-AF12)/J12*100)</f>
      </c>
      <c r="AA12" s="4">
        <f>IF($K12="","",M12-X12)</f>
      </c>
      <c r="AG12" s="4">
        <f>IF($K12="","",Y12-AF12)</f>
      </c>
    </row>
    <row r="13" spans="1:3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IF($K13="","",(Y13-AF13)/J13*100)</f>
      </c>
      <c r="AA13" s="4">
        <f>IF($K13="","",M13-X13)</f>
      </c>
      <c r="AG13" s="4">
        <f>IF($K13="","",Y13-AF13)</f>
      </c>
    </row>
    <row r="14" spans="1:3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IF($K14="","",(Y14-AF14)/J14*100)</f>
      </c>
      <c r="AA14" s="4">
        <f>IF($K14="","",M14-X14)</f>
      </c>
      <c r="AG14" s="4">
        <f>IF($K14="","",Y14-AF14)</f>
      </c>
    </row>
    <row r="15" spans="1:3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IF($K15="","",(Y15-AF15)/J15*100)</f>
      </c>
      <c r="AA15" s="4">
        <f>IF($K15="","",M15-X15)</f>
      </c>
      <c r="AG15" s="4">
        <f>IF($K15="","",Y15-AF15)</f>
      </c>
    </row>
    <row r="16" spans="1:3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IF($K16="","",(Y16-AF16)/J16*100)</f>
      </c>
      <c r="AA16" s="4">
        <f>IF($K16="","",M16-X16)</f>
      </c>
      <c r="AG16" s="4">
        <f>IF($K16="","",Y16-AF16)</f>
      </c>
    </row>
    <row r="17" spans="1:3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IF($K17="","",(Y17-AF17)/J17*100)</f>
      </c>
      <c r="AA17" s="4">
        <f>IF($K17="","",M17-X17)</f>
      </c>
      <c r="AG17" s="4">
        <f>IF($K17="","",Y17-AF17)</f>
      </c>
    </row>
    <row r="18" spans="1:3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IF($K18="","",(Y18-AF18)/J18*100)</f>
      </c>
      <c r="AA18" s="4">
        <f>IF($K18="","",M18-X18)</f>
      </c>
      <c r="AG18" s="4">
        <f>IF($K18="","",Y18-AF18)</f>
      </c>
    </row>
    <row r="19" spans="1:3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IF($K19="","",(Y19-AF19)/J19*100)</f>
      </c>
      <c r="AA19" s="4">
        <f>IF($K19="","",M19-X19)</f>
      </c>
      <c r="AG19" s="4">
        <f>IF($K19="","",Y19-AF19)</f>
      </c>
    </row>
    <row r="20" spans="1:3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IF($K20="","",(Y20-AF20)/J20*100)</f>
      </c>
      <c r="AA20" s="4">
        <f>IF($K20="","",M20-X20)</f>
      </c>
      <c r="AG20" s="4">
        <f>IF($K20="","",Y20-AF20)</f>
      </c>
    </row>
    <row r="21" spans="1:3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IF($K21="","",(Y21-AF21)/J21*100)</f>
      </c>
      <c r="AA21" s="4">
        <f>IF($K21="","",M21-X21)</f>
      </c>
      <c r="AG21" s="4">
        <f>IF($K21="","",Y21-AF21)</f>
      </c>
    </row>
    <row r="22" spans="1:3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IF($K22="","",(Y22-AF22)/J22*100)</f>
      </c>
      <c r="AA22" s="4">
        <f>IF($K22="","",M22-X22)</f>
      </c>
      <c r="AG22" s="4">
        <f>IF($K22="","",Y22-AF22)</f>
      </c>
    </row>
    <row r="23" spans="1:3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IF($K23="","",(Y23-AF23)/J23*100)</f>
      </c>
      <c r="AA23" s="4">
        <f>IF($K23="","",M23-X23)</f>
      </c>
      <c r="AG23" s="4">
        <f>IF($K23="","",Y23-AF23)</f>
      </c>
    </row>
    <row r="24" spans="1:3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IF($K24="","",(Y24-AF24)/J24*100)</f>
      </c>
      <c r="AA24" s="4">
        <f>IF($K24="","",M24-X24)</f>
      </c>
      <c r="AG24" s="4">
        <f>IF($K24="","",Y24-AF24)</f>
      </c>
    </row>
    <row r="25" spans="1:3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IF($K25="","",(Y25-AF25)/J25*100)</f>
      </c>
      <c r="AA25" s="4">
        <f>IF($K25="","",M25-X25)</f>
      </c>
      <c r="AG25" s="4">
        <f>IF($K25="","",Y25-AF25)</f>
      </c>
    </row>
    <row r="26" spans="1:3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IF($K26="","",(Y26-AF26)/J26*100)</f>
      </c>
      <c r="AA26" s="4">
        <f>IF($K26="","",M26-X26)</f>
      </c>
      <c r="AG26" s="4">
        <f>IF($K26="","",Y26-AF26)</f>
      </c>
    </row>
    <row r="27" spans="1:3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IF($K27="","",(Y27-AF27)/J27*100)</f>
      </c>
      <c r="AA27" s="4">
        <f>IF($K27="","",M27-X27)</f>
      </c>
      <c r="AG27" s="4">
        <f>IF($K27="","",Y27-AF27)</f>
      </c>
    </row>
    <row r="28" spans="1:3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IF($K28="","",(Y28-AF28)/J28*100)</f>
      </c>
      <c r="AA28" s="4">
        <f>IF($K28="","",M28-X28)</f>
      </c>
      <c r="AG28" s="4">
        <f>IF($K28="","",Y28-AF28)</f>
      </c>
    </row>
    <row r="29" spans="1:3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IF($K29="","",(Y29-AF29)/J29*100)</f>
      </c>
      <c r="AA29" s="4">
        <f>IF($K29="","",M29-X29)</f>
      </c>
      <c r="AG29" s="4">
        <f>IF($K29="","",Y29-AF29)</f>
      </c>
    </row>
    <row r="30" spans="1:3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IF($K30="","",(Y30-AF30)/J30*100)</f>
      </c>
      <c r="AA30" s="4">
        <f>IF($K30="","",M30-X30)</f>
      </c>
      <c r="AG30" s="4">
        <f>IF($K30="","",Y30-AF30)</f>
      </c>
    </row>
    <row r="31" spans="1:3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IF($K31="","",(Y31-AF31)/J31*100)</f>
      </c>
      <c r="AA31" s="4">
        <f>IF($K31="","",M31-X31)</f>
      </c>
      <c r="AG31" s="4">
        <f>IF($K31="","",Y31-AF31)</f>
      </c>
    </row>
    <row r="32" spans="1:3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IF($K32="","",(Y32-AF32)/J32*100)</f>
      </c>
      <c r="AA32" s="4">
        <f>IF($K32="","",M32-X32)</f>
      </c>
      <c r="AG32" s="4">
        <f>IF($K32="","",Y32-AF32)</f>
      </c>
    </row>
    <row r="33" spans="1:3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IF($K33="","",(Y33-AF33)/J33*100)</f>
      </c>
      <c r="AA33" s="4">
        <f>IF($K33="","",M33-X33)</f>
      </c>
      <c r="AG33" s="4">
        <f>IF($K33="","",Y33-AF33)</f>
      </c>
    </row>
    <row r="34" spans="1:3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IF($K34="","",(Y34-AF34)/J34*100)</f>
      </c>
      <c r="AA34" s="4">
        <f>IF($K34="","",M34-X34)</f>
      </c>
      <c r="AG34" s="4">
        <f>IF($K34="","",Y34-AF34)</f>
      </c>
    </row>
    <row r="35" spans="1:3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IF($K35="","",(Y35-AF35)/J35*100)</f>
      </c>
      <c r="AA35" s="4">
        <f>IF($K35="","",M35-X35)</f>
      </c>
      <c r="AG35" s="4">
        <f>IF($K35="","",Y35-AF35)</f>
      </c>
    </row>
    <row r="36" spans="1:3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IF($K36="","",(Y36-AF36)/J36*100)</f>
      </c>
      <c r="AA36" s="4">
        <f>IF($K36="","",M36-X36)</f>
      </c>
      <c r="AG36" s="4">
        <f>IF($K36="","",Y36-AF36)</f>
      </c>
    </row>
    <row r="37" spans="1:3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IF($K37="","",(Y37-AF37)/J37*100)</f>
      </c>
      <c r="AA37" s="4">
        <f>IF($K37="","",M37-X37)</f>
      </c>
      <c r="AG37" s="4">
        <f>IF($K37="","",Y37-AF37)</f>
      </c>
    </row>
    <row r="38" spans="1:3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IF($K38="","",(Y38-AF38)/J38*100)</f>
      </c>
      <c r="AA38" s="4">
        <f>IF($K38="","",M38-X38)</f>
      </c>
      <c r="AG38" s="4">
        <f>IF($K38="","",Y38-AF38)</f>
      </c>
    </row>
    <row r="39" spans="1:3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IF($K39="","",(Y39-AF39)/J39*100)</f>
      </c>
      <c r="AA39" s="4">
        <f>IF($K39="","",M39-X39)</f>
      </c>
      <c r="AG39" s="4">
        <f>IF($K39="","",Y39-AF39)</f>
      </c>
    </row>
    <row r="40" spans="1:3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IF($K40="","",(Y40-AF40)/J40*100)</f>
      </c>
      <c r="AA40" s="4">
        <f>IF($K40="","",M40-X40)</f>
      </c>
      <c r="AG40" s="4">
        <f>IF($K40="","",Y40-AF40)</f>
      </c>
    </row>
    <row r="41" spans="1:3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IF($K41="","",(Y41-AF41)/J41*100)</f>
      </c>
      <c r="AA41" s="4">
        <f>IF($K41="","",M41-X41)</f>
      </c>
      <c r="AG41" s="4">
        <f>IF($K41="","",Y41-AF41)</f>
      </c>
    </row>
    <row r="42" spans="1:3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IF($K42="","",(Y42-AF42)/J42*100)</f>
      </c>
      <c r="AA42" s="4">
        <f>IF($K42="","",M42-X42)</f>
      </c>
      <c r="AG42" s="4">
        <f>IF($K42="","",Y42-AF42)</f>
      </c>
    </row>
    <row r="43" spans="1:3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IF($K43="","",(Y43-AF43)/J43*100)</f>
      </c>
      <c r="AA43" s="4">
        <f>IF($K43="","",M43-X43)</f>
      </c>
      <c r="AG43" s="4">
        <f>IF($K43="","",Y43-AF43)</f>
      </c>
    </row>
    <row r="44" spans="1:3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IF($K44="","",(Y44-AF44)/J44*100)</f>
      </c>
      <c r="AA44" s="4">
        <f>IF($K44="","",M44-X44)</f>
      </c>
      <c r="AG44" s="4">
        <f>IF($K44="","",Y44-AF44)</f>
      </c>
    </row>
    <row r="45" spans="1:3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IF($K45="","",(Y45-AF45)/J45*100)</f>
      </c>
      <c r="AA45" s="4">
        <f>IF($K45="","",M45-X45)</f>
      </c>
      <c r="AG45" s="4">
        <f>IF($K45="","",Y45-AF45)</f>
      </c>
    </row>
    <row r="46" spans="1:3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IF($K46="","",(Y46-AF46)/J46*100)</f>
      </c>
      <c r="AA46" s="4">
        <f>IF($K46="","",M46-X46)</f>
      </c>
      <c r="AG46" s="4">
        <f>IF($K46="","",Y46-AF46)</f>
      </c>
    </row>
    <row r="47" spans="1:3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IF($K47="","",(Y47-AF47)/J47*100)</f>
      </c>
      <c r="AA47" s="4">
        <f>IF($K47="","",M47-X47)</f>
      </c>
      <c r="AG47" s="4">
        <f>IF($K47="","",Y47-AF47)</f>
      </c>
    </row>
    <row r="48" spans="1:3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IF($K48="","",(Y48-AF48)/J48*100)</f>
      </c>
      <c r="AA48" s="4">
        <f>IF($K48="","",M48-X48)</f>
      </c>
      <c r="AG48" s="4">
        <f>IF($K48="","",Y48-AF48)</f>
      </c>
    </row>
    <row r="49" spans="1:3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IF($K49="","",(Y49-AF49)/J49*100)</f>
      </c>
      <c r="AA49" s="4">
        <f>IF($K49="","",M49-X49)</f>
      </c>
      <c r="AG49" s="4">
        <f>IF($K49="","",Y49-AF49)</f>
      </c>
    </row>
    <row r="50" spans="1:3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IF($K50="","",(Y50-AF50)/J50*100)</f>
      </c>
      <c r="AA50" s="4">
        <f>IF($K50="","",M50-X50)</f>
      </c>
      <c r="AG50" s="4">
        <f>IF($K50="","",Y50-AF50)</f>
      </c>
    </row>
    <row r="51" spans="1:3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IF($K51="","",(Y51-AF51)/J51*100)</f>
      </c>
      <c r="AA51" s="4">
        <f>IF($K51="","",M51-X51)</f>
      </c>
      <c r="AG51" s="4">
        <f>IF($K51="","",Y51-AF51)</f>
      </c>
    </row>
    <row r="52" spans="1:3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IF($K52="","",(Y52-AF52)/J52*100)</f>
      </c>
      <c r="AA52" s="4">
        <f>IF($K52="","",M52-X52)</f>
      </c>
      <c r="AG52" s="4">
        <f>IF($K52="","",Y52-AF52)</f>
      </c>
    </row>
    <row r="53" spans="1:3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IF($K53="","",(Y53-AF53)/J53*100)</f>
      </c>
      <c r="AA53" s="4">
        <f>IF($K53="","",M53-X53)</f>
      </c>
      <c r="AG53" s="4">
        <f>IF($K53="","",Y53-AF53)</f>
      </c>
    </row>
    <row r="54" spans="1:3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IF($K54="","",(Y54-AF54)/J54*100)</f>
      </c>
      <c r="AA54" s="4">
        <f>IF($K54="","",M54-X54)</f>
      </c>
      <c r="AG54" s="4">
        <f>IF($K54="","",Y54-AF54)</f>
      </c>
    </row>
    <row r="55" spans="1:3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IF($K55="","",(Y55-AF55)/J55*100)</f>
      </c>
      <c r="AA55" s="4">
        <f>IF($K55="","",M55-X55)</f>
      </c>
      <c r="AG55" s="4">
        <f>IF($K55="","",Y55-AF55)</f>
      </c>
    </row>
    <row r="56" spans="1:3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IF($K56="","",(Y56-AF56)/J56*100)</f>
      </c>
      <c r="AA56" s="4">
        <f>IF($K56="","",M56-X56)</f>
      </c>
      <c r="AG56" s="4">
        <f>IF($K56="","",Y56-AF56)</f>
      </c>
    </row>
    <row r="57" spans="1:3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IF($K57="","",(Y57-AF57)/J57*100)</f>
      </c>
      <c r="AA57" s="4">
        <f>IF($K57="","",M57-X57)</f>
      </c>
      <c r="AG57" s="4">
        <f>IF($K57="","",Y57-AF57)</f>
      </c>
    </row>
    <row r="58" spans="1:3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IF($K58="","",(Y58-AF58)/J58*100)</f>
      </c>
      <c r="AA58" s="4">
        <f>IF($K58="","",M58-X58)</f>
      </c>
      <c r="AG58" s="4">
        <f>IF($K58="","",Y58-AF58)</f>
      </c>
    </row>
    <row r="59" spans="1:3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IF($K59="","",(Y59-AF59)/J59*100)</f>
      </c>
      <c r="AA59" s="4">
        <f>IF($K59="","",M59-X59)</f>
      </c>
      <c r="AG59" s="4">
        <f>IF($K59="","",Y59-AF59)</f>
      </c>
    </row>
    <row r="60" spans="1:3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IF($K60="","",(Y60-AF60)/J60*100)</f>
      </c>
      <c r="AA60" s="4">
        <f>IF($K60="","",M60-X60)</f>
      </c>
      <c r="AG60" s="4">
        <f>IF($K60="","",Y60-AF60)</f>
      </c>
    </row>
    <row r="61" spans="1:3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IF($K61="","",(Y61-AF61)/J61*100)</f>
      </c>
      <c r="AA61" s="4">
        <f>IF($K61="","",M61-X61)</f>
      </c>
      <c r="AG61" s="4">
        <f>IF($K61="","",Y61-AF61)</f>
      </c>
    </row>
    <row r="62" spans="1:3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IF($K62="","",(Y62-AF62)/J62*100)</f>
      </c>
      <c r="AA62" s="4">
        <f>IF($K62="","",M62-X62)</f>
      </c>
      <c r="AG62" s="4">
        <f>IF($K62="","",Y62-AF62)</f>
      </c>
    </row>
    <row r="63" spans="1:3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IF($K63="","",(Y63-AF63)/J63*100)</f>
      </c>
      <c r="AA63" s="4">
        <f>IF($K63="","",M63-X63)</f>
      </c>
      <c r="AG63" s="4">
        <f>IF($K63="","",Y63-AF63)</f>
      </c>
    </row>
    <row r="64" spans="1:3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IF($K64="","",(Y64-AF64)/J64*100)</f>
      </c>
      <c r="AA64" s="4">
        <f>IF($K64="","",M64-X64)</f>
      </c>
      <c r="AG64" s="4">
        <f>IF($K64="","",Y64-AF64)</f>
      </c>
    </row>
    <row r="65" spans="1:3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IF($K65="","",(Y65-AF65)/J65*100)</f>
      </c>
      <c r="AA65" s="4">
        <f>IF($K65="","",M65-X65)</f>
      </c>
      <c r="AG65" s="4">
        <f>IF($K65="","",Y65-AF65)</f>
      </c>
    </row>
    <row r="66" spans="1:3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IF($K66="","",(Y66-AF66)/J66*100)</f>
      </c>
      <c r="AA66" s="4">
        <f>IF($K66="","",M66-X66)</f>
      </c>
      <c r="AG66" s="4">
        <f>IF($K66="","",Y66-AF66)</f>
      </c>
    </row>
    <row r="67" spans="1:3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IF($K67="","",(Y67-AF67)/J67*100)</f>
      </c>
      <c r="AA67" s="4">
        <f>IF($K67="","",M67-X67)</f>
      </c>
      <c r="AG67" s="4">
        <f>IF($K67="","",Y67-AF67)</f>
      </c>
    </row>
    <row r="68" spans="1:3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IF($K68="","",(Y68-AF68)/J68*100)</f>
      </c>
      <c r="AA68" s="4">
        <f>IF($K68="","",M68-X68)</f>
      </c>
      <c r="AG68" s="4">
        <f>IF($K68="","",Y68-AF68)</f>
      </c>
    </row>
    <row r="69" spans="1:3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IF($K69="","",(Y69-AF69)/J69*100)</f>
      </c>
      <c r="AA69" s="4">
        <f>IF($K69="","",M69-X69)</f>
      </c>
      <c r="AG69" s="4">
        <f>IF($K69="","",Y69-AF69)</f>
      </c>
    </row>
    <row r="70" spans="1:3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IF($K70="","",(Y70-AF70)/J70*100)</f>
      </c>
      <c r="AA70" s="4">
        <f>IF($K70="","",M70-X70)</f>
      </c>
      <c r="AG70" s="4">
        <f>IF($K70="","",Y70-AF70)</f>
      </c>
    </row>
    <row r="71" spans="1:3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IF($K71="","",(Y71-AF71)/J71*100)</f>
      </c>
      <c r="AA71" s="4">
        <f>IF($K71="","",M71-X71)</f>
      </c>
      <c r="AG71" s="4">
        <f>IF($K71="","",Y71-AF71)</f>
      </c>
    </row>
    <row r="72" spans="1:3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IF($K72="","",(Y72-AF72)/J72*100)</f>
      </c>
      <c r="AA72" s="4">
        <f>IF($K72="","",M72-X72)</f>
      </c>
      <c r="AG72" s="4">
        <f>IF($K72="","",Y72-AF72)</f>
      </c>
    </row>
    <row r="73" spans="1:3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IF($K73="","",(Y73-AF73)/J73*100)</f>
      </c>
      <c r="AA73" s="4">
        <f>IF($K73="","",M73-X73)</f>
      </c>
      <c r="AG73" s="4">
        <f>IF($K73="","",Y73-AF73)</f>
      </c>
    </row>
    <row r="74" spans="1:3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IF($K74="","",(Y74-AF74)/J74*100)</f>
      </c>
      <c r="AA74" s="4">
        <f>IF($K74="","",M74-X74)</f>
      </c>
      <c r="AG74" s="4">
        <f>IF($K74="","",Y74-AF74)</f>
      </c>
    </row>
    <row r="75" spans="1:3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IF($K75="","",(Y75-AF75)/J75*100)</f>
      </c>
      <c r="AA75" s="4">
        <f>IF($K75="","",M75-X75)</f>
      </c>
      <c r="AG75" s="4">
        <f>IF($K75="","",Y75-AF75)</f>
      </c>
    </row>
    <row r="76" spans="1:3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IF($K76="","",(Y76-AF76)/J76*100)</f>
      </c>
      <c r="AA76" s="4">
        <f>IF($K76="","",M76-X76)</f>
      </c>
      <c r="AG76" s="4">
        <f>IF($K76="","",Y76-AF76)</f>
      </c>
    </row>
    <row r="77" spans="1:3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IF($K77="","",(Y77-AF77)/J77*100)</f>
      </c>
      <c r="AA77" s="4">
        <f>IF($K77="","",M77-X77)</f>
      </c>
      <c r="AG77" s="4">
        <f>IF($K77="","",Y77-AF77)</f>
      </c>
    </row>
    <row r="78" spans="1:3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IF($K78="","",(Y78-AF78)/J78*100)</f>
      </c>
      <c r="AA78" s="4">
        <f>IF($K78="","",M78-X78)</f>
      </c>
      <c r="AG78" s="4">
        <f>IF($K78="","",Y78-AF78)</f>
      </c>
    </row>
    <row r="79" spans="1:3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IF($K79="","",(Y79-AF79)/J79*100)</f>
      </c>
      <c r="AA79" s="4">
        <f>IF($K79="","",M79-X79)</f>
      </c>
      <c r="AG79" s="4">
        <f>IF($K79="","",Y79-AF79)</f>
      </c>
    </row>
    <row r="80" spans="1:3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IF($K80="","",(Y80-AF80)/J80*100)</f>
      </c>
      <c r="AA80" s="4">
        <f>IF($K80="","",M80-X80)</f>
      </c>
      <c r="AG80" s="4">
        <f>IF($K80="","",Y80-AF80)</f>
      </c>
    </row>
    <row r="81" spans="1:3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IF($K81="","",(Y81-AF81)/J81*100)</f>
      </c>
      <c r="AA81" s="4">
        <f>IF($K81="","",M81-X81)</f>
      </c>
      <c r="AG81" s="4">
        <f>IF($K81="","",Y81-AF81)</f>
      </c>
    </row>
    <row r="82" spans="1:3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IF($K82="","",(Y82-AF82)/J82*100)</f>
      </c>
      <c r="AA82" s="4">
        <f>IF($K82="","",M82-X82)</f>
      </c>
      <c r="AG82" s="4">
        <f>IF($K82="","",Y82-AF82)</f>
      </c>
    </row>
    <row r="83" spans="1:3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IF($K83="","",(Y83-AF83)/J83*100)</f>
      </c>
      <c r="AA83" s="4">
        <f>IF($K83="","",M83-X83)</f>
      </c>
      <c r="AG83" s="4">
        <f>IF($K83="","",Y83-AF83)</f>
      </c>
    </row>
    <row r="84" spans="1:3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IF($K84="","",(Y84-AF84)/J84*100)</f>
      </c>
      <c r="AA84" s="4">
        <f>IF($K84="","",M84-X84)</f>
      </c>
      <c r="AG84" s="4">
        <f>IF($K84="","",Y84-AF84)</f>
      </c>
    </row>
    <row r="85" spans="1:3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IF($K85="","",(Y85-AF85)/J85*100)</f>
      </c>
      <c r="AA85" s="4">
        <f>IF($K85="","",M85-X85)</f>
      </c>
      <c r="AG85" s="4">
        <f>IF($K85="","",Y85-AF85)</f>
      </c>
    </row>
    <row r="86" spans="1:3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IF($K86="","",(Y86-AF86)/J86*100)</f>
      </c>
      <c r="AA86" s="4">
        <f>IF($K86="","",M86-X86)</f>
      </c>
      <c r="AG86" s="4">
        <f>IF($K86="","",Y86-AF86)</f>
      </c>
    </row>
    <row r="87" spans="1:3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IF($K87="","",(Y87-AF87)/J87*100)</f>
      </c>
      <c r="AA87" s="4">
        <f>IF($K87="","",M87-X87)</f>
      </c>
      <c r="AG87" s="4">
        <f>IF($K87="","",Y87-AF87)</f>
      </c>
    </row>
    <row r="88" spans="1:3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IF($K88="","",(Y88-AF88)/J88*100)</f>
      </c>
      <c r="AA88" s="4">
        <f>IF($K88="","",M88-X88)</f>
      </c>
      <c r="AG88" s="4">
        <f>IF($K88="","",Y88-AF88)</f>
      </c>
    </row>
    <row r="89" spans="1:3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IF($K89="","",(Y89-AF89)/J89*100)</f>
      </c>
      <c r="AA89" s="4">
        <f>IF($K89="","",M89-X89)</f>
      </c>
      <c r="AG89" s="4">
        <f>IF($K89="","",Y89-AF89)</f>
      </c>
    </row>
    <row r="90" spans="1:3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IF($K90="","",(Y90-AF90)/J90*100)</f>
      </c>
      <c r="AA90" s="4">
        <f>IF($K90="","",M90-X90)</f>
      </c>
      <c r="AG90" s="4">
        <f>IF($K90="","",Y90-AF90)</f>
      </c>
    </row>
    <row r="91" spans="1:3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IF($K91="","",(Y91-AF91)/J91*100)</f>
      </c>
      <c r="AA91" s="4">
        <f>IF($K91="","",M91-X91)</f>
      </c>
      <c r="AG91" s="4">
        <f>IF($K91="","",Y91-AF91)</f>
      </c>
    </row>
    <row r="92" spans="1:3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IF($K92="","",(Y92-AF92)/J92*100)</f>
      </c>
      <c r="AA92" s="4">
        <f>IF($K92="","",M92-X92)</f>
      </c>
      <c r="AG92" s="4">
        <f>IF($K92="","",Y92-AF92)</f>
      </c>
    </row>
    <row r="93" spans="1:3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IF($K93="","",(Y93-AF93)/J93*100)</f>
      </c>
      <c r="AA93" s="4">
        <f>IF($K93="","",M93-X93)</f>
      </c>
      <c r="AG93" s="4">
        <f>IF($K93="","",Y93-AF93)</f>
      </c>
    </row>
    <row r="94" spans="1:3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IF($K94="","",(Y94-AF94)/J94*100)</f>
      </c>
      <c r="AA94" s="4">
        <f>IF($K94="","",M94-X94)</f>
      </c>
      <c r="AG94" s="4">
        <f>IF($K94="","",Y94-AF94)</f>
      </c>
    </row>
    <row r="95" spans="1:3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IF($K95="","",(Y95-AF95)/J95*100)</f>
      </c>
      <c r="AA95" s="4">
        <f>IF($K95="","",M95-X95)</f>
      </c>
      <c r="AG95" s="4">
        <f>IF($K95="","",Y95-AF95)</f>
      </c>
    </row>
    <row r="96" spans="1:3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IF($K96="","",(Y96-AF96)/J96*100)</f>
      </c>
      <c r="AA96" s="4">
        <f>IF($K96="","",M96-X96)</f>
      </c>
      <c r="AG96" s="4">
        <f>IF($K96="","",Y96-AF96)</f>
      </c>
    </row>
    <row r="97" spans="1:3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IF($K97="","",(Y97-AF97)/J97*100)</f>
      </c>
      <c r="AA97" s="4">
        <f>IF($K97="","",M97-X97)</f>
      </c>
      <c r="AG97" s="4">
        <f>IF($K97="","",Y97-AF97)</f>
      </c>
    </row>
    <row r="98" spans="1:3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IF($K98="","",(Y98-AF98)/J98*100)</f>
      </c>
      <c r="AA98" s="4">
        <f>IF($K98="","",M98-X98)</f>
      </c>
      <c r="AG98" s="4">
        <f>IF($K98="","",Y98-AF98)</f>
      </c>
    </row>
    <row r="99" spans="1:3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IF($K99="","",(Y99-AF99)/J99*100)</f>
      </c>
      <c r="AA99" s="4">
        <f>IF($K99="","",M99-X99)</f>
      </c>
      <c r="AG99" s="4">
        <f>IF($K99="","",Y99-AF99)</f>
      </c>
    </row>
    <row r="100" spans="1:3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IF($K100="","",(Y100-AF100)/J100*100)</f>
      </c>
      <c r="AA100" s="4">
        <f>IF($K100="","",M100-X100)</f>
      </c>
      <c r="AG100" s="4">
        <f>IF($K100="","",Y100-AF100)</f>
      </c>
    </row>
    <row r="101" spans="1:3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IF($K101="","",(Y101-AF101)/J101*100)</f>
      </c>
      <c r="AA101" s="4">
        <f>IF($K101="","",M101-X101)</f>
      </c>
      <c r="AG101" s="4">
        <f>IF($K101="","",Y101-AF101)</f>
      </c>
    </row>
    <row r="102" spans="1:3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IF($K102="","",(Y102-AF102)/J102*100)</f>
      </c>
      <c r="AA102" s="4">
        <f>IF($K102="","",M102-X102)</f>
      </c>
      <c r="AG102" s="4">
        <f>IF($K102="","",Y102-AF102)</f>
      </c>
    </row>
    <row r="103" spans="1:3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IF($K103="","",(Y103-AF103)/J103*100)</f>
      </c>
      <c r="AA103" s="4">
        <f>IF($K103="","",M103-X103)</f>
      </c>
      <c r="AG103" s="4">
        <f>IF($K103="","",Y103-AF103)</f>
      </c>
    </row>
    <row r="104" spans="1:3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IF($K104="","",(Y104-AF104)/J104*100)</f>
      </c>
      <c r="AA104" s="4">
        <f>IF($K104="","",M104-X104)</f>
      </c>
      <c r="AG104" s="4">
        <f>IF($K104="","",Y104-AF104)</f>
      </c>
    </row>
    <row r="105" spans="1:3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IF($K105="","",(Y105-AF105)/J105*100)</f>
      </c>
      <c r="AA105" s="4">
        <f>IF($K105="","",M105-X105)</f>
      </c>
      <c r="AG105" s="4">
        <f>IF($K105="","",Y105-AF105)</f>
      </c>
    </row>
    <row r="106" spans="1:3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IF($K106="","",(Y106-AF106)/J106*100)</f>
      </c>
      <c r="AA106" s="4">
        <f>IF($K106="","",M106-X106)</f>
      </c>
      <c r="AG106" s="4">
        <f>IF($K106="","",Y106-AF106)</f>
      </c>
    </row>
    <row r="107" spans="1:3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IF($K107="","",(Y107-AF107)/J107*100)</f>
      </c>
      <c r="AA107" s="4">
        <f>IF($K107="","",M107-X107)</f>
      </c>
      <c r="AG107" s="4">
        <f>IF($K107="","",Y107-AF107)</f>
      </c>
    </row>
    <row r="108" spans="1:3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IF($K108="","",(Y108-AF108)/J108*100)</f>
      </c>
      <c r="AA108" s="4">
        <f>IF($K108="","",M108-X108)</f>
      </c>
      <c r="AG108" s="4">
        <f>IF($K108="","",Y108-AF108)</f>
      </c>
    </row>
    <row r="109" spans="1:3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IF($K109="","",(Y109-AF109)/J109*100)</f>
      </c>
      <c r="AA109" s="4">
        <f>IF($K109="","",M109-X109)</f>
      </c>
      <c r="AG109" s="4">
        <f>IF($K109="","",Y109-AF109)</f>
      </c>
    </row>
    <row r="110" spans="1:3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IF($K110="","",(Y110-AF110)/J110*100)</f>
      </c>
      <c r="AA110" s="4">
        <f>IF($K110="","",M110-X110)</f>
      </c>
      <c r="AG110" s="4">
        <f>IF($K110="","",Y110-AF110)</f>
      </c>
    </row>
    <row r="111" spans="1:3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IF($K111="","",(Y111-AF111)/J111*100)</f>
      </c>
      <c r="AA111" s="4">
        <f>IF($K111="","",M111-X111)</f>
      </c>
      <c r="AG111" s="4">
        <f>IF($K111="","",Y111-AF111)</f>
      </c>
    </row>
    <row r="112" spans="1:3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IF($K112="","",(Y112-AF112)/J112*100)</f>
      </c>
      <c r="AA112" s="4">
        <f>IF($K112="","",M112-X112)</f>
      </c>
      <c r="AG112" s="4">
        <f>IF($K112="","",Y112-AF112)</f>
      </c>
    </row>
    <row r="113" spans="1:3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IF($K113="","",(Y113-AF113)/J113*100)</f>
      </c>
      <c r="AA113" s="4">
        <f>IF($K113="","",M113-X113)</f>
      </c>
      <c r="AG113" s="4">
        <f>IF($K113="","",Y113-AF113)</f>
      </c>
    </row>
    <row r="114" spans="1:3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IF($K114="","",(Y114-AF114)/J114*100)</f>
      </c>
      <c r="AA114" s="4">
        <f>IF($K114="","",M114-X114)</f>
      </c>
      <c r="AG114" s="4">
        <f>IF($K114="","",Y114-AF114)</f>
      </c>
    </row>
    <row r="115" spans="1:3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IF($K115="","",(Y115-AF115)/J115*100)</f>
      </c>
      <c r="AA115" s="4">
        <f>IF($K115="","",M115-X115)</f>
      </c>
      <c r="AG115" s="4">
        <f>IF($K115="","",Y115-AF115)</f>
      </c>
    </row>
    <row r="116" spans="1:3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IF($K116="","",(Y116-AF116)/J116*100)</f>
      </c>
      <c r="AA116" s="4">
        <f>IF($K116="","",M116-X116)</f>
      </c>
      <c r="AG116" s="4">
        <f>IF($K116="","",Y116-AF116)</f>
      </c>
    </row>
    <row r="117" spans="1:3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IF($K117="","",(Y117-AF117)/J117*100)</f>
      </c>
      <c r="AA117" s="4">
        <f>IF($K117="","",M117-X117)</f>
      </c>
      <c r="AG117" s="4">
        <f>IF($K117="","",Y117-AF117)</f>
      </c>
    </row>
    <row r="118" spans="1:3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IF($K118="","",(Y118-AF118)/J118*100)</f>
      </c>
      <c r="AA118" s="4">
        <f>IF($K118="","",M118-X118)</f>
      </c>
      <c r="AG118" s="4">
        <f>IF($K118="","",Y118-AF118)</f>
      </c>
    </row>
    <row r="119" spans="1:3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IF($K119="","",(Y119-AF119)/J119*100)</f>
      </c>
      <c r="AA119" s="4">
        <f>IF($K119="","",M119-X119)</f>
      </c>
      <c r="AG119" s="4">
        <f>IF($K119="","",Y119-AF119)</f>
      </c>
    </row>
    <row r="120" spans="1:3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IF($K120="","",(Y120-AF120)/J120*100)</f>
      </c>
      <c r="AA120" s="4">
        <f>IF($K120="","",M120-X120)</f>
      </c>
      <c r="AG120" s="4">
        <f>IF($K120="","",Y120-AF120)</f>
      </c>
    </row>
    <row r="121" spans="1:3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IF($K121="","",(Y121-AF121)/J121*100)</f>
      </c>
      <c r="AA121" s="4">
        <f>IF($K121="","",M121-X121)</f>
      </c>
      <c r="AG121" s="4">
        <f>IF($K121="","",Y121-AF121)</f>
      </c>
    </row>
    <row r="122" spans="1:3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IF($K122="","",(Y122-AF122)/J122*100)</f>
      </c>
      <c r="AA122" s="4">
        <f>IF($K122="","",M122-X122)</f>
      </c>
      <c r="AG122" s="4">
        <f>IF($K122="","",Y122-AF122)</f>
      </c>
    </row>
    <row r="123" spans="1:3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IF($K123="","",(Y123-AF123)/J123*100)</f>
      </c>
      <c r="AA123" s="4">
        <f>IF($K123="","",M123-X123)</f>
      </c>
      <c r="AG123" s="4">
        <f>IF($K123="","",Y123-AF123)</f>
      </c>
    </row>
    <row r="124" spans="1:3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IF($K124="","",(Y124-AF124)/J124*100)</f>
      </c>
      <c r="AA124" s="4">
        <f>IF($K124="","",M124-X124)</f>
      </c>
      <c r="AG124" s="4">
        <f>IF($K124="","",Y124-AF124)</f>
      </c>
    </row>
    <row r="125" spans="1:3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IF($K125="","",(Y125-AF125)/J125*100)</f>
      </c>
      <c r="AA125" s="4">
        <f>IF($K125="","",M125-X125)</f>
      </c>
      <c r="AG125" s="4">
        <f>IF($K125="","",Y125-AF125)</f>
      </c>
    </row>
    <row r="126" spans="1:3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IF($K126="","",(Y126-AF126)/J126*100)</f>
      </c>
      <c r="AA126" s="4">
        <f>IF($K126="","",M126-X126)</f>
      </c>
      <c r="AG126" s="4">
        <f>IF($K126="","",Y126-AF126)</f>
      </c>
    </row>
    <row r="127" spans="1:3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IF($K127="","",(Y127-AF127)/J127*100)</f>
      </c>
      <c r="AA127" s="4">
        <f>IF($K127="","",M127-X127)</f>
      </c>
      <c r="AG127" s="4">
        <f>IF($K127="","",Y127-AF127)</f>
      </c>
    </row>
    <row r="128" spans="1:3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IF($K128="","",(Y128-AF128)/J128*100)</f>
      </c>
      <c r="AA128" s="4">
        <f>IF($K128="","",M128-X128)</f>
      </c>
      <c r="AG128" s="4">
        <f>IF($K128="","",Y128-AF128)</f>
      </c>
    </row>
    <row r="129" spans="1:3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IF($K129="","",(Y129-AF129)/J129*100)</f>
      </c>
      <c r="AA129" s="4">
        <f>IF($K129="","",M129-X129)</f>
      </c>
      <c r="AG129" s="4">
        <f>IF($K129="","",Y129-AF129)</f>
      </c>
    </row>
    <row r="130" spans="1:3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IF($K130="","",(Y130-AF130)/J130*100)</f>
      </c>
      <c r="AA130" s="4">
        <f>IF($K130="","",M130-X130)</f>
      </c>
      <c r="AG130" s="4">
        <f>IF($K130="","",Y130-AF130)</f>
      </c>
    </row>
    <row r="131" spans="1:3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IF($K131="","",(Y131-AF131)/J131*100)</f>
      </c>
      <c r="AA131" s="4">
        <f>IF($K131="","",M131-X131)</f>
      </c>
      <c r="AG131" s="4">
        <f>IF($K131="","",Y131-AF131)</f>
      </c>
    </row>
    <row r="132" spans="1:3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IF($K132="","",(Y132-AF132)/J132*100)</f>
      </c>
      <c r="AA132" s="4">
        <f>IF($K132="","",M132-X132)</f>
      </c>
      <c r="AG132" s="4">
        <f>IF($K132="","",Y132-AF132)</f>
      </c>
    </row>
    <row r="133" spans="1:3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IF($K133="","",(Y133-AF133)/J133*100)</f>
      </c>
      <c r="AA133" s="4">
        <f>IF($K133="","",M133-X133)</f>
      </c>
      <c r="AG133" s="4">
        <f>IF($K133="","",Y133-AF133)</f>
      </c>
    </row>
    <row r="134" spans="1:3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IF($K134="","",(Y134-AF134)/J134*100)</f>
      </c>
      <c r="AA134" s="4">
        <f>IF($K134="","",M134-X134)</f>
      </c>
      <c r="AG134" s="4">
        <f>IF($K134="","",Y134-AF134)</f>
      </c>
    </row>
    <row r="135" spans="1:3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IF($K135="","",(Y135-AF135)/J135*100)</f>
      </c>
      <c r="AA135" s="4">
        <f>IF($K135="","",M135-X135)</f>
      </c>
      <c r="AG135" s="4">
        <f>IF($K135="","",Y135-AF135)</f>
      </c>
    </row>
    <row r="136" spans="1:3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IF($K136="","",(Y136-AF136)/J136*100)</f>
      </c>
      <c r="AA136" s="4">
        <f>IF($K136="","",M136-X136)</f>
      </c>
      <c r="AG136" s="4">
        <f>IF($K136="","",Y136-AF136)</f>
      </c>
    </row>
    <row r="137" spans="1:3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IF($K137="","",(Y137-AF137)/J137*100)</f>
      </c>
      <c r="AA137" s="4">
        <f>IF($K137="","",M137-X137)</f>
      </c>
      <c r="AG137" s="4">
        <f>IF($K137="","",Y137-AF137)</f>
      </c>
    </row>
    <row r="138" spans="1:3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IF($K138="","",(Y138-AF138)/J138*100)</f>
      </c>
      <c r="AA138" s="4">
        <f>IF($K138="","",M138-X138)</f>
      </c>
      <c r="AG138" s="4">
        <f>IF($K138="","",Y138-AF138)</f>
      </c>
    </row>
    <row r="139" spans="1:3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IF($K139="","",(Y139-AF139)/J139*100)</f>
      </c>
      <c r="AA139" s="4">
        <f>IF($K139="","",M139-X139)</f>
      </c>
      <c r="AG139" s="4">
        <f>IF($K139="","",Y139-AF139)</f>
      </c>
    </row>
    <row r="140" spans="1:3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IF($K140="","",(Y140-AF140)/J140*100)</f>
      </c>
      <c r="AA140" s="4">
        <f>IF($K140="","",M140-X140)</f>
      </c>
      <c r="AG140" s="4">
        <f>IF($K140="","",Y140-AF140)</f>
      </c>
    </row>
    <row r="141" spans="1:3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IF($K141="","",(Y141-AF141)/J141*100)</f>
      </c>
      <c r="AA141" s="4">
        <f>IF($K141="","",M141-X141)</f>
      </c>
      <c r="AG141" s="4">
        <f>IF($K141="","",Y141-AF141)</f>
      </c>
    </row>
    <row r="142" spans="1:3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IF($K142="","",(Y142-AF142)/J142*100)</f>
      </c>
      <c r="AA142" s="4">
        <f>IF($K142="","",M142-X142)</f>
      </c>
      <c r="AG142" s="4">
        <f>IF($K142="","",Y142-AF142)</f>
      </c>
    </row>
    <row r="143" spans="1:3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IF($K143="","",(Y143-AF143)/J143*100)</f>
      </c>
      <c r="AA143" s="4">
        <f>IF($K143="","",M143-X143)</f>
      </c>
      <c r="AG143" s="4">
        <f>IF($K143="","",Y143-AF143)</f>
      </c>
    </row>
    <row r="144" spans="1:3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IF($K144="","",(Y144-AF144)/J144*100)</f>
      </c>
      <c r="AA144" s="4">
        <f>IF($K144="","",M144-X144)</f>
      </c>
      <c r="AG144" s="4">
        <f>IF($K144="","",Y144-AF144)</f>
      </c>
    </row>
    <row r="145" spans="1:3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IF($K145="","",(Y145-AF145)/J145*100)</f>
      </c>
      <c r="AA145" s="4">
        <f>IF($K145="","",M145-X145)</f>
      </c>
      <c r="AG145" s="4">
        <f>IF($K145="","",Y145-AF145)</f>
      </c>
    </row>
    <row r="146" spans="1:3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IF($K146="","",(Y146-AF146)/J146*100)</f>
      </c>
      <c r="AA146" s="4">
        <f>IF($K146="","",M146-X146)</f>
      </c>
      <c r="AG146" s="4">
        <f>IF($K146="","",Y146-AF146)</f>
      </c>
    </row>
    <row r="147" spans="1:3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IF($K147="","",(Y147-AF147)/J147*100)</f>
      </c>
      <c r="AA147" s="4">
        <f>IF($K147="","",M147-X147)</f>
      </c>
      <c r="AG147" s="4">
        <f>IF($K147="","",Y147-AF147)</f>
      </c>
    </row>
    <row r="148" spans="1:3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IF($K148="","",(Y148-AF148)/J148*100)</f>
      </c>
      <c r="AA148" s="4">
        <f>IF($K148="","",M148-X148)</f>
      </c>
      <c r="AG148" s="4">
        <f>IF($K148="","",Y148-AF148)</f>
      </c>
    </row>
    <row r="149" spans="1:3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IF($K149="","",(Y149-AF149)/J149*100)</f>
      </c>
      <c r="AA149" s="4">
        <f>IF($K149="","",M149-X149)</f>
      </c>
      <c r="AG149" s="4">
        <f>IF($K149="","",Y149-AF149)</f>
      </c>
    </row>
    <row r="150" spans="1:3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IF($K150="","",(Y150-AF150)/J150*100)</f>
      </c>
      <c r="AA150" s="4">
        <f>IF($K150="","",M150-X150)</f>
      </c>
      <c r="AG150" s="4">
        <f>IF($K150="","",Y150-AF150)</f>
      </c>
    </row>
    <row r="151" spans="1:3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IF($K151="","",(Y151-AF151)/J151*100)</f>
      </c>
      <c r="AA151" s="4">
        <f>IF($K151="","",M151-X151)</f>
      </c>
      <c r="AG151" s="4">
        <f>IF($K151="","",Y151-AF151)</f>
      </c>
    </row>
    <row r="152" spans="1:3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IF($K152="","",(Y152-AF152)/J152*100)</f>
      </c>
      <c r="AA152" s="4">
        <f>IF($K152="","",M152-X152)</f>
      </c>
      <c r="AG152" s="4">
        <f>IF($K152="","",Y152-AF152)</f>
      </c>
    </row>
    <row r="153" spans="1:3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IF($K153="","",(Y153-AF153)/J153*100)</f>
      </c>
      <c r="AA153" s="4">
        <f>IF($K153="","",M153-X153)</f>
      </c>
      <c r="AG153" s="4">
        <f>IF($K153="","",Y153-AF153)</f>
      </c>
    </row>
    <row r="154" spans="1:3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IF($K154="","",(Y154-AF154)/J154*100)</f>
      </c>
      <c r="AA154" s="4">
        <f>IF($K154="","",M154-X154)</f>
      </c>
      <c r="AG154" s="4">
        <f>IF($K154="","",Y154-AF154)</f>
      </c>
    </row>
    <row r="155" spans="1:3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IF($K155="","",(Y155-AF155)/J155*100)</f>
      </c>
      <c r="AA155" s="4">
        <f>IF($K155="","",M155-X155)</f>
      </c>
      <c r="AG155" s="4">
        <f>IF($K155="","",Y155-AF155)</f>
      </c>
    </row>
    <row r="156" spans="1:3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IF($K156="","",(Y156-AF156)/J156*100)</f>
      </c>
      <c r="AA156" s="4">
        <f>IF($K156="","",M156-X156)</f>
      </c>
      <c r="AG156" s="4">
        <f>IF($K156="","",Y156-AF156)</f>
      </c>
    </row>
    <row r="157" spans="1:3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IF($K157="","",(Y157-AF157)/J157*100)</f>
      </c>
      <c r="AA157" s="4">
        <f>IF($K157="","",M157-X157)</f>
      </c>
      <c r="AG157" s="4">
        <f>IF($K157="","",Y157-AF157)</f>
      </c>
    </row>
    <row r="158" spans="1:3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IF($K158="","",(Y158-AF158)/J158*100)</f>
      </c>
      <c r="AA158" s="4">
        <f>IF($K158="","",M158-X158)</f>
      </c>
      <c r="AG158" s="4">
        <f>IF($K158="","",Y158-AF158)</f>
      </c>
    </row>
    <row r="159" spans="1:3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IF($K159="","",(Y159-AF159)/J159*100)</f>
      </c>
      <c r="AA159" s="4">
        <f>IF($K159="","",M159-X159)</f>
      </c>
      <c r="AG159" s="4">
        <f>IF($K159="","",Y159-AF159)</f>
      </c>
    </row>
    <row r="160" spans="1:3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IF($K160="","",(Y160-AF160)/J160*100)</f>
      </c>
      <c r="AA160" s="4">
        <f>IF($K160="","",M160-X160)</f>
      </c>
      <c r="AG160" s="4">
        <f>IF($K160="","",Y160-AF160)</f>
      </c>
    </row>
    <row r="161" spans="1:3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IF($K161="","",(Y161-AF161)/J161*100)</f>
      </c>
      <c r="AA161" s="4">
        <f>IF($K161="","",M161-X161)</f>
      </c>
      <c r="AG161" s="4">
        <f>IF($K161="","",Y161-AF161)</f>
      </c>
    </row>
    <row r="162" spans="1:3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IF($K162="","",(Y162-AF162)/J162*100)</f>
      </c>
      <c r="AA162" s="4">
        <f>IF($K162="","",M162-X162)</f>
      </c>
      <c r="AG162" s="4">
        <f>IF($K162="","",Y162-AF162)</f>
      </c>
    </row>
    <row r="163" spans="1:3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IF($K163="","",(Y163-AF163)/J163*100)</f>
      </c>
      <c r="AA163" s="4">
        <f>IF($K163="","",M163-X163)</f>
      </c>
      <c r="AG163" s="4">
        <f>IF($K163="","",Y163-AF163)</f>
      </c>
    </row>
    <row r="164" spans="1:3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IF($K164="","",(Y164-AF164)/J164*100)</f>
      </c>
      <c r="AA164" s="4">
        <f>IF($K164="","",M164-X164)</f>
      </c>
      <c r="AG164" s="4">
        <f>IF($K164="","",Y164-AF164)</f>
      </c>
    </row>
    <row r="165" spans="1:3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IF($K165="","",(Y165-AF165)/J165*100)</f>
      </c>
      <c r="AA165" s="4">
        <f>IF($K165="","",M165-X165)</f>
      </c>
      <c r="AG165" s="4">
        <f>IF($K165="","",Y165-AF165)</f>
      </c>
    </row>
    <row r="166" spans="1:3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IF($K166="","",(Y166-AF166)/J166*100)</f>
      </c>
      <c r="AA166" s="4">
        <f>IF($K166="","",M166-X166)</f>
      </c>
      <c r="AG166" s="4">
        <f>IF($K166="","",Y166-AF166)</f>
      </c>
    </row>
    <row r="167" spans="1:3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IF($K167="","",(Y167-AF167)/J167*100)</f>
      </c>
      <c r="AA167" s="4">
        <f>IF($K167="","",M167-X167)</f>
      </c>
      <c r="AG167" s="4">
        <f>IF($K167="","",Y167-AF167)</f>
      </c>
    </row>
    <row r="168" spans="1:3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IF($K168="","",(Y168-AF168)/J168*100)</f>
      </c>
      <c r="AA168" s="4">
        <f>IF($K168="","",M168-X168)</f>
      </c>
      <c r="AG168" s="4">
        <f>IF($K168="","",Y168-AF168)</f>
      </c>
    </row>
    <row r="169" spans="1:3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IF($K169="","",(Y169-AF169)/J169*100)</f>
      </c>
      <c r="AA169" s="4">
        <f>IF($K169="","",M169-X169)</f>
      </c>
      <c r="AG169" s="4">
        <f>IF($K169="","",Y169-AF169)</f>
      </c>
    </row>
    <row r="170" spans="1:3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IF($K170="","",(Y170-AF170)/J170*100)</f>
      </c>
      <c r="AA170" s="4">
        <f>IF($K170="","",M170-X170)</f>
      </c>
      <c r="AG170" s="4">
        <f>IF($K170="","",Y170-AF170)</f>
      </c>
    </row>
    <row r="171" spans="1:3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IF($K171="","",(Y171-AF171)/J171*100)</f>
      </c>
      <c r="AA171" s="4">
        <f>IF($K171="","",M171-X171)</f>
      </c>
      <c r="AG171" s="4">
        <f>IF($K171="","",Y171-AF171)</f>
      </c>
    </row>
    <row r="172" spans="1:3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IF($K172="","",(Y172-AF172)/J172*100)</f>
      </c>
      <c r="AA172" s="4">
        <f>IF($K172="","",M172-X172)</f>
      </c>
      <c r="AG172" s="4">
        <f>IF($K172="","",Y172-AF172)</f>
      </c>
    </row>
    <row r="173" spans="1:3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IF($K173="","",(Y173-AF173)/J173*100)</f>
      </c>
      <c r="AA173" s="4">
        <f>IF($K173="","",M173-X173)</f>
      </c>
      <c r="AG173" s="4">
        <f>IF($K173="","",Y173-AF173)</f>
      </c>
    </row>
    <row r="174" spans="1:3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IF($K174="","",(Y174-AF174)/J174*100)</f>
      </c>
      <c r="AA174" s="4">
        <f>IF($K174="","",M174-X174)</f>
      </c>
      <c r="AG174" s="4">
        <f>IF($K174="","",Y174-AF174)</f>
      </c>
    </row>
    <row r="175" spans="1:3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IF($K175="","",(Y175-AF175)/J175*100)</f>
      </c>
      <c r="AA175" s="4">
        <f>IF($K175="","",M175-X175)</f>
      </c>
      <c r="AG175" s="4">
        <f>IF($K175="","",Y175-AF175)</f>
      </c>
    </row>
    <row r="176" spans="1:3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IF($K176="","",(Y176-AF176)/J176*100)</f>
      </c>
      <c r="AA176" s="4">
        <f>IF($K176="","",M176-X176)</f>
      </c>
      <c r="AG176" s="4">
        <f>IF($K176="","",Y176-AF176)</f>
      </c>
    </row>
    <row r="177" spans="1:3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IF($K177="","",(Y177-AF177)/J177*100)</f>
      </c>
      <c r="AA177" s="4">
        <f>IF($K177="","",M177-X177)</f>
      </c>
      <c r="AG177" s="4">
        <f>IF($K177="","",Y177-AF177)</f>
      </c>
    </row>
    <row r="178" spans="1:3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IF($K178="","",(Y178-AF178)/J178*100)</f>
      </c>
      <c r="AA178" s="4">
        <f>IF($K178="","",M178-X178)</f>
      </c>
      <c r="AG178" s="4">
        <f>IF($K178="","",Y178-AF178)</f>
      </c>
    </row>
    <row r="179" spans="1:3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IF($K179="","",(Y179-AF179)/J179*100)</f>
      </c>
      <c r="AA179" s="4">
        <f>IF($K179="","",M179-X179)</f>
      </c>
      <c r="AG179" s="4">
        <f>IF($K179="","",Y179-AF179)</f>
      </c>
    </row>
    <row r="180" spans="1:3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IF($K180="","",(Y180-AF180)/J180*100)</f>
      </c>
      <c r="AA180" s="4">
        <f>IF($K180="","",M180-X180)</f>
      </c>
      <c r="AG180" s="4">
        <f>IF($K180="","",Y180-AF180)</f>
      </c>
    </row>
    <row r="181" spans="1:3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IF($K181="","",(Y181-AF181)/J181*100)</f>
      </c>
      <c r="AA181" s="4">
        <f>IF($K181="","",M181-X181)</f>
      </c>
      <c r="AG181" s="4">
        <f>IF($K181="","",Y181-AF181)</f>
      </c>
    </row>
    <row r="182" spans="1:3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IF($K182="","",(Y182-AF182)/J182*100)</f>
      </c>
      <c r="AA182" s="4">
        <f>IF($K182="","",M182-X182)</f>
      </c>
      <c r="AG182" s="4">
        <f>IF($K182="","",Y182-AF182)</f>
      </c>
    </row>
    <row r="183" spans="1:3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IF($K183="","",(Y183-AF183)/J183*100)</f>
      </c>
      <c r="AA183" s="4">
        <f>IF($K183="","",M183-X183)</f>
      </c>
      <c r="AG183" s="4">
        <f>IF($K183="","",Y183-AF183)</f>
      </c>
    </row>
    <row r="184" spans="1:3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IF($K184="","",(Y184-AF184)/J184*100)</f>
      </c>
      <c r="AA184" s="4">
        <f>IF($K184="","",M184-X184)</f>
      </c>
      <c r="AG184" s="4">
        <f>IF($K184="","",Y184-AF184)</f>
      </c>
    </row>
    <row r="185" spans="1:3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IF($K185="","",(Y185-AF185)/J185*100)</f>
      </c>
      <c r="AA185" s="4">
        <f>IF($K185="","",M185-X185)</f>
      </c>
      <c r="AG185" s="4">
        <f>IF($K185="","",Y185-AF185)</f>
      </c>
    </row>
    <row r="186" spans="1:3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IF($K186="","",(Y186-AF186)/J186*100)</f>
      </c>
      <c r="AA186" s="4">
        <f>IF($K186="","",M186-X186)</f>
      </c>
      <c r="AG186" s="4">
        <f>IF($K186="","",Y186-AF186)</f>
      </c>
    </row>
    <row r="187" spans="1:3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IF($K187="","",(Y187-AF187)/J187*100)</f>
      </c>
      <c r="AA187" s="4">
        <f>IF($K187="","",M187-X187)</f>
      </c>
      <c r="AG187" s="4">
        <f>IF($K187="","",Y187-AF187)</f>
      </c>
    </row>
    <row r="188" spans="1:3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IF($K188="","",(Y188-AF188)/J188*100)</f>
      </c>
      <c r="AA188" s="4">
        <f>IF($K188="","",M188-X188)</f>
      </c>
      <c r="AG188" s="4">
        <f>IF($K188="","",Y188-AF188)</f>
      </c>
    </row>
    <row r="189" spans="1:3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IF($K189="","",(Y189-AF189)/J189*100)</f>
      </c>
      <c r="AA189" s="4">
        <f>IF($K189="","",M189-X189)</f>
      </c>
      <c r="AG189" s="4">
        <f>IF($K189="","",Y189-AF189)</f>
      </c>
    </row>
    <row r="190" spans="1:3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IF($K190="","",(Y190-AF190)/J190*100)</f>
      </c>
      <c r="AA190" s="4">
        <f>IF($K190="","",M190-X190)</f>
      </c>
      <c r="AG190" s="4">
        <f>IF($K190="","",Y190-AF190)</f>
      </c>
    </row>
    <row r="191" spans="1:3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IF($K191="","",(Y191-AF191)/J191*100)</f>
      </c>
      <c r="AA191" s="4">
        <f>IF($K191="","",M191-X191)</f>
      </c>
      <c r="AG191" s="4">
        <f>IF($K191="","",Y191-AF191)</f>
      </c>
    </row>
    <row r="192" spans="1:3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IF($K192="","",(Y192-AF192)/J192*100)</f>
      </c>
      <c r="AA192" s="4">
        <f>IF($K192="","",M192-X192)</f>
      </c>
      <c r="AG192" s="4">
        <f>IF($K192="","",Y192-AF192)</f>
      </c>
    </row>
    <row r="193" spans="1:3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IF($K193="","",(Y193-AF193)/J193*100)</f>
      </c>
      <c r="AA193" s="4">
        <f>IF($K193="","",M193-X193)</f>
      </c>
      <c r="AG193" s="4">
        <f>IF($K193="","",Y193-AF193)</f>
      </c>
    </row>
    <row r="194" spans="1:3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IF($K194="","",(Y194-AF194)/J194*100)</f>
      </c>
      <c r="AA194" s="4">
        <f>IF($K194="","",M194-X194)</f>
      </c>
      <c r="AG194" s="4">
        <f>IF($K194="","",Y194-AF194)</f>
      </c>
    </row>
    <row r="195" spans="1:3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IF($K195="","",(Y195-AF195)/J195*100)</f>
      </c>
      <c r="AA195" s="4">
        <f>IF($K195="","",M195-X195)</f>
      </c>
      <c r="AG195" s="4">
        <f>IF($K195="","",Y195-AF195)</f>
      </c>
    </row>
    <row r="196" spans="1:3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IF($K196="","",(Y196-AF196)/J196*100)</f>
      </c>
      <c r="AA196" s="4">
        <f>IF($K196="","",M196-X196)</f>
      </c>
      <c r="AG196" s="4">
        <f>IF($K196="","",Y196-AF196)</f>
      </c>
    </row>
    <row r="197" spans="1:3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IF($K197="","",(Y197-AF197)/J197*100)</f>
      </c>
      <c r="AA197" s="4">
        <f>IF($K197="","",M197-X197)</f>
      </c>
      <c r="AG197" s="4">
        <f>IF($K197="","",Y197-AF197)</f>
      </c>
    </row>
    <row r="198" spans="1:3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IF($K198="","",(Y198-AF198)/J198*100)</f>
      </c>
      <c r="AA198" s="4">
        <f>IF($K198="","",M198-X198)</f>
      </c>
      <c r="AG198" s="4">
        <f>IF($K198="","",Y198-AF198)</f>
      </c>
    </row>
    <row r="199" spans="1:3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IF($K199="","",(Y199-AF199)/J199*100)</f>
      </c>
      <c r="AA199" s="4">
        <f>IF($K199="","",M199-X199)</f>
      </c>
      <c r="AG199" s="4">
        <f>IF($K199="","",Y199-AF199)</f>
      </c>
    </row>
    <row r="200" spans="1:3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IF($K200="","",(Y200-AF200)/J200*100)</f>
      </c>
      <c r="AA200" s="4">
        <f>IF($K200="","",M200-X200)</f>
      </c>
      <c r="AG200" s="4">
        <f>IF($K200="","",Y200-AF200)</f>
      </c>
    </row>
    <row r="201" spans="1:3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IF($K201="","",(Y201-AF201)/J201*100)</f>
      </c>
      <c r="AA201" s="4">
        <f>IF($K201="","",M201-X201)</f>
      </c>
      <c r="AG201" s="4">
        <f>IF($K201="","",Y201-AF201)</f>
      </c>
    </row>
    <row r="202" spans="1:3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IFERROR((Y202-AF202)/K202*100,0)</f>
      </c>
      <c r="AA202" s="14">
        <f>SUM(AA2:AA201)</f>
      </c>
      <c r="AB202" s="14">
        <f>SUM(AB2:AB201)</f>
      </c>
      <c r="AC202" s="14">
        <f>SUM(AC2:AC201)</f>
      </c>
      <c r="AD202" s="14">
        <f>SUM(AD2:AD201)</f>
      </c>
      <c r="AE202" s="14">
        <f>SUM(AE2:AE201)</f>
      </c>
      <c r="AF202" s="14">
        <f>SUM(AF2:AF201)</f>
      </c>
      <c r="AG202" s="14">
        <f>SUM(AG2:AG201)</f>
      </c>
      <c r="AH202" s="7"/>
      <c r="AI202" s="7"/>
      <c r="AJ202" s="7"/>
      <c r="AK202" s="7"/>
      <c r="AL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2"/>
  <sheetFormatPr defaultRowHeight="15" outlineLevelRow="0" outlineLevelCol="0" x14ac:dyDescent="55"/>
  <sheetData>
    <row r="1" spans="1:32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76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11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</row>
    <row r="2" spans="1:32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IF($J2="","",(S2-Z2)/I2*100)</f>
      </c>
      <c r="U2" s="4">
        <f>IF($J2="","",L2-R2)</f>
      </c>
      <c r="AA2" s="4">
        <f>IF($J2="","",S2-Z2)</f>
      </c>
    </row>
    <row r="3" spans="1:32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IF($J3="","",(S3-Z3)/I3*100)</f>
      </c>
      <c r="U3" s="4">
        <f>IF($J3="","",L3-R3)</f>
      </c>
      <c r="AA3" s="4">
        <f>IF($J3="","",S3-Z3)</f>
      </c>
    </row>
    <row r="4" spans="1:32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IF($J4="","",(S4-Z4)/I4*100)</f>
      </c>
      <c r="U4" s="4">
        <f>IF($J4="","",L4-R4)</f>
      </c>
      <c r="AA4" s="4">
        <f>IF($J4="","",S4-Z4)</f>
      </c>
    </row>
    <row r="5" spans="1:32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IF($J5="","",(S5-Z5)/I5*100)</f>
      </c>
      <c r="U5" s="4">
        <f>IF($J5="","",L5-R5)</f>
      </c>
      <c r="AA5" s="4">
        <f>IF($J5="","",S5-Z5)</f>
      </c>
    </row>
    <row r="6" spans="1:32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IF($J6="","",(S6-Z6)/I6*100)</f>
      </c>
      <c r="U6" s="4">
        <f>IF($J6="","",L6-R6)</f>
      </c>
      <c r="AA6" s="4">
        <f>IF($J6="","",S6-Z6)</f>
      </c>
    </row>
    <row r="7" spans="1:32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IF($J7="","",(S7-Z7)/I7*100)</f>
      </c>
      <c r="U7" s="4">
        <f>IF($J7="","",L7-R7)</f>
      </c>
      <c r="AA7" s="4">
        <f>IF($J7="","",S7-Z7)</f>
      </c>
    </row>
    <row r="8" spans="1:32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IF($J8="","",(S8-Z8)/I8*100)</f>
      </c>
      <c r="U8" s="4">
        <f>IF($J8="","",L8-R8)</f>
      </c>
      <c r="AA8" s="4">
        <f>IF($J8="","",S8-Z8)</f>
      </c>
    </row>
    <row r="9" spans="1:32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IF($J9="","",(S9-Z9)/I9*100)</f>
      </c>
      <c r="U9" s="4">
        <f>IF($J9="","",L9-R9)</f>
      </c>
      <c r="AA9" s="4">
        <f>IF($J9="","",S9-Z9)</f>
      </c>
    </row>
    <row r="10" spans="1:32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IF($J10="","",(S10-Z10)/I10*100)</f>
      </c>
      <c r="U10" s="4">
        <f>IF($J10="","",L10-R10)</f>
      </c>
      <c r="AA10" s="4">
        <f>IF($J10="","",S10-Z10)</f>
      </c>
    </row>
    <row r="11" spans="1:32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IF($J11="","",(S11-Z11)/I11*100)</f>
      </c>
      <c r="U11" s="4">
        <f>IF($J11="","",L11-R11)</f>
      </c>
      <c r="AA11" s="4">
        <f>IF($J11="","",S11-Z11)</f>
      </c>
    </row>
    <row r="12" spans="1:32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IF($J12="","",(S12-Z12)/I12*100)</f>
      </c>
      <c r="U12" s="4">
        <f>IF($J12="","",L12-R12)</f>
      </c>
      <c r="AA12" s="4">
        <f>IF($J12="","",S12-Z12)</f>
      </c>
    </row>
    <row r="13" spans="1:32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IF($J13="","",(S13-Z13)/I13*100)</f>
      </c>
      <c r="U13" s="4">
        <f>IF($J13="","",L13-R13)</f>
      </c>
      <c r="AA13" s="4">
        <f>IF($J13="","",S13-Z13)</f>
      </c>
    </row>
    <row r="14" spans="1:32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IF($J14="","",(S14-Z14)/I14*100)</f>
      </c>
      <c r="U14" s="4">
        <f>IF($J14="","",L14-R14)</f>
      </c>
      <c r="AA14" s="4">
        <f>IF($J14="","",S14-Z14)</f>
      </c>
    </row>
    <row r="15" spans="1:32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IF($J15="","",(S15-Z15)/I15*100)</f>
      </c>
      <c r="U15" s="4">
        <f>IF($J15="","",L15-R15)</f>
      </c>
      <c r="AA15" s="4">
        <f>IF($J15="","",S15-Z15)</f>
      </c>
    </row>
    <row r="16" spans="1:32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IF($J16="","",(S16-Z16)/I16*100)</f>
      </c>
      <c r="U16" s="4">
        <f>IF($J16="","",L16-R16)</f>
      </c>
      <c r="AA16" s="4">
        <f>IF($J16="","",S16-Z16)</f>
      </c>
    </row>
    <row r="17" spans="1:32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IF($J17="","",(S17-Z17)/I17*100)</f>
      </c>
      <c r="U17" s="4">
        <f>IF($J17="","",L17-R17)</f>
      </c>
      <c r="AA17" s="4">
        <f>IF($J17="","",S17-Z17)</f>
      </c>
    </row>
    <row r="18" spans="1:32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IF($J18="","",(S18-Z18)/I18*100)</f>
      </c>
      <c r="U18" s="4">
        <f>IF($J18="","",L18-R18)</f>
      </c>
      <c r="AA18" s="4">
        <f>IF($J18="","",S18-Z18)</f>
      </c>
    </row>
    <row r="19" spans="1:32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IF($J19="","",(S19-Z19)/I19*100)</f>
      </c>
      <c r="U19" s="4">
        <f>IF($J19="","",L19-R19)</f>
      </c>
      <c r="AA19" s="4">
        <f>IF($J19="","",S19-Z19)</f>
      </c>
    </row>
    <row r="20" spans="1:32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IF($J20="","",(S20-Z20)/I20*100)</f>
      </c>
      <c r="U20" s="4">
        <f>IF($J20="","",L20-R20)</f>
      </c>
      <c r="AA20" s="4">
        <f>IF($J20="","",S20-Z20)</f>
      </c>
    </row>
    <row r="21" spans="1:32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IF($J21="","",(S21-Z21)/I21*100)</f>
      </c>
      <c r="U21" s="4">
        <f>IF($J21="","",L21-R21)</f>
      </c>
      <c r="AA21" s="4">
        <f>IF($J21="","",S21-Z21)</f>
      </c>
    </row>
    <row r="22" spans="1:32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IF($J22="","",(S22-Z22)/I22*100)</f>
      </c>
      <c r="U22" s="4">
        <f>IF($J22="","",L22-R22)</f>
      </c>
      <c r="AA22" s="4">
        <f>IF($J22="","",S22-Z22)</f>
      </c>
    </row>
    <row r="23" spans="1:32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IF($J23="","",(S23-Z23)/I23*100)</f>
      </c>
      <c r="U23" s="4">
        <f>IF($J23="","",L23-R23)</f>
      </c>
      <c r="AA23" s="4">
        <f>IF($J23="","",S23-Z23)</f>
      </c>
    </row>
    <row r="24" spans="1:32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IF($J24="","",(S24-Z24)/I24*100)</f>
      </c>
      <c r="U24" s="4">
        <f>IF($J24="","",L24-R24)</f>
      </c>
      <c r="AA24" s="4">
        <f>IF($J24="","",S24-Z24)</f>
      </c>
    </row>
    <row r="25" spans="1:32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IF($J25="","",(S25-Z25)/I25*100)</f>
      </c>
      <c r="U25" s="4">
        <f>IF($J25="","",L25-R25)</f>
      </c>
      <c r="AA25" s="4">
        <f>IF($J25="","",S25-Z25)</f>
      </c>
    </row>
    <row r="26" spans="1:32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IF($J26="","",(S26-Z26)/I26*100)</f>
      </c>
      <c r="U26" s="4">
        <f>IF($J26="","",L26-R26)</f>
      </c>
      <c r="AA26" s="4">
        <f>IF($J26="","",S26-Z26)</f>
      </c>
    </row>
    <row r="27" spans="1:32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IF($J27="","",(S27-Z27)/I27*100)</f>
      </c>
      <c r="U27" s="4">
        <f>IF($J27="","",L27-R27)</f>
      </c>
      <c r="AA27" s="4">
        <f>IF($J27="","",S27-Z27)</f>
      </c>
    </row>
    <row r="28" spans="1:32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IF($J28="","",(S28-Z28)/I28*100)</f>
      </c>
      <c r="U28" s="4">
        <f>IF($J28="","",L28-R28)</f>
      </c>
      <c r="AA28" s="4">
        <f>IF($J28="","",S28-Z28)</f>
      </c>
    </row>
    <row r="29" spans="1:32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IF($J29="","",(S29-Z29)/I29*100)</f>
      </c>
      <c r="U29" s="4">
        <f>IF($J29="","",L29-R29)</f>
      </c>
      <c r="AA29" s="4">
        <f>IF($J29="","",S29-Z29)</f>
      </c>
    </row>
    <row r="30" spans="1:32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IF($J30="","",(S30-Z30)/I30*100)</f>
      </c>
      <c r="U30" s="4">
        <f>IF($J30="","",L30-R30)</f>
      </c>
      <c r="AA30" s="4">
        <f>IF($J30="","",S30-Z30)</f>
      </c>
    </row>
    <row r="31" spans="1:32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IF($J31="","",(S31-Z31)/I31*100)</f>
      </c>
      <c r="U31" s="4">
        <f>IF($J31="","",L31-R31)</f>
      </c>
      <c r="AA31" s="4">
        <f>IF($J31="","",S31-Z31)</f>
      </c>
    </row>
    <row r="32" spans="1:32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IF($J32="","",(S32-Z32)/I32*100)</f>
      </c>
      <c r="U32" s="4">
        <f>IF($J32="","",L32-R32)</f>
      </c>
      <c r="AA32" s="4">
        <f>IF($J32="","",S32-Z32)</f>
      </c>
    </row>
    <row r="33" spans="1:32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IF($J33="","",(S33-Z33)/I33*100)</f>
      </c>
      <c r="U33" s="4">
        <f>IF($J33="","",L33-R33)</f>
      </c>
      <c r="AA33" s="4">
        <f>IF($J33="","",S33-Z33)</f>
      </c>
    </row>
    <row r="34" spans="1:32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IF($J34="","",(S34-Z34)/I34*100)</f>
      </c>
      <c r="U34" s="4">
        <f>IF($J34="","",L34-R34)</f>
      </c>
      <c r="AA34" s="4">
        <f>IF($J34="","",S34-Z34)</f>
      </c>
    </row>
    <row r="35" spans="1:32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IF($J35="","",(S35-Z35)/I35*100)</f>
      </c>
      <c r="U35" s="4">
        <f>IF($J35="","",L35-R35)</f>
      </c>
      <c r="AA35" s="4">
        <f>IF($J35="","",S35-Z35)</f>
      </c>
    </row>
    <row r="36" spans="1:32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IF($J36="","",(S36-Z36)/I36*100)</f>
      </c>
      <c r="U36" s="4">
        <f>IF($J36="","",L36-R36)</f>
      </c>
      <c r="AA36" s="4">
        <f>IF($J36="","",S36-Z36)</f>
      </c>
    </row>
    <row r="37" spans="1:32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IF($J37="","",(S37-Z37)/I37*100)</f>
      </c>
      <c r="U37" s="4">
        <f>IF($J37="","",L37-R37)</f>
      </c>
      <c r="AA37" s="4">
        <f>IF($J37="","",S37-Z37)</f>
      </c>
    </row>
    <row r="38" spans="1:32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IF($J38="","",(S38-Z38)/I38*100)</f>
      </c>
      <c r="U38" s="4">
        <f>IF($J38="","",L38-R38)</f>
      </c>
      <c r="AA38" s="4">
        <f>IF($J38="","",S38-Z38)</f>
      </c>
    </row>
    <row r="39" spans="1:32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IF($J39="","",(S39-Z39)/I39*100)</f>
      </c>
      <c r="U39" s="4">
        <f>IF($J39="","",L39-R39)</f>
      </c>
      <c r="AA39" s="4">
        <f>IF($J39="","",S39-Z39)</f>
      </c>
    </row>
    <row r="40" spans="1:32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IF($J40="","",(S40-Z40)/I40*100)</f>
      </c>
      <c r="U40" s="4">
        <f>IF($J40="","",L40-R40)</f>
      </c>
      <c r="AA40" s="4">
        <f>IF($J40="","",S40-Z40)</f>
      </c>
    </row>
    <row r="41" spans="1:32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IF($J41="","",(S41-Z41)/I41*100)</f>
      </c>
      <c r="U41" s="4">
        <f>IF($J41="","",L41-R41)</f>
      </c>
      <c r="AA41" s="4">
        <f>IF($J41="","",S41-Z41)</f>
      </c>
    </row>
    <row r="42" spans="1:32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IF($J42="","",(S42-Z42)/I42*100)</f>
      </c>
      <c r="U42" s="4">
        <f>IF($J42="","",L42-R42)</f>
      </c>
      <c r="AA42" s="4">
        <f>IF($J42="","",S42-Z42)</f>
      </c>
    </row>
    <row r="43" spans="1:32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IF($J43="","",(S43-Z43)/I43*100)</f>
      </c>
      <c r="U43" s="4">
        <f>IF($J43="","",L43-R43)</f>
      </c>
      <c r="AA43" s="4">
        <f>IF($J43="","",S43-Z43)</f>
      </c>
    </row>
    <row r="44" spans="1:32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IF($J44="","",(S44-Z44)/I44*100)</f>
      </c>
      <c r="U44" s="4">
        <f>IF($J44="","",L44-R44)</f>
      </c>
      <c r="AA44" s="4">
        <f>IF($J44="","",S44-Z44)</f>
      </c>
    </row>
    <row r="45" spans="1:32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IF($J45="","",(S45-Z45)/I45*100)</f>
      </c>
      <c r="U45" s="4">
        <f>IF($J45="","",L45-R45)</f>
      </c>
      <c r="AA45" s="4">
        <f>IF($J45="","",S45-Z45)</f>
      </c>
    </row>
    <row r="46" spans="1:32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IF($J46="","",(S46-Z46)/I46*100)</f>
      </c>
      <c r="U46" s="4">
        <f>IF($J46="","",L46-R46)</f>
      </c>
      <c r="AA46" s="4">
        <f>IF($J46="","",S46-Z46)</f>
      </c>
    </row>
    <row r="47" spans="1:32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IF($J47="","",(S47-Z47)/I47*100)</f>
      </c>
      <c r="U47" s="4">
        <f>IF($J47="","",L47-R47)</f>
      </c>
      <c r="AA47" s="4">
        <f>IF($J47="","",S47-Z47)</f>
      </c>
    </row>
    <row r="48" spans="1:32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IF($J48="","",(S48-Z48)/I48*100)</f>
      </c>
      <c r="U48" s="4">
        <f>IF($J48="","",L48-R48)</f>
      </c>
      <c r="AA48" s="4">
        <f>IF($J48="","",S48-Z48)</f>
      </c>
    </row>
    <row r="49" spans="1:32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IF($J49="","",(S49-Z49)/I49*100)</f>
      </c>
      <c r="U49" s="4">
        <f>IF($J49="","",L49-R49)</f>
      </c>
      <c r="AA49" s="4">
        <f>IF($J49="","",S49-Z49)</f>
      </c>
    </row>
    <row r="50" spans="1:32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IF($J50="","",(S50-Z50)/I50*100)</f>
      </c>
      <c r="U50" s="4">
        <f>IF($J50="","",L50-R50)</f>
      </c>
      <c r="AA50" s="4">
        <f>IF($J50="","",S50-Z50)</f>
      </c>
    </row>
    <row r="51" spans="1:32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IF($J51="","",(S51-Z51)/I51*100)</f>
      </c>
      <c r="U51" s="4">
        <f>IF($J51="","",L51-R51)</f>
      </c>
      <c r="AA51" s="4">
        <f>IF($J51="","",S51-Z51)</f>
      </c>
    </row>
    <row r="52" spans="1:32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IF($J52="","",(S52-Z52)/I52*100)</f>
      </c>
      <c r="U52" s="4">
        <f>IF($J52="","",L52-R52)</f>
      </c>
      <c r="AA52" s="4">
        <f>IF($J52="","",S52-Z52)</f>
      </c>
    </row>
    <row r="53" spans="1:32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IF($J53="","",(S53-Z53)/I53*100)</f>
      </c>
      <c r="U53" s="4">
        <f>IF($J53="","",L53-R53)</f>
      </c>
      <c r="AA53" s="4">
        <f>IF($J53="","",S53-Z53)</f>
      </c>
    </row>
    <row r="54" spans="1:32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IF($J54="","",(S54-Z54)/I54*100)</f>
      </c>
      <c r="U54" s="4">
        <f>IF($J54="","",L54-R54)</f>
      </c>
      <c r="AA54" s="4">
        <f>IF($J54="","",S54-Z54)</f>
      </c>
    </row>
    <row r="55" spans="1:32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IF($J55="","",(S55-Z55)/I55*100)</f>
      </c>
      <c r="U55" s="4">
        <f>IF($J55="","",L55-R55)</f>
      </c>
      <c r="AA55" s="4">
        <f>IF($J55="","",S55-Z55)</f>
      </c>
    </row>
    <row r="56" spans="1:32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IF($J56="","",(S56-Z56)/I56*100)</f>
      </c>
      <c r="U56" s="4">
        <f>IF($J56="","",L56-R56)</f>
      </c>
      <c r="AA56" s="4">
        <f>IF($J56="","",S56-Z56)</f>
      </c>
    </row>
    <row r="57" spans="1:32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IF($J57="","",(S57-Z57)/I57*100)</f>
      </c>
      <c r="U57" s="4">
        <f>IF($J57="","",L57-R57)</f>
      </c>
      <c r="AA57" s="4">
        <f>IF($J57="","",S57-Z57)</f>
      </c>
    </row>
    <row r="58" spans="1:32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IF($J58="","",(S58-Z58)/I58*100)</f>
      </c>
      <c r="U58" s="4">
        <f>IF($J58="","",L58-R58)</f>
      </c>
      <c r="AA58" s="4">
        <f>IF($J58="","",S58-Z58)</f>
      </c>
    </row>
    <row r="59" spans="1:32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IF($J59="","",(S59-Z59)/I59*100)</f>
      </c>
      <c r="U59" s="4">
        <f>IF($J59="","",L59-R59)</f>
      </c>
      <c r="AA59" s="4">
        <f>IF($J59="","",S59-Z59)</f>
      </c>
    </row>
    <row r="60" spans="1:32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IF($J60="","",(S60-Z60)/I60*100)</f>
      </c>
      <c r="U60" s="4">
        <f>IF($J60="","",L60-R60)</f>
      </c>
      <c r="AA60" s="4">
        <f>IF($J60="","",S60-Z60)</f>
      </c>
    </row>
    <row r="61" spans="1:32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IF($J61="","",(S61-Z61)/I61*100)</f>
      </c>
      <c r="U61" s="4">
        <f>IF($J61="","",L61-R61)</f>
      </c>
      <c r="AA61" s="4">
        <f>IF($J61="","",S61-Z61)</f>
      </c>
    </row>
    <row r="62" spans="1:32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IF($J62="","",(S62-Z62)/I62*100)</f>
      </c>
      <c r="U62" s="4">
        <f>IF($J62="","",L62-R62)</f>
      </c>
      <c r="AA62" s="4">
        <f>IF($J62="","",S62-Z62)</f>
      </c>
    </row>
    <row r="63" spans="1:32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IF($J63="","",(S63-Z63)/I63*100)</f>
      </c>
      <c r="U63" s="4">
        <f>IF($J63="","",L63-R63)</f>
      </c>
      <c r="AA63" s="4">
        <f>IF($J63="","",S63-Z63)</f>
      </c>
    </row>
    <row r="64" spans="1:32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IF($J64="","",(S64-Z64)/I64*100)</f>
      </c>
      <c r="U64" s="4">
        <f>IF($J64="","",L64-R64)</f>
      </c>
      <c r="AA64" s="4">
        <f>IF($J64="","",S64-Z64)</f>
      </c>
    </row>
    <row r="65" spans="1:32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IF($J65="","",(S65-Z65)/I65*100)</f>
      </c>
      <c r="U65" s="4">
        <f>IF($J65="","",L65-R65)</f>
      </c>
      <c r="AA65" s="4">
        <f>IF($J65="","",S65-Z65)</f>
      </c>
    </row>
    <row r="66" spans="1:32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IF($J66="","",(S66-Z66)/I66*100)</f>
      </c>
      <c r="U66" s="4">
        <f>IF($J66="","",L66-R66)</f>
      </c>
      <c r="AA66" s="4">
        <f>IF($J66="","",S66-Z66)</f>
      </c>
    </row>
    <row r="67" spans="1:32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IF($J67="","",(S67-Z67)/I67*100)</f>
      </c>
      <c r="U67" s="4">
        <f>IF($J67="","",L67-R67)</f>
      </c>
      <c r="AA67" s="4">
        <f>IF($J67="","",S67-Z67)</f>
      </c>
    </row>
    <row r="68" spans="1:32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IF($J68="","",(S68-Z68)/I68*100)</f>
      </c>
      <c r="U68" s="4">
        <f>IF($J68="","",L68-R68)</f>
      </c>
      <c r="AA68" s="4">
        <f>IF($J68="","",S68-Z68)</f>
      </c>
    </row>
    <row r="69" spans="1:32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IF($J69="","",(S69-Z69)/I69*100)</f>
      </c>
      <c r="U69" s="4">
        <f>IF($J69="","",L69-R69)</f>
      </c>
      <c r="AA69" s="4">
        <f>IF($J69="","",S69-Z69)</f>
      </c>
    </row>
    <row r="70" spans="1:32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IF($J70="","",(S70-Z70)/I70*100)</f>
      </c>
      <c r="U70" s="4">
        <f>IF($J70="","",L70-R70)</f>
      </c>
      <c r="AA70" s="4">
        <f>IF($J70="","",S70-Z70)</f>
      </c>
    </row>
    <row r="71" spans="1:32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IF($J71="","",(S71-Z71)/I71*100)</f>
      </c>
      <c r="U71" s="4">
        <f>IF($J71="","",L71-R71)</f>
      </c>
      <c r="AA71" s="4">
        <f>IF($J71="","",S71-Z71)</f>
      </c>
    </row>
    <row r="72" spans="1:32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IF($J72="","",(S72-Z72)/I72*100)</f>
      </c>
      <c r="U72" s="4">
        <f>IF($J72="","",L72-R72)</f>
      </c>
      <c r="AA72" s="4">
        <f>IF($J72="","",S72-Z72)</f>
      </c>
    </row>
    <row r="73" spans="1:32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IF($J73="","",(S73-Z73)/I73*100)</f>
      </c>
      <c r="U73" s="4">
        <f>IF($J73="","",L73-R73)</f>
      </c>
      <c r="AA73" s="4">
        <f>IF($J73="","",S73-Z73)</f>
      </c>
    </row>
    <row r="74" spans="1:32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IF($J74="","",(S74-Z74)/I74*100)</f>
      </c>
      <c r="U74" s="4">
        <f>IF($J74="","",L74-R74)</f>
      </c>
      <c r="AA74" s="4">
        <f>IF($J74="","",S74-Z74)</f>
      </c>
    </row>
    <row r="75" spans="1:32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IF($J75="","",(S75-Z75)/I75*100)</f>
      </c>
      <c r="U75" s="4">
        <f>IF($J75="","",L75-R75)</f>
      </c>
      <c r="AA75" s="4">
        <f>IF($J75="","",S75-Z75)</f>
      </c>
    </row>
    <row r="76" spans="1:32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IF($J76="","",(S76-Z76)/I76*100)</f>
      </c>
      <c r="U76" s="4">
        <f>IF($J76="","",L76-R76)</f>
      </c>
      <c r="AA76" s="4">
        <f>IF($J76="","",S76-Z76)</f>
      </c>
    </row>
    <row r="77" spans="1:32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IF($J77="","",(S77-Z77)/I77*100)</f>
      </c>
      <c r="U77" s="4">
        <f>IF($J77="","",L77-R77)</f>
      </c>
      <c r="AA77" s="4">
        <f>IF($J77="","",S77-Z77)</f>
      </c>
    </row>
    <row r="78" spans="1:32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IF($J78="","",(S78-Z78)/I78*100)</f>
      </c>
      <c r="U78" s="4">
        <f>IF($J78="","",L78-R78)</f>
      </c>
      <c r="AA78" s="4">
        <f>IF($J78="","",S78-Z78)</f>
      </c>
    </row>
    <row r="79" spans="1:32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IF($J79="","",(S79-Z79)/I79*100)</f>
      </c>
      <c r="U79" s="4">
        <f>IF($J79="","",L79-R79)</f>
      </c>
      <c r="AA79" s="4">
        <f>IF($J79="","",S79-Z79)</f>
      </c>
    </row>
    <row r="80" spans="1:32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IF($J80="","",(S80-Z80)/I80*100)</f>
      </c>
      <c r="U80" s="4">
        <f>IF($J80="","",L80-R80)</f>
      </c>
      <c r="AA80" s="4">
        <f>IF($J80="","",S80-Z80)</f>
      </c>
    </row>
    <row r="81" spans="1:32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IF($J81="","",(S81-Z81)/I81*100)</f>
      </c>
      <c r="U81" s="4">
        <f>IF($J81="","",L81-R81)</f>
      </c>
      <c r="AA81" s="4">
        <f>IF($J81="","",S81-Z81)</f>
      </c>
    </row>
    <row r="82" spans="1:32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IF($J82="","",(S82-Z82)/I82*100)</f>
      </c>
      <c r="U82" s="4">
        <f>IF($J82="","",L82-R82)</f>
      </c>
      <c r="AA82" s="4">
        <f>IF($J82="","",S82-Z82)</f>
      </c>
    </row>
    <row r="83" spans="1:32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IF($J83="","",(S83-Z83)/I83*100)</f>
      </c>
      <c r="U83" s="4">
        <f>IF($J83="","",L83-R83)</f>
      </c>
      <c r="AA83" s="4">
        <f>IF($J83="","",S83-Z83)</f>
      </c>
    </row>
    <row r="84" spans="1:32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IF($J84="","",(S84-Z84)/I84*100)</f>
      </c>
      <c r="U84" s="4">
        <f>IF($J84="","",L84-R84)</f>
      </c>
      <c r="AA84" s="4">
        <f>IF($J84="","",S84-Z84)</f>
      </c>
    </row>
    <row r="85" spans="1:32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IF($J85="","",(S85-Z85)/I85*100)</f>
      </c>
      <c r="U85" s="4">
        <f>IF($J85="","",L85-R85)</f>
      </c>
      <c r="AA85" s="4">
        <f>IF($J85="","",S85-Z85)</f>
      </c>
    </row>
    <row r="86" spans="1:32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IF($J86="","",(S86-Z86)/I86*100)</f>
      </c>
      <c r="U86" s="4">
        <f>IF($J86="","",L86-R86)</f>
      </c>
      <c r="AA86" s="4">
        <f>IF($J86="","",S86-Z86)</f>
      </c>
    </row>
    <row r="87" spans="1:32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IF($J87="","",(S87-Z87)/I87*100)</f>
      </c>
      <c r="U87" s="4">
        <f>IF($J87="","",L87-R87)</f>
      </c>
      <c r="AA87" s="4">
        <f>IF($J87="","",S87-Z87)</f>
      </c>
    </row>
    <row r="88" spans="1:32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IF($J88="","",(S88-Z88)/I88*100)</f>
      </c>
      <c r="U88" s="4">
        <f>IF($J88="","",L88-R88)</f>
      </c>
      <c r="AA88" s="4">
        <f>IF($J88="","",S88-Z88)</f>
      </c>
    </row>
    <row r="89" spans="1:32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IF($J89="","",(S89-Z89)/I89*100)</f>
      </c>
      <c r="U89" s="4">
        <f>IF($J89="","",L89-R89)</f>
      </c>
      <c r="AA89" s="4">
        <f>IF($J89="","",S89-Z89)</f>
      </c>
    </row>
    <row r="90" spans="1:32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IF($J90="","",(S90-Z90)/I90*100)</f>
      </c>
      <c r="U90" s="4">
        <f>IF($J90="","",L90-R90)</f>
      </c>
      <c r="AA90" s="4">
        <f>IF($J90="","",S90-Z90)</f>
      </c>
    </row>
    <row r="91" spans="1:32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IF($J91="","",(S91-Z91)/I91*100)</f>
      </c>
      <c r="U91" s="4">
        <f>IF($J91="","",L91-R91)</f>
      </c>
      <c r="AA91" s="4">
        <f>IF($J91="","",S91-Z91)</f>
      </c>
    </row>
    <row r="92" spans="1:32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IF($J92="","",(S92-Z92)/I92*100)</f>
      </c>
      <c r="U92" s="4">
        <f>IF($J92="","",L92-R92)</f>
      </c>
      <c r="AA92" s="4">
        <f>IF($J92="","",S92-Z92)</f>
      </c>
    </row>
    <row r="93" spans="1:32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IF($J93="","",(S93-Z93)/I93*100)</f>
      </c>
      <c r="U93" s="4">
        <f>IF($J93="","",L93-R93)</f>
      </c>
      <c r="AA93" s="4">
        <f>IF($J93="","",S93-Z93)</f>
      </c>
    </row>
    <row r="94" spans="1:32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IF($J94="","",(S94-Z94)/I94*100)</f>
      </c>
      <c r="U94" s="4">
        <f>IF($J94="","",L94-R94)</f>
      </c>
      <c r="AA94" s="4">
        <f>IF($J94="","",S94-Z94)</f>
      </c>
    </row>
    <row r="95" spans="1:32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IF($J95="","",(S95-Z95)/I95*100)</f>
      </c>
      <c r="U95" s="4">
        <f>IF($J95="","",L95-R95)</f>
      </c>
      <c r="AA95" s="4">
        <f>IF($J95="","",S95-Z95)</f>
      </c>
    </row>
    <row r="96" spans="1:32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IF($J96="","",(S96-Z96)/I96*100)</f>
      </c>
      <c r="U96" s="4">
        <f>IF($J96="","",L96-R96)</f>
      </c>
      <c r="AA96" s="4">
        <f>IF($J96="","",S96-Z96)</f>
      </c>
    </row>
    <row r="97" spans="1:32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IF($J97="","",(S97-Z97)/I97*100)</f>
      </c>
      <c r="U97" s="4">
        <f>IF($J97="","",L97-R97)</f>
      </c>
      <c r="AA97" s="4">
        <f>IF($J97="","",S97-Z97)</f>
      </c>
    </row>
    <row r="98" spans="1:32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IF($J98="","",(S98-Z98)/I98*100)</f>
      </c>
      <c r="U98" s="4">
        <f>IF($J98="","",L98-R98)</f>
      </c>
      <c r="AA98" s="4">
        <f>IF($J98="","",S98-Z98)</f>
      </c>
    </row>
    <row r="99" spans="1:32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IF($J99="","",(S99-Z99)/I99*100)</f>
      </c>
      <c r="U99" s="4">
        <f>IF($J99="","",L99-R99)</f>
      </c>
      <c r="AA99" s="4">
        <f>IF($J99="","",S99-Z99)</f>
      </c>
    </row>
    <row r="100" spans="1:32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IF($J100="","",(S100-Z100)/I100*100)</f>
      </c>
      <c r="U100" s="4">
        <f>IF($J100="","",L100-R100)</f>
      </c>
      <c r="AA100" s="4">
        <f>IF($J100="","",S100-Z100)</f>
      </c>
    </row>
    <row r="101" spans="1:32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IF($J101="","",(S101-Z101)/I101*100)</f>
      </c>
      <c r="U101" s="4">
        <f>IF($J101="","",L101-R101)</f>
      </c>
      <c r="AA101" s="4">
        <f>IF($J101="","",S101-Z101)</f>
      </c>
    </row>
    <row r="102" spans="1:32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IF($J102="","",(S102-Z102)/I102*100)</f>
      </c>
      <c r="U102" s="4">
        <f>IF($J102="","",L102-R102)</f>
      </c>
      <c r="AA102" s="4">
        <f>IF($J102="","",S102-Z102)</f>
      </c>
    </row>
    <row r="103" spans="1:32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IF($J103="","",(S103-Z103)/I103*100)</f>
      </c>
      <c r="U103" s="4">
        <f>IF($J103="","",L103-R103)</f>
      </c>
      <c r="AA103" s="4">
        <f>IF($J103="","",S103-Z103)</f>
      </c>
    </row>
    <row r="104" spans="1:32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IF($J104="","",(S104-Z104)/I104*100)</f>
      </c>
      <c r="U104" s="4">
        <f>IF($J104="","",L104-R104)</f>
      </c>
      <c r="AA104" s="4">
        <f>IF($J104="","",S104-Z104)</f>
      </c>
    </row>
    <row r="105" spans="1:32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IF($J105="","",(S105-Z105)/I105*100)</f>
      </c>
      <c r="U105" s="4">
        <f>IF($J105="","",L105-R105)</f>
      </c>
      <c r="AA105" s="4">
        <f>IF($J105="","",S105-Z105)</f>
      </c>
    </row>
    <row r="106" spans="1:32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IF($J106="","",(S106-Z106)/I106*100)</f>
      </c>
      <c r="U106" s="4">
        <f>IF($J106="","",L106-R106)</f>
      </c>
      <c r="AA106" s="4">
        <f>IF($J106="","",S106-Z106)</f>
      </c>
    </row>
    <row r="107" spans="1:32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IF($J107="","",(S107-Z107)/I107*100)</f>
      </c>
      <c r="U107" s="4">
        <f>IF($J107="","",L107-R107)</f>
      </c>
      <c r="AA107" s="4">
        <f>IF($J107="","",S107-Z107)</f>
      </c>
    </row>
    <row r="108" spans="1:32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IF($J108="","",(S108-Z108)/I108*100)</f>
      </c>
      <c r="U108" s="4">
        <f>IF($J108="","",L108-R108)</f>
      </c>
      <c r="AA108" s="4">
        <f>IF($J108="","",S108-Z108)</f>
      </c>
    </row>
    <row r="109" spans="1:32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IF($J109="","",(S109-Z109)/I109*100)</f>
      </c>
      <c r="U109" s="4">
        <f>IF($J109="","",L109-R109)</f>
      </c>
      <c r="AA109" s="4">
        <f>IF($J109="","",S109-Z109)</f>
      </c>
    </row>
    <row r="110" spans="1:32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IF($J110="","",(S110-Z110)/I110*100)</f>
      </c>
      <c r="U110" s="4">
        <f>IF($J110="","",L110-R110)</f>
      </c>
      <c r="AA110" s="4">
        <f>IF($J110="","",S110-Z110)</f>
      </c>
    </row>
    <row r="111" spans="1:32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IF($J111="","",(S111-Z111)/I111*100)</f>
      </c>
      <c r="U111" s="4">
        <f>IF($J111="","",L111-R111)</f>
      </c>
      <c r="AA111" s="4">
        <f>IF($J111="","",S111-Z111)</f>
      </c>
    </row>
    <row r="112" spans="1:32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IF($J112="","",(S112-Z112)/I112*100)</f>
      </c>
      <c r="U112" s="4">
        <f>IF($J112="","",L112-R112)</f>
      </c>
      <c r="AA112" s="4">
        <f>IF($J112="","",S112-Z112)</f>
      </c>
    </row>
    <row r="113" spans="1:32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IF($J113="","",(S113-Z113)/I113*100)</f>
      </c>
      <c r="U113" s="4">
        <f>IF($J113="","",L113-R113)</f>
      </c>
      <c r="AA113" s="4">
        <f>IF($J113="","",S113-Z113)</f>
      </c>
    </row>
    <row r="114" spans="1:32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IF($J114="","",(S114-Z114)/I114*100)</f>
      </c>
      <c r="U114" s="4">
        <f>IF($J114="","",L114-R114)</f>
      </c>
      <c r="AA114" s="4">
        <f>IF($J114="","",S114-Z114)</f>
      </c>
    </row>
    <row r="115" spans="1:32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IF($J115="","",(S115-Z115)/I115*100)</f>
      </c>
      <c r="U115" s="4">
        <f>IF($J115="","",L115-R115)</f>
      </c>
      <c r="AA115" s="4">
        <f>IF($J115="","",S115-Z115)</f>
      </c>
    </row>
    <row r="116" spans="1:32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IF($J116="","",(S116-Z116)/I116*100)</f>
      </c>
      <c r="U116" s="4">
        <f>IF($J116="","",L116-R116)</f>
      </c>
      <c r="AA116" s="4">
        <f>IF($J116="","",S116-Z116)</f>
      </c>
    </row>
    <row r="117" spans="1:32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IF($J117="","",(S117-Z117)/I117*100)</f>
      </c>
      <c r="U117" s="4">
        <f>IF($J117="","",L117-R117)</f>
      </c>
      <c r="AA117" s="4">
        <f>IF($J117="","",S117-Z117)</f>
      </c>
    </row>
    <row r="118" spans="1:32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IF($J118="","",(S118-Z118)/I118*100)</f>
      </c>
      <c r="U118" s="4">
        <f>IF($J118="","",L118-R118)</f>
      </c>
      <c r="AA118" s="4">
        <f>IF($J118="","",S118-Z118)</f>
      </c>
    </row>
    <row r="119" spans="1:32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IF($J119="","",(S119-Z119)/I119*100)</f>
      </c>
      <c r="U119" s="4">
        <f>IF($J119="","",L119-R119)</f>
      </c>
      <c r="AA119" s="4">
        <f>IF($J119="","",S119-Z119)</f>
      </c>
    </row>
    <row r="120" spans="1:32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IF($J120="","",(S120-Z120)/I120*100)</f>
      </c>
      <c r="U120" s="4">
        <f>IF($J120="","",L120-R120)</f>
      </c>
      <c r="AA120" s="4">
        <f>IF($J120="","",S120-Z120)</f>
      </c>
    </row>
    <row r="121" spans="1:32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IF($J121="","",(S121-Z121)/I121*100)</f>
      </c>
      <c r="U121" s="4">
        <f>IF($J121="","",L121-R121)</f>
      </c>
      <c r="AA121" s="4">
        <f>IF($J121="","",S121-Z121)</f>
      </c>
    </row>
    <row r="122" spans="1:32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IF($J122="","",(S122-Z122)/I122*100)</f>
      </c>
      <c r="U122" s="4">
        <f>IF($J122="","",L122-R122)</f>
      </c>
      <c r="AA122" s="4">
        <f>IF($J122="","",S122-Z122)</f>
      </c>
    </row>
    <row r="123" spans="1:32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IF($J123="","",(S123-Z123)/I123*100)</f>
      </c>
      <c r="U123" s="4">
        <f>IF($J123="","",L123-R123)</f>
      </c>
      <c r="AA123" s="4">
        <f>IF($J123="","",S123-Z123)</f>
      </c>
    </row>
    <row r="124" spans="1:32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IF($J124="","",(S124-Z124)/I124*100)</f>
      </c>
      <c r="U124" s="4">
        <f>IF($J124="","",L124-R124)</f>
      </c>
      <c r="AA124" s="4">
        <f>IF($J124="","",S124-Z124)</f>
      </c>
    </row>
    <row r="125" spans="1:32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IF($J125="","",(S125-Z125)/I125*100)</f>
      </c>
      <c r="U125" s="4">
        <f>IF($J125="","",L125-R125)</f>
      </c>
      <c r="AA125" s="4">
        <f>IF($J125="","",S125-Z125)</f>
      </c>
    </row>
    <row r="126" spans="1:32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IF($J126="","",(S126-Z126)/I126*100)</f>
      </c>
      <c r="U126" s="4">
        <f>IF($J126="","",L126-R126)</f>
      </c>
      <c r="AA126" s="4">
        <f>IF($J126="","",S126-Z126)</f>
      </c>
    </row>
    <row r="127" spans="1:32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IF($J127="","",(S127-Z127)/I127*100)</f>
      </c>
      <c r="U127" s="4">
        <f>IF($J127="","",L127-R127)</f>
      </c>
      <c r="AA127" s="4">
        <f>IF($J127="","",S127-Z127)</f>
      </c>
    </row>
    <row r="128" spans="1:32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IF($J128="","",(S128-Z128)/I128*100)</f>
      </c>
      <c r="U128" s="4">
        <f>IF($J128="","",L128-R128)</f>
      </c>
      <c r="AA128" s="4">
        <f>IF($J128="","",S128-Z128)</f>
      </c>
    </row>
    <row r="129" spans="1:32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IF($J129="","",(S129-Z129)/I129*100)</f>
      </c>
      <c r="U129" s="4">
        <f>IF($J129="","",L129-R129)</f>
      </c>
      <c r="AA129" s="4">
        <f>IF($J129="","",S129-Z129)</f>
      </c>
    </row>
    <row r="130" spans="1:32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IF($J130="","",(S130-Z130)/I130*100)</f>
      </c>
      <c r="U130" s="4">
        <f>IF($J130="","",L130-R130)</f>
      </c>
      <c r="AA130" s="4">
        <f>IF($J130="","",S130-Z130)</f>
      </c>
    </row>
    <row r="131" spans="1:32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IF($J131="","",(S131-Z131)/I131*100)</f>
      </c>
      <c r="U131" s="4">
        <f>IF($J131="","",L131-R131)</f>
      </c>
      <c r="AA131" s="4">
        <f>IF($J131="","",S131-Z131)</f>
      </c>
    </row>
    <row r="132" spans="1:32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IF($J132="","",(S132-Z132)/I132*100)</f>
      </c>
      <c r="U132" s="4">
        <f>IF($J132="","",L132-R132)</f>
      </c>
      <c r="AA132" s="4">
        <f>IF($J132="","",S132-Z132)</f>
      </c>
    </row>
    <row r="133" spans="1:32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IF($J133="","",(S133-Z133)/I133*100)</f>
      </c>
      <c r="U133" s="4">
        <f>IF($J133="","",L133-R133)</f>
      </c>
      <c r="AA133" s="4">
        <f>IF($J133="","",S133-Z133)</f>
      </c>
    </row>
    <row r="134" spans="1:32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IF($J134="","",(S134-Z134)/I134*100)</f>
      </c>
      <c r="U134" s="4">
        <f>IF($J134="","",L134-R134)</f>
      </c>
      <c r="AA134" s="4">
        <f>IF($J134="","",S134-Z134)</f>
      </c>
    </row>
    <row r="135" spans="1:32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IF($J135="","",(S135-Z135)/I135*100)</f>
      </c>
      <c r="U135" s="4">
        <f>IF($J135="","",L135-R135)</f>
      </c>
      <c r="AA135" s="4">
        <f>IF($J135="","",S135-Z135)</f>
      </c>
    </row>
    <row r="136" spans="1:32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IF($J136="","",(S136-Z136)/I136*100)</f>
      </c>
      <c r="U136" s="4">
        <f>IF($J136="","",L136-R136)</f>
      </c>
      <c r="AA136" s="4">
        <f>IF($J136="","",S136-Z136)</f>
      </c>
    </row>
    <row r="137" spans="1:32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IF($J137="","",(S137-Z137)/I137*100)</f>
      </c>
      <c r="U137" s="4">
        <f>IF($J137="","",L137-R137)</f>
      </c>
      <c r="AA137" s="4">
        <f>IF($J137="","",S137-Z137)</f>
      </c>
    </row>
    <row r="138" spans="1:32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IF($J138="","",(S138-Z138)/I138*100)</f>
      </c>
      <c r="U138" s="4">
        <f>IF($J138="","",L138-R138)</f>
      </c>
      <c r="AA138" s="4">
        <f>IF($J138="","",S138-Z138)</f>
      </c>
    </row>
    <row r="139" spans="1:32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IF($J139="","",(S139-Z139)/I139*100)</f>
      </c>
      <c r="U139" s="4">
        <f>IF($J139="","",L139-R139)</f>
      </c>
      <c r="AA139" s="4">
        <f>IF($J139="","",S139-Z139)</f>
      </c>
    </row>
    <row r="140" spans="1:32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IF($J140="","",(S140-Z140)/I140*100)</f>
      </c>
      <c r="U140" s="4">
        <f>IF($J140="","",L140-R140)</f>
      </c>
      <c r="AA140" s="4">
        <f>IF($J140="","",S140-Z140)</f>
      </c>
    </row>
    <row r="141" spans="1:32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IF($J141="","",(S141-Z141)/I141*100)</f>
      </c>
      <c r="U141" s="4">
        <f>IF($J141="","",L141-R141)</f>
      </c>
      <c r="AA141" s="4">
        <f>IF($J141="","",S141-Z141)</f>
      </c>
    </row>
    <row r="142" spans="1:32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IF($J142="","",(S142-Z142)/I142*100)</f>
      </c>
      <c r="U142" s="4">
        <f>IF($J142="","",L142-R142)</f>
      </c>
      <c r="AA142" s="4">
        <f>IF($J142="","",S142-Z142)</f>
      </c>
    </row>
    <row r="143" spans="1:32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IF($J143="","",(S143-Z143)/I143*100)</f>
      </c>
      <c r="U143" s="4">
        <f>IF($J143="","",L143-R143)</f>
      </c>
      <c r="AA143" s="4">
        <f>IF($J143="","",S143-Z143)</f>
      </c>
    </row>
    <row r="144" spans="1:32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IF($J144="","",(S144-Z144)/I144*100)</f>
      </c>
      <c r="U144" s="4">
        <f>IF($J144="","",L144-R144)</f>
      </c>
      <c r="AA144" s="4">
        <f>IF($J144="","",S144-Z144)</f>
      </c>
    </row>
    <row r="145" spans="1:32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IF($J145="","",(S145-Z145)/I145*100)</f>
      </c>
      <c r="U145" s="4">
        <f>IF($J145="","",L145-R145)</f>
      </c>
      <c r="AA145" s="4">
        <f>IF($J145="","",S145-Z145)</f>
      </c>
    </row>
    <row r="146" spans="1:32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IF($J146="","",(S146-Z146)/I146*100)</f>
      </c>
      <c r="U146" s="4">
        <f>IF($J146="","",L146-R146)</f>
      </c>
      <c r="AA146" s="4">
        <f>IF($J146="","",S146-Z146)</f>
      </c>
    </row>
    <row r="147" spans="1:32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IF($J147="","",(S147-Z147)/I147*100)</f>
      </c>
      <c r="U147" s="4">
        <f>IF($J147="","",L147-R147)</f>
      </c>
      <c r="AA147" s="4">
        <f>IF($J147="","",S147-Z147)</f>
      </c>
    </row>
    <row r="148" spans="1:32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IF($J148="","",(S148-Z148)/I148*100)</f>
      </c>
      <c r="U148" s="4">
        <f>IF($J148="","",L148-R148)</f>
      </c>
      <c r="AA148" s="4">
        <f>IF($J148="","",S148-Z148)</f>
      </c>
    </row>
    <row r="149" spans="1:32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IF($J149="","",(S149-Z149)/I149*100)</f>
      </c>
      <c r="U149" s="4">
        <f>IF($J149="","",L149-R149)</f>
      </c>
      <c r="AA149" s="4">
        <f>IF($J149="","",S149-Z149)</f>
      </c>
    </row>
    <row r="150" spans="1:32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IF($J150="","",(S150-Z150)/I150*100)</f>
      </c>
      <c r="U150" s="4">
        <f>IF($J150="","",L150-R150)</f>
      </c>
      <c r="AA150" s="4">
        <f>IF($J150="","",S150-Z150)</f>
      </c>
    </row>
    <row r="151" spans="1:32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IF($J151="","",(S151-Z151)/I151*100)</f>
      </c>
      <c r="U151" s="4">
        <f>IF($J151="","",L151-R151)</f>
      </c>
      <c r="AA151" s="4">
        <f>IF($J151="","",S151-Z151)</f>
      </c>
    </row>
    <row r="152" spans="1:32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IF($J152="","",(S152-Z152)/I152*100)</f>
      </c>
      <c r="U152" s="4">
        <f>IF($J152="","",L152-R152)</f>
      </c>
      <c r="AA152" s="4">
        <f>IF($J152="","",S152-Z152)</f>
      </c>
    </row>
    <row r="153" spans="1:32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IF($J153="","",(S153-Z153)/I153*100)</f>
      </c>
      <c r="U153" s="4">
        <f>IF($J153="","",L153-R153)</f>
      </c>
      <c r="AA153" s="4">
        <f>IF($J153="","",S153-Z153)</f>
      </c>
    </row>
    <row r="154" spans="1:32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IF($J154="","",(S154-Z154)/I154*100)</f>
      </c>
      <c r="U154" s="4">
        <f>IF($J154="","",L154-R154)</f>
      </c>
      <c r="AA154" s="4">
        <f>IF($J154="","",S154-Z154)</f>
      </c>
    </row>
    <row r="155" spans="1:32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IF($J155="","",(S155-Z155)/I155*100)</f>
      </c>
      <c r="U155" s="4">
        <f>IF($J155="","",L155-R155)</f>
      </c>
      <c r="AA155" s="4">
        <f>IF($J155="","",S155-Z155)</f>
      </c>
    </row>
    <row r="156" spans="1:32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IF($J156="","",(S156-Z156)/I156*100)</f>
      </c>
      <c r="U156" s="4">
        <f>IF($J156="","",L156-R156)</f>
      </c>
      <c r="AA156" s="4">
        <f>IF($J156="","",S156-Z156)</f>
      </c>
    </row>
    <row r="157" spans="1:32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IF($J157="","",(S157-Z157)/I157*100)</f>
      </c>
      <c r="U157" s="4">
        <f>IF($J157="","",L157-R157)</f>
      </c>
      <c r="AA157" s="4">
        <f>IF($J157="","",S157-Z157)</f>
      </c>
    </row>
    <row r="158" spans="1:32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IF($J158="","",(S158-Z158)/I158*100)</f>
      </c>
      <c r="U158" s="4">
        <f>IF($J158="","",L158-R158)</f>
      </c>
      <c r="AA158" s="4">
        <f>IF($J158="","",S158-Z158)</f>
      </c>
    </row>
    <row r="159" spans="1:32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IF($J159="","",(S159-Z159)/I159*100)</f>
      </c>
      <c r="U159" s="4">
        <f>IF($J159="","",L159-R159)</f>
      </c>
      <c r="AA159" s="4">
        <f>IF($J159="","",S159-Z159)</f>
      </c>
    </row>
    <row r="160" spans="1:32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IF($J160="","",(S160-Z160)/I160*100)</f>
      </c>
      <c r="U160" s="4">
        <f>IF($J160="","",L160-R160)</f>
      </c>
      <c r="AA160" s="4">
        <f>IF($J160="","",S160-Z160)</f>
      </c>
    </row>
    <row r="161" spans="1:32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IF($J161="","",(S161-Z161)/I161*100)</f>
      </c>
      <c r="U161" s="4">
        <f>IF($J161="","",L161-R161)</f>
      </c>
      <c r="AA161" s="4">
        <f>IF($J161="","",S161-Z161)</f>
      </c>
    </row>
    <row r="162" spans="1:32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IF($J162="","",(S162-Z162)/I162*100)</f>
      </c>
      <c r="U162" s="4">
        <f>IF($J162="","",L162-R162)</f>
      </c>
      <c r="AA162" s="4">
        <f>IF($J162="","",S162-Z162)</f>
      </c>
    </row>
    <row r="163" spans="1:32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IF($J163="","",(S163-Z163)/I163*100)</f>
      </c>
      <c r="U163" s="4">
        <f>IF($J163="","",L163-R163)</f>
      </c>
      <c r="AA163" s="4">
        <f>IF($J163="","",S163-Z163)</f>
      </c>
    </row>
    <row r="164" spans="1:32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IF($J164="","",(S164-Z164)/I164*100)</f>
      </c>
      <c r="U164" s="4">
        <f>IF($J164="","",L164-R164)</f>
      </c>
      <c r="AA164" s="4">
        <f>IF($J164="","",S164-Z164)</f>
      </c>
    </row>
    <row r="165" spans="1:32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IF($J165="","",(S165-Z165)/I165*100)</f>
      </c>
      <c r="U165" s="4">
        <f>IF($J165="","",L165-R165)</f>
      </c>
      <c r="AA165" s="4">
        <f>IF($J165="","",S165-Z165)</f>
      </c>
    </row>
    <row r="166" spans="1:32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IF($J166="","",(S166-Z166)/I166*100)</f>
      </c>
      <c r="U166" s="4">
        <f>IF($J166="","",L166-R166)</f>
      </c>
      <c r="AA166" s="4">
        <f>IF($J166="","",S166-Z166)</f>
      </c>
    </row>
    <row r="167" spans="1:32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IF($J167="","",(S167-Z167)/I167*100)</f>
      </c>
      <c r="U167" s="4">
        <f>IF($J167="","",L167-R167)</f>
      </c>
      <c r="AA167" s="4">
        <f>IF($J167="","",S167-Z167)</f>
      </c>
    </row>
    <row r="168" spans="1:32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IF($J168="","",(S168-Z168)/I168*100)</f>
      </c>
      <c r="U168" s="4">
        <f>IF($J168="","",L168-R168)</f>
      </c>
      <c r="AA168" s="4">
        <f>IF($J168="","",S168-Z168)</f>
      </c>
    </row>
    <row r="169" spans="1:32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IF($J169="","",(S169-Z169)/I169*100)</f>
      </c>
      <c r="U169" s="4">
        <f>IF($J169="","",L169-R169)</f>
      </c>
      <c r="AA169" s="4">
        <f>IF($J169="","",S169-Z169)</f>
      </c>
    </row>
    <row r="170" spans="1:32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IF($J170="","",(S170-Z170)/I170*100)</f>
      </c>
      <c r="U170" s="4">
        <f>IF($J170="","",L170-R170)</f>
      </c>
      <c r="AA170" s="4">
        <f>IF($J170="","",S170-Z170)</f>
      </c>
    </row>
    <row r="171" spans="1:32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IF($J171="","",(S171-Z171)/I171*100)</f>
      </c>
      <c r="U171" s="4">
        <f>IF($J171="","",L171-R171)</f>
      </c>
      <c r="AA171" s="4">
        <f>IF($J171="","",S171-Z171)</f>
      </c>
    </row>
    <row r="172" spans="1:32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IF($J172="","",(S172-Z172)/I172*100)</f>
      </c>
      <c r="U172" s="4">
        <f>IF($J172="","",L172-R172)</f>
      </c>
      <c r="AA172" s="4">
        <f>IF($J172="","",S172-Z172)</f>
      </c>
    </row>
    <row r="173" spans="1:32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IF($J173="","",(S173-Z173)/I173*100)</f>
      </c>
      <c r="U173" s="4">
        <f>IF($J173="","",L173-R173)</f>
      </c>
      <c r="AA173" s="4">
        <f>IF($J173="","",S173-Z173)</f>
      </c>
    </row>
    <row r="174" spans="1:32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IF($J174="","",(S174-Z174)/I174*100)</f>
      </c>
      <c r="U174" s="4">
        <f>IF($J174="","",L174-R174)</f>
      </c>
      <c r="AA174" s="4">
        <f>IF($J174="","",S174-Z174)</f>
      </c>
    </row>
    <row r="175" spans="1:32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IF($J175="","",(S175-Z175)/I175*100)</f>
      </c>
      <c r="U175" s="4">
        <f>IF($J175="","",L175-R175)</f>
      </c>
      <c r="AA175" s="4">
        <f>IF($J175="","",S175-Z175)</f>
      </c>
    </row>
    <row r="176" spans="1:32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IF($J176="","",(S176-Z176)/I176*100)</f>
      </c>
      <c r="U176" s="4">
        <f>IF($J176="","",L176-R176)</f>
      </c>
      <c r="AA176" s="4">
        <f>IF($J176="","",S176-Z176)</f>
      </c>
    </row>
    <row r="177" spans="1:32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IF($J177="","",(S177-Z177)/I177*100)</f>
      </c>
      <c r="U177" s="4">
        <f>IF($J177="","",L177-R177)</f>
      </c>
      <c r="AA177" s="4">
        <f>IF($J177="","",S177-Z177)</f>
      </c>
    </row>
    <row r="178" spans="1:32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IF($J178="","",(S178-Z178)/I178*100)</f>
      </c>
      <c r="U178" s="4">
        <f>IF($J178="","",L178-R178)</f>
      </c>
      <c r="AA178" s="4">
        <f>IF($J178="","",S178-Z178)</f>
      </c>
    </row>
    <row r="179" spans="1:32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IF($J179="","",(S179-Z179)/I179*100)</f>
      </c>
      <c r="U179" s="4">
        <f>IF($J179="","",L179-R179)</f>
      </c>
      <c r="AA179" s="4">
        <f>IF($J179="","",S179-Z179)</f>
      </c>
    </row>
    <row r="180" spans="1:32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IF($J180="","",(S180-Z180)/I180*100)</f>
      </c>
      <c r="U180" s="4">
        <f>IF($J180="","",L180-R180)</f>
      </c>
      <c r="AA180" s="4">
        <f>IF($J180="","",S180-Z180)</f>
      </c>
    </row>
    <row r="181" spans="1:32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IF($J181="","",(S181-Z181)/I181*100)</f>
      </c>
      <c r="U181" s="4">
        <f>IF($J181="","",L181-R181)</f>
      </c>
      <c r="AA181" s="4">
        <f>IF($J181="","",S181-Z181)</f>
      </c>
    </row>
    <row r="182" spans="1:32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IF($J182="","",(S182-Z182)/I182*100)</f>
      </c>
      <c r="U182" s="4">
        <f>IF($J182="","",L182-R182)</f>
      </c>
      <c r="AA182" s="4">
        <f>IF($J182="","",S182-Z182)</f>
      </c>
    </row>
    <row r="183" spans="1:32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IF($J183="","",(S183-Z183)/I183*100)</f>
      </c>
      <c r="U183" s="4">
        <f>IF($J183="","",L183-R183)</f>
      </c>
      <c r="AA183" s="4">
        <f>IF($J183="","",S183-Z183)</f>
      </c>
    </row>
    <row r="184" spans="1:32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IF($J184="","",(S184-Z184)/I184*100)</f>
      </c>
      <c r="U184" s="4">
        <f>IF($J184="","",L184-R184)</f>
      </c>
      <c r="AA184" s="4">
        <f>IF($J184="","",S184-Z184)</f>
      </c>
    </row>
    <row r="185" spans="1:32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IF($J185="","",(S185-Z185)/I185*100)</f>
      </c>
      <c r="U185" s="4">
        <f>IF($J185="","",L185-R185)</f>
      </c>
      <c r="AA185" s="4">
        <f>IF($J185="","",S185-Z185)</f>
      </c>
    </row>
    <row r="186" spans="1:32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IF($J186="","",(S186-Z186)/I186*100)</f>
      </c>
      <c r="U186" s="4">
        <f>IF($J186="","",L186-R186)</f>
      </c>
      <c r="AA186" s="4">
        <f>IF($J186="","",S186-Z186)</f>
      </c>
    </row>
    <row r="187" spans="1:32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IF($J187="","",(S187-Z187)/I187*100)</f>
      </c>
      <c r="U187" s="4">
        <f>IF($J187="","",L187-R187)</f>
      </c>
      <c r="AA187" s="4">
        <f>IF($J187="","",S187-Z187)</f>
      </c>
    </row>
    <row r="188" spans="1:32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IF($J188="","",(S188-Z188)/I188*100)</f>
      </c>
      <c r="U188" s="4">
        <f>IF($J188="","",L188-R188)</f>
      </c>
      <c r="AA188" s="4">
        <f>IF($J188="","",S188-Z188)</f>
      </c>
    </row>
    <row r="189" spans="1:32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IF($J189="","",(S189-Z189)/I189*100)</f>
      </c>
      <c r="U189" s="4">
        <f>IF($J189="","",L189-R189)</f>
      </c>
      <c r="AA189" s="4">
        <f>IF($J189="","",S189-Z189)</f>
      </c>
    </row>
    <row r="190" spans="1:32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IF($J190="","",(S190-Z190)/I190*100)</f>
      </c>
      <c r="U190" s="4">
        <f>IF($J190="","",L190-R190)</f>
      </c>
      <c r="AA190" s="4">
        <f>IF($J190="","",S190-Z190)</f>
      </c>
    </row>
    <row r="191" spans="1:32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IF($J191="","",(S191-Z191)/I191*100)</f>
      </c>
      <c r="U191" s="4">
        <f>IF($J191="","",L191-R191)</f>
      </c>
      <c r="AA191" s="4">
        <f>IF($J191="","",S191-Z191)</f>
      </c>
    </row>
    <row r="192" spans="1:32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IF($J192="","",(S192-Z192)/I192*100)</f>
      </c>
      <c r="U192" s="4">
        <f>IF($J192="","",L192-R192)</f>
      </c>
      <c r="AA192" s="4">
        <f>IF($J192="","",S192-Z192)</f>
      </c>
    </row>
    <row r="193" spans="1:32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IF($J193="","",(S193-Z193)/I193*100)</f>
      </c>
      <c r="U193" s="4">
        <f>IF($J193="","",L193-R193)</f>
      </c>
      <c r="AA193" s="4">
        <f>IF($J193="","",S193-Z193)</f>
      </c>
    </row>
    <row r="194" spans="1:32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IF($J194="","",(S194-Z194)/I194*100)</f>
      </c>
      <c r="U194" s="4">
        <f>IF($J194="","",L194-R194)</f>
      </c>
      <c r="AA194" s="4">
        <f>IF($J194="","",S194-Z194)</f>
      </c>
    </row>
    <row r="195" spans="1:32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IF($J195="","",(S195-Z195)/I195*100)</f>
      </c>
      <c r="U195" s="4">
        <f>IF($J195="","",L195-R195)</f>
      </c>
      <c r="AA195" s="4">
        <f>IF($J195="","",S195-Z195)</f>
      </c>
    </row>
    <row r="196" spans="1:32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IF($J196="","",(S196-Z196)/I196*100)</f>
      </c>
      <c r="U196" s="4">
        <f>IF($J196="","",L196-R196)</f>
      </c>
      <c r="AA196" s="4">
        <f>IF($J196="","",S196-Z196)</f>
      </c>
    </row>
    <row r="197" spans="1:32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IF($J197="","",(S197-Z197)/I197*100)</f>
      </c>
      <c r="U197" s="4">
        <f>IF($J197="","",L197-R197)</f>
      </c>
      <c r="AA197" s="4">
        <f>IF($J197="","",S197-Z197)</f>
      </c>
    </row>
    <row r="198" spans="1:32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IF($J198="","",(S198-Z198)/I198*100)</f>
      </c>
      <c r="U198" s="4">
        <f>IF($J198="","",L198-R198)</f>
      </c>
      <c r="AA198" s="4">
        <f>IF($J198="","",S198-Z198)</f>
      </c>
    </row>
    <row r="199" spans="1:32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IF($J199="","",(S199-Z199)/I199*100)</f>
      </c>
      <c r="U199" s="4">
        <f>IF($J199="","",L199-R199)</f>
      </c>
      <c r="AA199" s="4">
        <f>IF($J199="","",S199-Z199)</f>
      </c>
    </row>
    <row r="200" spans="1:32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IF($J200="","",(S200-Z200)/I200*100)</f>
      </c>
      <c r="U200" s="4">
        <f>IF($J200="","",L200-R200)</f>
      </c>
      <c r="AA200" s="4">
        <f>IF($J200="","",S200-Z200)</f>
      </c>
    </row>
    <row r="201" spans="1:32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IF($J201="","",(S201-Z201)/I201*100)</f>
      </c>
      <c r="U201" s="4">
        <f>IF($J201="","",L201-R201)</f>
      </c>
      <c r="AA201" s="4">
        <f>IF($J201="","",S201-Z201)</f>
      </c>
    </row>
    <row r="202" spans="1:32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IFERROR((S202-Z202)/I202*100,0)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7"/>
      <c r="AC202" s="7"/>
      <c r="AD202" s="7"/>
      <c r="AE202" s="7"/>
      <c r="AF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77</v>
      </c>
      <c r="P1" t="s">
        <v>78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11</v>
      </c>
      <c r="AD1" t="s">
        <v>57</v>
      </c>
      <c r="AE1" t="s">
        <v>58</v>
      </c>
      <c r="AF1" t="s">
        <v>59</v>
      </c>
      <c r="AG1" t="s">
        <v>60</v>
      </c>
      <c r="AH1" t="s">
        <v>61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IF($K2="","",(U2-AB2)/J2*100)</f>
      </c>
      <c r="W2" s="4">
        <f>IF($K2="","",M2-T2)</f>
      </c>
      <c r="AC2" s="4">
        <f>IF($K2="","",U2-AB2)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IF($K3="","",(U3-AB3)/J3*100)</f>
      </c>
      <c r="W3" s="4">
        <f>IF($K3="","",M3-T3)</f>
      </c>
      <c r="AC3" s="4">
        <f>IF($K3="","",U3-AB3)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IF($K4="","",(U4-AB4)/J4*100)</f>
      </c>
      <c r="W4" s="4">
        <f>IF($K4="","",M4-T4)</f>
      </c>
      <c r="AC4" s="4">
        <f>IF($K4="","",U4-AB4)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IF($K5="","",(U5-AB5)/J5*100)</f>
      </c>
      <c r="W5" s="4">
        <f>IF($K5="","",M5-T5)</f>
      </c>
      <c r="AC5" s="4">
        <f>IF($K5="","",U5-AB5)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IF($K6="","",(U6-AB6)/J6*100)</f>
      </c>
      <c r="W6" s="4">
        <f>IF($K6="","",M6-T6)</f>
      </c>
      <c r="AC6" s="4">
        <f>IF($K6="","",U6-AB6)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IF($K7="","",(U7-AB7)/J7*100)</f>
      </c>
      <c r="W7" s="4">
        <f>IF($K7="","",M7-T7)</f>
      </c>
      <c r="AC7" s="4">
        <f>IF($K7="","",U7-AB7)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IF($K8="","",(U8-AB8)/J8*100)</f>
      </c>
      <c r="W8" s="4">
        <f>IF($K8="","",M8-T8)</f>
      </c>
      <c r="AC8" s="4">
        <f>IF($K8="","",U8-AB8)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IF($K9="","",(U9-AB9)/J9*100)</f>
      </c>
      <c r="W9" s="4">
        <f>IF($K9="","",M9-T9)</f>
      </c>
      <c r="AC9" s="4">
        <f>IF($K9="","",U9-AB9)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IF($K10="","",(U10-AB10)/J10*100)</f>
      </c>
      <c r="W10" s="4">
        <f>IF($K10="","",M10-T10)</f>
      </c>
      <c r="AC10" s="4">
        <f>IF($K10="","",U10-AB10)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IF($K11="","",(U11-AB11)/J11*100)</f>
      </c>
      <c r="W11" s="4">
        <f>IF($K11="","",M11-T11)</f>
      </c>
      <c r="AC11" s="4">
        <f>IF($K11="","",U11-AB11)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IF($K12="","",(U12-AB12)/J12*100)</f>
      </c>
      <c r="W12" s="4">
        <f>IF($K12="","",M12-T12)</f>
      </c>
      <c r="AC12" s="4">
        <f>IF($K12="","",U12-AB12)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IF($K13="","",(U13-AB13)/J13*100)</f>
      </c>
      <c r="W13" s="4">
        <f>IF($K13="","",M13-T13)</f>
      </c>
      <c r="AC13" s="4">
        <f>IF($K13="","",U13-AB13)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IF($K14="","",(U14-AB14)/J14*100)</f>
      </c>
      <c r="W14" s="4">
        <f>IF($K14="","",M14-T14)</f>
      </c>
      <c r="AC14" s="4">
        <f>IF($K14="","",U14-AB14)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IF($K15="","",(U15-AB15)/J15*100)</f>
      </c>
      <c r="W15" s="4">
        <f>IF($K15="","",M15-T15)</f>
      </c>
      <c r="AC15" s="4">
        <f>IF($K15="","",U15-AB15)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IF($K16="","",(U16-AB16)/J16*100)</f>
      </c>
      <c r="W16" s="4">
        <f>IF($K16="","",M16-T16)</f>
      </c>
      <c r="AC16" s="4">
        <f>IF($K16="","",U16-AB16)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IF($K17="","",(U17-AB17)/J17*100)</f>
      </c>
      <c r="W17" s="4">
        <f>IF($K17="","",M17-T17)</f>
      </c>
      <c r="AC17" s="4">
        <f>IF($K17="","",U17-AB17)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IF($K18="","",(U18-AB18)/J18*100)</f>
      </c>
      <c r="W18" s="4">
        <f>IF($K18="","",M18-T18)</f>
      </c>
      <c r="AC18" s="4">
        <f>IF($K18="","",U18-AB18)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IF($K19="","",(U19-AB19)/J19*100)</f>
      </c>
      <c r="W19" s="4">
        <f>IF($K19="","",M19-T19)</f>
      </c>
      <c r="AC19" s="4">
        <f>IF($K19="","",U19-AB19)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IF($K20="","",(U20-AB20)/J20*100)</f>
      </c>
      <c r="W20" s="4">
        <f>IF($K20="","",M20-T20)</f>
      </c>
      <c r="AC20" s="4">
        <f>IF($K20="","",U20-AB20)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IF($K21="","",(U21-AB21)/J21*100)</f>
      </c>
      <c r="W21" s="4">
        <f>IF($K21="","",M21-T21)</f>
      </c>
      <c r="AC21" s="4">
        <f>IF($K21="","",U21-AB21)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IF($K22="","",(U22-AB22)/J22*100)</f>
      </c>
      <c r="W22" s="4">
        <f>IF($K22="","",M22-T22)</f>
      </c>
      <c r="AC22" s="4">
        <f>IF($K22="","",U22-AB22)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IF($K23="","",(U23-AB23)/J23*100)</f>
      </c>
      <c r="W23" s="4">
        <f>IF($K23="","",M23-T23)</f>
      </c>
      <c r="AC23" s="4">
        <f>IF($K23="","",U23-AB23)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IF($K24="","",(U24-AB24)/J24*100)</f>
      </c>
      <c r="W24" s="4">
        <f>IF($K24="","",M24-T24)</f>
      </c>
      <c r="AC24" s="4">
        <f>IF($K24="","",U24-AB24)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IF($K25="","",(U25-AB25)/J25*100)</f>
      </c>
      <c r="W25" s="4">
        <f>IF($K25="","",M25-T25)</f>
      </c>
      <c r="AC25" s="4">
        <f>IF($K25="","",U25-AB25)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IF($K26="","",(U26-AB26)/J26*100)</f>
      </c>
      <c r="W26" s="4">
        <f>IF($K26="","",M26-T26)</f>
      </c>
      <c r="AC26" s="4">
        <f>IF($K26="","",U26-AB26)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IF($K27="","",(U27-AB27)/J27*100)</f>
      </c>
      <c r="W27" s="4">
        <f>IF($K27="","",M27-T27)</f>
      </c>
      <c r="AC27" s="4">
        <f>IF($K27="","",U27-AB27)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IF($K28="","",(U28-AB28)/J28*100)</f>
      </c>
      <c r="W28" s="4">
        <f>IF($K28="","",M28-T28)</f>
      </c>
      <c r="AC28" s="4">
        <f>IF($K28="","",U28-AB28)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IF($K29="","",(U29-AB29)/J29*100)</f>
      </c>
      <c r="W29" s="4">
        <f>IF($K29="","",M29-T29)</f>
      </c>
      <c r="AC29" s="4">
        <f>IF($K29="","",U29-AB29)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IF($K30="","",(U30-AB30)/J30*100)</f>
      </c>
      <c r="W30" s="4">
        <f>IF($K30="","",M30-T30)</f>
      </c>
      <c r="AC30" s="4">
        <f>IF($K30="","",U30-AB30)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IF($K31="","",(U31-AB31)/J31*100)</f>
      </c>
      <c r="W31" s="4">
        <f>IF($K31="","",M31-T31)</f>
      </c>
      <c r="AC31" s="4">
        <f>IF($K31="","",U31-AB31)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IF($K32="","",(U32-AB32)/J32*100)</f>
      </c>
      <c r="W32" s="4">
        <f>IF($K32="","",M32-T32)</f>
      </c>
      <c r="AC32" s="4">
        <f>IF($K32="","",U32-AB32)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IF($K33="","",(U33-AB33)/J33*100)</f>
      </c>
      <c r="W33" s="4">
        <f>IF($K33="","",M33-T33)</f>
      </c>
      <c r="AC33" s="4">
        <f>IF($K33="","",U33-AB33)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IF($K34="","",(U34-AB34)/J34*100)</f>
      </c>
      <c r="W34" s="4">
        <f>IF($K34="","",M34-T34)</f>
      </c>
      <c r="AC34" s="4">
        <f>IF($K34="","",U34-AB34)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IF($K35="","",(U35-AB35)/J35*100)</f>
      </c>
      <c r="W35" s="4">
        <f>IF($K35="","",M35-T35)</f>
      </c>
      <c r="AC35" s="4">
        <f>IF($K35="","",U35-AB35)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IF($K36="","",(U36-AB36)/J36*100)</f>
      </c>
      <c r="W36" s="4">
        <f>IF($K36="","",M36-T36)</f>
      </c>
      <c r="AC36" s="4">
        <f>IF($K36="","",U36-AB36)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IF($K37="","",(U37-AB37)/J37*100)</f>
      </c>
      <c r="W37" s="4">
        <f>IF($K37="","",M37-T37)</f>
      </c>
      <c r="AC37" s="4">
        <f>IF($K37="","",U37-AB37)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IF($K38="","",(U38-AB38)/J38*100)</f>
      </c>
      <c r="W38" s="4">
        <f>IF($K38="","",M38-T38)</f>
      </c>
      <c r="AC38" s="4">
        <f>IF($K38="","",U38-AB38)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IF($K39="","",(U39-AB39)/J39*100)</f>
      </c>
      <c r="W39" s="4">
        <f>IF($K39="","",M39-T39)</f>
      </c>
      <c r="AC39" s="4">
        <f>IF($K39="","",U39-AB39)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IF($K40="","",(U40-AB40)/J40*100)</f>
      </c>
      <c r="W40" s="4">
        <f>IF($K40="","",M40-T40)</f>
      </c>
      <c r="AC40" s="4">
        <f>IF($K40="","",U40-AB40)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IF($K41="","",(U41-AB41)/J41*100)</f>
      </c>
      <c r="W41" s="4">
        <f>IF($K41="","",M41-T41)</f>
      </c>
      <c r="AC41" s="4">
        <f>IF($K41="","",U41-AB41)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IF($K42="","",(U42-AB42)/J42*100)</f>
      </c>
      <c r="W42" s="4">
        <f>IF($K42="","",M42-T42)</f>
      </c>
      <c r="AC42" s="4">
        <f>IF($K42="","",U42-AB42)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IF($K43="","",(U43-AB43)/J43*100)</f>
      </c>
      <c r="W43" s="4">
        <f>IF($K43="","",M43-T43)</f>
      </c>
      <c r="AC43" s="4">
        <f>IF($K43="","",U43-AB43)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IF($K44="","",(U44-AB44)/J44*100)</f>
      </c>
      <c r="W44" s="4">
        <f>IF($K44="","",M44-T44)</f>
      </c>
      <c r="AC44" s="4">
        <f>IF($K44="","",U44-AB44)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IF($K45="","",(U45-AB45)/J45*100)</f>
      </c>
      <c r="W45" s="4">
        <f>IF($K45="","",M45-T45)</f>
      </c>
      <c r="AC45" s="4">
        <f>IF($K45="","",U45-AB45)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IF($K46="","",(U46-AB46)/J46*100)</f>
      </c>
      <c r="W46" s="4">
        <f>IF($K46="","",M46-T46)</f>
      </c>
      <c r="AC46" s="4">
        <f>IF($K46="","",U46-AB46)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IF($K47="","",(U47-AB47)/J47*100)</f>
      </c>
      <c r="W47" s="4">
        <f>IF($K47="","",M47-T47)</f>
      </c>
      <c r="AC47" s="4">
        <f>IF($K47="","",U47-AB47)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IF($K48="","",(U48-AB48)/J48*100)</f>
      </c>
      <c r="W48" s="4">
        <f>IF($K48="","",M48-T48)</f>
      </c>
      <c r="AC48" s="4">
        <f>IF($K48="","",U48-AB48)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IF($K49="","",(U49-AB49)/J49*100)</f>
      </c>
      <c r="W49" s="4">
        <f>IF($K49="","",M49-T49)</f>
      </c>
      <c r="AC49" s="4">
        <f>IF($K49="","",U49-AB49)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IF($K50="","",(U50-AB50)/J50*100)</f>
      </c>
      <c r="W50" s="4">
        <f>IF($K50="","",M50-T50)</f>
      </c>
      <c r="AC50" s="4">
        <f>IF($K50="","",U50-AB50)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IF($K51="","",(U51-AB51)/J51*100)</f>
      </c>
      <c r="W51" s="4">
        <f>IF($K51="","",M51-T51)</f>
      </c>
      <c r="AC51" s="4">
        <f>IF($K51="","",U51-AB51)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IF($K52="","",(U52-AB52)/J52*100)</f>
      </c>
      <c r="W52" s="4">
        <f>IF($K52="","",M52-T52)</f>
      </c>
      <c r="AC52" s="4">
        <f>IF($K52="","",U52-AB52)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IF($K53="","",(U53-AB53)/J53*100)</f>
      </c>
      <c r="W53" s="4">
        <f>IF($K53="","",M53-T53)</f>
      </c>
      <c r="AC53" s="4">
        <f>IF($K53="","",U53-AB53)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IF($K54="","",(U54-AB54)/J54*100)</f>
      </c>
      <c r="W54" s="4">
        <f>IF($K54="","",M54-T54)</f>
      </c>
      <c r="AC54" s="4">
        <f>IF($K54="","",U54-AB54)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IF($K55="","",(U55-AB55)/J55*100)</f>
      </c>
      <c r="W55" s="4">
        <f>IF($K55="","",M55-T55)</f>
      </c>
      <c r="AC55" s="4">
        <f>IF($K55="","",U55-AB55)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IF($K56="","",(U56-AB56)/J56*100)</f>
      </c>
      <c r="W56" s="4">
        <f>IF($K56="","",M56-T56)</f>
      </c>
      <c r="AC56" s="4">
        <f>IF($K56="","",U56-AB56)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IF($K57="","",(U57-AB57)/J57*100)</f>
      </c>
      <c r="W57" s="4">
        <f>IF($K57="","",M57-T57)</f>
      </c>
      <c r="AC57" s="4">
        <f>IF($K57="","",U57-AB57)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IF($K58="","",(U58-AB58)/J58*100)</f>
      </c>
      <c r="W58" s="4">
        <f>IF($K58="","",M58-T58)</f>
      </c>
      <c r="AC58" s="4">
        <f>IF($K58="","",U58-AB58)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IF($K59="","",(U59-AB59)/J59*100)</f>
      </c>
      <c r="W59" s="4">
        <f>IF($K59="","",M59-T59)</f>
      </c>
      <c r="AC59" s="4">
        <f>IF($K59="","",U59-AB59)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IF($K60="","",(U60-AB60)/J60*100)</f>
      </c>
      <c r="W60" s="4">
        <f>IF($K60="","",M60-T60)</f>
      </c>
      <c r="AC60" s="4">
        <f>IF($K60="","",U60-AB60)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IF($K61="","",(U61-AB61)/J61*100)</f>
      </c>
      <c r="W61" s="4">
        <f>IF($K61="","",M61-T61)</f>
      </c>
      <c r="AC61" s="4">
        <f>IF($K61="","",U61-AB61)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IF($K62="","",(U62-AB62)/J62*100)</f>
      </c>
      <c r="W62" s="4">
        <f>IF($K62="","",M62-T62)</f>
      </c>
      <c r="AC62" s="4">
        <f>IF($K62="","",U62-AB62)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IF($K63="","",(U63-AB63)/J63*100)</f>
      </c>
      <c r="W63" s="4">
        <f>IF($K63="","",M63-T63)</f>
      </c>
      <c r="AC63" s="4">
        <f>IF($K63="","",U63-AB63)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IF($K64="","",(U64-AB64)/J64*100)</f>
      </c>
      <c r="W64" s="4">
        <f>IF($K64="","",M64-T64)</f>
      </c>
      <c r="AC64" s="4">
        <f>IF($K64="","",U64-AB64)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IF($K65="","",(U65-AB65)/J65*100)</f>
      </c>
      <c r="W65" s="4">
        <f>IF($K65="","",M65-T65)</f>
      </c>
      <c r="AC65" s="4">
        <f>IF($K65="","",U65-AB65)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IF($K66="","",(U66-AB66)/J66*100)</f>
      </c>
      <c r="W66" s="4">
        <f>IF($K66="","",M66-T66)</f>
      </c>
      <c r="AC66" s="4">
        <f>IF($K66="","",U66-AB66)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IF($K67="","",(U67-AB67)/J67*100)</f>
      </c>
      <c r="W67" s="4">
        <f>IF($K67="","",M67-T67)</f>
      </c>
      <c r="AC67" s="4">
        <f>IF($K67="","",U67-AB67)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IF($K68="","",(U68-AB68)/J68*100)</f>
      </c>
      <c r="W68" s="4">
        <f>IF($K68="","",M68-T68)</f>
      </c>
      <c r="AC68" s="4">
        <f>IF($K68="","",U68-AB68)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IF($K69="","",(U69-AB69)/J69*100)</f>
      </c>
      <c r="W69" s="4">
        <f>IF($K69="","",M69-T69)</f>
      </c>
      <c r="AC69" s="4">
        <f>IF($K69="","",U69-AB69)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IF($K70="","",(U70-AB70)/J70*100)</f>
      </c>
      <c r="W70" s="4">
        <f>IF($K70="","",M70-T70)</f>
      </c>
      <c r="AC70" s="4">
        <f>IF($K70="","",U70-AB70)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IF($K71="","",(U71-AB71)/J71*100)</f>
      </c>
      <c r="W71" s="4">
        <f>IF($K71="","",M71-T71)</f>
      </c>
      <c r="AC71" s="4">
        <f>IF($K71="","",U71-AB71)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IF($K72="","",(U72-AB72)/J72*100)</f>
      </c>
      <c r="W72" s="4">
        <f>IF($K72="","",M72-T72)</f>
      </c>
      <c r="AC72" s="4">
        <f>IF($K72="","",U72-AB72)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IF($K73="","",(U73-AB73)/J73*100)</f>
      </c>
      <c r="W73" s="4">
        <f>IF($K73="","",M73-T73)</f>
      </c>
      <c r="AC73" s="4">
        <f>IF($K73="","",U73-AB73)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IF($K74="","",(U74-AB74)/J74*100)</f>
      </c>
      <c r="W74" s="4">
        <f>IF($K74="","",M74-T74)</f>
      </c>
      <c r="AC74" s="4">
        <f>IF($K74="","",U74-AB74)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IF($K75="","",(U75-AB75)/J75*100)</f>
      </c>
      <c r="W75" s="4">
        <f>IF($K75="","",M75-T75)</f>
      </c>
      <c r="AC75" s="4">
        <f>IF($K75="","",U75-AB75)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IF($K76="","",(U76-AB76)/J76*100)</f>
      </c>
      <c r="W76" s="4">
        <f>IF($K76="","",M76-T76)</f>
      </c>
      <c r="AC76" s="4">
        <f>IF($K76="","",U76-AB76)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IF($K77="","",(U77-AB77)/J77*100)</f>
      </c>
      <c r="W77" s="4">
        <f>IF($K77="","",M77-T77)</f>
      </c>
      <c r="AC77" s="4">
        <f>IF($K77="","",U77-AB77)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IF($K78="","",(U78-AB78)/J78*100)</f>
      </c>
      <c r="W78" s="4">
        <f>IF($K78="","",M78-T78)</f>
      </c>
      <c r="AC78" s="4">
        <f>IF($K78="","",U78-AB78)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IF($K79="","",(U79-AB79)/J79*100)</f>
      </c>
      <c r="W79" s="4">
        <f>IF($K79="","",M79-T79)</f>
      </c>
      <c r="AC79" s="4">
        <f>IF($K79="","",U79-AB79)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IF($K80="","",(U80-AB80)/J80*100)</f>
      </c>
      <c r="W80" s="4">
        <f>IF($K80="","",M80-T80)</f>
      </c>
      <c r="AC80" s="4">
        <f>IF($K80="","",U80-AB80)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IF($K81="","",(U81-AB81)/J81*100)</f>
      </c>
      <c r="W81" s="4">
        <f>IF($K81="","",M81-T81)</f>
      </c>
      <c r="AC81" s="4">
        <f>IF($K81="","",U81-AB81)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IF($K82="","",(U82-AB82)/J82*100)</f>
      </c>
      <c r="W82" s="4">
        <f>IF($K82="","",M82-T82)</f>
      </c>
      <c r="AC82" s="4">
        <f>IF($K82="","",U82-AB82)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IF($K83="","",(U83-AB83)/J83*100)</f>
      </c>
      <c r="W83" s="4">
        <f>IF($K83="","",M83-T83)</f>
      </c>
      <c r="AC83" s="4">
        <f>IF($K83="","",U83-AB83)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IF($K84="","",(U84-AB84)/J84*100)</f>
      </c>
      <c r="W84" s="4">
        <f>IF($K84="","",M84-T84)</f>
      </c>
      <c r="AC84" s="4">
        <f>IF($K84="","",U84-AB84)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IF($K85="","",(U85-AB85)/J85*100)</f>
      </c>
      <c r="W85" s="4">
        <f>IF($K85="","",M85-T85)</f>
      </c>
      <c r="AC85" s="4">
        <f>IF($K85="","",U85-AB85)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IF($K86="","",(U86-AB86)/J86*100)</f>
      </c>
      <c r="W86" s="4">
        <f>IF($K86="","",M86-T86)</f>
      </c>
      <c r="AC86" s="4">
        <f>IF($K86="","",U86-AB86)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IF($K87="","",(U87-AB87)/J87*100)</f>
      </c>
      <c r="W87" s="4">
        <f>IF($K87="","",M87-T87)</f>
      </c>
      <c r="AC87" s="4">
        <f>IF($K87="","",U87-AB87)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IF($K88="","",(U88-AB88)/J88*100)</f>
      </c>
      <c r="W88" s="4">
        <f>IF($K88="","",M88-T88)</f>
      </c>
      <c r="AC88" s="4">
        <f>IF($K88="","",U88-AB88)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IF($K89="","",(U89-AB89)/J89*100)</f>
      </c>
      <c r="W89" s="4">
        <f>IF($K89="","",M89-T89)</f>
      </c>
      <c r="AC89" s="4">
        <f>IF($K89="","",U89-AB89)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IF($K90="","",(U90-AB90)/J90*100)</f>
      </c>
      <c r="W90" s="4">
        <f>IF($K90="","",M90-T90)</f>
      </c>
      <c r="AC90" s="4">
        <f>IF($K90="","",U90-AB90)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IF($K91="","",(U91-AB91)/J91*100)</f>
      </c>
      <c r="W91" s="4">
        <f>IF($K91="","",M91-T91)</f>
      </c>
      <c r="AC91" s="4">
        <f>IF($K91="","",U91-AB91)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IF($K92="","",(U92-AB92)/J92*100)</f>
      </c>
      <c r="W92" s="4">
        <f>IF($K92="","",M92-T92)</f>
      </c>
      <c r="AC92" s="4">
        <f>IF($K92="","",U92-AB92)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IF($K93="","",(U93-AB93)/J93*100)</f>
      </c>
      <c r="W93" s="4">
        <f>IF($K93="","",M93-T93)</f>
      </c>
      <c r="AC93" s="4">
        <f>IF($K93="","",U93-AB93)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IF($K94="","",(U94-AB94)/J94*100)</f>
      </c>
      <c r="W94" s="4">
        <f>IF($K94="","",M94-T94)</f>
      </c>
      <c r="AC94" s="4">
        <f>IF($K94="","",U94-AB94)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IF($K95="","",(U95-AB95)/J95*100)</f>
      </c>
      <c r="W95" s="4">
        <f>IF($K95="","",M95-T95)</f>
      </c>
      <c r="AC95" s="4">
        <f>IF($K95="","",U95-AB95)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IF($K96="","",(U96-AB96)/J96*100)</f>
      </c>
      <c r="W96" s="4">
        <f>IF($K96="","",M96-T96)</f>
      </c>
      <c r="AC96" s="4">
        <f>IF($K96="","",U96-AB96)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IF($K97="","",(U97-AB97)/J97*100)</f>
      </c>
      <c r="W97" s="4">
        <f>IF($K97="","",M97-T97)</f>
      </c>
      <c r="AC97" s="4">
        <f>IF($K97="","",U97-AB97)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IF($K98="","",(U98-AB98)/J98*100)</f>
      </c>
      <c r="W98" s="4">
        <f>IF($K98="","",M98-T98)</f>
      </c>
      <c r="AC98" s="4">
        <f>IF($K98="","",U98-AB98)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IF($K99="","",(U99-AB99)/J99*100)</f>
      </c>
      <c r="W99" s="4">
        <f>IF($K99="","",M99-T99)</f>
      </c>
      <c r="AC99" s="4">
        <f>IF($K99="","",U99-AB99)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IF($K100="","",(U100-AB100)/J100*100)</f>
      </c>
      <c r="W100" s="4">
        <f>IF($K100="","",M100-T100)</f>
      </c>
      <c r="AC100" s="4">
        <f>IF($K100="","",U100-AB100)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IF($K101="","",(U101-AB101)/J101*100)</f>
      </c>
      <c r="W101" s="4">
        <f>IF($K101="","",M101-T101)</f>
      </c>
      <c r="AC101" s="4">
        <f>IF($K101="","",U101-AB101)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IF($K102="","",(U102-AB102)/J102*100)</f>
      </c>
      <c r="W102" s="4">
        <f>IF($K102="","",M102-T102)</f>
      </c>
      <c r="AC102" s="4">
        <f>IF($K102="","",U102-AB102)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IF($K103="","",(U103-AB103)/J103*100)</f>
      </c>
      <c r="W103" s="4">
        <f>IF($K103="","",M103-T103)</f>
      </c>
      <c r="AC103" s="4">
        <f>IF($K103="","",U103-AB103)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IF($K104="","",(U104-AB104)/J104*100)</f>
      </c>
      <c r="W104" s="4">
        <f>IF($K104="","",M104-T104)</f>
      </c>
      <c r="AC104" s="4">
        <f>IF($K104="","",U104-AB104)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IF($K105="","",(U105-AB105)/J105*100)</f>
      </c>
      <c r="W105" s="4">
        <f>IF($K105="","",M105-T105)</f>
      </c>
      <c r="AC105" s="4">
        <f>IF($K105="","",U105-AB105)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IF($K106="","",(U106-AB106)/J106*100)</f>
      </c>
      <c r="W106" s="4">
        <f>IF($K106="","",M106-T106)</f>
      </c>
      <c r="AC106" s="4">
        <f>IF($K106="","",U106-AB106)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IF($K107="","",(U107-AB107)/J107*100)</f>
      </c>
      <c r="W107" s="4">
        <f>IF($K107="","",M107-T107)</f>
      </c>
      <c r="AC107" s="4">
        <f>IF($K107="","",U107-AB107)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IF($K108="","",(U108-AB108)/J108*100)</f>
      </c>
      <c r="W108" s="4">
        <f>IF($K108="","",M108-T108)</f>
      </c>
      <c r="AC108" s="4">
        <f>IF($K108="","",U108-AB108)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IF($K109="","",(U109-AB109)/J109*100)</f>
      </c>
      <c r="W109" s="4">
        <f>IF($K109="","",M109-T109)</f>
      </c>
      <c r="AC109" s="4">
        <f>IF($K109="","",U109-AB109)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IF($K110="","",(U110-AB110)/J110*100)</f>
      </c>
      <c r="W110" s="4">
        <f>IF($K110="","",M110-T110)</f>
      </c>
      <c r="AC110" s="4">
        <f>IF($K110="","",U110-AB110)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IF($K111="","",(U111-AB111)/J111*100)</f>
      </c>
      <c r="W111" s="4">
        <f>IF($K111="","",M111-T111)</f>
      </c>
      <c r="AC111" s="4">
        <f>IF($K111="","",U111-AB111)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IF($K112="","",(U112-AB112)/J112*100)</f>
      </c>
      <c r="W112" s="4">
        <f>IF($K112="","",M112-T112)</f>
      </c>
      <c r="AC112" s="4">
        <f>IF($K112="","",U112-AB112)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IF($K113="","",(U113-AB113)/J113*100)</f>
      </c>
      <c r="W113" s="4">
        <f>IF($K113="","",M113-T113)</f>
      </c>
      <c r="AC113" s="4">
        <f>IF($K113="","",U113-AB113)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IF($K114="","",(U114-AB114)/J114*100)</f>
      </c>
      <c r="W114" s="4">
        <f>IF($K114="","",M114-T114)</f>
      </c>
      <c r="AC114" s="4">
        <f>IF($K114="","",U114-AB114)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IF($K115="","",(U115-AB115)/J115*100)</f>
      </c>
      <c r="W115" s="4">
        <f>IF($K115="","",M115-T115)</f>
      </c>
      <c r="AC115" s="4">
        <f>IF($K115="","",U115-AB115)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IF($K116="","",(U116-AB116)/J116*100)</f>
      </c>
      <c r="W116" s="4">
        <f>IF($K116="","",M116-T116)</f>
      </c>
      <c r="AC116" s="4">
        <f>IF($K116="","",U116-AB116)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IF($K117="","",(U117-AB117)/J117*100)</f>
      </c>
      <c r="W117" s="4">
        <f>IF($K117="","",M117-T117)</f>
      </c>
      <c r="AC117" s="4">
        <f>IF($K117="","",U117-AB117)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IF($K118="","",(U118-AB118)/J118*100)</f>
      </c>
      <c r="W118" s="4">
        <f>IF($K118="","",M118-T118)</f>
      </c>
      <c r="AC118" s="4">
        <f>IF($K118="","",U118-AB118)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IF($K119="","",(U119-AB119)/J119*100)</f>
      </c>
      <c r="W119" s="4">
        <f>IF($K119="","",M119-T119)</f>
      </c>
      <c r="AC119" s="4">
        <f>IF($K119="","",U119-AB119)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IF($K120="","",(U120-AB120)/J120*100)</f>
      </c>
      <c r="W120" s="4">
        <f>IF($K120="","",M120-T120)</f>
      </c>
      <c r="AC120" s="4">
        <f>IF($K120="","",U120-AB120)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IF($K121="","",(U121-AB121)/J121*100)</f>
      </c>
      <c r="W121" s="4">
        <f>IF($K121="","",M121-T121)</f>
      </c>
      <c r="AC121" s="4">
        <f>IF($K121="","",U121-AB121)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IF($K122="","",(U122-AB122)/J122*100)</f>
      </c>
      <c r="W122" s="4">
        <f>IF($K122="","",M122-T122)</f>
      </c>
      <c r="AC122" s="4">
        <f>IF($K122="","",U122-AB122)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IF($K123="","",(U123-AB123)/J123*100)</f>
      </c>
      <c r="W123" s="4">
        <f>IF($K123="","",M123-T123)</f>
      </c>
      <c r="AC123" s="4">
        <f>IF($K123="","",U123-AB123)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IF($K124="","",(U124-AB124)/J124*100)</f>
      </c>
      <c r="W124" s="4">
        <f>IF($K124="","",M124-T124)</f>
      </c>
      <c r="AC124" s="4">
        <f>IF($K124="","",U124-AB124)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IF($K125="","",(U125-AB125)/J125*100)</f>
      </c>
      <c r="W125" s="4">
        <f>IF($K125="","",M125-T125)</f>
      </c>
      <c r="AC125" s="4">
        <f>IF($K125="","",U125-AB125)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IF($K126="","",(U126-AB126)/J126*100)</f>
      </c>
      <c r="W126" s="4">
        <f>IF($K126="","",M126-T126)</f>
      </c>
      <c r="AC126" s="4">
        <f>IF($K126="","",U126-AB126)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IF($K127="","",(U127-AB127)/J127*100)</f>
      </c>
      <c r="W127" s="4">
        <f>IF($K127="","",M127-T127)</f>
      </c>
      <c r="AC127" s="4">
        <f>IF($K127="","",U127-AB127)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IF($K128="","",(U128-AB128)/J128*100)</f>
      </c>
      <c r="W128" s="4">
        <f>IF($K128="","",M128-T128)</f>
      </c>
      <c r="AC128" s="4">
        <f>IF($K128="","",U128-AB128)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IF($K129="","",(U129-AB129)/J129*100)</f>
      </c>
      <c r="W129" s="4">
        <f>IF($K129="","",M129-T129)</f>
      </c>
      <c r="AC129" s="4">
        <f>IF($K129="","",U129-AB129)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IF($K130="","",(U130-AB130)/J130*100)</f>
      </c>
      <c r="W130" s="4">
        <f>IF($K130="","",M130-T130)</f>
      </c>
      <c r="AC130" s="4">
        <f>IF($K130="","",U130-AB130)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IF($K131="","",(U131-AB131)/J131*100)</f>
      </c>
      <c r="W131" s="4">
        <f>IF($K131="","",M131-T131)</f>
      </c>
      <c r="AC131" s="4">
        <f>IF($K131="","",U131-AB131)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IF($K132="","",(U132-AB132)/J132*100)</f>
      </c>
      <c r="W132" s="4">
        <f>IF($K132="","",M132-T132)</f>
      </c>
      <c r="AC132" s="4">
        <f>IF($K132="","",U132-AB132)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IF($K133="","",(U133-AB133)/J133*100)</f>
      </c>
      <c r="W133" s="4">
        <f>IF($K133="","",M133-T133)</f>
      </c>
      <c r="AC133" s="4">
        <f>IF($K133="","",U133-AB133)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IF($K134="","",(U134-AB134)/J134*100)</f>
      </c>
      <c r="W134" s="4">
        <f>IF($K134="","",M134-T134)</f>
      </c>
      <c r="AC134" s="4">
        <f>IF($K134="","",U134-AB134)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IF($K135="","",(U135-AB135)/J135*100)</f>
      </c>
      <c r="W135" s="4">
        <f>IF($K135="","",M135-T135)</f>
      </c>
      <c r="AC135" s="4">
        <f>IF($K135="","",U135-AB135)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IF($K136="","",(U136-AB136)/J136*100)</f>
      </c>
      <c r="W136" s="4">
        <f>IF($K136="","",M136-T136)</f>
      </c>
      <c r="AC136" s="4">
        <f>IF($K136="","",U136-AB136)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IF($K137="","",(U137-AB137)/J137*100)</f>
      </c>
      <c r="W137" s="4">
        <f>IF($K137="","",M137-T137)</f>
      </c>
      <c r="AC137" s="4">
        <f>IF($K137="","",U137-AB137)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IF($K138="","",(U138-AB138)/J138*100)</f>
      </c>
      <c r="W138" s="4">
        <f>IF($K138="","",M138-T138)</f>
      </c>
      <c r="AC138" s="4">
        <f>IF($K138="","",U138-AB138)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IF($K139="","",(U139-AB139)/J139*100)</f>
      </c>
      <c r="W139" s="4">
        <f>IF($K139="","",M139-T139)</f>
      </c>
      <c r="AC139" s="4">
        <f>IF($K139="","",U139-AB139)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IF($K140="","",(U140-AB140)/J140*100)</f>
      </c>
      <c r="W140" s="4">
        <f>IF($K140="","",M140-T140)</f>
      </c>
      <c r="AC140" s="4">
        <f>IF($K140="","",U140-AB140)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IF($K141="","",(U141-AB141)/J141*100)</f>
      </c>
      <c r="W141" s="4">
        <f>IF($K141="","",M141-T141)</f>
      </c>
      <c r="AC141" s="4">
        <f>IF($K141="","",U141-AB141)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IF($K142="","",(U142-AB142)/J142*100)</f>
      </c>
      <c r="W142" s="4">
        <f>IF($K142="","",M142-T142)</f>
      </c>
      <c r="AC142" s="4">
        <f>IF($K142="","",U142-AB142)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IF($K143="","",(U143-AB143)/J143*100)</f>
      </c>
      <c r="W143" s="4">
        <f>IF($K143="","",M143-T143)</f>
      </c>
      <c r="AC143" s="4">
        <f>IF($K143="","",U143-AB143)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IF($K144="","",(U144-AB144)/J144*100)</f>
      </c>
      <c r="W144" s="4">
        <f>IF($K144="","",M144-T144)</f>
      </c>
      <c r="AC144" s="4">
        <f>IF($K144="","",U144-AB144)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IF($K145="","",(U145-AB145)/J145*100)</f>
      </c>
      <c r="W145" s="4">
        <f>IF($K145="","",M145-T145)</f>
      </c>
      <c r="AC145" s="4">
        <f>IF($K145="","",U145-AB145)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IF($K146="","",(U146-AB146)/J146*100)</f>
      </c>
      <c r="W146" s="4">
        <f>IF($K146="","",M146-T146)</f>
      </c>
      <c r="AC146" s="4">
        <f>IF($K146="","",U146-AB146)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IF($K147="","",(U147-AB147)/J147*100)</f>
      </c>
      <c r="W147" s="4">
        <f>IF($K147="","",M147-T147)</f>
      </c>
      <c r="AC147" s="4">
        <f>IF($K147="","",U147-AB147)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IF($K148="","",(U148-AB148)/J148*100)</f>
      </c>
      <c r="W148" s="4">
        <f>IF($K148="","",M148-T148)</f>
      </c>
      <c r="AC148" s="4">
        <f>IF($K148="","",U148-AB148)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IF($K149="","",(U149-AB149)/J149*100)</f>
      </c>
      <c r="W149" s="4">
        <f>IF($K149="","",M149-T149)</f>
      </c>
      <c r="AC149" s="4">
        <f>IF($K149="","",U149-AB149)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IF($K150="","",(U150-AB150)/J150*100)</f>
      </c>
      <c r="W150" s="4">
        <f>IF($K150="","",M150-T150)</f>
      </c>
      <c r="AC150" s="4">
        <f>IF($K150="","",U150-AB150)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IF($K151="","",(U151-AB151)/J151*100)</f>
      </c>
      <c r="W151" s="4">
        <f>IF($K151="","",M151-T151)</f>
      </c>
      <c r="AC151" s="4">
        <f>IF($K151="","",U151-AB151)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IF($K152="","",(U152-AB152)/J152*100)</f>
      </c>
      <c r="W152" s="4">
        <f>IF($K152="","",M152-T152)</f>
      </c>
      <c r="AC152" s="4">
        <f>IF($K152="","",U152-AB152)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IF($K153="","",(U153-AB153)/J153*100)</f>
      </c>
      <c r="W153" s="4">
        <f>IF($K153="","",M153-T153)</f>
      </c>
      <c r="AC153" s="4">
        <f>IF($K153="","",U153-AB153)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IF($K154="","",(U154-AB154)/J154*100)</f>
      </c>
      <c r="W154" s="4">
        <f>IF($K154="","",M154-T154)</f>
      </c>
      <c r="AC154" s="4">
        <f>IF($K154="","",U154-AB154)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IF($K155="","",(U155-AB155)/J155*100)</f>
      </c>
      <c r="W155" s="4">
        <f>IF($K155="","",M155-T155)</f>
      </c>
      <c r="AC155" s="4">
        <f>IF($K155="","",U155-AB155)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IF($K156="","",(U156-AB156)/J156*100)</f>
      </c>
      <c r="W156" s="4">
        <f>IF($K156="","",M156-T156)</f>
      </c>
      <c r="AC156" s="4">
        <f>IF($K156="","",U156-AB156)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IF($K157="","",(U157-AB157)/J157*100)</f>
      </c>
      <c r="W157" s="4">
        <f>IF($K157="","",M157-T157)</f>
      </c>
      <c r="AC157" s="4">
        <f>IF($K157="","",U157-AB157)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IF($K158="","",(U158-AB158)/J158*100)</f>
      </c>
      <c r="W158" s="4">
        <f>IF($K158="","",M158-T158)</f>
      </c>
      <c r="AC158" s="4">
        <f>IF($K158="","",U158-AB158)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IF($K159="","",(U159-AB159)/J159*100)</f>
      </c>
      <c r="W159" s="4">
        <f>IF($K159="","",M159-T159)</f>
      </c>
      <c r="AC159" s="4">
        <f>IF($K159="","",U159-AB159)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IF($K160="","",(U160-AB160)/J160*100)</f>
      </c>
      <c r="W160" s="4">
        <f>IF($K160="","",M160-T160)</f>
      </c>
      <c r="AC160" s="4">
        <f>IF($K160="","",U160-AB160)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IF($K161="","",(U161-AB161)/J161*100)</f>
      </c>
      <c r="W161" s="4">
        <f>IF($K161="","",M161-T161)</f>
      </c>
      <c r="AC161" s="4">
        <f>IF($K161="","",U161-AB161)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IF($K162="","",(U162-AB162)/J162*100)</f>
      </c>
      <c r="W162" s="4">
        <f>IF($K162="","",M162-T162)</f>
      </c>
      <c r="AC162" s="4">
        <f>IF($K162="","",U162-AB162)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IF($K163="","",(U163-AB163)/J163*100)</f>
      </c>
      <c r="W163" s="4">
        <f>IF($K163="","",M163-T163)</f>
      </c>
      <c r="AC163" s="4">
        <f>IF($K163="","",U163-AB163)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IF($K164="","",(U164-AB164)/J164*100)</f>
      </c>
      <c r="W164" s="4">
        <f>IF($K164="","",M164-T164)</f>
      </c>
      <c r="AC164" s="4">
        <f>IF($K164="","",U164-AB164)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IF($K165="","",(U165-AB165)/J165*100)</f>
      </c>
      <c r="W165" s="4">
        <f>IF($K165="","",M165-T165)</f>
      </c>
      <c r="AC165" s="4">
        <f>IF($K165="","",U165-AB165)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IF($K166="","",(U166-AB166)/J166*100)</f>
      </c>
      <c r="W166" s="4">
        <f>IF($K166="","",M166-T166)</f>
      </c>
      <c r="AC166" s="4">
        <f>IF($K166="","",U166-AB166)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IF($K167="","",(U167-AB167)/J167*100)</f>
      </c>
      <c r="W167" s="4">
        <f>IF($K167="","",M167-T167)</f>
      </c>
      <c r="AC167" s="4">
        <f>IF($K167="","",U167-AB167)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IF($K168="","",(U168-AB168)/J168*100)</f>
      </c>
      <c r="W168" s="4">
        <f>IF($K168="","",M168-T168)</f>
      </c>
      <c r="AC168" s="4">
        <f>IF($K168="","",U168-AB168)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IF($K169="","",(U169-AB169)/J169*100)</f>
      </c>
      <c r="W169" s="4">
        <f>IF($K169="","",M169-T169)</f>
      </c>
      <c r="AC169" s="4">
        <f>IF($K169="","",U169-AB169)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IF($K170="","",(U170-AB170)/J170*100)</f>
      </c>
      <c r="W170" s="4">
        <f>IF($K170="","",M170-T170)</f>
      </c>
      <c r="AC170" s="4">
        <f>IF($K170="","",U170-AB170)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IF($K171="","",(U171-AB171)/J171*100)</f>
      </c>
      <c r="W171" s="4">
        <f>IF($K171="","",M171-T171)</f>
      </c>
      <c r="AC171" s="4">
        <f>IF($K171="","",U171-AB171)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IF($K172="","",(U172-AB172)/J172*100)</f>
      </c>
      <c r="W172" s="4">
        <f>IF($K172="","",M172-T172)</f>
      </c>
      <c r="AC172" s="4">
        <f>IF($K172="","",U172-AB172)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IF($K173="","",(U173-AB173)/J173*100)</f>
      </c>
      <c r="W173" s="4">
        <f>IF($K173="","",M173-T173)</f>
      </c>
      <c r="AC173" s="4">
        <f>IF($K173="","",U173-AB173)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IF($K174="","",(U174-AB174)/J174*100)</f>
      </c>
      <c r="W174" s="4">
        <f>IF($K174="","",M174-T174)</f>
      </c>
      <c r="AC174" s="4">
        <f>IF($K174="","",U174-AB174)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IF($K175="","",(U175-AB175)/J175*100)</f>
      </c>
      <c r="W175" s="4">
        <f>IF($K175="","",M175-T175)</f>
      </c>
      <c r="AC175" s="4">
        <f>IF($K175="","",U175-AB175)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IF($K176="","",(U176-AB176)/J176*100)</f>
      </c>
      <c r="W176" s="4">
        <f>IF($K176="","",M176-T176)</f>
      </c>
      <c r="AC176" s="4">
        <f>IF($K176="","",U176-AB176)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IF($K177="","",(U177-AB177)/J177*100)</f>
      </c>
      <c r="W177" s="4">
        <f>IF($K177="","",M177-T177)</f>
      </c>
      <c r="AC177" s="4">
        <f>IF($K177="","",U177-AB177)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IF($K178="","",(U178-AB178)/J178*100)</f>
      </c>
      <c r="W178" s="4">
        <f>IF($K178="","",M178-T178)</f>
      </c>
      <c r="AC178" s="4">
        <f>IF($K178="","",U178-AB178)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IF($K179="","",(U179-AB179)/J179*100)</f>
      </c>
      <c r="W179" s="4">
        <f>IF($K179="","",M179-T179)</f>
      </c>
      <c r="AC179" s="4">
        <f>IF($K179="","",U179-AB179)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IF($K180="","",(U180-AB180)/J180*100)</f>
      </c>
      <c r="W180" s="4">
        <f>IF($K180="","",M180-T180)</f>
      </c>
      <c r="AC180" s="4">
        <f>IF($K180="","",U180-AB180)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IF($K181="","",(U181-AB181)/J181*100)</f>
      </c>
      <c r="W181" s="4">
        <f>IF($K181="","",M181-T181)</f>
      </c>
      <c r="AC181" s="4">
        <f>IF($K181="","",U181-AB181)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IF($K182="","",(U182-AB182)/J182*100)</f>
      </c>
      <c r="W182" s="4">
        <f>IF($K182="","",M182-T182)</f>
      </c>
      <c r="AC182" s="4">
        <f>IF($K182="","",U182-AB182)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IF($K183="","",(U183-AB183)/J183*100)</f>
      </c>
      <c r="W183" s="4">
        <f>IF($K183="","",M183-T183)</f>
      </c>
      <c r="AC183" s="4">
        <f>IF($K183="","",U183-AB183)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IF($K184="","",(U184-AB184)/J184*100)</f>
      </c>
      <c r="W184" s="4">
        <f>IF($K184="","",M184-T184)</f>
      </c>
      <c r="AC184" s="4">
        <f>IF($K184="","",U184-AB184)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IF($K185="","",(U185-AB185)/J185*100)</f>
      </c>
      <c r="W185" s="4">
        <f>IF($K185="","",M185-T185)</f>
      </c>
      <c r="AC185" s="4">
        <f>IF($K185="","",U185-AB185)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IF($K186="","",(U186-AB186)/J186*100)</f>
      </c>
      <c r="W186" s="4">
        <f>IF($K186="","",M186-T186)</f>
      </c>
      <c r="AC186" s="4">
        <f>IF($K186="","",U186-AB186)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IF($K187="","",(U187-AB187)/J187*100)</f>
      </c>
      <c r="W187" s="4">
        <f>IF($K187="","",M187-T187)</f>
      </c>
      <c r="AC187" s="4">
        <f>IF($K187="","",U187-AB187)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IF($K188="","",(U188-AB188)/J188*100)</f>
      </c>
      <c r="W188" s="4">
        <f>IF($K188="","",M188-T188)</f>
      </c>
      <c r="AC188" s="4">
        <f>IF($K188="","",U188-AB188)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IF($K189="","",(U189-AB189)/J189*100)</f>
      </c>
      <c r="W189" s="4">
        <f>IF($K189="","",M189-T189)</f>
      </c>
      <c r="AC189" s="4">
        <f>IF($K189="","",U189-AB189)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IF($K190="","",(U190-AB190)/J190*100)</f>
      </c>
      <c r="W190" s="4">
        <f>IF($K190="","",M190-T190)</f>
      </c>
      <c r="AC190" s="4">
        <f>IF($K190="","",U190-AB190)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IF($K191="","",(U191-AB191)/J191*100)</f>
      </c>
      <c r="W191" s="4">
        <f>IF($K191="","",M191-T191)</f>
      </c>
      <c r="AC191" s="4">
        <f>IF($K191="","",U191-AB191)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IF($K192="","",(U192-AB192)/J192*100)</f>
      </c>
      <c r="W192" s="4">
        <f>IF($K192="","",M192-T192)</f>
      </c>
      <c r="AC192" s="4">
        <f>IF($K192="","",U192-AB192)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IF($K193="","",(U193-AB193)/J193*100)</f>
      </c>
      <c r="W193" s="4">
        <f>IF($K193="","",M193-T193)</f>
      </c>
      <c r="AC193" s="4">
        <f>IF($K193="","",U193-AB193)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IF($K194="","",(U194-AB194)/J194*100)</f>
      </c>
      <c r="W194" s="4">
        <f>IF($K194="","",M194-T194)</f>
      </c>
      <c r="AC194" s="4">
        <f>IF($K194="","",U194-AB194)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IF($K195="","",(U195-AB195)/J195*100)</f>
      </c>
      <c r="W195" s="4">
        <f>IF($K195="","",M195-T195)</f>
      </c>
      <c r="AC195" s="4">
        <f>IF($K195="","",U195-AB195)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IF($K196="","",(U196-AB196)/J196*100)</f>
      </c>
      <c r="W196" s="4">
        <f>IF($K196="","",M196-T196)</f>
      </c>
      <c r="AC196" s="4">
        <f>IF($K196="","",U196-AB196)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IF($K197="","",(U197-AB197)/J197*100)</f>
      </c>
      <c r="W197" s="4">
        <f>IF($K197="","",M197-T197)</f>
      </c>
      <c r="AC197" s="4">
        <f>IF($K197="","",U197-AB197)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IF($K198="","",(U198-AB198)/J198*100)</f>
      </c>
      <c r="W198" s="4">
        <f>IF($K198="","",M198-T198)</f>
      </c>
      <c r="AC198" s="4">
        <f>IF($K198="","",U198-AB198)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IF($K199="","",(U199-AB199)/J199*100)</f>
      </c>
      <c r="W199" s="4">
        <f>IF($K199="","",M199-T199)</f>
      </c>
      <c r="AC199" s="4">
        <f>IF($K199="","",U199-AB199)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IF($K200="","",(U200-AB200)/J200*100)</f>
      </c>
      <c r="W200" s="4">
        <f>IF($K200="","",M200-T200)</f>
      </c>
      <c r="AC200" s="4">
        <f>IF($K200="","",U200-AB200)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IF($K201="","",(U201-AB201)/J201*100)</f>
      </c>
      <c r="W201" s="4">
        <f>IF($K201="","",M201-T201)</f>
      </c>
      <c r="AC201" s="4">
        <f>IF($K201="","",U201-AB201)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IFERROR((U202-AB202)/J202*100,0)</f>
      </c>
      <c r="W202" s="14">
        <f>SUM(W2:W201)</f>
      </c>
      <c r="X202" s="14">
        <f>SUM(X2:X201)</f>
      </c>
      <c r="Y202" s="14">
        <f>SUM(Y2:Y201)</f>
      </c>
      <c r="Z202" s="14">
        <f>SUM(Z2:Z201)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79</v>
      </c>
    </row>
    <row r="2" ht="46" customHeight="1" spans="1:1" x14ac:dyDescent="0.25">
      <c r="A2" s="2" t="s">
        <v>80</v>
      </c>
    </row>
    <row r="4" spans="1:17" s="3" customFormat="1" x14ac:dyDescent="0.25">
      <c r="A4" s="3" t="s">
        <v>4</v>
      </c>
      <c r="B4" s="3" t="s">
        <v>5</v>
      </c>
      <c r="C4" s="3" t="s">
        <v>81</v>
      </c>
      <c r="D4" s="3" t="s">
        <v>9</v>
      </c>
      <c r="E4" s="3" t="s">
        <v>82</v>
      </c>
      <c r="F4" s="3" t="s">
        <v>6</v>
      </c>
      <c r="G4" s="3" t="s">
        <v>7</v>
      </c>
      <c r="H4" s="3" t="s">
        <v>8</v>
      </c>
      <c r="I4" s="3" t="s">
        <v>83</v>
      </c>
      <c r="J4" s="3" t="s">
        <v>84</v>
      </c>
      <c r="K4" s="3" t="s">
        <v>85</v>
      </c>
      <c r="L4" s="3" t="s">
        <v>86</v>
      </c>
      <c r="M4" s="3" t="s">
        <v>87</v>
      </c>
      <c r="N4" s="3" t="s">
        <v>10</v>
      </c>
      <c r="O4" s="3" t="s">
        <v>11</v>
      </c>
      <c r="P4" s="3" t="s">
        <v>12</v>
      </c>
      <c r="Q4" s="3" t="s">
        <v>88</v>
      </c>
    </row>
    <row r="5" spans="1:17" x14ac:dyDescent="0.25">
      <c r="A5" t="s">
        <v>13</v>
      </c>
      <c r="B5">
        <v>0</v>
      </c>
      <c r="C5" s="4">
        <v>0</v>
      </c>
      <c r="D5" s="4">
        <v>0</v>
      </c>
      <c r="E5">
        <v>1</v>
      </c>
      <c r="F5">
        <v>1</v>
      </c>
      <c r="G5">
        <v>0</v>
      </c>
      <c r="H5">
        <v>0</v>
      </c>
      <c r="I5">
        <v>0</v>
      </c>
      <c r="J5" s="4">
        <v>15.12</v>
      </c>
      <c r="K5" s="4">
        <v>0</v>
      </c>
      <c r="L5" s="4">
        <v>0</v>
      </c>
      <c r="M5" s="4">
        <v>0.4536</v>
      </c>
      <c r="N5" s="4">
        <v>15.573599999999999</v>
      </c>
      <c r="O5" s="4">
        <v>-15.573599999999999</v>
      </c>
      <c r="P5" s="4">
        <v>0</v>
      </c>
      <c r="Q5" t="s">
        <v>1</v>
      </c>
    </row>
    <row r="6" spans="1:17" s="3" customFormat="1" x14ac:dyDescent="0.25">
      <c r="A6" s="3" t="s">
        <v>18</v>
      </c>
      <c r="B6" s="3">
        <v>0</v>
      </c>
      <c r="C6" s="15">
        <v>0</v>
      </c>
      <c r="D6" s="15">
        <v>0</v>
      </c>
      <c r="E6" s="3">
        <v>1</v>
      </c>
      <c r="F6" s="3">
        <v>1</v>
      </c>
      <c r="G6" s="3">
        <v>0</v>
      </c>
      <c r="H6" s="3">
        <v>0</v>
      </c>
      <c r="I6" s="3">
        <v>0</v>
      </c>
      <c r="J6" s="15">
        <v>15.12</v>
      </c>
      <c r="K6" s="15">
        <v>0</v>
      </c>
      <c r="L6" s="15">
        <v>0</v>
      </c>
      <c r="M6" s="15">
        <v>0.4536</v>
      </c>
      <c r="N6" s="15">
        <v>15.573599999999999</v>
      </c>
      <c r="O6" s="15">
        <v>-15.573599999999999</v>
      </c>
      <c r="P6" s="15">
        <v>0</v>
      </c>
      <c r="Q6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28</v>
      </c>
      <c r="B1" s="7" t="s">
        <v>4</v>
      </c>
      <c r="C1" s="7" t="s">
        <v>29</v>
      </c>
      <c r="D1" s="7" t="s">
        <v>30</v>
      </c>
      <c r="E1" s="7" t="s">
        <v>89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49</v>
      </c>
      <c r="K1" s="7" t="s">
        <v>50</v>
      </c>
      <c r="L1" s="7" t="s">
        <v>61</v>
      </c>
    </row>
    <row r="2" spans="1:12" x14ac:dyDescent="0.25">
      <c r="A2" s="8">
        <v>46274.5</v>
      </c>
      <c r="B2" s="9" t="s">
        <v>13</v>
      </c>
      <c r="C2" s="9" t="s">
        <v>62</v>
      </c>
      <c r="D2" s="9" t="s">
        <v>63</v>
      </c>
      <c r="E2" s="9" t="s">
        <v>90</v>
      </c>
      <c r="F2" s="9" t="s">
        <v>1</v>
      </c>
      <c r="G2" s="9">
        <v>3</v>
      </c>
      <c r="H2" s="11">
        <v>10.5</v>
      </c>
      <c r="I2" s="11">
        <v>26.97</v>
      </c>
      <c r="J2" s="11">
        <v>3.85</v>
      </c>
      <c r="K2" s="16">
        <v>36.7</v>
      </c>
      <c r="L2" s="9" t="s">
        <v>1</v>
      </c>
    </row>
    <row r="3" spans="1:12" s="7" customFormat="1" x14ac:dyDescent="0.25">
      <c r="A3" s="7" t="s">
        <v>18</v>
      </c>
      <c r="B3" s="7" t="s">
        <v>1</v>
      </c>
      <c r="C3" s="7" t="s">
        <v>1</v>
      </c>
      <c r="D3" s="7" t="s">
        <v>1</v>
      </c>
      <c r="E3" s="7" t="s">
        <v>1</v>
      </c>
      <c r="F3" s="7" t="s">
        <v>1</v>
      </c>
      <c r="G3" s="7">
        <f>SUM(G2:G2)</f>
      </c>
      <c r="H3" s="14">
        <f>SUM(H2:H2)</f>
      </c>
      <c r="I3" s="14">
        <f>SUM(I2:I2)</f>
      </c>
      <c r="J3" s="14">
        <f>SUM(J2:J2)</f>
      </c>
      <c r="K3" s="7" t="s">
        <v>1</v>
      </c>
      <c r="L3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91</v>
      </c>
      <c r="B1" t="s">
        <v>92</v>
      </c>
    </row>
    <row r="2" spans="1:2" x14ac:dyDescent="0.25">
      <c r="A2" s="7" t="s">
        <v>93</v>
      </c>
      <c r="B2">
        <v>1</v>
      </c>
    </row>
    <row r="3" spans="1:2" x14ac:dyDescent="0.25">
      <c r="A3" s="7" t="s">
        <v>6</v>
      </c>
      <c r="B3">
        <v>1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94</v>
      </c>
      <c r="B6" s="4">
        <v>15.12</v>
      </c>
    </row>
    <row r="7" spans="1:2" x14ac:dyDescent="0.25">
      <c r="A7" s="7" t="s">
        <v>95</v>
      </c>
      <c r="B7" s="4">
        <v>15.12</v>
      </c>
    </row>
    <row r="9" spans="1:2" x14ac:dyDescent="0.25">
      <c r="A9" s="7" t="s">
        <v>96</v>
      </c>
      <c r="B9" s="7" t="s">
        <v>97</v>
      </c>
    </row>
    <row r="10" spans="1:2" x14ac:dyDescent="0.25">
      <c r="A10" s="7" t="s">
        <v>13</v>
      </c>
      <c r="B10" t="s">
        <v>98</v>
      </c>
    </row>
    <row r="12" spans="1:2" x14ac:dyDescent="0.25">
      <c r="A12" s="7" t="s">
        <v>99</v>
      </c>
      <c r="B12" t="s">
        <v>1</v>
      </c>
    </row>
    <row r="13" spans="1:2" x14ac:dyDescent="0.25">
      <c r="A13" t="s">
        <v>100</v>
      </c>
      <c r="B13" t="s">
        <v>101</v>
      </c>
    </row>
    <row r="14" spans="1:2" x14ac:dyDescent="0.25">
      <c r="A14" t="s">
        <v>102</v>
      </c>
      <c r="B14" t="s">
        <v>103</v>
      </c>
    </row>
    <row r="15" spans="1:2" x14ac:dyDescent="0.25">
      <c r="A15" t="s">
        <v>104</v>
      </c>
      <c r="B15" t="s">
        <v>105</v>
      </c>
    </row>
    <row r="17" spans="1:2" x14ac:dyDescent="0.25">
      <c r="A17" s="7" t="s">
        <v>106</v>
      </c>
      <c r="B17" t="s">
        <v>1</v>
      </c>
    </row>
    <row r="18" spans="1:2" x14ac:dyDescent="0.25">
      <c r="A18" t="s">
        <v>107</v>
      </c>
      <c r="B18" t="s">
        <v>108</v>
      </c>
    </row>
    <row r="19" spans="1:2" x14ac:dyDescent="0.25">
      <c r="A19" t="s">
        <v>109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FormatPr defaultRowHeight="15" outlineLevelRow="0" outlineLevelCol="0" x14ac:dyDescent="55"/>
  <sheetData>
    <row r="1" spans="1:18" x14ac:dyDescent="0.25">
      <c r="A1" t="s">
        <v>57</v>
      </c>
      <c r="B1" t="s">
        <v>110</v>
      </c>
      <c r="C1" t="s">
        <v>32</v>
      </c>
      <c r="D1" t="s">
        <v>34</v>
      </c>
      <c r="E1" t="s">
        <v>33</v>
      </c>
      <c r="F1" t="s">
        <v>35</v>
      </c>
      <c r="G1" t="s">
        <v>111</v>
      </c>
      <c r="H1" t="s">
        <v>112</v>
      </c>
      <c r="I1" t="s">
        <v>4</v>
      </c>
      <c r="J1" t="s">
        <v>113</v>
      </c>
      <c r="K1" t="s">
        <v>58</v>
      </c>
      <c r="L1" t="s">
        <v>114</v>
      </c>
      <c r="M1" t="s">
        <v>61</v>
      </c>
      <c r="N1" t="s">
        <v>115</v>
      </c>
      <c r="O1" t="s">
        <v>59</v>
      </c>
      <c r="P1" t="s">
        <v>116</v>
      </c>
      <c r="Q1" t="s">
        <v>117</v>
      </c>
      <c r="R1" t="s">
        <v>118</v>
      </c>
    </row>
    <row r="2" spans="1:18" x14ac:dyDescent="0.25">
      <c r="A2" s="8">
        <v>46274.5</v>
      </c>
      <c r="B2" s="10" t="s">
        <v>1</v>
      </c>
      <c r="C2" s="9" t="s">
        <v>90</v>
      </c>
      <c r="D2" s="9" t="s">
        <v>1</v>
      </c>
      <c r="E2" s="9" t="s">
        <v>1</v>
      </c>
      <c r="F2" s="9" t="s">
        <v>1</v>
      </c>
      <c r="G2" s="8">
        <v>46274.5</v>
      </c>
      <c r="H2" s="11">
        <v>26.97</v>
      </c>
      <c r="I2" s="9" t="s">
        <v>13</v>
      </c>
      <c r="J2" s="9" t="s">
        <v>119</v>
      </c>
      <c r="K2" s="9" t="s">
        <v>64</v>
      </c>
      <c r="L2" s="9" t="s">
        <v>65</v>
      </c>
      <c r="M2" s="9" t="s">
        <v>1</v>
      </c>
      <c r="N2" s="11">
        <v>7.56</v>
      </c>
      <c r="O2" s="9">
        <v>2</v>
      </c>
      <c r="P2" s="11">
        <v>15.12</v>
      </c>
      <c r="Q2" s="9"/>
      <c r="R2" s="9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110</v>
      </c>
      <c r="B1" t="s">
        <v>32</v>
      </c>
      <c r="C1" t="s">
        <v>120</v>
      </c>
      <c r="D1" t="s">
        <v>121</v>
      </c>
      <c r="E1" t="s">
        <v>122</v>
      </c>
      <c r="F1" t="s">
        <v>123</v>
      </c>
      <c r="G1" t="s">
        <v>61</v>
      </c>
    </row>
    <row r="2" spans="1:1" x14ac:dyDescent="0.25">
      <c r="A2" s="17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2026-09-09T09:14:20Z</dcterms:created>
  <dcterms:modified xsi:type="dcterms:W3CDTF">2026-09-09T09:14:20Z</dcterms:modified>
</cp:coreProperties>
</file>